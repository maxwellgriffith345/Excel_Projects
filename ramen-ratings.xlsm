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MyProjects\Excel_Projects\"/>
    </mc:Choice>
  </mc:AlternateContent>
  <xr:revisionPtr revIDLastSave="0" documentId="13_ncr:1_{067CC3F5-D4B6-4914-99AC-2B68EFF80217}" xr6:coauthVersionLast="47" xr6:coauthVersionMax="47" xr10:uidLastSave="{00000000-0000-0000-0000-000000000000}"/>
  <bookViews>
    <workbookView xWindow="-120" yWindow="-120" windowWidth="24240" windowHeight="13140" firstSheet="1" activeTab="6" xr2:uid="{00000000-000D-0000-FFFF-FFFF00000000}"/>
  </bookViews>
  <sheets>
    <sheet name="ramen-ratings raw" sheetId="1" r:id="rId1"/>
    <sheet name="ramen-ratings" sheetId="3" r:id="rId2"/>
    <sheet name="CountryRegion" sheetId="2" r:id="rId3"/>
    <sheet name="Explor_Analysis" sheetId="5" r:id="rId4"/>
    <sheet name="CountryAvgRating" sheetId="7" r:id="rId5"/>
    <sheet name="QualityStyle" sheetId="12" r:id="rId6"/>
    <sheet name="CountryRatingsWide" sheetId="8" r:id="rId7"/>
  </sheets>
  <calcPr calcId="191029"/>
  <pivotCaches>
    <pivotCache cacheId="0" r:id="rId8"/>
    <pivotCache cacheId="1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" i="8" l="1" a="1"/>
  <c r="D2" i="8" s="1"/>
  <c r="H2" i="8" a="1"/>
  <c r="H2" i="8" s="1"/>
  <c r="I2" i="8" a="1"/>
  <c r="I2" i="8" s="1"/>
  <c r="J2" i="8" a="1"/>
  <c r="J2" i="8" s="1"/>
  <c r="K2" i="8" a="1"/>
  <c r="K2" i="8" s="1"/>
  <c r="L2" i="8" a="1"/>
  <c r="L2" i="8" s="1"/>
  <c r="M2" i="8" a="1"/>
  <c r="M2" i="8" s="1"/>
  <c r="N2" i="8" a="1"/>
  <c r="N2" i="8" s="1"/>
  <c r="O2" i="8" a="1"/>
  <c r="O2" i="8" s="1"/>
  <c r="P2" i="8" a="1"/>
  <c r="P2" i="8" s="1"/>
  <c r="Q2" i="8" a="1"/>
  <c r="Q2" i="8" s="1"/>
  <c r="R2" i="8" a="1"/>
  <c r="R2" i="8" s="1"/>
  <c r="S2" i="8" a="1"/>
  <c r="S2" i="8" s="1"/>
  <c r="T2" i="8" a="1"/>
  <c r="T2" i="8" s="1"/>
  <c r="U2" i="8" a="1"/>
  <c r="U2" i="8" s="1"/>
  <c r="V2" i="8" a="1"/>
  <c r="V2" i="8" s="1"/>
  <c r="W2" i="8" a="1"/>
  <c r="W2" i="8" s="1"/>
  <c r="X2" i="8" a="1"/>
  <c r="X2" i="8" s="1"/>
  <c r="Y2" i="8" a="1"/>
  <c r="Y2" i="8" s="1"/>
  <c r="Z2" i="8" a="1"/>
  <c r="Z2" i="8" s="1"/>
  <c r="AA2" i="8" a="1"/>
  <c r="AA2" i="8" s="1"/>
  <c r="AB2" i="8" a="1"/>
  <c r="AB2" i="8" s="1"/>
  <c r="AC2" i="8" a="1"/>
  <c r="AC2" i="8" s="1"/>
  <c r="AD2" i="8" a="1"/>
  <c r="AD2" i="8" s="1"/>
  <c r="AE2" i="8" a="1"/>
  <c r="AE2" i="8" s="1"/>
  <c r="AF2" i="8" a="1"/>
  <c r="AF2" i="8" s="1"/>
  <c r="AG2" i="8" a="1"/>
  <c r="AG2" i="8" s="1"/>
  <c r="AH2" i="8" a="1"/>
  <c r="AH2" i="8" s="1"/>
  <c r="AI2" i="8" a="1"/>
  <c r="AI2" i="8" s="1"/>
  <c r="AJ2" i="8" a="1"/>
  <c r="AJ2" i="8" s="1"/>
  <c r="AK2" i="8" a="1"/>
  <c r="AK2" i="8" s="1"/>
  <c r="AL2" i="8" a="1"/>
  <c r="AL2" i="8" s="1"/>
  <c r="AM2" i="8" a="1"/>
  <c r="AM2" i="8" s="1"/>
  <c r="AN2" i="8" a="1"/>
  <c r="AN2" i="8" s="1"/>
  <c r="AO2" i="8" a="1"/>
  <c r="AO2" i="8" s="1"/>
  <c r="G2" i="8" a="1"/>
  <c r="G2" i="8" s="1"/>
  <c r="F2" i="8" a="1"/>
  <c r="F2" i="8" s="1"/>
  <c r="E2" i="8" a="1"/>
  <c r="E2" i="8" s="1"/>
  <c r="D2" i="5"/>
  <c r="C2" i="5"/>
  <c r="B2" i="5"/>
  <c r="A2" i="5"/>
  <c r="K1477" i="3"/>
  <c r="K1478" i="3"/>
  <c r="K1402" i="3"/>
  <c r="K1479" i="3"/>
  <c r="K1480" i="3"/>
  <c r="K1481" i="3"/>
  <c r="K1482" i="3"/>
  <c r="K1483" i="3"/>
  <c r="K1484" i="3"/>
  <c r="K1485" i="3"/>
  <c r="K1486" i="3"/>
  <c r="K1487" i="3"/>
  <c r="K1488" i="3"/>
  <c r="K1489" i="3"/>
  <c r="K1490" i="3"/>
  <c r="K1491" i="3"/>
  <c r="K1492" i="3"/>
  <c r="K1493" i="3"/>
  <c r="K1494" i="3"/>
  <c r="K1495" i="3"/>
  <c r="K1496" i="3"/>
  <c r="K1497" i="3"/>
  <c r="K1498" i="3"/>
  <c r="K1499" i="3"/>
  <c r="K1500" i="3"/>
  <c r="K1501" i="3"/>
  <c r="K1502" i="3"/>
  <c r="K1503" i="3"/>
  <c r="K1504" i="3"/>
  <c r="K1505" i="3"/>
  <c r="K1506" i="3"/>
  <c r="K1507" i="3"/>
  <c r="K1508" i="3"/>
  <c r="K1509" i="3"/>
  <c r="K1510" i="3"/>
  <c r="K1511" i="3"/>
  <c r="K1512" i="3"/>
  <c r="K1513" i="3"/>
  <c r="K1514" i="3"/>
  <c r="K1515" i="3"/>
  <c r="K1516" i="3"/>
  <c r="K1517" i="3"/>
  <c r="K1518" i="3"/>
  <c r="K1519" i="3"/>
  <c r="K1520" i="3"/>
  <c r="K1521" i="3"/>
  <c r="K1522" i="3"/>
  <c r="K1523" i="3"/>
  <c r="K1524" i="3"/>
  <c r="K1525" i="3"/>
  <c r="K1526" i="3"/>
  <c r="K1527" i="3"/>
  <c r="K1528" i="3"/>
  <c r="K1529" i="3"/>
  <c r="K1530" i="3"/>
  <c r="K1531" i="3"/>
  <c r="K1532" i="3"/>
  <c r="K1533" i="3"/>
  <c r="K1534" i="3"/>
  <c r="K1535" i="3"/>
  <c r="K1536" i="3"/>
  <c r="K1537" i="3"/>
  <c r="K1538" i="3"/>
  <c r="K1539" i="3"/>
  <c r="K1540" i="3"/>
  <c r="K1541" i="3"/>
  <c r="K1542" i="3"/>
  <c r="K1543" i="3"/>
  <c r="K1544" i="3"/>
  <c r="K1545" i="3"/>
  <c r="K1546" i="3"/>
  <c r="K1547" i="3"/>
  <c r="K1548" i="3"/>
  <c r="K1549" i="3"/>
  <c r="K1550" i="3"/>
  <c r="K1551" i="3"/>
  <c r="K1552" i="3"/>
  <c r="K1553" i="3"/>
  <c r="K1554" i="3"/>
  <c r="K1555" i="3"/>
  <c r="K1556" i="3"/>
  <c r="K1557" i="3"/>
  <c r="K1471" i="3"/>
  <c r="K1558" i="3"/>
  <c r="K1559" i="3"/>
  <c r="K1560" i="3"/>
  <c r="K1561" i="3"/>
  <c r="K1562" i="3"/>
  <c r="K1563" i="3"/>
  <c r="K1564" i="3"/>
  <c r="K1565" i="3"/>
  <c r="K1566" i="3"/>
  <c r="K1567" i="3"/>
  <c r="K1474" i="3"/>
  <c r="K1568" i="3"/>
  <c r="K1569" i="3"/>
  <c r="K1570" i="3"/>
  <c r="K1571" i="3"/>
  <c r="K1572" i="3"/>
  <c r="K1573" i="3"/>
  <c r="K1574" i="3"/>
  <c r="K1575" i="3"/>
  <c r="K1576" i="3"/>
  <c r="K1577" i="3"/>
  <c r="K1578" i="3"/>
  <c r="K1579" i="3"/>
  <c r="K1580" i="3"/>
  <c r="K1581" i="3"/>
  <c r="K1582" i="3"/>
  <c r="K1583" i="3"/>
  <c r="K1473" i="3"/>
  <c r="K1475" i="3"/>
  <c r="K1584" i="3"/>
  <c r="K1585" i="3"/>
  <c r="K1586" i="3"/>
  <c r="K1587" i="3"/>
  <c r="K1588" i="3"/>
  <c r="K1589" i="3"/>
  <c r="K1590" i="3"/>
  <c r="K1591" i="3"/>
  <c r="K1592" i="3"/>
  <c r="K1593" i="3"/>
  <c r="K1594" i="3"/>
  <c r="K1595" i="3"/>
  <c r="K1596" i="3"/>
  <c r="K1597" i="3"/>
  <c r="K1598" i="3"/>
  <c r="K1599" i="3"/>
  <c r="K1600" i="3"/>
  <c r="K1601" i="3"/>
  <c r="K1602" i="3"/>
  <c r="K1603" i="3"/>
  <c r="K1604" i="3"/>
  <c r="K1472" i="3"/>
  <c r="K1605" i="3"/>
  <c r="K1606" i="3"/>
  <c r="K1607" i="3"/>
  <c r="K1608" i="3"/>
  <c r="K1609" i="3"/>
  <c r="K1610" i="3"/>
  <c r="K1611" i="3"/>
  <c r="K1612" i="3"/>
  <c r="K1613" i="3"/>
  <c r="K1614" i="3"/>
  <c r="K1476" i="3"/>
  <c r="K1615" i="3"/>
  <c r="K1616" i="3"/>
  <c r="K1617" i="3"/>
  <c r="K1618" i="3"/>
  <c r="K1619" i="3"/>
  <c r="K1620" i="3"/>
  <c r="K1621" i="3"/>
  <c r="K1622" i="3"/>
  <c r="K1623" i="3"/>
  <c r="K1624" i="3"/>
  <c r="K1625" i="3"/>
  <c r="K1626" i="3"/>
  <c r="K1633" i="3"/>
  <c r="K696" i="3"/>
  <c r="K697" i="3"/>
  <c r="K2105" i="3"/>
  <c r="K928" i="3"/>
  <c r="K1634" i="3"/>
  <c r="K1635" i="3"/>
  <c r="K1636" i="3"/>
  <c r="K1237" i="3"/>
  <c r="K506" i="3"/>
  <c r="K929" i="3"/>
  <c r="K1637" i="3"/>
  <c r="K2146" i="3"/>
  <c r="K1238" i="3"/>
  <c r="K2106" i="3"/>
  <c r="K2" i="3"/>
  <c r="K930" i="3"/>
  <c r="K2147" i="3"/>
  <c r="K1239" i="3"/>
  <c r="K2107" i="3"/>
  <c r="K931" i="3"/>
  <c r="K2286" i="3"/>
  <c r="K1638" i="3"/>
  <c r="K1240" i="3"/>
  <c r="K932" i="3"/>
  <c r="K1985" i="3"/>
  <c r="K933" i="3"/>
  <c r="K2334" i="3"/>
  <c r="K1639" i="3"/>
  <c r="K1241" i="3"/>
  <c r="K1242" i="3"/>
  <c r="K1640" i="3"/>
  <c r="K698" i="3"/>
  <c r="K2148" i="3"/>
  <c r="K1243" i="3"/>
  <c r="K2287" i="3"/>
  <c r="K1641" i="3"/>
  <c r="K934" i="3"/>
  <c r="K1642" i="3"/>
  <c r="K2335" i="3"/>
  <c r="K935" i="3"/>
  <c r="K1643" i="3"/>
  <c r="K1244" i="3"/>
  <c r="K3" i="3"/>
  <c r="K936" i="3"/>
  <c r="K1644" i="3"/>
  <c r="K1245" i="3"/>
  <c r="K937" i="3"/>
  <c r="K1645" i="3"/>
  <c r="K1246" i="3"/>
  <c r="K1247" i="3"/>
  <c r="K938" i="3"/>
  <c r="K1646" i="3"/>
  <c r="K1647" i="3"/>
  <c r="K1648" i="3"/>
  <c r="K699" i="3"/>
  <c r="K1649" i="3"/>
  <c r="K700" i="3"/>
  <c r="K939" i="3"/>
  <c r="K2108" i="3"/>
  <c r="K940" i="3"/>
  <c r="K1986" i="3"/>
  <c r="K1248" i="3"/>
  <c r="K1650" i="3"/>
  <c r="K941" i="3"/>
  <c r="K2336" i="3"/>
  <c r="K701" i="3"/>
  <c r="K1249" i="3"/>
  <c r="K942" i="3"/>
  <c r="K702" i="3"/>
  <c r="K943" i="3"/>
  <c r="K1651" i="3"/>
  <c r="K703" i="3"/>
  <c r="K704" i="3"/>
  <c r="K944" i="3"/>
  <c r="K1652" i="3"/>
  <c r="K945" i="3"/>
  <c r="K1653" i="3"/>
  <c r="K705" i="3"/>
  <c r="K2149" i="3"/>
  <c r="K1250" i="3"/>
  <c r="K1654" i="3"/>
  <c r="K946" i="3"/>
  <c r="K2150" i="3"/>
  <c r="K2337" i="3"/>
  <c r="K947" i="3"/>
  <c r="K1987" i="3"/>
  <c r="K706" i="3"/>
  <c r="K1655" i="3"/>
  <c r="K1656" i="3"/>
  <c r="K948" i="3"/>
  <c r="K1251" i="3"/>
  <c r="K1252" i="3"/>
  <c r="K1253" i="3"/>
  <c r="K1254" i="3"/>
  <c r="K1255" i="3"/>
  <c r="K1256" i="3"/>
  <c r="K1257" i="3"/>
  <c r="K1258" i="3"/>
  <c r="K1259" i="3"/>
  <c r="K1260" i="3"/>
  <c r="K1261" i="3"/>
  <c r="K1262" i="3"/>
  <c r="K1263" i="3"/>
  <c r="K1264" i="3"/>
  <c r="K1265" i="3"/>
  <c r="K1657" i="3"/>
  <c r="K2338" i="3"/>
  <c r="K707" i="3"/>
  <c r="K1988" i="3"/>
  <c r="K1658" i="3"/>
  <c r="K2151" i="3"/>
  <c r="K4" i="3"/>
  <c r="K708" i="3"/>
  <c r="K1659" i="3"/>
  <c r="K507" i="3"/>
  <c r="K1660" i="3"/>
  <c r="K709" i="3"/>
  <c r="K1661" i="3"/>
  <c r="K2152" i="3"/>
  <c r="K949" i="3"/>
  <c r="K710" i="3"/>
  <c r="K711" i="3"/>
  <c r="K2339" i="3"/>
  <c r="K1662" i="3"/>
  <c r="K1663" i="3"/>
  <c r="K1989" i="3"/>
  <c r="K2340" i="3"/>
  <c r="K1664" i="3"/>
  <c r="K712" i="3"/>
  <c r="K2153" i="3"/>
  <c r="K713" i="3"/>
  <c r="K2341" i="3"/>
  <c r="K2154" i="3"/>
  <c r="K1266" i="3"/>
  <c r="K2109" i="3"/>
  <c r="K2342" i="3"/>
  <c r="K1267" i="3"/>
  <c r="K1990" i="3"/>
  <c r="K2343" i="3"/>
  <c r="K950" i="3"/>
  <c r="K2344" i="3"/>
  <c r="K2155" i="3"/>
  <c r="K1665" i="3"/>
  <c r="K951" i="3"/>
  <c r="K2156" i="3"/>
  <c r="K2345" i="3"/>
  <c r="K2157" i="3"/>
  <c r="K714" i="3"/>
  <c r="K2346" i="3"/>
  <c r="K952" i="3"/>
  <c r="K2158" i="3"/>
  <c r="K953" i="3"/>
  <c r="K2159" i="3"/>
  <c r="K508" i="3"/>
  <c r="K715" i="3"/>
  <c r="K1991" i="3"/>
  <c r="K2110" i="3"/>
  <c r="K2347" i="3"/>
  <c r="K1666" i="3"/>
  <c r="K954" i="3"/>
  <c r="K955" i="3"/>
  <c r="K956" i="3"/>
  <c r="K957" i="3"/>
  <c r="K958" i="3"/>
  <c r="K959" i="3"/>
  <c r="K960" i="3"/>
  <c r="K961" i="3"/>
  <c r="K2348" i="3"/>
  <c r="K2160" i="3"/>
  <c r="K2111" i="3"/>
  <c r="K1667" i="3"/>
  <c r="K2349" i="3"/>
  <c r="K2161" i="3"/>
  <c r="K962" i="3"/>
  <c r="K1668" i="3"/>
  <c r="K5" i="3"/>
  <c r="K1669" i="3"/>
  <c r="K716" i="3"/>
  <c r="K2112" i="3"/>
  <c r="K2162" i="3"/>
  <c r="K1670" i="3"/>
  <c r="K2163" i="3"/>
  <c r="K1393" i="3"/>
  <c r="K963" i="3"/>
  <c r="K717" i="3"/>
  <c r="K2113" i="3"/>
  <c r="K2350" i="3"/>
  <c r="K2164" i="3"/>
  <c r="K2553" i="3"/>
  <c r="K964" i="3"/>
  <c r="K1671" i="3"/>
  <c r="K1672" i="3"/>
  <c r="K2165" i="3"/>
  <c r="K1673" i="3"/>
  <c r="K965" i="3"/>
  <c r="K718" i="3"/>
  <c r="K509" i="3"/>
  <c r="K1674" i="3"/>
  <c r="K2166" i="3"/>
  <c r="K719" i="3"/>
  <c r="K720" i="3"/>
  <c r="K721" i="3"/>
  <c r="K2554" i="3"/>
  <c r="K2167" i="3"/>
  <c r="K2168" i="3"/>
  <c r="K1675" i="3"/>
  <c r="K2114" i="3"/>
  <c r="K1676" i="3"/>
  <c r="K2169" i="3"/>
  <c r="K2351" i="3"/>
  <c r="K2352" i="3"/>
  <c r="K1677" i="3"/>
  <c r="K2170" i="3"/>
  <c r="K2353" i="3"/>
  <c r="K966" i="3"/>
  <c r="K2171" i="3"/>
  <c r="K1678" i="3"/>
  <c r="K2172" i="3"/>
  <c r="K2354" i="3"/>
  <c r="K2173" i="3"/>
  <c r="K2174" i="3"/>
  <c r="K1679" i="3"/>
  <c r="K967" i="3"/>
  <c r="K2175" i="3"/>
  <c r="K2355" i="3"/>
  <c r="K2176" i="3"/>
  <c r="K1680" i="3"/>
  <c r="K2356" i="3"/>
  <c r="K722" i="3"/>
  <c r="K2177" i="3"/>
  <c r="K2357" i="3"/>
  <c r="K968" i="3"/>
  <c r="K2115" i="3"/>
  <c r="K2178" i="3"/>
  <c r="K510" i="3"/>
  <c r="K1681" i="3"/>
  <c r="K723" i="3"/>
  <c r="K2358" i="3"/>
  <c r="K1682" i="3"/>
  <c r="K724" i="3"/>
  <c r="K2179" i="3"/>
  <c r="K2180" i="3"/>
  <c r="K1683" i="3"/>
  <c r="K511" i="3"/>
  <c r="K1684" i="3"/>
  <c r="K2181" i="3"/>
  <c r="K725" i="3"/>
  <c r="K1685" i="3"/>
  <c r="K2182" i="3"/>
  <c r="K2183" i="3"/>
  <c r="K2184" i="3"/>
  <c r="K2185" i="3"/>
  <c r="K969" i="3"/>
  <c r="K1418" i="3"/>
  <c r="K1686" i="3"/>
  <c r="K1687" i="3"/>
  <c r="K512" i="3"/>
  <c r="K970" i="3"/>
  <c r="K2186" i="3"/>
  <c r="K1688" i="3"/>
  <c r="K1689" i="3"/>
  <c r="K2187" i="3"/>
  <c r="K1690" i="3"/>
  <c r="K1691" i="3"/>
  <c r="K2188" i="3"/>
  <c r="K2116" i="3"/>
  <c r="K1268" i="3"/>
  <c r="K1692" i="3"/>
  <c r="K971" i="3"/>
  <c r="K726" i="3"/>
  <c r="K2189" i="3"/>
  <c r="K727" i="3"/>
  <c r="K1269" i="3"/>
  <c r="K1693" i="3"/>
  <c r="K6" i="3"/>
  <c r="K972" i="3"/>
  <c r="K513" i="3"/>
  <c r="K1394" i="3"/>
  <c r="K2190" i="3"/>
  <c r="K2191" i="3"/>
  <c r="K1694" i="3"/>
  <c r="K2192" i="3"/>
  <c r="K1695" i="3"/>
  <c r="K2193" i="3"/>
  <c r="K1395" i="3"/>
  <c r="K728" i="3"/>
  <c r="K1696" i="3"/>
  <c r="K2194" i="3"/>
  <c r="K973" i="3"/>
  <c r="K2359" i="3"/>
  <c r="K1697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1270" i="3"/>
  <c r="K729" i="3"/>
  <c r="K2360" i="3"/>
  <c r="K730" i="3"/>
  <c r="K1698" i="3"/>
  <c r="K731" i="3"/>
  <c r="K974" i="3"/>
  <c r="K1699" i="3"/>
  <c r="K732" i="3"/>
  <c r="K2361" i="3"/>
  <c r="K733" i="3"/>
  <c r="K734" i="3"/>
  <c r="K735" i="3"/>
  <c r="K736" i="3"/>
  <c r="K737" i="3"/>
  <c r="K738" i="3"/>
  <c r="K739" i="3"/>
  <c r="K740" i="3"/>
  <c r="K741" i="3"/>
  <c r="K1700" i="3"/>
  <c r="K7" i="3"/>
  <c r="K1701" i="3"/>
  <c r="K975" i="3"/>
  <c r="K2195" i="3"/>
  <c r="K2196" i="3"/>
  <c r="K2197" i="3"/>
  <c r="K2198" i="3"/>
  <c r="K2199" i="3"/>
  <c r="K2200" i="3"/>
  <c r="K1702" i="3"/>
  <c r="K1271" i="3"/>
  <c r="K2201" i="3"/>
  <c r="K1703" i="3"/>
  <c r="K1704" i="3"/>
  <c r="K1272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2202" i="3"/>
  <c r="K742" i="3"/>
  <c r="K743" i="3"/>
  <c r="K1705" i="3"/>
  <c r="K976" i="3"/>
  <c r="K1706" i="3"/>
  <c r="K977" i="3"/>
  <c r="K1273" i="3"/>
  <c r="K1707" i="3"/>
  <c r="K1708" i="3"/>
  <c r="K1274" i="3"/>
  <c r="K978" i="3"/>
  <c r="K744" i="3"/>
  <c r="K2203" i="3"/>
  <c r="K2204" i="3"/>
  <c r="K2205" i="3"/>
  <c r="K2206" i="3"/>
  <c r="K2207" i="3"/>
  <c r="K2208" i="3"/>
  <c r="K2209" i="3"/>
  <c r="K2210" i="3"/>
  <c r="K2211" i="3"/>
  <c r="K2212" i="3"/>
  <c r="K2213" i="3"/>
  <c r="K2214" i="3"/>
  <c r="K2215" i="3"/>
  <c r="K2216" i="3"/>
  <c r="K2217" i="3"/>
  <c r="K2218" i="3"/>
  <c r="K1992" i="3"/>
  <c r="K745" i="3"/>
  <c r="K1709" i="3"/>
  <c r="K2219" i="3"/>
  <c r="K979" i="3"/>
  <c r="K1710" i="3"/>
  <c r="K2220" i="3"/>
  <c r="K2221" i="3"/>
  <c r="K2222" i="3"/>
  <c r="K1711" i="3"/>
  <c r="K2223" i="3"/>
  <c r="K541" i="3"/>
  <c r="K1712" i="3"/>
  <c r="K1993" i="3"/>
  <c r="K2362" i="3"/>
  <c r="K1713" i="3"/>
  <c r="K746" i="3"/>
  <c r="K2224" i="3"/>
  <c r="K2363" i="3"/>
  <c r="K1714" i="3"/>
  <c r="K980" i="3"/>
  <c r="K747" i="3"/>
  <c r="K1715" i="3"/>
  <c r="K2117" i="3"/>
  <c r="K2225" i="3"/>
  <c r="K1716" i="3"/>
  <c r="K1717" i="3"/>
  <c r="K2364" i="3"/>
  <c r="K1718" i="3"/>
  <c r="K981" i="3"/>
  <c r="K982" i="3"/>
  <c r="K748" i="3"/>
  <c r="K542" i="3"/>
  <c r="K1433" i="3"/>
  <c r="K2365" i="3"/>
  <c r="K2226" i="3"/>
  <c r="K749" i="3"/>
  <c r="K1719" i="3"/>
  <c r="K1720" i="3"/>
  <c r="K1721" i="3"/>
  <c r="K1722" i="3"/>
  <c r="K1723" i="3"/>
  <c r="K1724" i="3"/>
  <c r="K1725" i="3"/>
  <c r="K1726" i="3"/>
  <c r="K1727" i="3"/>
  <c r="K1728" i="3"/>
  <c r="K1729" i="3"/>
  <c r="K1730" i="3"/>
  <c r="K1731" i="3"/>
  <c r="K1732" i="3"/>
  <c r="K1733" i="3"/>
  <c r="K1434" i="3"/>
  <c r="K1734" i="3"/>
  <c r="K750" i="3"/>
  <c r="K1275" i="3"/>
  <c r="K2227" i="3"/>
  <c r="K1735" i="3"/>
  <c r="K2366" i="3"/>
  <c r="K1736" i="3"/>
  <c r="K1737" i="3"/>
  <c r="K983" i="3"/>
  <c r="K2228" i="3"/>
  <c r="K1738" i="3"/>
  <c r="K1739" i="3"/>
  <c r="K751" i="3"/>
  <c r="K1432" i="3"/>
  <c r="K1740" i="3"/>
  <c r="K543" i="3"/>
  <c r="K1741" i="3"/>
  <c r="K1276" i="3"/>
  <c r="K752" i="3"/>
  <c r="K1742" i="3"/>
  <c r="K544" i="3"/>
  <c r="K2367" i="3"/>
  <c r="K1235" i="3"/>
  <c r="K1743" i="3"/>
  <c r="K2555" i="3"/>
  <c r="K753" i="3"/>
  <c r="K1744" i="3"/>
  <c r="K1745" i="3"/>
  <c r="K1435" i="3"/>
  <c r="K1746" i="3"/>
  <c r="K1436" i="3"/>
  <c r="K754" i="3"/>
  <c r="K755" i="3"/>
  <c r="K756" i="3"/>
  <c r="K757" i="3"/>
  <c r="K2543" i="3"/>
  <c r="K545" i="3"/>
  <c r="K1747" i="3"/>
  <c r="K1230" i="3"/>
  <c r="K2368" i="3"/>
  <c r="K1994" i="3"/>
  <c r="K1748" i="3"/>
  <c r="K1749" i="3"/>
  <c r="K1750" i="3"/>
  <c r="K1277" i="3"/>
  <c r="K1437" i="3"/>
  <c r="K1751" i="3"/>
  <c r="K1752" i="3"/>
  <c r="K1232" i="3"/>
  <c r="K8" i="3"/>
  <c r="K1753" i="3"/>
  <c r="K1438" i="3"/>
  <c r="K1278" i="3"/>
  <c r="K2369" i="3"/>
  <c r="K1754" i="3"/>
  <c r="K1755" i="3"/>
  <c r="K1439" i="3"/>
  <c r="K1756" i="3"/>
  <c r="K984" i="3"/>
  <c r="K1757" i="3"/>
  <c r="K1440" i="3"/>
  <c r="K1279" i="3"/>
  <c r="K1280" i="3"/>
  <c r="K1281" i="3"/>
  <c r="K1282" i="3"/>
  <c r="K1283" i="3"/>
  <c r="K1284" i="3"/>
  <c r="K1285" i="3"/>
  <c r="K1286" i="3"/>
  <c r="K1287" i="3"/>
  <c r="K1288" i="3"/>
  <c r="K1289" i="3"/>
  <c r="K1290" i="3"/>
  <c r="K1291" i="3"/>
  <c r="K758" i="3"/>
  <c r="K1758" i="3"/>
  <c r="K546" i="3"/>
  <c r="K1759" i="3"/>
  <c r="K547" i="3"/>
  <c r="K1441" i="3"/>
  <c r="K2370" i="3"/>
  <c r="K1760" i="3"/>
  <c r="K2544" i="3"/>
  <c r="K1761" i="3"/>
  <c r="K1995" i="3"/>
  <c r="K1762" i="3"/>
  <c r="K1442" i="3"/>
  <c r="K1763" i="3"/>
  <c r="K2556" i="3"/>
  <c r="K1764" i="3"/>
  <c r="K759" i="3"/>
  <c r="K760" i="3"/>
  <c r="K761" i="3"/>
  <c r="K762" i="3"/>
  <c r="K548" i="3"/>
  <c r="K1765" i="3"/>
  <c r="K763" i="3"/>
  <c r="K764" i="3"/>
  <c r="K694" i="3"/>
  <c r="K985" i="3"/>
  <c r="K2545" i="3"/>
  <c r="K2371" i="3"/>
  <c r="K1996" i="3"/>
  <c r="K765" i="3"/>
  <c r="K549" i="3"/>
  <c r="K1766" i="3"/>
  <c r="K9" i="3"/>
  <c r="K1767" i="3"/>
  <c r="K2372" i="3"/>
  <c r="K1768" i="3"/>
  <c r="K550" i="3"/>
  <c r="K551" i="3"/>
  <c r="K2557" i="3"/>
  <c r="K552" i="3"/>
  <c r="K2373" i="3"/>
  <c r="K553" i="3"/>
  <c r="K1769" i="3"/>
  <c r="K1770" i="3"/>
  <c r="K986" i="3"/>
  <c r="K766" i="3"/>
  <c r="K2374" i="3"/>
  <c r="K2375" i="3"/>
  <c r="K2376" i="3"/>
  <c r="K2377" i="3"/>
  <c r="K2378" i="3"/>
  <c r="K2379" i="3"/>
  <c r="K2380" i="3"/>
  <c r="K2381" i="3"/>
  <c r="K2382" i="3"/>
  <c r="K1771" i="3"/>
  <c r="K2546" i="3"/>
  <c r="K987" i="3"/>
  <c r="K1772" i="3"/>
  <c r="K767" i="3"/>
  <c r="K1773" i="3"/>
  <c r="K554" i="3"/>
  <c r="K768" i="3"/>
  <c r="K2558" i="3"/>
  <c r="K988" i="3"/>
  <c r="K1774" i="3"/>
  <c r="K769" i="3"/>
  <c r="K1997" i="3"/>
  <c r="K555" i="3"/>
  <c r="K1775" i="3"/>
  <c r="K770" i="3"/>
  <c r="K1443" i="3"/>
  <c r="K2383" i="3"/>
  <c r="K1776" i="3"/>
  <c r="K556" i="3"/>
  <c r="K1998" i="3"/>
  <c r="K2384" i="3"/>
  <c r="K1292" i="3"/>
  <c r="K2547" i="3"/>
  <c r="K771" i="3"/>
  <c r="K772" i="3"/>
  <c r="K1777" i="3"/>
  <c r="K773" i="3"/>
  <c r="K10" i="3"/>
  <c r="K774" i="3"/>
  <c r="K2385" i="3"/>
  <c r="K1999" i="3"/>
  <c r="K557" i="3"/>
  <c r="K11" i="3"/>
  <c r="K1339" i="3"/>
  <c r="K1444" i="3"/>
  <c r="K558" i="3"/>
  <c r="K2386" i="3"/>
  <c r="K1778" i="3"/>
  <c r="K775" i="3"/>
  <c r="K1340" i="3"/>
  <c r="K2387" i="3"/>
  <c r="K559" i="3"/>
  <c r="K1779" i="3"/>
  <c r="K1780" i="3"/>
  <c r="K776" i="3"/>
  <c r="K1341" i="3"/>
  <c r="K560" i="3"/>
  <c r="K561" i="3"/>
  <c r="K562" i="3"/>
  <c r="K1445" i="3"/>
  <c r="K2559" i="3"/>
  <c r="K563" i="3"/>
  <c r="K2388" i="3"/>
  <c r="K2333" i="3"/>
  <c r="K2389" i="3"/>
  <c r="K2390" i="3"/>
  <c r="K2391" i="3"/>
  <c r="K2392" i="3"/>
  <c r="K2393" i="3"/>
  <c r="K2394" i="3"/>
  <c r="K2395" i="3"/>
  <c r="K2396" i="3"/>
  <c r="K777" i="3"/>
  <c r="K989" i="3"/>
  <c r="K2397" i="3"/>
  <c r="K990" i="3"/>
  <c r="K778" i="3"/>
  <c r="K2000" i="3"/>
  <c r="K12" i="3"/>
  <c r="K564" i="3"/>
  <c r="K779" i="3"/>
  <c r="K13" i="3"/>
  <c r="K14" i="3"/>
  <c r="K15" i="3"/>
  <c r="K565" i="3"/>
  <c r="K2398" i="3"/>
  <c r="K2229" i="3"/>
  <c r="K16" i="3"/>
  <c r="K991" i="3"/>
  <c r="K1396" i="3"/>
  <c r="K566" i="3"/>
  <c r="K2399" i="3"/>
  <c r="K992" i="3"/>
  <c r="K2400" i="3"/>
  <c r="K780" i="3"/>
  <c r="K17" i="3"/>
  <c r="K1346" i="3"/>
  <c r="K993" i="3"/>
  <c r="K781" i="3"/>
  <c r="K695" i="3"/>
  <c r="K1397" i="3"/>
  <c r="K567" i="3"/>
  <c r="K994" i="3"/>
  <c r="K18" i="3"/>
  <c r="K1781" i="3"/>
  <c r="K2401" i="3"/>
  <c r="K782" i="3"/>
  <c r="K1782" i="3"/>
  <c r="K568" i="3"/>
  <c r="K2402" i="3"/>
  <c r="K1783" i="3"/>
  <c r="K1293" i="3"/>
  <c r="K783" i="3"/>
  <c r="K2403" i="3"/>
  <c r="K2404" i="3"/>
  <c r="K1784" i="3"/>
  <c r="K1398" i="3"/>
  <c r="K1347" i="3"/>
  <c r="K19" i="3"/>
  <c r="K1785" i="3"/>
  <c r="K1786" i="3"/>
  <c r="K2230" i="3"/>
  <c r="K1787" i="3"/>
  <c r="K2001" i="3"/>
  <c r="K20" i="3"/>
  <c r="K995" i="3"/>
  <c r="K784" i="3"/>
  <c r="K2118" i="3"/>
  <c r="K569" i="3"/>
  <c r="K2405" i="3"/>
  <c r="K1788" i="3"/>
  <c r="K996" i="3"/>
  <c r="K785" i="3"/>
  <c r="K21" i="3"/>
  <c r="K997" i="3"/>
  <c r="K1789" i="3"/>
  <c r="K570" i="3"/>
  <c r="K2119" i="3"/>
  <c r="K998" i="3"/>
  <c r="K786" i="3"/>
  <c r="K2406" i="3"/>
  <c r="K1790" i="3"/>
  <c r="K571" i="3"/>
  <c r="K1791" i="3"/>
  <c r="K2120" i="3"/>
  <c r="K1792" i="3"/>
  <c r="K22" i="3"/>
  <c r="K1294" i="3"/>
  <c r="K572" i="3"/>
  <c r="K2407" i="3"/>
  <c r="K2121" i="3"/>
  <c r="K573" i="3"/>
  <c r="K1793" i="3"/>
  <c r="K1794" i="3"/>
  <c r="K787" i="3"/>
  <c r="K2231" i="3"/>
  <c r="K2122" i="3"/>
  <c r="K1295" i="3"/>
  <c r="K788" i="3"/>
  <c r="K2408" i="3"/>
  <c r="K1795" i="3"/>
  <c r="K2232" i="3"/>
  <c r="K574" i="3"/>
  <c r="K23" i="3"/>
  <c r="K2233" i="3"/>
  <c r="K24" i="3"/>
  <c r="K1348" i="3"/>
  <c r="K1349" i="3"/>
  <c r="K1350" i="3"/>
  <c r="K1351" i="3"/>
  <c r="K1352" i="3"/>
  <c r="K1353" i="3"/>
  <c r="K1354" i="3"/>
  <c r="K1296" i="3"/>
  <c r="K999" i="3"/>
  <c r="K25" i="3"/>
  <c r="K1627" i="3"/>
  <c r="K575" i="3"/>
  <c r="K2123" i="3"/>
  <c r="K1796" i="3"/>
  <c r="K1000" i="3"/>
  <c r="K576" i="3"/>
  <c r="K2234" i="3"/>
  <c r="K789" i="3"/>
  <c r="K2235" i="3"/>
  <c r="K1797" i="3"/>
  <c r="K1297" i="3"/>
  <c r="K2124" i="3"/>
  <c r="K1399" i="3"/>
  <c r="K2409" i="3"/>
  <c r="K2410" i="3"/>
  <c r="K1798" i="3"/>
  <c r="K26" i="3"/>
  <c r="K1001" i="3"/>
  <c r="K2411" i="3"/>
  <c r="K2002" i="3"/>
  <c r="K1799" i="3"/>
  <c r="K577" i="3"/>
  <c r="K1002" i="3"/>
  <c r="K2125" i="3"/>
  <c r="K790" i="3"/>
  <c r="K791" i="3"/>
  <c r="K2236" i="3"/>
  <c r="K1800" i="3"/>
  <c r="K2412" i="3"/>
  <c r="K1003" i="3"/>
  <c r="K578" i="3"/>
  <c r="K579" i="3"/>
  <c r="K580" i="3"/>
  <c r="K581" i="3"/>
  <c r="K582" i="3"/>
  <c r="K583" i="3"/>
  <c r="K504" i="3"/>
  <c r="K584" i="3"/>
  <c r="K585" i="3"/>
  <c r="K586" i="3"/>
  <c r="K503" i="3"/>
  <c r="K792" i="3"/>
  <c r="K1298" i="3"/>
  <c r="K1299" i="3"/>
  <c r="K1300" i="3"/>
  <c r="K1301" i="3"/>
  <c r="K1302" i="3"/>
  <c r="K1303" i="3"/>
  <c r="K1304" i="3"/>
  <c r="K1305" i="3"/>
  <c r="K1306" i="3"/>
  <c r="K1307" i="3"/>
  <c r="K1308" i="3"/>
  <c r="K1309" i="3"/>
  <c r="K1310" i="3"/>
  <c r="K1311" i="3"/>
  <c r="K1312" i="3"/>
  <c r="K1801" i="3"/>
  <c r="K1313" i="3"/>
  <c r="K793" i="3"/>
  <c r="K1802" i="3"/>
  <c r="K2237" i="3"/>
  <c r="K2413" i="3"/>
  <c r="K1314" i="3"/>
  <c r="K1315" i="3"/>
  <c r="K1316" i="3"/>
  <c r="K1317" i="3"/>
  <c r="K1004" i="3"/>
  <c r="K1803" i="3"/>
  <c r="K1005" i="3"/>
  <c r="K27" i="3"/>
  <c r="K2414" i="3"/>
  <c r="K1804" i="3"/>
  <c r="K28" i="3"/>
  <c r="K1006" i="3"/>
  <c r="K794" i="3"/>
  <c r="K1805" i="3"/>
  <c r="K2238" i="3"/>
  <c r="K1007" i="3"/>
  <c r="K795" i="3"/>
  <c r="K2239" i="3"/>
  <c r="K796" i="3"/>
  <c r="K2415" i="3"/>
  <c r="K1355" i="3"/>
  <c r="K2003" i="3"/>
  <c r="K2126" i="3"/>
  <c r="K587" i="3"/>
  <c r="K2004" i="3"/>
  <c r="K1806" i="3"/>
  <c r="K1008" i="3"/>
  <c r="K29" i="3"/>
  <c r="K1318" i="3"/>
  <c r="K797" i="3"/>
  <c r="K1807" i="3"/>
  <c r="K1009" i="3"/>
  <c r="K1400" i="3"/>
  <c r="K2005" i="3"/>
  <c r="K1010" i="3"/>
  <c r="K1808" i="3"/>
  <c r="K1809" i="3"/>
  <c r="K1810" i="3"/>
  <c r="K1811" i="3"/>
  <c r="K1812" i="3"/>
  <c r="K1813" i="3"/>
  <c r="K1814" i="3"/>
  <c r="K1815" i="3"/>
  <c r="K1816" i="3"/>
  <c r="K1817" i="3"/>
  <c r="K1818" i="3"/>
  <c r="K1819" i="3"/>
  <c r="K1820" i="3"/>
  <c r="K1821" i="3"/>
  <c r="K1011" i="3"/>
  <c r="K588" i="3"/>
  <c r="K798" i="3"/>
  <c r="K2240" i="3"/>
  <c r="K2416" i="3"/>
  <c r="K2241" i="3"/>
  <c r="K1012" i="3"/>
  <c r="K1822" i="3"/>
  <c r="K2006" i="3"/>
  <c r="K589" i="3"/>
  <c r="K2007" i="3"/>
  <c r="K1630" i="3"/>
  <c r="K30" i="3"/>
  <c r="K799" i="3"/>
  <c r="K2417" i="3"/>
  <c r="K1319" i="3"/>
  <c r="K590" i="3"/>
  <c r="K2418" i="3"/>
  <c r="K1013" i="3"/>
  <c r="K1823" i="3"/>
  <c r="K591" i="3"/>
  <c r="K1824" i="3"/>
  <c r="K800" i="3"/>
  <c r="K1014" i="3"/>
  <c r="K1015" i="3"/>
  <c r="K2008" i="3"/>
  <c r="K1825" i="3"/>
  <c r="K2009" i="3"/>
  <c r="K592" i="3"/>
  <c r="K921" i="3"/>
  <c r="K1826" i="3"/>
  <c r="K1320" i="3"/>
  <c r="K801" i="3"/>
  <c r="K2242" i="3"/>
  <c r="K505" i="3"/>
  <c r="K2243" i="3"/>
  <c r="K1016" i="3"/>
  <c r="K1017" i="3"/>
  <c r="K2010" i="3"/>
  <c r="K802" i="3"/>
  <c r="K803" i="3"/>
  <c r="K593" i="3"/>
  <c r="K1321" i="3"/>
  <c r="K31" i="3"/>
  <c r="K1018" i="3"/>
  <c r="K2419" i="3"/>
  <c r="K2244" i="3"/>
  <c r="K1827" i="3"/>
  <c r="K1356" i="3"/>
  <c r="K1019" i="3"/>
  <c r="K1322" i="3"/>
  <c r="K1828" i="3"/>
  <c r="K804" i="3"/>
  <c r="K1020" i="3"/>
  <c r="K32" i="3"/>
  <c r="K805" i="3"/>
  <c r="K806" i="3"/>
  <c r="K1021" i="3"/>
  <c r="K1231" i="3"/>
  <c r="K2245" i="3"/>
  <c r="K807" i="3"/>
  <c r="K2011" i="3"/>
  <c r="K2012" i="3"/>
  <c r="K2013" i="3"/>
  <c r="K2014" i="3"/>
  <c r="K1829" i="3"/>
  <c r="K2015" i="3"/>
  <c r="K2016" i="3"/>
  <c r="K2017" i="3"/>
  <c r="K2018" i="3"/>
  <c r="K2019" i="3"/>
  <c r="K2020" i="3"/>
  <c r="K2021" i="3"/>
  <c r="K594" i="3"/>
  <c r="K2246" i="3"/>
  <c r="K595" i="3"/>
  <c r="K1022" i="3"/>
  <c r="K808" i="3"/>
  <c r="K1830" i="3"/>
  <c r="K2247" i="3"/>
  <c r="K2420" i="3"/>
  <c r="K2248" i="3"/>
  <c r="K1831" i="3"/>
  <c r="K2022" i="3"/>
  <c r="K1832" i="3"/>
  <c r="K596" i="3"/>
  <c r="K1023" i="3"/>
  <c r="K2249" i="3"/>
  <c r="K2023" i="3"/>
  <c r="K809" i="3"/>
  <c r="K1833" i="3"/>
  <c r="K1834" i="3"/>
  <c r="K2421" i="3"/>
  <c r="K1024" i="3"/>
  <c r="K2024" i="3"/>
  <c r="K1835" i="3"/>
  <c r="K1836" i="3"/>
  <c r="K2422" i="3"/>
  <c r="K2250" i="3"/>
  <c r="K2025" i="3"/>
  <c r="K2026" i="3"/>
  <c r="K2423" i="3"/>
  <c r="K597" i="3"/>
  <c r="K2251" i="3"/>
  <c r="K810" i="3"/>
  <c r="K2424" i="3"/>
  <c r="K1837" i="3"/>
  <c r="K811" i="3"/>
  <c r="K598" i="3"/>
  <c r="K2027" i="3"/>
  <c r="K1838" i="3"/>
  <c r="K812" i="3"/>
  <c r="K1839" i="3"/>
  <c r="K599" i="3"/>
  <c r="K925" i="3"/>
  <c r="K1840" i="3"/>
  <c r="K1025" i="3"/>
  <c r="K813" i="3"/>
  <c r="K2028" i="3"/>
  <c r="K1841" i="3"/>
  <c r="K1842" i="3"/>
  <c r="K2425" i="3"/>
  <c r="K1026" i="3"/>
  <c r="K1843" i="3"/>
  <c r="K924" i="3"/>
  <c r="K1027" i="3"/>
  <c r="K814" i="3"/>
  <c r="K1844" i="3"/>
  <c r="K2029" i="3"/>
  <c r="K1845" i="3"/>
  <c r="K2030" i="3"/>
  <c r="K1846" i="3"/>
  <c r="K2031" i="3"/>
  <c r="K1847" i="3"/>
  <c r="K1848" i="3"/>
  <c r="K815" i="3"/>
  <c r="K2426" i="3"/>
  <c r="K1849" i="3"/>
  <c r="K2032" i="3"/>
  <c r="K1028" i="3"/>
  <c r="K1850" i="3"/>
  <c r="K2252" i="3"/>
  <c r="K33" i="3"/>
  <c r="K2427" i="3"/>
  <c r="K816" i="3"/>
  <c r="K1851" i="3"/>
  <c r="K1419" i="3"/>
  <c r="K1420" i="3"/>
  <c r="K1421" i="3"/>
  <c r="K1422" i="3"/>
  <c r="K1423" i="3"/>
  <c r="K1424" i="3"/>
  <c r="K1425" i="3"/>
  <c r="K1426" i="3"/>
  <c r="K1427" i="3"/>
  <c r="K1428" i="3"/>
  <c r="K1429" i="3"/>
  <c r="K1430" i="3"/>
  <c r="K1431" i="3"/>
  <c r="K1852" i="3"/>
  <c r="K1323" i="3"/>
  <c r="K1853" i="3"/>
  <c r="K2033" i="3"/>
  <c r="K1029" i="3"/>
  <c r="K2253" i="3"/>
  <c r="K817" i="3"/>
  <c r="K1854" i="3"/>
  <c r="K1357" i="3"/>
  <c r="K2034" i="3"/>
  <c r="K1030" i="3"/>
  <c r="K1855" i="3"/>
  <c r="K1856" i="3"/>
  <c r="K2428" i="3"/>
  <c r="K2035" i="3"/>
  <c r="K1857" i="3"/>
  <c r="K2036" i="3"/>
  <c r="K1031" i="3"/>
  <c r="K600" i="3"/>
  <c r="K2429" i="3"/>
  <c r="K1032" i="3"/>
  <c r="K2037" i="3"/>
  <c r="K2430" i="3"/>
  <c r="K2254" i="3"/>
  <c r="K1858" i="3"/>
  <c r="K1033" i="3"/>
  <c r="K1859" i="3"/>
  <c r="K2038" i="3"/>
  <c r="K2039" i="3"/>
  <c r="K818" i="3"/>
  <c r="K819" i="3"/>
  <c r="K820" i="3"/>
  <c r="K821" i="3"/>
  <c r="K822" i="3"/>
  <c r="K823" i="3"/>
  <c r="K824" i="3"/>
  <c r="K825" i="3"/>
  <c r="K826" i="3"/>
  <c r="K827" i="3"/>
  <c r="K34" i="3"/>
  <c r="K1860" i="3"/>
  <c r="K2040" i="3"/>
  <c r="K828" i="3"/>
  <c r="K829" i="3"/>
  <c r="K830" i="3"/>
  <c r="K831" i="3"/>
  <c r="K832" i="3"/>
  <c r="K833" i="3"/>
  <c r="K834" i="3"/>
  <c r="K835" i="3"/>
  <c r="K836" i="3"/>
  <c r="K837" i="3"/>
  <c r="K1861" i="3"/>
  <c r="K1034" i="3"/>
  <c r="K1862" i="3"/>
  <c r="K1324" i="3"/>
  <c r="K1863" i="3"/>
  <c r="K838" i="3"/>
  <c r="K839" i="3"/>
  <c r="K840" i="3"/>
  <c r="K841" i="3"/>
  <c r="K842" i="3"/>
  <c r="K843" i="3"/>
  <c r="K844" i="3"/>
  <c r="K1864" i="3"/>
  <c r="K2255" i="3"/>
  <c r="K1035" i="3"/>
  <c r="K1865" i="3"/>
  <c r="K2431" i="3"/>
  <c r="K2432" i="3"/>
  <c r="K2433" i="3"/>
  <c r="K1866" i="3"/>
  <c r="K1036" i="3"/>
  <c r="K2434" i="3"/>
  <c r="K845" i="3"/>
  <c r="K1867" i="3"/>
  <c r="K601" i="3"/>
  <c r="K1037" i="3"/>
  <c r="K1038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868" i="3"/>
  <c r="K35" i="3"/>
  <c r="K2435" i="3"/>
  <c r="K1052" i="3"/>
  <c r="K2256" i="3"/>
  <c r="K2436" i="3"/>
  <c r="K602" i="3"/>
  <c r="K1053" i="3"/>
  <c r="K1054" i="3"/>
  <c r="K1869" i="3"/>
  <c r="K603" i="3"/>
  <c r="K1236" i="3"/>
  <c r="K1233" i="3"/>
  <c r="K1055" i="3"/>
  <c r="K1056" i="3"/>
  <c r="K1870" i="3"/>
  <c r="K1057" i="3"/>
  <c r="K2437" i="3"/>
  <c r="K1871" i="3"/>
  <c r="K1872" i="3"/>
  <c r="K1873" i="3"/>
  <c r="K1874" i="3"/>
  <c r="K1875" i="3"/>
  <c r="K1876" i="3"/>
  <c r="K1877" i="3"/>
  <c r="K1878" i="3"/>
  <c r="K1058" i="3"/>
  <c r="K604" i="3"/>
  <c r="K2438" i="3"/>
  <c r="K605" i="3"/>
  <c r="K606" i="3"/>
  <c r="K1059" i="3"/>
  <c r="K1060" i="3"/>
  <c r="K2439" i="3"/>
  <c r="K36" i="3"/>
  <c r="K2440" i="3"/>
  <c r="K1061" i="3"/>
  <c r="K1062" i="3"/>
  <c r="K607" i="3"/>
  <c r="K1063" i="3"/>
  <c r="K1064" i="3"/>
  <c r="K37" i="3"/>
  <c r="K1879" i="3"/>
  <c r="K608" i="3"/>
  <c r="K1880" i="3"/>
  <c r="K1065" i="3"/>
  <c r="K926" i="3"/>
  <c r="K2041" i="3"/>
  <c r="K1066" i="3"/>
  <c r="K1881" i="3"/>
  <c r="K1067" i="3"/>
  <c r="K609" i="3"/>
  <c r="K2042" i="3"/>
  <c r="K2441" i="3"/>
  <c r="K38" i="3"/>
  <c r="K2043" i="3"/>
  <c r="K1068" i="3"/>
  <c r="K1069" i="3"/>
  <c r="K2044" i="3"/>
  <c r="K39" i="3"/>
  <c r="K40" i="3"/>
  <c r="K2045" i="3"/>
  <c r="K1070" i="3"/>
  <c r="K2442" i="3"/>
  <c r="K1071" i="3"/>
  <c r="K2046" i="3"/>
  <c r="K610" i="3"/>
  <c r="K1882" i="3"/>
  <c r="K41" i="3"/>
  <c r="K2443" i="3"/>
  <c r="K2047" i="3"/>
  <c r="K42" i="3"/>
  <c r="K1072" i="3"/>
  <c r="K2048" i="3"/>
  <c r="K2444" i="3"/>
  <c r="K611" i="3"/>
  <c r="K846" i="3"/>
  <c r="K2049" i="3"/>
  <c r="K43" i="3"/>
  <c r="K2445" i="3"/>
  <c r="K2050" i="3"/>
  <c r="K1073" i="3"/>
  <c r="K612" i="3"/>
  <c r="K44" i="3"/>
  <c r="K2446" i="3"/>
  <c r="K1074" i="3"/>
  <c r="K2051" i="3"/>
  <c r="K2447" i="3"/>
  <c r="K2448" i="3"/>
  <c r="K1883" i="3"/>
  <c r="K45" i="3"/>
  <c r="K1075" i="3"/>
  <c r="K2449" i="3"/>
  <c r="K1076" i="3"/>
  <c r="K2450" i="3"/>
  <c r="K1077" i="3"/>
  <c r="K2052" i="3"/>
  <c r="K46" i="3"/>
  <c r="K2053" i="3"/>
  <c r="K613" i="3"/>
  <c r="K2451" i="3"/>
  <c r="K47" i="3"/>
  <c r="K1884" i="3"/>
  <c r="K1078" i="3"/>
  <c r="K1079" i="3"/>
  <c r="K1080" i="3"/>
  <c r="K1081" i="3"/>
  <c r="K1885" i="3"/>
  <c r="K1082" i="3"/>
  <c r="K922" i="3"/>
  <c r="K1083" i="3"/>
  <c r="K2452" i="3"/>
  <c r="K614" i="3"/>
  <c r="K1886" i="3"/>
  <c r="K2054" i="3"/>
  <c r="K847" i="3"/>
  <c r="K48" i="3"/>
  <c r="K2453" i="3"/>
  <c r="K2055" i="3"/>
  <c r="K2454" i="3"/>
  <c r="K2056" i="3"/>
  <c r="K1084" i="3"/>
  <c r="K615" i="3"/>
  <c r="K2057" i="3"/>
  <c r="K1085" i="3"/>
  <c r="K1887" i="3"/>
  <c r="K616" i="3"/>
  <c r="K2455" i="3"/>
  <c r="K2058" i="3"/>
  <c r="K49" i="3"/>
  <c r="K2456" i="3"/>
  <c r="K50" i="3"/>
  <c r="K2457" i="3"/>
  <c r="K2059" i="3"/>
  <c r="K1888" i="3"/>
  <c r="K617" i="3"/>
  <c r="K2060" i="3"/>
  <c r="K848" i="3"/>
  <c r="K1086" i="3"/>
  <c r="K2061" i="3"/>
  <c r="K2458" i="3"/>
  <c r="K51" i="3"/>
  <c r="K1087" i="3"/>
  <c r="K2062" i="3"/>
  <c r="K2063" i="3"/>
  <c r="K2459" i="3"/>
  <c r="K2064" i="3"/>
  <c r="K618" i="3"/>
  <c r="K2065" i="3"/>
  <c r="K2257" i="3"/>
  <c r="K619" i="3"/>
  <c r="K620" i="3"/>
  <c r="K621" i="3"/>
  <c r="K2066" i="3"/>
  <c r="K1088" i="3"/>
  <c r="K2127" i="3"/>
  <c r="K849" i="3"/>
  <c r="K2460" i="3"/>
  <c r="K2067" i="3"/>
  <c r="K1889" i="3"/>
  <c r="K1089" i="3"/>
  <c r="K1090" i="3"/>
  <c r="K1091" i="3"/>
  <c r="K2461" i="3"/>
  <c r="K1092" i="3"/>
  <c r="K1358" i="3"/>
  <c r="K850" i="3"/>
  <c r="K2068" i="3"/>
  <c r="K2462" i="3"/>
  <c r="K1890" i="3"/>
  <c r="K52" i="3"/>
  <c r="K1093" i="3"/>
  <c r="K1983" i="3"/>
  <c r="K2069" i="3"/>
  <c r="K2070" i="3"/>
  <c r="K2071" i="3"/>
  <c r="K2072" i="3"/>
  <c r="K2073" i="3"/>
  <c r="K2074" i="3"/>
  <c r="K2075" i="3"/>
  <c r="K2076" i="3"/>
  <c r="K2077" i="3"/>
  <c r="K2078" i="3"/>
  <c r="K2079" i="3"/>
  <c r="K1891" i="3"/>
  <c r="K1094" i="3"/>
  <c r="K53" i="3"/>
  <c r="K1980" i="3"/>
  <c r="K1095" i="3"/>
  <c r="K2258" i="3"/>
  <c r="K1096" i="3"/>
  <c r="K54" i="3"/>
  <c r="K851" i="3"/>
  <c r="K622" i="3"/>
  <c r="K852" i="3"/>
  <c r="K2463" i="3"/>
  <c r="K1892" i="3"/>
  <c r="K1893" i="3"/>
  <c r="K1894" i="3"/>
  <c r="K55" i="3"/>
  <c r="K2464" i="3"/>
  <c r="K1097" i="3"/>
  <c r="K623" i="3"/>
  <c r="K1098" i="3"/>
  <c r="K2259" i="3"/>
  <c r="K2080" i="3"/>
  <c r="K2081" i="3"/>
  <c r="K2465" i="3"/>
  <c r="K1099" i="3"/>
  <c r="K2082" i="3"/>
  <c r="K1100" i="3"/>
  <c r="K56" i="3"/>
  <c r="K1101" i="3"/>
  <c r="K2466" i="3"/>
  <c r="K2083" i="3"/>
  <c r="K1102" i="3"/>
  <c r="K1103" i="3"/>
  <c r="K1104" i="3"/>
  <c r="K57" i="3"/>
  <c r="K1895" i="3"/>
  <c r="K58" i="3"/>
  <c r="K853" i="3"/>
  <c r="K624" i="3"/>
  <c r="K1105" i="3"/>
  <c r="K1896" i="3"/>
  <c r="K1897" i="3"/>
  <c r="K1359" i="3"/>
  <c r="K1106" i="3"/>
  <c r="K2467" i="3"/>
  <c r="K2084" i="3"/>
  <c r="K625" i="3"/>
  <c r="K2468" i="3"/>
  <c r="K1898" i="3"/>
  <c r="K2085" i="3"/>
  <c r="K2469" i="3"/>
  <c r="K1107" i="3"/>
  <c r="K626" i="3"/>
  <c r="K1899" i="3"/>
  <c r="K1108" i="3"/>
  <c r="K1109" i="3"/>
  <c r="K854" i="3"/>
  <c r="K627" i="3"/>
  <c r="K59" i="3"/>
  <c r="K2470" i="3"/>
  <c r="K1900" i="3"/>
  <c r="K628" i="3"/>
  <c r="K1325" i="3"/>
  <c r="K1901" i="3"/>
  <c r="K1110" i="3"/>
  <c r="K2471" i="3"/>
  <c r="K1111" i="3"/>
  <c r="K1112" i="3"/>
  <c r="K629" i="3"/>
  <c r="K855" i="3"/>
  <c r="K2472" i="3"/>
  <c r="K1360" i="3"/>
  <c r="K60" i="3"/>
  <c r="K1113" i="3"/>
  <c r="K2473" i="3"/>
  <c r="K856" i="3"/>
  <c r="K1902" i="3"/>
  <c r="K1114" i="3"/>
  <c r="K61" i="3"/>
  <c r="K1903" i="3"/>
  <c r="K1115" i="3"/>
  <c r="K1904" i="3"/>
  <c r="K2128" i="3"/>
  <c r="K1905" i="3"/>
  <c r="K2260" i="3"/>
  <c r="K62" i="3"/>
  <c r="K857" i="3"/>
  <c r="K858" i="3"/>
  <c r="K1234" i="3"/>
  <c r="K1116" i="3"/>
  <c r="K630" i="3"/>
  <c r="K859" i="3"/>
  <c r="K1117" i="3"/>
  <c r="K860" i="3"/>
  <c r="K1361" i="3"/>
  <c r="K631" i="3"/>
  <c r="K1118" i="3"/>
  <c r="K1119" i="3"/>
  <c r="K632" i="3"/>
  <c r="K63" i="3"/>
  <c r="K64" i="3"/>
  <c r="K861" i="3"/>
  <c r="K862" i="3"/>
  <c r="K863" i="3"/>
  <c r="K2474" i="3"/>
  <c r="K65" i="3"/>
  <c r="K2475" i="3"/>
  <c r="K2476" i="3"/>
  <c r="K923" i="3"/>
  <c r="K1906" i="3"/>
  <c r="K2129" i="3"/>
  <c r="K66" i="3"/>
  <c r="K1907" i="3"/>
  <c r="K1120" i="3"/>
  <c r="K67" i="3"/>
  <c r="K1121" i="3"/>
  <c r="K1908" i="3"/>
  <c r="K1122" i="3"/>
  <c r="K864" i="3"/>
  <c r="K633" i="3"/>
  <c r="K1123" i="3"/>
  <c r="K1909" i="3"/>
  <c r="K634" i="3"/>
  <c r="K2477" i="3"/>
  <c r="K2086" i="3"/>
  <c r="K635" i="3"/>
  <c r="K1124" i="3"/>
  <c r="K2087" i="3"/>
  <c r="K1910" i="3"/>
  <c r="K2088" i="3"/>
  <c r="K1362" i="3"/>
  <c r="K636" i="3"/>
  <c r="K2478" i="3"/>
  <c r="K1911" i="3"/>
  <c r="K2089" i="3"/>
  <c r="K637" i="3"/>
  <c r="K1912" i="3"/>
  <c r="K1363" i="3"/>
  <c r="K638" i="3"/>
  <c r="K1125" i="3"/>
  <c r="K639" i="3"/>
  <c r="K640" i="3"/>
  <c r="K1126" i="3"/>
  <c r="K2261" i="3"/>
  <c r="K641" i="3"/>
  <c r="K642" i="3"/>
  <c r="K643" i="3"/>
  <c r="K2479" i="3"/>
  <c r="K2262" i="3"/>
  <c r="K2480" i="3"/>
  <c r="K1127" i="3"/>
  <c r="K1913" i="3"/>
  <c r="K865" i="3"/>
  <c r="K1326" i="3"/>
  <c r="K2481" i="3"/>
  <c r="K1128" i="3"/>
  <c r="K1914" i="3"/>
  <c r="K2482" i="3"/>
  <c r="K1129" i="3"/>
  <c r="K1915" i="3"/>
  <c r="K1327" i="3"/>
  <c r="K866" i="3"/>
  <c r="K1130" i="3"/>
  <c r="K2483" i="3"/>
  <c r="K1131" i="3"/>
  <c r="K2484" i="3"/>
  <c r="K1401" i="3"/>
  <c r="K644" i="3"/>
  <c r="K645" i="3"/>
  <c r="K1132" i="3"/>
  <c r="K2485" i="3"/>
  <c r="K867" i="3"/>
  <c r="K1916" i="3"/>
  <c r="K1133" i="3"/>
  <c r="K1328" i="3"/>
  <c r="K1134" i="3"/>
  <c r="K68" i="3"/>
  <c r="K2486" i="3"/>
  <c r="K1135" i="3"/>
  <c r="K2487" i="3"/>
  <c r="K2263" i="3"/>
  <c r="K2264" i="3"/>
  <c r="K2488" i="3"/>
  <c r="K1136" i="3"/>
  <c r="K1137" i="3"/>
  <c r="K1917" i="3"/>
  <c r="K1918" i="3"/>
  <c r="K1138" i="3"/>
  <c r="K868" i="3"/>
  <c r="K1139" i="3"/>
  <c r="K69" i="3"/>
  <c r="K1919" i="3"/>
  <c r="K1140" i="3"/>
  <c r="K70" i="3"/>
  <c r="K71" i="3"/>
  <c r="K646" i="3"/>
  <c r="K1141" i="3"/>
  <c r="K1142" i="3"/>
  <c r="K1920" i="3"/>
  <c r="K869" i="3"/>
  <c r="K870" i="3"/>
  <c r="K2489" i="3"/>
  <c r="K1921" i="3"/>
  <c r="K1922" i="3"/>
  <c r="K1143" i="3"/>
  <c r="K871" i="3"/>
  <c r="K872" i="3"/>
  <c r="K72" i="3"/>
  <c r="K2265" i="3"/>
  <c r="K873" i="3"/>
  <c r="K1144" i="3"/>
  <c r="K1364" i="3"/>
  <c r="K1145" i="3"/>
  <c r="K1146" i="3"/>
  <c r="K647" i="3"/>
  <c r="K1147" i="3"/>
  <c r="K1148" i="3"/>
  <c r="K874" i="3"/>
  <c r="K2090" i="3"/>
  <c r="K1979" i="3"/>
  <c r="K1365" i="3"/>
  <c r="K875" i="3"/>
  <c r="K876" i="3"/>
  <c r="K1366" i="3"/>
  <c r="K1367" i="3"/>
  <c r="K2490" i="3"/>
  <c r="K1329" i="3"/>
  <c r="K73" i="3"/>
  <c r="K877" i="3"/>
  <c r="K1149" i="3"/>
  <c r="K74" i="3"/>
  <c r="K1923" i="3"/>
  <c r="K1924" i="3"/>
  <c r="K878" i="3"/>
  <c r="K75" i="3"/>
  <c r="K879" i="3"/>
  <c r="K2266" i="3"/>
  <c r="K880" i="3"/>
  <c r="K1925" i="3"/>
  <c r="K648" i="3"/>
  <c r="K1368" i="3"/>
  <c r="K1369" i="3"/>
  <c r="K76" i="3"/>
  <c r="K1150" i="3"/>
  <c r="K77" i="3"/>
  <c r="K78" i="3"/>
  <c r="K2267" i="3"/>
  <c r="K1926" i="3"/>
  <c r="K2268" i="3"/>
  <c r="K1151" i="3"/>
  <c r="K1152" i="3"/>
  <c r="K1370" i="3"/>
  <c r="K79" i="3"/>
  <c r="K1153" i="3"/>
  <c r="K1154" i="3"/>
  <c r="K2491" i="3"/>
  <c r="K1632" i="3"/>
  <c r="K1628" i="3"/>
  <c r="K1927" i="3"/>
  <c r="K649" i="3"/>
  <c r="K881" i="3"/>
  <c r="K1928" i="3"/>
  <c r="K1371" i="3"/>
  <c r="K1372" i="3"/>
  <c r="K80" i="3"/>
  <c r="K1155" i="3"/>
  <c r="K882" i="3"/>
  <c r="K2269" i="3"/>
  <c r="K2270" i="3"/>
  <c r="K81" i="3"/>
  <c r="K82" i="3"/>
  <c r="K2271" i="3"/>
  <c r="K1156" i="3"/>
  <c r="K650" i="3"/>
  <c r="K83" i="3"/>
  <c r="K1373" i="3"/>
  <c r="K1330" i="3"/>
  <c r="K2272" i="3"/>
  <c r="K1929" i="3"/>
  <c r="K84" i="3"/>
  <c r="K2273" i="3"/>
  <c r="K1374" i="3"/>
  <c r="K1157" i="3"/>
  <c r="K1158" i="3"/>
  <c r="K1159" i="3"/>
  <c r="K883" i="3"/>
  <c r="K1160" i="3"/>
  <c r="K1930" i="3"/>
  <c r="K1161" i="3"/>
  <c r="K2091" i="3"/>
  <c r="K1162" i="3"/>
  <c r="K85" i="3"/>
  <c r="K1931" i="3"/>
  <c r="K1375" i="3"/>
  <c r="K1163" i="3"/>
  <c r="K1932" i="3"/>
  <c r="K927" i="3"/>
  <c r="K651" i="3"/>
  <c r="K86" i="3"/>
  <c r="K652" i="3"/>
  <c r="K1164" i="3"/>
  <c r="K87" i="3"/>
  <c r="K653" i="3"/>
  <c r="K654" i="3"/>
  <c r="K1165" i="3"/>
  <c r="K1166" i="3"/>
  <c r="K884" i="3"/>
  <c r="K655" i="3"/>
  <c r="K885" i="3"/>
  <c r="K886" i="3"/>
  <c r="K887" i="3"/>
  <c r="K1167" i="3"/>
  <c r="K1168" i="3"/>
  <c r="K1376" i="3"/>
  <c r="K88" i="3"/>
  <c r="K1377" i="3"/>
  <c r="K1169" i="3"/>
  <c r="K656" i="3"/>
  <c r="K1170" i="3"/>
  <c r="K1378" i="3"/>
  <c r="K657" i="3"/>
  <c r="K1171" i="3"/>
  <c r="K1172" i="3"/>
  <c r="K2492" i="3"/>
  <c r="K888" i="3"/>
  <c r="K1379" i="3"/>
  <c r="K1173" i="3"/>
  <c r="K1174" i="3"/>
  <c r="K2274" i="3"/>
  <c r="K1933" i="3"/>
  <c r="K1175" i="3"/>
  <c r="K889" i="3"/>
  <c r="K1176" i="3"/>
  <c r="K1177" i="3"/>
  <c r="K2275" i="3"/>
  <c r="K1178" i="3"/>
  <c r="K1179" i="3"/>
  <c r="K1180" i="3"/>
  <c r="K1934" i="3"/>
  <c r="K2145" i="3"/>
  <c r="K2276" i="3"/>
  <c r="K1181" i="3"/>
  <c r="K2277" i="3"/>
  <c r="K658" i="3"/>
  <c r="K1182" i="3"/>
  <c r="K1183" i="3"/>
  <c r="K89" i="3"/>
  <c r="K659" i="3"/>
  <c r="K660" i="3"/>
  <c r="K890" i="3"/>
  <c r="K661" i="3"/>
  <c r="K90" i="3"/>
  <c r="K1184" i="3"/>
  <c r="K891" i="3"/>
  <c r="K1185" i="3"/>
  <c r="K662" i="3"/>
  <c r="K91" i="3"/>
  <c r="K92" i="3"/>
  <c r="K93" i="3"/>
  <c r="K94" i="3"/>
  <c r="K95" i="3"/>
  <c r="K663" i="3"/>
  <c r="K664" i="3"/>
  <c r="K96" i="3"/>
  <c r="K892" i="3"/>
  <c r="K893" i="3"/>
  <c r="K1331" i="3"/>
  <c r="K1935" i="3"/>
  <c r="K665" i="3"/>
  <c r="K1186" i="3"/>
  <c r="K1936" i="3"/>
  <c r="K1937" i="3"/>
  <c r="K666" i="3"/>
  <c r="K1938" i="3"/>
  <c r="K1187" i="3"/>
  <c r="K1332" i="3"/>
  <c r="K1333" i="3"/>
  <c r="K1334" i="3"/>
  <c r="K1939" i="3"/>
  <c r="K1335" i="3"/>
  <c r="K2092" i="3"/>
  <c r="K2093" i="3"/>
  <c r="K1380" i="3"/>
  <c r="K1940" i="3"/>
  <c r="K97" i="3"/>
  <c r="K1381" i="3"/>
  <c r="K1188" i="3"/>
  <c r="K667" i="3"/>
  <c r="K1336" i="3"/>
  <c r="K1941" i="3"/>
  <c r="K894" i="3"/>
  <c r="K1189" i="3"/>
  <c r="K1190" i="3"/>
  <c r="K98" i="3"/>
  <c r="K2493" i="3"/>
  <c r="K2494" i="3"/>
  <c r="K1191" i="3"/>
  <c r="K1192" i="3"/>
  <c r="K1942" i="3"/>
  <c r="K1193" i="3"/>
  <c r="K2130" i="3"/>
  <c r="K1943" i="3"/>
  <c r="K99" i="3"/>
  <c r="K668" i="3"/>
  <c r="K1194" i="3"/>
  <c r="K895" i="3"/>
  <c r="K2131" i="3"/>
  <c r="K1195" i="3"/>
  <c r="K1196" i="3"/>
  <c r="K1197" i="3"/>
  <c r="K1944" i="3"/>
  <c r="K1945" i="3"/>
  <c r="K1946" i="3"/>
  <c r="K2495" i="3"/>
  <c r="K1947" i="3"/>
  <c r="K669" i="3"/>
  <c r="K670" i="3"/>
  <c r="K100" i="3"/>
  <c r="K1198" i="3"/>
  <c r="K1199" i="3"/>
  <c r="K1382" i="3"/>
  <c r="K896" i="3"/>
  <c r="K671" i="3"/>
  <c r="K1200" i="3"/>
  <c r="K1948" i="3"/>
  <c r="K1201" i="3"/>
  <c r="K1949" i="3"/>
  <c r="K672" i="3"/>
  <c r="K2278" i="3"/>
  <c r="K897" i="3"/>
  <c r="K101" i="3"/>
  <c r="K1950" i="3"/>
  <c r="K1202" i="3"/>
  <c r="K1951" i="3"/>
  <c r="K673" i="3"/>
  <c r="K674" i="3"/>
  <c r="K1383" i="3"/>
  <c r="K1384" i="3"/>
  <c r="K898" i="3"/>
  <c r="K1952" i="3"/>
  <c r="K1203" i="3"/>
  <c r="K1953" i="3"/>
  <c r="K1954" i="3"/>
  <c r="K1955" i="3"/>
  <c r="K675" i="3"/>
  <c r="K1956" i="3"/>
  <c r="K1204" i="3"/>
  <c r="K676" i="3"/>
  <c r="K1205" i="3"/>
  <c r="K677" i="3"/>
  <c r="K2496" i="3"/>
  <c r="K899" i="3"/>
  <c r="K678" i="3"/>
  <c r="K900" i="3"/>
  <c r="K1206" i="3"/>
  <c r="K2497" i="3"/>
  <c r="K901" i="3"/>
  <c r="K902" i="3"/>
  <c r="K1957" i="3"/>
  <c r="K1207" i="3"/>
  <c r="K679" i="3"/>
  <c r="K102" i="3"/>
  <c r="K680" i="3"/>
  <c r="K1958" i="3"/>
  <c r="K1959" i="3"/>
  <c r="K681" i="3"/>
  <c r="K2279" i="3"/>
  <c r="K1208" i="3"/>
  <c r="K1209" i="3"/>
  <c r="K903" i="3"/>
  <c r="K1210" i="3"/>
  <c r="K1211" i="3"/>
  <c r="K682" i="3"/>
  <c r="K1212" i="3"/>
  <c r="K1213" i="3"/>
  <c r="K1214" i="3"/>
  <c r="K1215" i="3"/>
  <c r="K1216" i="3"/>
  <c r="K1385" i="3"/>
  <c r="K683" i="3"/>
  <c r="K1217" i="3"/>
  <c r="K684" i="3"/>
  <c r="K1982" i="3"/>
  <c r="K904" i="3"/>
  <c r="K2094" i="3"/>
  <c r="K905" i="3"/>
  <c r="K906" i="3"/>
  <c r="K907" i="3"/>
  <c r="K908" i="3"/>
  <c r="K103" i="3"/>
  <c r="K104" i="3"/>
  <c r="K909" i="3"/>
  <c r="K685" i="3"/>
  <c r="K1386" i="3"/>
  <c r="K686" i="3"/>
  <c r="K105" i="3"/>
  <c r="K2498" i="3"/>
  <c r="K910" i="3"/>
  <c r="K1218" i="3"/>
  <c r="K687" i="3"/>
  <c r="K911" i="3"/>
  <c r="K1960" i="3"/>
  <c r="K1219" i="3"/>
  <c r="K1961" i="3"/>
  <c r="K1962" i="3"/>
  <c r="K912" i="3"/>
  <c r="K913" i="3"/>
  <c r="K1963" i="3"/>
  <c r="K1964" i="3"/>
  <c r="K1965" i="3"/>
  <c r="K2095" i="3"/>
  <c r="K2096" i="3"/>
  <c r="K1966" i="3"/>
  <c r="K1967" i="3"/>
  <c r="K1968" i="3"/>
  <c r="K1969" i="3"/>
  <c r="K1970" i="3"/>
  <c r="K2499" i="3"/>
  <c r="K914" i="3"/>
  <c r="K1971" i="3"/>
  <c r="K2132" i="3"/>
  <c r="K2133" i="3"/>
  <c r="K2134" i="3"/>
  <c r="K2135" i="3"/>
  <c r="K915" i="3"/>
  <c r="K2280" i="3"/>
  <c r="K2281" i="3"/>
  <c r="K2500" i="3"/>
  <c r="K2501" i="3"/>
  <c r="K2097" i="3"/>
  <c r="K2098" i="3"/>
  <c r="K2099" i="3"/>
  <c r="K2100" i="3"/>
  <c r="K2101" i="3"/>
  <c r="K2102" i="3"/>
  <c r="K1981" i="3"/>
  <c r="K2103" i="3"/>
  <c r="K1984" i="3"/>
  <c r="K2104" i="3"/>
  <c r="K916" i="3"/>
  <c r="K106" i="3"/>
  <c r="K688" i="3"/>
  <c r="K1387" i="3"/>
  <c r="K1388" i="3"/>
  <c r="K1389" i="3"/>
  <c r="K1390" i="3"/>
  <c r="K1391" i="3"/>
  <c r="K689" i="3"/>
  <c r="K1337" i="3"/>
  <c r="K1338" i="3"/>
  <c r="K1629" i="3"/>
  <c r="K1972" i="3"/>
  <c r="K690" i="3"/>
  <c r="K1973" i="3"/>
  <c r="K1974" i="3"/>
  <c r="K1975" i="3"/>
  <c r="K1976" i="3"/>
  <c r="K1977" i="3"/>
  <c r="K1220" i="3"/>
  <c r="K1221" i="3"/>
  <c r="K1222" i="3"/>
  <c r="K1223" i="3"/>
  <c r="K1224" i="3"/>
  <c r="K1392" i="3"/>
  <c r="K1225" i="3"/>
  <c r="K1226" i="3"/>
  <c r="K1227" i="3"/>
  <c r="K1631" i="3"/>
  <c r="K1978" i="3"/>
  <c r="K1228" i="3"/>
  <c r="K1229" i="3"/>
  <c r="K917" i="3"/>
  <c r="K107" i="3"/>
  <c r="K108" i="3"/>
  <c r="K109" i="3"/>
  <c r="K691" i="3"/>
  <c r="K692" i="3"/>
  <c r="K693" i="3"/>
  <c r="K2288" i="3"/>
  <c r="K2289" i="3"/>
  <c r="K2290" i="3"/>
  <c r="K2291" i="3"/>
  <c r="K2292" i="3"/>
  <c r="K2293" i="3"/>
  <c r="K2136" i="3"/>
  <c r="K2294" i="3"/>
  <c r="K2295" i="3"/>
  <c r="K2296" i="3"/>
  <c r="K2297" i="3"/>
  <c r="K2298" i="3"/>
  <c r="K2299" i="3"/>
  <c r="K2300" i="3"/>
  <c r="K2301" i="3"/>
  <c r="K434" i="3"/>
  <c r="K435" i="3"/>
  <c r="K436" i="3"/>
  <c r="K437" i="3"/>
  <c r="K438" i="3"/>
  <c r="K439" i="3"/>
  <c r="K440" i="3"/>
  <c r="K441" i="3"/>
  <c r="K442" i="3"/>
  <c r="K443" i="3"/>
  <c r="K444" i="3"/>
  <c r="K1403" i="3"/>
  <c r="K2302" i="3"/>
  <c r="K445" i="3"/>
  <c r="K446" i="3"/>
  <c r="K447" i="3"/>
  <c r="K448" i="3"/>
  <c r="K1404" i="3"/>
  <c r="K1405" i="3"/>
  <c r="K2137" i="3"/>
  <c r="K1406" i="3"/>
  <c r="K1407" i="3"/>
  <c r="K1408" i="3"/>
  <c r="K2303" i="3"/>
  <c r="K2138" i="3"/>
  <c r="K2315" i="3"/>
  <c r="K2139" i="3"/>
  <c r="K1409" i="3"/>
  <c r="K2140" i="3"/>
  <c r="K2141" i="3"/>
  <c r="K2304" i="3"/>
  <c r="K1410" i="3"/>
  <c r="K2142" i="3"/>
  <c r="K1411" i="3"/>
  <c r="K1412" i="3"/>
  <c r="K2305" i="3"/>
  <c r="K1413" i="3"/>
  <c r="K2143" i="3"/>
  <c r="K1414" i="3"/>
  <c r="K1415" i="3"/>
  <c r="K2316" i="3"/>
  <c r="K1416" i="3"/>
  <c r="K1417" i="3"/>
  <c r="K2306" i="3"/>
  <c r="K2317" i="3"/>
  <c r="K2144" i="3"/>
  <c r="K2307" i="3"/>
  <c r="K449" i="3"/>
  <c r="K918" i="3"/>
  <c r="K919" i="3"/>
  <c r="K2308" i="3"/>
  <c r="K920" i="3"/>
  <c r="K2309" i="3"/>
  <c r="K2310" i="3"/>
  <c r="K2311" i="3"/>
  <c r="K450" i="3"/>
  <c r="K451" i="3"/>
  <c r="K452" i="3"/>
  <c r="K453" i="3"/>
  <c r="K2312" i="3"/>
  <c r="K454" i="3"/>
  <c r="K455" i="3"/>
  <c r="K456" i="3"/>
  <c r="K457" i="3"/>
  <c r="K458" i="3"/>
  <c r="K459" i="3"/>
  <c r="K460" i="3"/>
  <c r="K461" i="3"/>
  <c r="K462" i="3"/>
  <c r="K2313" i="3"/>
  <c r="K463" i="3"/>
  <c r="K464" i="3"/>
  <c r="K2314" i="3"/>
  <c r="K465" i="3"/>
  <c r="K466" i="3"/>
  <c r="K467" i="3"/>
  <c r="K468" i="3"/>
  <c r="K469" i="3"/>
  <c r="K470" i="3"/>
  <c r="K471" i="3"/>
  <c r="K472" i="3"/>
  <c r="K2322" i="3"/>
  <c r="K2323" i="3"/>
  <c r="K473" i="3"/>
  <c r="K474" i="3"/>
  <c r="K2282" i="3"/>
  <c r="K1342" i="3"/>
  <c r="K475" i="3"/>
  <c r="K476" i="3"/>
  <c r="K2283" i="3"/>
  <c r="K1343" i="3"/>
  <c r="K477" i="3"/>
  <c r="K478" i="3"/>
  <c r="K479" i="3"/>
  <c r="K480" i="3"/>
  <c r="K1344" i="3"/>
  <c r="K481" i="3"/>
  <c r="K482" i="3"/>
  <c r="K1345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2284" i="3"/>
  <c r="K2285" i="3"/>
  <c r="K2324" i="3"/>
  <c r="K2325" i="3"/>
  <c r="K2326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446" i="3"/>
  <c r="K123" i="3"/>
  <c r="K124" i="3"/>
  <c r="K1447" i="3"/>
  <c r="K125" i="3"/>
  <c r="K126" i="3"/>
  <c r="K127" i="3"/>
  <c r="K128" i="3"/>
  <c r="K129" i="3"/>
  <c r="K130" i="3"/>
  <c r="K131" i="3"/>
  <c r="K132" i="3"/>
  <c r="K133" i="3"/>
  <c r="K1448" i="3"/>
  <c r="K1449" i="3"/>
  <c r="K1450" i="3"/>
  <c r="K1451" i="3"/>
  <c r="K1452" i="3"/>
  <c r="K1453" i="3"/>
  <c r="K1454" i="3"/>
  <c r="K1455" i="3"/>
  <c r="K1456" i="3"/>
  <c r="K1457" i="3"/>
  <c r="K1458" i="3"/>
  <c r="K1459" i="3"/>
  <c r="K1460" i="3"/>
  <c r="K1461" i="3"/>
  <c r="K134" i="3"/>
  <c r="K135" i="3"/>
  <c r="K1462" i="3"/>
  <c r="K1463" i="3"/>
  <c r="K136" i="3"/>
  <c r="K137" i="3"/>
  <c r="K138" i="3"/>
  <c r="K139" i="3"/>
  <c r="K140" i="3"/>
  <c r="K141" i="3"/>
  <c r="K142" i="3"/>
  <c r="K1464" i="3"/>
  <c r="K143" i="3"/>
  <c r="K144" i="3"/>
  <c r="K2502" i="3"/>
  <c r="K145" i="3"/>
  <c r="K146" i="3"/>
  <c r="K147" i="3"/>
  <c r="K148" i="3"/>
  <c r="K149" i="3"/>
  <c r="K150" i="3"/>
  <c r="K2503" i="3"/>
  <c r="K1465" i="3"/>
  <c r="K151" i="3"/>
  <c r="K152" i="3"/>
  <c r="K153" i="3"/>
  <c r="K154" i="3"/>
  <c r="K2504" i="3"/>
  <c r="K155" i="3"/>
  <c r="K156" i="3"/>
  <c r="K157" i="3"/>
  <c r="K1466" i="3"/>
  <c r="K2505" i="3"/>
  <c r="K158" i="3"/>
  <c r="K159" i="3"/>
  <c r="K1467" i="3"/>
  <c r="K1468" i="3"/>
  <c r="K160" i="3"/>
  <c r="K161" i="3"/>
  <c r="K1469" i="3"/>
  <c r="K2506" i="3"/>
  <c r="K1470" i="3"/>
  <c r="K2507" i="3"/>
  <c r="K2508" i="3"/>
  <c r="K433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2509" i="3"/>
  <c r="K185" i="3"/>
  <c r="K2510" i="3"/>
  <c r="K186" i="3"/>
  <c r="K187" i="3"/>
  <c r="K188" i="3"/>
  <c r="K2511" i="3"/>
  <c r="K189" i="3"/>
  <c r="K2512" i="3"/>
  <c r="K190" i="3"/>
  <c r="K191" i="3"/>
  <c r="K2513" i="3"/>
  <c r="K2514" i="3"/>
  <c r="K2515" i="3"/>
  <c r="K192" i="3"/>
  <c r="K2516" i="3"/>
  <c r="K193" i="3"/>
  <c r="K194" i="3"/>
  <c r="K195" i="3"/>
  <c r="K2517" i="3"/>
  <c r="K2518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519" i="3"/>
  <c r="K210" i="3"/>
  <c r="K211" i="3"/>
  <c r="K212" i="3"/>
  <c r="K213" i="3"/>
  <c r="K2520" i="3"/>
  <c r="K214" i="3"/>
  <c r="K215" i="3"/>
  <c r="K216" i="3"/>
  <c r="K217" i="3"/>
  <c r="K218" i="3"/>
  <c r="K219" i="3"/>
  <c r="K220" i="3"/>
  <c r="K2521" i="3"/>
  <c r="K2522" i="3"/>
  <c r="K221" i="3"/>
  <c r="K222" i="3"/>
  <c r="K223" i="3"/>
  <c r="K224" i="3"/>
  <c r="K2523" i="3"/>
  <c r="K225" i="3"/>
  <c r="K226" i="3"/>
  <c r="K227" i="3"/>
  <c r="K228" i="3"/>
  <c r="K2524" i="3"/>
  <c r="K229" i="3"/>
  <c r="K2525" i="3"/>
  <c r="K230" i="3"/>
  <c r="K231" i="3"/>
  <c r="K2526" i="3"/>
  <c r="K232" i="3"/>
  <c r="K2527" i="3"/>
  <c r="K233" i="3"/>
  <c r="K234" i="3"/>
  <c r="K2528" i="3"/>
  <c r="K2529" i="3"/>
  <c r="K235" i="3"/>
  <c r="K236" i="3"/>
  <c r="K237" i="3"/>
  <c r="K238" i="3"/>
  <c r="K239" i="3"/>
  <c r="K240" i="3"/>
  <c r="K241" i="3"/>
  <c r="K2530" i="3"/>
  <c r="K242" i="3"/>
  <c r="K243" i="3"/>
  <c r="K2531" i="3"/>
  <c r="K244" i="3"/>
  <c r="K2532" i="3"/>
  <c r="K245" i="3"/>
  <c r="K246" i="3"/>
  <c r="K247" i="3"/>
  <c r="K2533" i="3"/>
  <c r="K248" i="3"/>
  <c r="K2534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110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2535" i="3"/>
  <c r="K2536" i="3"/>
  <c r="K2537" i="3"/>
  <c r="K2538" i="3"/>
  <c r="K300" i="3"/>
  <c r="K2539" i="3"/>
  <c r="K301" i="3"/>
  <c r="K2540" i="3"/>
  <c r="K302" i="3"/>
  <c r="K303" i="3"/>
  <c r="K2541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2542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2318" i="3"/>
  <c r="K2319" i="3"/>
  <c r="K2560" i="3"/>
  <c r="K2561" i="3"/>
  <c r="K2562" i="3"/>
  <c r="K2563" i="3"/>
  <c r="K2564" i="3"/>
  <c r="K2565" i="3"/>
  <c r="K2566" i="3"/>
  <c r="K2567" i="3"/>
  <c r="K2568" i="3"/>
  <c r="K2569" i="3"/>
  <c r="K2570" i="3"/>
  <c r="K2571" i="3"/>
  <c r="K2572" i="3"/>
  <c r="K2573" i="3"/>
  <c r="K2574" i="3"/>
  <c r="K2575" i="3"/>
  <c r="K2576" i="3"/>
  <c r="K2577" i="3"/>
  <c r="K2578" i="3"/>
  <c r="K2579" i="3"/>
  <c r="K2580" i="3"/>
  <c r="K2581" i="3"/>
  <c r="K2320" i="3"/>
  <c r="K2321" i="3"/>
  <c r="K2548" i="3"/>
  <c r="K2549" i="3"/>
  <c r="K2550" i="3"/>
  <c r="K2551" i="3"/>
  <c r="K2552" i="3"/>
  <c r="K2327" i="3"/>
  <c r="K2328" i="3"/>
  <c r="K2329" i="3"/>
  <c r="K2330" i="3"/>
  <c r="K2331" i="3"/>
  <c r="K2332" i="3"/>
  <c r="J1477" i="3"/>
  <c r="J1478" i="3"/>
  <c r="J1402" i="3"/>
  <c r="J1479" i="3"/>
  <c r="J1480" i="3"/>
  <c r="J1481" i="3"/>
  <c r="J1482" i="3"/>
  <c r="J1483" i="3"/>
  <c r="J1484" i="3"/>
  <c r="J1485" i="3"/>
  <c r="J1486" i="3"/>
  <c r="J1487" i="3"/>
  <c r="J1488" i="3"/>
  <c r="J1489" i="3"/>
  <c r="J1490" i="3"/>
  <c r="J1491" i="3"/>
  <c r="J1492" i="3"/>
  <c r="J1493" i="3"/>
  <c r="J1494" i="3"/>
  <c r="J1495" i="3"/>
  <c r="J1496" i="3"/>
  <c r="J1497" i="3"/>
  <c r="J1498" i="3"/>
  <c r="J1499" i="3"/>
  <c r="J1500" i="3"/>
  <c r="J1501" i="3"/>
  <c r="J1502" i="3"/>
  <c r="J1503" i="3"/>
  <c r="J1504" i="3"/>
  <c r="J1505" i="3"/>
  <c r="J1506" i="3"/>
  <c r="J1507" i="3"/>
  <c r="J1508" i="3"/>
  <c r="J1509" i="3"/>
  <c r="J1510" i="3"/>
  <c r="J1511" i="3"/>
  <c r="J1512" i="3"/>
  <c r="J1513" i="3"/>
  <c r="J1514" i="3"/>
  <c r="J1515" i="3"/>
  <c r="J1516" i="3"/>
  <c r="J1517" i="3"/>
  <c r="J1518" i="3"/>
  <c r="J1519" i="3"/>
  <c r="J1520" i="3"/>
  <c r="J1521" i="3"/>
  <c r="J1522" i="3"/>
  <c r="J1523" i="3"/>
  <c r="J1524" i="3"/>
  <c r="J1525" i="3"/>
  <c r="J1526" i="3"/>
  <c r="J1527" i="3"/>
  <c r="J1528" i="3"/>
  <c r="J1529" i="3"/>
  <c r="J1530" i="3"/>
  <c r="J1531" i="3"/>
  <c r="J1532" i="3"/>
  <c r="J1533" i="3"/>
  <c r="J1534" i="3"/>
  <c r="J1535" i="3"/>
  <c r="J1536" i="3"/>
  <c r="J1537" i="3"/>
  <c r="J1538" i="3"/>
  <c r="J1539" i="3"/>
  <c r="J1540" i="3"/>
  <c r="J1541" i="3"/>
  <c r="J1542" i="3"/>
  <c r="J1543" i="3"/>
  <c r="J1544" i="3"/>
  <c r="J1545" i="3"/>
  <c r="J1546" i="3"/>
  <c r="J1547" i="3"/>
  <c r="J1548" i="3"/>
  <c r="J1549" i="3"/>
  <c r="J1550" i="3"/>
  <c r="J1551" i="3"/>
  <c r="J1552" i="3"/>
  <c r="J1553" i="3"/>
  <c r="J1554" i="3"/>
  <c r="J1555" i="3"/>
  <c r="J1556" i="3"/>
  <c r="J1557" i="3"/>
  <c r="J1471" i="3"/>
  <c r="J1558" i="3"/>
  <c r="J1559" i="3"/>
  <c r="J1560" i="3"/>
  <c r="J1561" i="3"/>
  <c r="J1562" i="3"/>
  <c r="J1563" i="3"/>
  <c r="J1564" i="3"/>
  <c r="J1565" i="3"/>
  <c r="J1566" i="3"/>
  <c r="J1567" i="3"/>
  <c r="J1474" i="3"/>
  <c r="J1568" i="3"/>
  <c r="J1569" i="3"/>
  <c r="J1570" i="3"/>
  <c r="J1571" i="3"/>
  <c r="J1572" i="3"/>
  <c r="J1573" i="3"/>
  <c r="J1574" i="3"/>
  <c r="J1575" i="3"/>
  <c r="J1576" i="3"/>
  <c r="J1577" i="3"/>
  <c r="J1578" i="3"/>
  <c r="J1579" i="3"/>
  <c r="J1580" i="3"/>
  <c r="J1581" i="3"/>
  <c r="J1582" i="3"/>
  <c r="J1583" i="3"/>
  <c r="J1473" i="3"/>
  <c r="J1475" i="3"/>
  <c r="J1584" i="3"/>
  <c r="J1585" i="3"/>
  <c r="J1586" i="3"/>
  <c r="J1587" i="3"/>
  <c r="J1588" i="3"/>
  <c r="J1589" i="3"/>
  <c r="J1590" i="3"/>
  <c r="J1591" i="3"/>
  <c r="J1592" i="3"/>
  <c r="J1593" i="3"/>
  <c r="J1594" i="3"/>
  <c r="J1595" i="3"/>
  <c r="J1596" i="3"/>
  <c r="J1597" i="3"/>
  <c r="J1598" i="3"/>
  <c r="J1599" i="3"/>
  <c r="J1600" i="3"/>
  <c r="J1601" i="3"/>
  <c r="J1602" i="3"/>
  <c r="J1603" i="3"/>
  <c r="J1604" i="3"/>
  <c r="J1472" i="3"/>
  <c r="J1605" i="3"/>
  <c r="J1606" i="3"/>
  <c r="J1607" i="3"/>
  <c r="J1608" i="3"/>
  <c r="J1609" i="3"/>
  <c r="J1610" i="3"/>
  <c r="J1611" i="3"/>
  <c r="J1612" i="3"/>
  <c r="J1613" i="3"/>
  <c r="J1614" i="3"/>
  <c r="J1476" i="3"/>
  <c r="J1615" i="3"/>
  <c r="J1616" i="3"/>
  <c r="J1617" i="3"/>
  <c r="J1618" i="3"/>
  <c r="J1619" i="3"/>
  <c r="J1620" i="3"/>
  <c r="J1621" i="3"/>
  <c r="J1622" i="3"/>
  <c r="J1623" i="3"/>
  <c r="J1624" i="3"/>
  <c r="J1625" i="3"/>
  <c r="J1626" i="3"/>
  <c r="J1633" i="3"/>
  <c r="J696" i="3"/>
  <c r="J697" i="3"/>
  <c r="J2105" i="3"/>
  <c r="J928" i="3"/>
  <c r="J1634" i="3"/>
  <c r="J1635" i="3"/>
  <c r="J1636" i="3"/>
  <c r="J1237" i="3"/>
  <c r="J506" i="3"/>
  <c r="J929" i="3"/>
  <c r="J1637" i="3"/>
  <c r="J2146" i="3"/>
  <c r="J1238" i="3"/>
  <c r="J2106" i="3"/>
  <c r="J2" i="3"/>
  <c r="J930" i="3"/>
  <c r="J2147" i="3"/>
  <c r="J1239" i="3"/>
  <c r="J2107" i="3"/>
  <c r="J931" i="3"/>
  <c r="J2286" i="3"/>
  <c r="J1638" i="3"/>
  <c r="J1240" i="3"/>
  <c r="J932" i="3"/>
  <c r="J1985" i="3"/>
  <c r="J933" i="3"/>
  <c r="J2334" i="3"/>
  <c r="J1639" i="3"/>
  <c r="J1241" i="3"/>
  <c r="J1242" i="3"/>
  <c r="J1640" i="3"/>
  <c r="J698" i="3"/>
  <c r="J2148" i="3"/>
  <c r="J1243" i="3"/>
  <c r="J2287" i="3"/>
  <c r="J1641" i="3"/>
  <c r="J934" i="3"/>
  <c r="J1642" i="3"/>
  <c r="J2335" i="3"/>
  <c r="J935" i="3"/>
  <c r="J1643" i="3"/>
  <c r="J1244" i="3"/>
  <c r="J3" i="3"/>
  <c r="J936" i="3"/>
  <c r="J1644" i="3"/>
  <c r="J1245" i="3"/>
  <c r="J937" i="3"/>
  <c r="J1645" i="3"/>
  <c r="J1246" i="3"/>
  <c r="J1247" i="3"/>
  <c r="J938" i="3"/>
  <c r="J1646" i="3"/>
  <c r="J1647" i="3"/>
  <c r="J1648" i="3"/>
  <c r="J699" i="3"/>
  <c r="J1649" i="3"/>
  <c r="J700" i="3"/>
  <c r="J939" i="3"/>
  <c r="J2108" i="3"/>
  <c r="J940" i="3"/>
  <c r="J1986" i="3"/>
  <c r="J1248" i="3"/>
  <c r="J1650" i="3"/>
  <c r="J941" i="3"/>
  <c r="J2336" i="3"/>
  <c r="J701" i="3"/>
  <c r="J1249" i="3"/>
  <c r="J942" i="3"/>
  <c r="J702" i="3"/>
  <c r="J943" i="3"/>
  <c r="J1651" i="3"/>
  <c r="J703" i="3"/>
  <c r="J704" i="3"/>
  <c r="J944" i="3"/>
  <c r="J1652" i="3"/>
  <c r="J945" i="3"/>
  <c r="J1653" i="3"/>
  <c r="J705" i="3"/>
  <c r="J2149" i="3"/>
  <c r="J1250" i="3"/>
  <c r="J1654" i="3"/>
  <c r="J946" i="3"/>
  <c r="J2150" i="3"/>
  <c r="J2337" i="3"/>
  <c r="J947" i="3"/>
  <c r="J1987" i="3"/>
  <c r="J706" i="3"/>
  <c r="J1655" i="3"/>
  <c r="J1656" i="3"/>
  <c r="J948" i="3"/>
  <c r="J1251" i="3"/>
  <c r="J1252" i="3"/>
  <c r="J1253" i="3"/>
  <c r="J1254" i="3"/>
  <c r="J1255" i="3"/>
  <c r="J1256" i="3"/>
  <c r="J1257" i="3"/>
  <c r="J1258" i="3"/>
  <c r="J1259" i="3"/>
  <c r="J1260" i="3"/>
  <c r="J1261" i="3"/>
  <c r="J1262" i="3"/>
  <c r="J1263" i="3"/>
  <c r="J1264" i="3"/>
  <c r="J1265" i="3"/>
  <c r="J1657" i="3"/>
  <c r="J2338" i="3"/>
  <c r="J707" i="3"/>
  <c r="J1988" i="3"/>
  <c r="J1658" i="3"/>
  <c r="J2151" i="3"/>
  <c r="J4" i="3"/>
  <c r="J708" i="3"/>
  <c r="J1659" i="3"/>
  <c r="J507" i="3"/>
  <c r="J1660" i="3"/>
  <c r="J709" i="3"/>
  <c r="J1661" i="3"/>
  <c r="J2152" i="3"/>
  <c r="J949" i="3"/>
  <c r="J710" i="3"/>
  <c r="J711" i="3"/>
  <c r="J2339" i="3"/>
  <c r="J1662" i="3"/>
  <c r="J1663" i="3"/>
  <c r="J1989" i="3"/>
  <c r="J2340" i="3"/>
  <c r="J1664" i="3"/>
  <c r="J712" i="3"/>
  <c r="J2153" i="3"/>
  <c r="J713" i="3"/>
  <c r="J2341" i="3"/>
  <c r="J2154" i="3"/>
  <c r="J1266" i="3"/>
  <c r="J2109" i="3"/>
  <c r="J2342" i="3"/>
  <c r="J1267" i="3"/>
  <c r="J1990" i="3"/>
  <c r="J2343" i="3"/>
  <c r="J950" i="3"/>
  <c r="J2344" i="3"/>
  <c r="J2155" i="3"/>
  <c r="J1665" i="3"/>
  <c r="J951" i="3"/>
  <c r="J2156" i="3"/>
  <c r="J2345" i="3"/>
  <c r="J2157" i="3"/>
  <c r="J714" i="3"/>
  <c r="J2346" i="3"/>
  <c r="J952" i="3"/>
  <c r="J2158" i="3"/>
  <c r="J953" i="3"/>
  <c r="J2159" i="3"/>
  <c r="J508" i="3"/>
  <c r="J715" i="3"/>
  <c r="J1991" i="3"/>
  <c r="J2110" i="3"/>
  <c r="J2347" i="3"/>
  <c r="J1666" i="3"/>
  <c r="J954" i="3"/>
  <c r="J955" i="3"/>
  <c r="J956" i="3"/>
  <c r="J957" i="3"/>
  <c r="J958" i="3"/>
  <c r="J959" i="3"/>
  <c r="J960" i="3"/>
  <c r="J961" i="3"/>
  <c r="J2348" i="3"/>
  <c r="J2160" i="3"/>
  <c r="J2111" i="3"/>
  <c r="J1667" i="3"/>
  <c r="J2349" i="3"/>
  <c r="J2161" i="3"/>
  <c r="J962" i="3"/>
  <c r="J1668" i="3"/>
  <c r="J5" i="3"/>
  <c r="J1669" i="3"/>
  <c r="J716" i="3"/>
  <c r="J2112" i="3"/>
  <c r="J2162" i="3"/>
  <c r="J1670" i="3"/>
  <c r="J2163" i="3"/>
  <c r="J1393" i="3"/>
  <c r="J963" i="3"/>
  <c r="J717" i="3"/>
  <c r="J2113" i="3"/>
  <c r="J2350" i="3"/>
  <c r="J2164" i="3"/>
  <c r="J2553" i="3"/>
  <c r="J964" i="3"/>
  <c r="J1671" i="3"/>
  <c r="J1672" i="3"/>
  <c r="J2165" i="3"/>
  <c r="J1673" i="3"/>
  <c r="J965" i="3"/>
  <c r="J718" i="3"/>
  <c r="J509" i="3"/>
  <c r="J1674" i="3"/>
  <c r="J2166" i="3"/>
  <c r="J719" i="3"/>
  <c r="J720" i="3"/>
  <c r="J721" i="3"/>
  <c r="J2554" i="3"/>
  <c r="J2167" i="3"/>
  <c r="J2168" i="3"/>
  <c r="J1675" i="3"/>
  <c r="J2114" i="3"/>
  <c r="J1676" i="3"/>
  <c r="J2169" i="3"/>
  <c r="J2351" i="3"/>
  <c r="J2352" i="3"/>
  <c r="J1677" i="3"/>
  <c r="J2170" i="3"/>
  <c r="J2353" i="3"/>
  <c r="J966" i="3"/>
  <c r="J2171" i="3"/>
  <c r="J1678" i="3"/>
  <c r="J2172" i="3"/>
  <c r="J2354" i="3"/>
  <c r="J2173" i="3"/>
  <c r="J2174" i="3"/>
  <c r="J1679" i="3"/>
  <c r="J967" i="3"/>
  <c r="J2175" i="3"/>
  <c r="J2355" i="3"/>
  <c r="J2176" i="3"/>
  <c r="J1680" i="3"/>
  <c r="J2356" i="3"/>
  <c r="J722" i="3"/>
  <c r="J2177" i="3"/>
  <c r="J2357" i="3"/>
  <c r="J968" i="3"/>
  <c r="J2115" i="3"/>
  <c r="J2178" i="3"/>
  <c r="J510" i="3"/>
  <c r="J1681" i="3"/>
  <c r="J723" i="3"/>
  <c r="J2358" i="3"/>
  <c r="J1682" i="3"/>
  <c r="J724" i="3"/>
  <c r="J2179" i="3"/>
  <c r="J2180" i="3"/>
  <c r="J1683" i="3"/>
  <c r="J511" i="3"/>
  <c r="J1684" i="3"/>
  <c r="J2181" i="3"/>
  <c r="J725" i="3"/>
  <c r="J1685" i="3"/>
  <c r="J2182" i="3"/>
  <c r="J2183" i="3"/>
  <c r="J2184" i="3"/>
  <c r="J2185" i="3"/>
  <c r="J969" i="3"/>
  <c r="J1418" i="3"/>
  <c r="J1686" i="3"/>
  <c r="J1687" i="3"/>
  <c r="J512" i="3"/>
  <c r="J970" i="3"/>
  <c r="J2186" i="3"/>
  <c r="J1688" i="3"/>
  <c r="J1689" i="3"/>
  <c r="J2187" i="3"/>
  <c r="J1690" i="3"/>
  <c r="J1691" i="3"/>
  <c r="J2188" i="3"/>
  <c r="J2116" i="3"/>
  <c r="J1268" i="3"/>
  <c r="J1692" i="3"/>
  <c r="J971" i="3"/>
  <c r="J726" i="3"/>
  <c r="J2189" i="3"/>
  <c r="J727" i="3"/>
  <c r="J1269" i="3"/>
  <c r="J1693" i="3"/>
  <c r="J6" i="3"/>
  <c r="J972" i="3"/>
  <c r="J513" i="3"/>
  <c r="J1394" i="3"/>
  <c r="J2190" i="3"/>
  <c r="J2191" i="3"/>
  <c r="J1694" i="3"/>
  <c r="J2192" i="3"/>
  <c r="J1695" i="3"/>
  <c r="J2193" i="3"/>
  <c r="J1395" i="3"/>
  <c r="J728" i="3"/>
  <c r="J1696" i="3"/>
  <c r="J2194" i="3"/>
  <c r="J973" i="3"/>
  <c r="J2359" i="3"/>
  <c r="J1697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1270" i="3"/>
  <c r="J729" i="3"/>
  <c r="J2360" i="3"/>
  <c r="J730" i="3"/>
  <c r="J1698" i="3"/>
  <c r="J731" i="3"/>
  <c r="J974" i="3"/>
  <c r="J1699" i="3"/>
  <c r="J732" i="3"/>
  <c r="J2361" i="3"/>
  <c r="J733" i="3"/>
  <c r="J734" i="3"/>
  <c r="J735" i="3"/>
  <c r="J736" i="3"/>
  <c r="J737" i="3"/>
  <c r="J738" i="3"/>
  <c r="J739" i="3"/>
  <c r="J740" i="3"/>
  <c r="J741" i="3"/>
  <c r="J1700" i="3"/>
  <c r="J7" i="3"/>
  <c r="J1701" i="3"/>
  <c r="J975" i="3"/>
  <c r="J2195" i="3"/>
  <c r="J2196" i="3"/>
  <c r="J2197" i="3"/>
  <c r="J2198" i="3"/>
  <c r="J2199" i="3"/>
  <c r="J2200" i="3"/>
  <c r="J1702" i="3"/>
  <c r="J1271" i="3"/>
  <c r="J2201" i="3"/>
  <c r="J1703" i="3"/>
  <c r="J1704" i="3"/>
  <c r="J1272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2202" i="3"/>
  <c r="J742" i="3"/>
  <c r="J743" i="3"/>
  <c r="J1705" i="3"/>
  <c r="J976" i="3"/>
  <c r="J1706" i="3"/>
  <c r="J977" i="3"/>
  <c r="J1273" i="3"/>
  <c r="J1707" i="3"/>
  <c r="J1708" i="3"/>
  <c r="J1274" i="3"/>
  <c r="J978" i="3"/>
  <c r="J744" i="3"/>
  <c r="J2203" i="3"/>
  <c r="J2204" i="3"/>
  <c r="J2205" i="3"/>
  <c r="J2206" i="3"/>
  <c r="J2207" i="3"/>
  <c r="J2208" i="3"/>
  <c r="J2209" i="3"/>
  <c r="J2210" i="3"/>
  <c r="J2211" i="3"/>
  <c r="J2212" i="3"/>
  <c r="J2213" i="3"/>
  <c r="J2214" i="3"/>
  <c r="J2215" i="3"/>
  <c r="J2216" i="3"/>
  <c r="J2217" i="3"/>
  <c r="J2218" i="3"/>
  <c r="J1992" i="3"/>
  <c r="J745" i="3"/>
  <c r="J1709" i="3"/>
  <c r="J2219" i="3"/>
  <c r="J979" i="3"/>
  <c r="J1710" i="3"/>
  <c r="J2220" i="3"/>
  <c r="J2221" i="3"/>
  <c r="J2222" i="3"/>
  <c r="J1711" i="3"/>
  <c r="J2223" i="3"/>
  <c r="J541" i="3"/>
  <c r="J1712" i="3"/>
  <c r="J1993" i="3"/>
  <c r="J2362" i="3"/>
  <c r="J1713" i="3"/>
  <c r="J746" i="3"/>
  <c r="J2224" i="3"/>
  <c r="J2363" i="3"/>
  <c r="J1714" i="3"/>
  <c r="J980" i="3"/>
  <c r="J747" i="3"/>
  <c r="J1715" i="3"/>
  <c r="J2117" i="3"/>
  <c r="J2225" i="3"/>
  <c r="J1716" i="3"/>
  <c r="J1717" i="3"/>
  <c r="J2364" i="3"/>
  <c r="J1718" i="3"/>
  <c r="J981" i="3"/>
  <c r="J982" i="3"/>
  <c r="J748" i="3"/>
  <c r="J542" i="3"/>
  <c r="J1433" i="3"/>
  <c r="J2365" i="3"/>
  <c r="J2226" i="3"/>
  <c r="J749" i="3"/>
  <c r="J1719" i="3"/>
  <c r="J1720" i="3"/>
  <c r="J1721" i="3"/>
  <c r="J1722" i="3"/>
  <c r="J1723" i="3"/>
  <c r="J1724" i="3"/>
  <c r="J1725" i="3"/>
  <c r="J1726" i="3"/>
  <c r="J1727" i="3"/>
  <c r="J1728" i="3"/>
  <c r="J1729" i="3"/>
  <c r="J1730" i="3"/>
  <c r="J1731" i="3"/>
  <c r="J1732" i="3"/>
  <c r="J1733" i="3"/>
  <c r="J1434" i="3"/>
  <c r="J1734" i="3"/>
  <c r="J750" i="3"/>
  <c r="J1275" i="3"/>
  <c r="J2227" i="3"/>
  <c r="J1735" i="3"/>
  <c r="J2366" i="3"/>
  <c r="J1736" i="3"/>
  <c r="J1737" i="3"/>
  <c r="J983" i="3"/>
  <c r="J2228" i="3"/>
  <c r="J1738" i="3"/>
  <c r="J1739" i="3"/>
  <c r="J751" i="3"/>
  <c r="J1432" i="3"/>
  <c r="J1740" i="3"/>
  <c r="J543" i="3"/>
  <c r="J1741" i="3"/>
  <c r="J1276" i="3"/>
  <c r="J752" i="3"/>
  <c r="J1742" i="3"/>
  <c r="J544" i="3"/>
  <c r="J2367" i="3"/>
  <c r="J1235" i="3"/>
  <c r="J1743" i="3"/>
  <c r="J2555" i="3"/>
  <c r="J753" i="3"/>
  <c r="J1744" i="3"/>
  <c r="J1745" i="3"/>
  <c r="J1435" i="3"/>
  <c r="J1746" i="3"/>
  <c r="J1436" i="3"/>
  <c r="J754" i="3"/>
  <c r="J755" i="3"/>
  <c r="J756" i="3"/>
  <c r="J757" i="3"/>
  <c r="J2543" i="3"/>
  <c r="J545" i="3"/>
  <c r="J1747" i="3"/>
  <c r="J1230" i="3"/>
  <c r="J2368" i="3"/>
  <c r="J1994" i="3"/>
  <c r="J1748" i="3"/>
  <c r="J1749" i="3"/>
  <c r="J1750" i="3"/>
  <c r="J1277" i="3"/>
  <c r="J1437" i="3"/>
  <c r="J1751" i="3"/>
  <c r="J1752" i="3"/>
  <c r="J1232" i="3"/>
  <c r="J8" i="3"/>
  <c r="J1753" i="3"/>
  <c r="J1438" i="3"/>
  <c r="J1278" i="3"/>
  <c r="J2369" i="3"/>
  <c r="J1754" i="3"/>
  <c r="J1755" i="3"/>
  <c r="J1439" i="3"/>
  <c r="J1756" i="3"/>
  <c r="J984" i="3"/>
  <c r="J1757" i="3"/>
  <c r="J1440" i="3"/>
  <c r="J1279" i="3"/>
  <c r="J1280" i="3"/>
  <c r="J1281" i="3"/>
  <c r="J1282" i="3"/>
  <c r="J1283" i="3"/>
  <c r="J1284" i="3"/>
  <c r="J1285" i="3"/>
  <c r="J1286" i="3"/>
  <c r="J1287" i="3"/>
  <c r="J1288" i="3"/>
  <c r="J1289" i="3"/>
  <c r="J1290" i="3"/>
  <c r="J1291" i="3"/>
  <c r="J758" i="3"/>
  <c r="J1758" i="3"/>
  <c r="J546" i="3"/>
  <c r="J1759" i="3"/>
  <c r="J547" i="3"/>
  <c r="J1441" i="3"/>
  <c r="J2370" i="3"/>
  <c r="J1760" i="3"/>
  <c r="J2544" i="3"/>
  <c r="J1761" i="3"/>
  <c r="J1995" i="3"/>
  <c r="J1762" i="3"/>
  <c r="J1442" i="3"/>
  <c r="J1763" i="3"/>
  <c r="J2556" i="3"/>
  <c r="J1764" i="3"/>
  <c r="J759" i="3"/>
  <c r="J760" i="3"/>
  <c r="J761" i="3"/>
  <c r="J762" i="3"/>
  <c r="J548" i="3"/>
  <c r="J1765" i="3"/>
  <c r="J763" i="3"/>
  <c r="J764" i="3"/>
  <c r="J694" i="3"/>
  <c r="J985" i="3"/>
  <c r="J2545" i="3"/>
  <c r="J2371" i="3"/>
  <c r="J1996" i="3"/>
  <c r="J765" i="3"/>
  <c r="J549" i="3"/>
  <c r="J1766" i="3"/>
  <c r="J9" i="3"/>
  <c r="J1767" i="3"/>
  <c r="J2372" i="3"/>
  <c r="J1768" i="3"/>
  <c r="J550" i="3"/>
  <c r="J551" i="3"/>
  <c r="J2557" i="3"/>
  <c r="J552" i="3"/>
  <c r="J2373" i="3"/>
  <c r="J553" i="3"/>
  <c r="J1769" i="3"/>
  <c r="J1770" i="3"/>
  <c r="J986" i="3"/>
  <c r="J766" i="3"/>
  <c r="J2374" i="3"/>
  <c r="J2375" i="3"/>
  <c r="J2376" i="3"/>
  <c r="J2377" i="3"/>
  <c r="J2378" i="3"/>
  <c r="J2379" i="3"/>
  <c r="J2380" i="3"/>
  <c r="J2381" i="3"/>
  <c r="J2382" i="3"/>
  <c r="J1771" i="3"/>
  <c r="J2546" i="3"/>
  <c r="J987" i="3"/>
  <c r="J1772" i="3"/>
  <c r="J767" i="3"/>
  <c r="J1773" i="3"/>
  <c r="J554" i="3"/>
  <c r="J768" i="3"/>
  <c r="J2558" i="3"/>
  <c r="J988" i="3"/>
  <c r="J1774" i="3"/>
  <c r="J769" i="3"/>
  <c r="J1997" i="3"/>
  <c r="J555" i="3"/>
  <c r="J1775" i="3"/>
  <c r="J770" i="3"/>
  <c r="J1443" i="3"/>
  <c r="J2383" i="3"/>
  <c r="J1776" i="3"/>
  <c r="J556" i="3"/>
  <c r="J1998" i="3"/>
  <c r="J2384" i="3"/>
  <c r="J1292" i="3"/>
  <c r="J2547" i="3"/>
  <c r="J771" i="3"/>
  <c r="J772" i="3"/>
  <c r="J1777" i="3"/>
  <c r="J773" i="3"/>
  <c r="J10" i="3"/>
  <c r="J774" i="3"/>
  <c r="J2385" i="3"/>
  <c r="J1999" i="3"/>
  <c r="J557" i="3"/>
  <c r="J11" i="3"/>
  <c r="J1339" i="3"/>
  <c r="J1444" i="3"/>
  <c r="J558" i="3"/>
  <c r="J2386" i="3"/>
  <c r="J1778" i="3"/>
  <c r="J775" i="3"/>
  <c r="J1340" i="3"/>
  <c r="J2387" i="3"/>
  <c r="J559" i="3"/>
  <c r="J1779" i="3"/>
  <c r="J1780" i="3"/>
  <c r="J776" i="3"/>
  <c r="J1341" i="3"/>
  <c r="J560" i="3"/>
  <c r="J561" i="3"/>
  <c r="J562" i="3"/>
  <c r="J1445" i="3"/>
  <c r="J2559" i="3"/>
  <c r="J563" i="3"/>
  <c r="J2388" i="3"/>
  <c r="J2333" i="3"/>
  <c r="J2389" i="3"/>
  <c r="J2390" i="3"/>
  <c r="J2391" i="3"/>
  <c r="J2392" i="3"/>
  <c r="J2393" i="3"/>
  <c r="J2394" i="3"/>
  <c r="J2395" i="3"/>
  <c r="J2396" i="3"/>
  <c r="J777" i="3"/>
  <c r="J989" i="3"/>
  <c r="J2397" i="3"/>
  <c r="J990" i="3"/>
  <c r="J778" i="3"/>
  <c r="J2000" i="3"/>
  <c r="J12" i="3"/>
  <c r="J564" i="3"/>
  <c r="J779" i="3"/>
  <c r="J13" i="3"/>
  <c r="J14" i="3"/>
  <c r="J15" i="3"/>
  <c r="J565" i="3"/>
  <c r="J2398" i="3"/>
  <c r="J2229" i="3"/>
  <c r="J16" i="3"/>
  <c r="J991" i="3"/>
  <c r="J1396" i="3"/>
  <c r="J566" i="3"/>
  <c r="J2399" i="3"/>
  <c r="J992" i="3"/>
  <c r="J2400" i="3"/>
  <c r="J780" i="3"/>
  <c r="J17" i="3"/>
  <c r="J1346" i="3"/>
  <c r="J993" i="3"/>
  <c r="J781" i="3"/>
  <c r="J695" i="3"/>
  <c r="J1397" i="3"/>
  <c r="J567" i="3"/>
  <c r="J994" i="3"/>
  <c r="J18" i="3"/>
  <c r="J1781" i="3"/>
  <c r="J2401" i="3"/>
  <c r="J782" i="3"/>
  <c r="J1782" i="3"/>
  <c r="J568" i="3"/>
  <c r="J2402" i="3"/>
  <c r="J1783" i="3"/>
  <c r="J1293" i="3"/>
  <c r="J783" i="3"/>
  <c r="J2403" i="3"/>
  <c r="J2404" i="3"/>
  <c r="J1784" i="3"/>
  <c r="J1398" i="3"/>
  <c r="J1347" i="3"/>
  <c r="J19" i="3"/>
  <c r="J1785" i="3"/>
  <c r="J1786" i="3"/>
  <c r="J2230" i="3"/>
  <c r="J1787" i="3"/>
  <c r="J2001" i="3"/>
  <c r="J20" i="3"/>
  <c r="J995" i="3"/>
  <c r="J784" i="3"/>
  <c r="J2118" i="3"/>
  <c r="J569" i="3"/>
  <c r="J2405" i="3"/>
  <c r="J1788" i="3"/>
  <c r="J996" i="3"/>
  <c r="J785" i="3"/>
  <c r="J21" i="3"/>
  <c r="J997" i="3"/>
  <c r="J1789" i="3"/>
  <c r="J570" i="3"/>
  <c r="J2119" i="3"/>
  <c r="J998" i="3"/>
  <c r="J786" i="3"/>
  <c r="J2406" i="3"/>
  <c r="J1790" i="3"/>
  <c r="J571" i="3"/>
  <c r="J1791" i="3"/>
  <c r="J2120" i="3"/>
  <c r="J1792" i="3"/>
  <c r="J22" i="3"/>
  <c r="J1294" i="3"/>
  <c r="J572" i="3"/>
  <c r="J2407" i="3"/>
  <c r="J2121" i="3"/>
  <c r="J573" i="3"/>
  <c r="J1793" i="3"/>
  <c r="J1794" i="3"/>
  <c r="J787" i="3"/>
  <c r="J2231" i="3"/>
  <c r="J2122" i="3"/>
  <c r="J1295" i="3"/>
  <c r="J788" i="3"/>
  <c r="J2408" i="3"/>
  <c r="J1795" i="3"/>
  <c r="J2232" i="3"/>
  <c r="J574" i="3"/>
  <c r="J23" i="3"/>
  <c r="J2233" i="3"/>
  <c r="J24" i="3"/>
  <c r="J1348" i="3"/>
  <c r="J1349" i="3"/>
  <c r="J1350" i="3"/>
  <c r="J1351" i="3"/>
  <c r="J1352" i="3"/>
  <c r="J1353" i="3"/>
  <c r="J1354" i="3"/>
  <c r="J1296" i="3"/>
  <c r="J999" i="3"/>
  <c r="J25" i="3"/>
  <c r="J1627" i="3"/>
  <c r="J575" i="3"/>
  <c r="J2123" i="3"/>
  <c r="J1796" i="3"/>
  <c r="J1000" i="3"/>
  <c r="J576" i="3"/>
  <c r="J2234" i="3"/>
  <c r="J789" i="3"/>
  <c r="J2235" i="3"/>
  <c r="J1797" i="3"/>
  <c r="J1297" i="3"/>
  <c r="J2124" i="3"/>
  <c r="J1399" i="3"/>
  <c r="J2409" i="3"/>
  <c r="J2410" i="3"/>
  <c r="J1798" i="3"/>
  <c r="J26" i="3"/>
  <c r="J1001" i="3"/>
  <c r="J2411" i="3"/>
  <c r="J2002" i="3"/>
  <c r="J1799" i="3"/>
  <c r="J577" i="3"/>
  <c r="J1002" i="3"/>
  <c r="J2125" i="3"/>
  <c r="J790" i="3"/>
  <c r="J791" i="3"/>
  <c r="J2236" i="3"/>
  <c r="J1800" i="3"/>
  <c r="J2412" i="3"/>
  <c r="J1003" i="3"/>
  <c r="J578" i="3"/>
  <c r="J579" i="3"/>
  <c r="J580" i="3"/>
  <c r="J581" i="3"/>
  <c r="J582" i="3"/>
  <c r="J583" i="3"/>
  <c r="J504" i="3"/>
  <c r="J584" i="3"/>
  <c r="J585" i="3"/>
  <c r="J586" i="3"/>
  <c r="J503" i="3"/>
  <c r="J792" i="3"/>
  <c r="J1298" i="3"/>
  <c r="J1299" i="3"/>
  <c r="J1300" i="3"/>
  <c r="J1301" i="3"/>
  <c r="J1302" i="3"/>
  <c r="J1303" i="3"/>
  <c r="J1304" i="3"/>
  <c r="J1305" i="3"/>
  <c r="J1306" i="3"/>
  <c r="J1307" i="3"/>
  <c r="J1308" i="3"/>
  <c r="J1309" i="3"/>
  <c r="J1310" i="3"/>
  <c r="J1311" i="3"/>
  <c r="J1312" i="3"/>
  <c r="J1801" i="3"/>
  <c r="J1313" i="3"/>
  <c r="J793" i="3"/>
  <c r="J1802" i="3"/>
  <c r="J2237" i="3"/>
  <c r="J2413" i="3"/>
  <c r="J1314" i="3"/>
  <c r="J1315" i="3"/>
  <c r="J1316" i="3"/>
  <c r="J1317" i="3"/>
  <c r="J1004" i="3"/>
  <c r="J1803" i="3"/>
  <c r="J1005" i="3"/>
  <c r="J27" i="3"/>
  <c r="J2414" i="3"/>
  <c r="J1804" i="3"/>
  <c r="J28" i="3"/>
  <c r="J1006" i="3"/>
  <c r="J794" i="3"/>
  <c r="J1805" i="3"/>
  <c r="J2238" i="3"/>
  <c r="J1007" i="3"/>
  <c r="J795" i="3"/>
  <c r="J2239" i="3"/>
  <c r="J796" i="3"/>
  <c r="J2415" i="3"/>
  <c r="J1355" i="3"/>
  <c r="J2003" i="3"/>
  <c r="J2126" i="3"/>
  <c r="J587" i="3"/>
  <c r="J2004" i="3"/>
  <c r="J1806" i="3"/>
  <c r="J1008" i="3"/>
  <c r="J29" i="3"/>
  <c r="J1318" i="3"/>
  <c r="J797" i="3"/>
  <c r="J1807" i="3"/>
  <c r="J1009" i="3"/>
  <c r="J1400" i="3"/>
  <c r="J2005" i="3"/>
  <c r="J1010" i="3"/>
  <c r="J1808" i="3"/>
  <c r="J1809" i="3"/>
  <c r="J1810" i="3"/>
  <c r="J1811" i="3"/>
  <c r="J1812" i="3"/>
  <c r="J1813" i="3"/>
  <c r="J1814" i="3"/>
  <c r="J1815" i="3"/>
  <c r="J1816" i="3"/>
  <c r="J1817" i="3"/>
  <c r="J1818" i="3"/>
  <c r="J1819" i="3"/>
  <c r="J1820" i="3"/>
  <c r="J1821" i="3"/>
  <c r="J1011" i="3"/>
  <c r="J588" i="3"/>
  <c r="J798" i="3"/>
  <c r="J2240" i="3"/>
  <c r="J2416" i="3"/>
  <c r="J2241" i="3"/>
  <c r="J1012" i="3"/>
  <c r="J1822" i="3"/>
  <c r="J2006" i="3"/>
  <c r="J589" i="3"/>
  <c r="J2007" i="3"/>
  <c r="J1630" i="3"/>
  <c r="J30" i="3"/>
  <c r="J799" i="3"/>
  <c r="J2417" i="3"/>
  <c r="J1319" i="3"/>
  <c r="J590" i="3"/>
  <c r="J2418" i="3"/>
  <c r="J1013" i="3"/>
  <c r="J1823" i="3"/>
  <c r="J591" i="3"/>
  <c r="J1824" i="3"/>
  <c r="J800" i="3"/>
  <c r="J1014" i="3"/>
  <c r="J1015" i="3"/>
  <c r="J2008" i="3"/>
  <c r="J1825" i="3"/>
  <c r="J2009" i="3"/>
  <c r="J592" i="3"/>
  <c r="J921" i="3"/>
  <c r="J1826" i="3"/>
  <c r="J1320" i="3"/>
  <c r="J801" i="3"/>
  <c r="J2242" i="3"/>
  <c r="J505" i="3"/>
  <c r="J2243" i="3"/>
  <c r="J1016" i="3"/>
  <c r="J1017" i="3"/>
  <c r="J2010" i="3"/>
  <c r="J802" i="3"/>
  <c r="J803" i="3"/>
  <c r="J593" i="3"/>
  <c r="J1321" i="3"/>
  <c r="J31" i="3"/>
  <c r="J1018" i="3"/>
  <c r="J2419" i="3"/>
  <c r="J2244" i="3"/>
  <c r="J1827" i="3"/>
  <c r="J1356" i="3"/>
  <c r="J1019" i="3"/>
  <c r="J1322" i="3"/>
  <c r="J1828" i="3"/>
  <c r="J804" i="3"/>
  <c r="J1020" i="3"/>
  <c r="J32" i="3"/>
  <c r="J805" i="3"/>
  <c r="J806" i="3"/>
  <c r="J1021" i="3"/>
  <c r="J1231" i="3"/>
  <c r="J2245" i="3"/>
  <c r="J807" i="3"/>
  <c r="J2011" i="3"/>
  <c r="J2012" i="3"/>
  <c r="J2013" i="3"/>
  <c r="J2014" i="3"/>
  <c r="J1829" i="3"/>
  <c r="J2015" i="3"/>
  <c r="J2016" i="3"/>
  <c r="J2017" i="3"/>
  <c r="J2018" i="3"/>
  <c r="J2019" i="3"/>
  <c r="J2020" i="3"/>
  <c r="J2021" i="3"/>
  <c r="J594" i="3"/>
  <c r="J2246" i="3"/>
  <c r="J595" i="3"/>
  <c r="J1022" i="3"/>
  <c r="J808" i="3"/>
  <c r="J1830" i="3"/>
  <c r="J2247" i="3"/>
  <c r="J2420" i="3"/>
  <c r="J2248" i="3"/>
  <c r="J1831" i="3"/>
  <c r="J2022" i="3"/>
  <c r="J1832" i="3"/>
  <c r="J596" i="3"/>
  <c r="J1023" i="3"/>
  <c r="J2249" i="3"/>
  <c r="J2023" i="3"/>
  <c r="J809" i="3"/>
  <c r="J1833" i="3"/>
  <c r="J1834" i="3"/>
  <c r="J2421" i="3"/>
  <c r="J1024" i="3"/>
  <c r="J2024" i="3"/>
  <c r="J1835" i="3"/>
  <c r="J1836" i="3"/>
  <c r="J2422" i="3"/>
  <c r="J2250" i="3"/>
  <c r="J2025" i="3"/>
  <c r="J2026" i="3"/>
  <c r="J2423" i="3"/>
  <c r="J597" i="3"/>
  <c r="J2251" i="3"/>
  <c r="J810" i="3"/>
  <c r="J2424" i="3"/>
  <c r="J1837" i="3"/>
  <c r="J811" i="3"/>
  <c r="J598" i="3"/>
  <c r="J2027" i="3"/>
  <c r="J1838" i="3"/>
  <c r="J812" i="3"/>
  <c r="J1839" i="3"/>
  <c r="J599" i="3"/>
  <c r="J925" i="3"/>
  <c r="J1840" i="3"/>
  <c r="J1025" i="3"/>
  <c r="J813" i="3"/>
  <c r="J2028" i="3"/>
  <c r="J1841" i="3"/>
  <c r="J1842" i="3"/>
  <c r="J2425" i="3"/>
  <c r="J1026" i="3"/>
  <c r="J1843" i="3"/>
  <c r="J924" i="3"/>
  <c r="J1027" i="3"/>
  <c r="J814" i="3"/>
  <c r="J1844" i="3"/>
  <c r="J2029" i="3"/>
  <c r="J1845" i="3"/>
  <c r="J2030" i="3"/>
  <c r="J1846" i="3"/>
  <c r="J2031" i="3"/>
  <c r="J1847" i="3"/>
  <c r="J1848" i="3"/>
  <c r="J815" i="3"/>
  <c r="J2426" i="3"/>
  <c r="J1849" i="3"/>
  <c r="J2032" i="3"/>
  <c r="J1028" i="3"/>
  <c r="J1850" i="3"/>
  <c r="J2252" i="3"/>
  <c r="J33" i="3"/>
  <c r="J2427" i="3"/>
  <c r="J816" i="3"/>
  <c r="J1851" i="3"/>
  <c r="J1419" i="3"/>
  <c r="J1420" i="3"/>
  <c r="J1421" i="3"/>
  <c r="J1422" i="3"/>
  <c r="J1423" i="3"/>
  <c r="J1424" i="3"/>
  <c r="J1425" i="3"/>
  <c r="J1426" i="3"/>
  <c r="J1427" i="3"/>
  <c r="J1428" i="3"/>
  <c r="J1429" i="3"/>
  <c r="J1430" i="3"/>
  <c r="J1431" i="3"/>
  <c r="J1852" i="3"/>
  <c r="J1323" i="3"/>
  <c r="J1853" i="3"/>
  <c r="J2033" i="3"/>
  <c r="J1029" i="3"/>
  <c r="J2253" i="3"/>
  <c r="J817" i="3"/>
  <c r="J1854" i="3"/>
  <c r="J1357" i="3"/>
  <c r="J2034" i="3"/>
  <c r="J1030" i="3"/>
  <c r="J1855" i="3"/>
  <c r="J1856" i="3"/>
  <c r="J2428" i="3"/>
  <c r="J2035" i="3"/>
  <c r="J1857" i="3"/>
  <c r="J2036" i="3"/>
  <c r="J1031" i="3"/>
  <c r="J600" i="3"/>
  <c r="J2429" i="3"/>
  <c r="J1032" i="3"/>
  <c r="J2037" i="3"/>
  <c r="J2430" i="3"/>
  <c r="J2254" i="3"/>
  <c r="J1858" i="3"/>
  <c r="J1033" i="3"/>
  <c r="J1859" i="3"/>
  <c r="J2038" i="3"/>
  <c r="J2039" i="3"/>
  <c r="J818" i="3"/>
  <c r="J819" i="3"/>
  <c r="J820" i="3"/>
  <c r="J821" i="3"/>
  <c r="J822" i="3"/>
  <c r="J823" i="3"/>
  <c r="J824" i="3"/>
  <c r="J825" i="3"/>
  <c r="J826" i="3"/>
  <c r="J827" i="3"/>
  <c r="J34" i="3"/>
  <c r="J1860" i="3"/>
  <c r="J2040" i="3"/>
  <c r="J828" i="3"/>
  <c r="J829" i="3"/>
  <c r="J830" i="3"/>
  <c r="J831" i="3"/>
  <c r="J832" i="3"/>
  <c r="J833" i="3"/>
  <c r="J834" i="3"/>
  <c r="J835" i="3"/>
  <c r="J836" i="3"/>
  <c r="J837" i="3"/>
  <c r="J1861" i="3"/>
  <c r="J1034" i="3"/>
  <c r="J1862" i="3"/>
  <c r="J1324" i="3"/>
  <c r="J1863" i="3"/>
  <c r="J838" i="3"/>
  <c r="J839" i="3"/>
  <c r="J840" i="3"/>
  <c r="J841" i="3"/>
  <c r="J842" i="3"/>
  <c r="J843" i="3"/>
  <c r="J844" i="3"/>
  <c r="J1864" i="3"/>
  <c r="J2255" i="3"/>
  <c r="J1035" i="3"/>
  <c r="J1865" i="3"/>
  <c r="J2431" i="3"/>
  <c r="J2432" i="3"/>
  <c r="J2433" i="3"/>
  <c r="J1866" i="3"/>
  <c r="J1036" i="3"/>
  <c r="J2434" i="3"/>
  <c r="J845" i="3"/>
  <c r="J1867" i="3"/>
  <c r="J601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868" i="3"/>
  <c r="J35" i="3"/>
  <c r="J2435" i="3"/>
  <c r="J1052" i="3"/>
  <c r="J2256" i="3"/>
  <c r="J2436" i="3"/>
  <c r="J602" i="3"/>
  <c r="J1053" i="3"/>
  <c r="J1054" i="3"/>
  <c r="J1869" i="3"/>
  <c r="J603" i="3"/>
  <c r="J1236" i="3"/>
  <c r="J1233" i="3"/>
  <c r="J1055" i="3"/>
  <c r="J1056" i="3"/>
  <c r="J1870" i="3"/>
  <c r="J1057" i="3"/>
  <c r="J2437" i="3"/>
  <c r="J1871" i="3"/>
  <c r="J1872" i="3"/>
  <c r="J1873" i="3"/>
  <c r="J1874" i="3"/>
  <c r="J1875" i="3"/>
  <c r="J1876" i="3"/>
  <c r="J1877" i="3"/>
  <c r="J1878" i="3"/>
  <c r="J1058" i="3"/>
  <c r="J604" i="3"/>
  <c r="J2438" i="3"/>
  <c r="J605" i="3"/>
  <c r="J606" i="3"/>
  <c r="J1059" i="3"/>
  <c r="J1060" i="3"/>
  <c r="J2439" i="3"/>
  <c r="J36" i="3"/>
  <c r="J2440" i="3"/>
  <c r="J1061" i="3"/>
  <c r="J1062" i="3"/>
  <c r="J607" i="3"/>
  <c r="J1063" i="3"/>
  <c r="J1064" i="3"/>
  <c r="J37" i="3"/>
  <c r="J1879" i="3"/>
  <c r="J608" i="3"/>
  <c r="J1880" i="3"/>
  <c r="J1065" i="3"/>
  <c r="J926" i="3"/>
  <c r="J2041" i="3"/>
  <c r="J1066" i="3"/>
  <c r="J1881" i="3"/>
  <c r="J1067" i="3"/>
  <c r="J609" i="3"/>
  <c r="J2042" i="3"/>
  <c r="J2441" i="3"/>
  <c r="J38" i="3"/>
  <c r="J2043" i="3"/>
  <c r="J1068" i="3"/>
  <c r="J1069" i="3"/>
  <c r="J2044" i="3"/>
  <c r="J39" i="3"/>
  <c r="J40" i="3"/>
  <c r="J2045" i="3"/>
  <c r="J1070" i="3"/>
  <c r="J2442" i="3"/>
  <c r="J1071" i="3"/>
  <c r="J2046" i="3"/>
  <c r="J610" i="3"/>
  <c r="J1882" i="3"/>
  <c r="J41" i="3"/>
  <c r="J2443" i="3"/>
  <c r="J2047" i="3"/>
  <c r="J42" i="3"/>
  <c r="J1072" i="3"/>
  <c r="J2048" i="3"/>
  <c r="J2444" i="3"/>
  <c r="J611" i="3"/>
  <c r="J846" i="3"/>
  <c r="J2049" i="3"/>
  <c r="J43" i="3"/>
  <c r="J2445" i="3"/>
  <c r="J2050" i="3"/>
  <c r="J1073" i="3"/>
  <c r="J612" i="3"/>
  <c r="J44" i="3"/>
  <c r="J2446" i="3"/>
  <c r="J1074" i="3"/>
  <c r="J2051" i="3"/>
  <c r="J2447" i="3"/>
  <c r="J2448" i="3"/>
  <c r="J1883" i="3"/>
  <c r="J45" i="3"/>
  <c r="J1075" i="3"/>
  <c r="J2449" i="3"/>
  <c r="J1076" i="3"/>
  <c r="J2450" i="3"/>
  <c r="J1077" i="3"/>
  <c r="J2052" i="3"/>
  <c r="J46" i="3"/>
  <c r="J2053" i="3"/>
  <c r="J613" i="3"/>
  <c r="J2451" i="3"/>
  <c r="J47" i="3"/>
  <c r="J1884" i="3"/>
  <c r="J1078" i="3"/>
  <c r="J1079" i="3"/>
  <c r="J1080" i="3"/>
  <c r="J1081" i="3"/>
  <c r="J1885" i="3"/>
  <c r="J1082" i="3"/>
  <c r="J922" i="3"/>
  <c r="J1083" i="3"/>
  <c r="J2452" i="3"/>
  <c r="J614" i="3"/>
  <c r="J1886" i="3"/>
  <c r="J2054" i="3"/>
  <c r="J847" i="3"/>
  <c r="J48" i="3"/>
  <c r="J2453" i="3"/>
  <c r="J2055" i="3"/>
  <c r="J2454" i="3"/>
  <c r="J2056" i="3"/>
  <c r="J1084" i="3"/>
  <c r="J615" i="3"/>
  <c r="J2057" i="3"/>
  <c r="J1085" i="3"/>
  <c r="J1887" i="3"/>
  <c r="J616" i="3"/>
  <c r="J2455" i="3"/>
  <c r="J2058" i="3"/>
  <c r="J49" i="3"/>
  <c r="J2456" i="3"/>
  <c r="J50" i="3"/>
  <c r="J2457" i="3"/>
  <c r="J2059" i="3"/>
  <c r="J1888" i="3"/>
  <c r="J617" i="3"/>
  <c r="J2060" i="3"/>
  <c r="J848" i="3"/>
  <c r="J1086" i="3"/>
  <c r="J2061" i="3"/>
  <c r="J2458" i="3"/>
  <c r="J51" i="3"/>
  <c r="J1087" i="3"/>
  <c r="J2062" i="3"/>
  <c r="J2063" i="3"/>
  <c r="J2459" i="3"/>
  <c r="J2064" i="3"/>
  <c r="J618" i="3"/>
  <c r="J2065" i="3"/>
  <c r="J2257" i="3"/>
  <c r="J619" i="3"/>
  <c r="J620" i="3"/>
  <c r="J621" i="3"/>
  <c r="J2066" i="3"/>
  <c r="J1088" i="3"/>
  <c r="J2127" i="3"/>
  <c r="J849" i="3"/>
  <c r="J2460" i="3"/>
  <c r="J2067" i="3"/>
  <c r="J1889" i="3"/>
  <c r="J1089" i="3"/>
  <c r="J1090" i="3"/>
  <c r="J1091" i="3"/>
  <c r="J2461" i="3"/>
  <c r="J1092" i="3"/>
  <c r="J1358" i="3"/>
  <c r="J850" i="3"/>
  <c r="J2068" i="3"/>
  <c r="J2462" i="3"/>
  <c r="J1890" i="3"/>
  <c r="J52" i="3"/>
  <c r="J1093" i="3"/>
  <c r="J1983" i="3"/>
  <c r="J2069" i="3"/>
  <c r="J2070" i="3"/>
  <c r="J2071" i="3"/>
  <c r="J2072" i="3"/>
  <c r="J2073" i="3"/>
  <c r="J2074" i="3"/>
  <c r="J2075" i="3"/>
  <c r="J2076" i="3"/>
  <c r="J2077" i="3"/>
  <c r="J2078" i="3"/>
  <c r="J2079" i="3"/>
  <c r="J1891" i="3"/>
  <c r="J1094" i="3"/>
  <c r="J53" i="3"/>
  <c r="J1980" i="3"/>
  <c r="J1095" i="3"/>
  <c r="J2258" i="3"/>
  <c r="J1096" i="3"/>
  <c r="J54" i="3"/>
  <c r="J851" i="3"/>
  <c r="J622" i="3"/>
  <c r="J852" i="3"/>
  <c r="J2463" i="3"/>
  <c r="J1892" i="3"/>
  <c r="J1893" i="3"/>
  <c r="J1894" i="3"/>
  <c r="J55" i="3"/>
  <c r="J2464" i="3"/>
  <c r="J1097" i="3"/>
  <c r="J623" i="3"/>
  <c r="J1098" i="3"/>
  <c r="J2259" i="3"/>
  <c r="J2080" i="3"/>
  <c r="J2081" i="3"/>
  <c r="J2465" i="3"/>
  <c r="J1099" i="3"/>
  <c r="J2082" i="3"/>
  <c r="J1100" i="3"/>
  <c r="J56" i="3"/>
  <c r="J1101" i="3"/>
  <c r="J2466" i="3"/>
  <c r="J2083" i="3"/>
  <c r="J1102" i="3"/>
  <c r="J1103" i="3"/>
  <c r="J1104" i="3"/>
  <c r="J57" i="3"/>
  <c r="J1895" i="3"/>
  <c r="J58" i="3"/>
  <c r="J853" i="3"/>
  <c r="J624" i="3"/>
  <c r="J1105" i="3"/>
  <c r="J1896" i="3"/>
  <c r="J1897" i="3"/>
  <c r="J1359" i="3"/>
  <c r="J1106" i="3"/>
  <c r="J2467" i="3"/>
  <c r="J2084" i="3"/>
  <c r="J625" i="3"/>
  <c r="J2468" i="3"/>
  <c r="J1898" i="3"/>
  <c r="J2085" i="3"/>
  <c r="J2469" i="3"/>
  <c r="J1107" i="3"/>
  <c r="J626" i="3"/>
  <c r="J1899" i="3"/>
  <c r="J1108" i="3"/>
  <c r="J1109" i="3"/>
  <c r="J854" i="3"/>
  <c r="J627" i="3"/>
  <c r="J59" i="3"/>
  <c r="J2470" i="3"/>
  <c r="J1900" i="3"/>
  <c r="J628" i="3"/>
  <c r="J1325" i="3"/>
  <c r="J1901" i="3"/>
  <c r="J1110" i="3"/>
  <c r="J2471" i="3"/>
  <c r="J1111" i="3"/>
  <c r="J1112" i="3"/>
  <c r="J629" i="3"/>
  <c r="J855" i="3"/>
  <c r="J2472" i="3"/>
  <c r="J1360" i="3"/>
  <c r="J60" i="3"/>
  <c r="J1113" i="3"/>
  <c r="J2473" i="3"/>
  <c r="J856" i="3"/>
  <c r="J1902" i="3"/>
  <c r="J1114" i="3"/>
  <c r="J61" i="3"/>
  <c r="J1903" i="3"/>
  <c r="J1115" i="3"/>
  <c r="J1904" i="3"/>
  <c r="J2128" i="3"/>
  <c r="J1905" i="3"/>
  <c r="J2260" i="3"/>
  <c r="J62" i="3"/>
  <c r="J857" i="3"/>
  <c r="J858" i="3"/>
  <c r="J1234" i="3"/>
  <c r="J1116" i="3"/>
  <c r="J630" i="3"/>
  <c r="J859" i="3"/>
  <c r="J1117" i="3"/>
  <c r="J860" i="3"/>
  <c r="J1361" i="3"/>
  <c r="J631" i="3"/>
  <c r="J1118" i="3"/>
  <c r="J1119" i="3"/>
  <c r="J632" i="3"/>
  <c r="J63" i="3"/>
  <c r="J64" i="3"/>
  <c r="J861" i="3"/>
  <c r="J862" i="3"/>
  <c r="J863" i="3"/>
  <c r="J2474" i="3"/>
  <c r="J65" i="3"/>
  <c r="J2475" i="3"/>
  <c r="J2476" i="3"/>
  <c r="J923" i="3"/>
  <c r="J1906" i="3"/>
  <c r="J2129" i="3"/>
  <c r="J66" i="3"/>
  <c r="J1907" i="3"/>
  <c r="J1120" i="3"/>
  <c r="J67" i="3"/>
  <c r="J1121" i="3"/>
  <c r="J1908" i="3"/>
  <c r="J1122" i="3"/>
  <c r="J864" i="3"/>
  <c r="J633" i="3"/>
  <c r="J1123" i="3"/>
  <c r="J1909" i="3"/>
  <c r="J634" i="3"/>
  <c r="J2477" i="3"/>
  <c r="J2086" i="3"/>
  <c r="J635" i="3"/>
  <c r="J1124" i="3"/>
  <c r="J2087" i="3"/>
  <c r="J1910" i="3"/>
  <c r="J2088" i="3"/>
  <c r="J1362" i="3"/>
  <c r="J636" i="3"/>
  <c r="J2478" i="3"/>
  <c r="J1911" i="3"/>
  <c r="J2089" i="3"/>
  <c r="J637" i="3"/>
  <c r="J1912" i="3"/>
  <c r="J1363" i="3"/>
  <c r="J638" i="3"/>
  <c r="J1125" i="3"/>
  <c r="J639" i="3"/>
  <c r="J640" i="3"/>
  <c r="J1126" i="3"/>
  <c r="J2261" i="3"/>
  <c r="J641" i="3"/>
  <c r="J642" i="3"/>
  <c r="J643" i="3"/>
  <c r="J2479" i="3"/>
  <c r="J2262" i="3"/>
  <c r="J2480" i="3"/>
  <c r="J1127" i="3"/>
  <c r="J1913" i="3"/>
  <c r="J865" i="3"/>
  <c r="J1326" i="3"/>
  <c r="J2481" i="3"/>
  <c r="J1128" i="3"/>
  <c r="J1914" i="3"/>
  <c r="J2482" i="3"/>
  <c r="J1129" i="3"/>
  <c r="J1915" i="3"/>
  <c r="J1327" i="3"/>
  <c r="J866" i="3"/>
  <c r="J1130" i="3"/>
  <c r="J2483" i="3"/>
  <c r="J1131" i="3"/>
  <c r="J2484" i="3"/>
  <c r="J1401" i="3"/>
  <c r="J644" i="3"/>
  <c r="J645" i="3"/>
  <c r="J1132" i="3"/>
  <c r="J2485" i="3"/>
  <c r="J867" i="3"/>
  <c r="J1916" i="3"/>
  <c r="J1133" i="3"/>
  <c r="J1328" i="3"/>
  <c r="J1134" i="3"/>
  <c r="J68" i="3"/>
  <c r="J2486" i="3"/>
  <c r="J1135" i="3"/>
  <c r="J2487" i="3"/>
  <c r="J2263" i="3"/>
  <c r="J2264" i="3"/>
  <c r="J2488" i="3"/>
  <c r="J1136" i="3"/>
  <c r="J1137" i="3"/>
  <c r="J1917" i="3"/>
  <c r="J1918" i="3"/>
  <c r="J1138" i="3"/>
  <c r="J868" i="3"/>
  <c r="J1139" i="3"/>
  <c r="J69" i="3"/>
  <c r="J1919" i="3"/>
  <c r="J1140" i="3"/>
  <c r="J70" i="3"/>
  <c r="J71" i="3"/>
  <c r="J646" i="3"/>
  <c r="J1141" i="3"/>
  <c r="J1142" i="3"/>
  <c r="J1920" i="3"/>
  <c r="J869" i="3"/>
  <c r="J870" i="3"/>
  <c r="J2489" i="3"/>
  <c r="J1921" i="3"/>
  <c r="J1922" i="3"/>
  <c r="J1143" i="3"/>
  <c r="J871" i="3"/>
  <c r="J872" i="3"/>
  <c r="J72" i="3"/>
  <c r="J2265" i="3"/>
  <c r="J873" i="3"/>
  <c r="J1144" i="3"/>
  <c r="J1364" i="3"/>
  <c r="J1145" i="3"/>
  <c r="J1146" i="3"/>
  <c r="J647" i="3"/>
  <c r="J1147" i="3"/>
  <c r="J1148" i="3"/>
  <c r="J874" i="3"/>
  <c r="J2090" i="3"/>
  <c r="J1979" i="3"/>
  <c r="J1365" i="3"/>
  <c r="J875" i="3"/>
  <c r="J876" i="3"/>
  <c r="J1366" i="3"/>
  <c r="J1367" i="3"/>
  <c r="J2490" i="3"/>
  <c r="J1329" i="3"/>
  <c r="J73" i="3"/>
  <c r="J877" i="3"/>
  <c r="J1149" i="3"/>
  <c r="J74" i="3"/>
  <c r="J1923" i="3"/>
  <c r="J1924" i="3"/>
  <c r="J878" i="3"/>
  <c r="J75" i="3"/>
  <c r="J879" i="3"/>
  <c r="J2266" i="3"/>
  <c r="J880" i="3"/>
  <c r="J1925" i="3"/>
  <c r="J648" i="3"/>
  <c r="J1368" i="3"/>
  <c r="J1369" i="3"/>
  <c r="J76" i="3"/>
  <c r="J1150" i="3"/>
  <c r="J77" i="3"/>
  <c r="J78" i="3"/>
  <c r="J2267" i="3"/>
  <c r="J1926" i="3"/>
  <c r="J2268" i="3"/>
  <c r="J1151" i="3"/>
  <c r="J1152" i="3"/>
  <c r="J1370" i="3"/>
  <c r="J79" i="3"/>
  <c r="J1153" i="3"/>
  <c r="J1154" i="3"/>
  <c r="J2491" i="3"/>
  <c r="J1632" i="3"/>
  <c r="J1628" i="3"/>
  <c r="J1927" i="3"/>
  <c r="J649" i="3"/>
  <c r="J881" i="3"/>
  <c r="J1928" i="3"/>
  <c r="J1371" i="3"/>
  <c r="J1372" i="3"/>
  <c r="J80" i="3"/>
  <c r="J1155" i="3"/>
  <c r="J882" i="3"/>
  <c r="J2269" i="3"/>
  <c r="J2270" i="3"/>
  <c r="J81" i="3"/>
  <c r="J82" i="3"/>
  <c r="J2271" i="3"/>
  <c r="J1156" i="3"/>
  <c r="J650" i="3"/>
  <c r="J83" i="3"/>
  <c r="J1373" i="3"/>
  <c r="J1330" i="3"/>
  <c r="J2272" i="3"/>
  <c r="J1929" i="3"/>
  <c r="J84" i="3"/>
  <c r="J2273" i="3"/>
  <c r="J1374" i="3"/>
  <c r="J1157" i="3"/>
  <c r="J1158" i="3"/>
  <c r="J1159" i="3"/>
  <c r="J883" i="3"/>
  <c r="J1160" i="3"/>
  <c r="J1930" i="3"/>
  <c r="J1161" i="3"/>
  <c r="J2091" i="3"/>
  <c r="J1162" i="3"/>
  <c r="J85" i="3"/>
  <c r="J1931" i="3"/>
  <c r="J1375" i="3"/>
  <c r="J1163" i="3"/>
  <c r="J1932" i="3"/>
  <c r="J927" i="3"/>
  <c r="J651" i="3"/>
  <c r="J86" i="3"/>
  <c r="J652" i="3"/>
  <c r="J1164" i="3"/>
  <c r="J87" i="3"/>
  <c r="J653" i="3"/>
  <c r="J654" i="3"/>
  <c r="J1165" i="3"/>
  <c r="J1166" i="3"/>
  <c r="J884" i="3"/>
  <c r="J655" i="3"/>
  <c r="J885" i="3"/>
  <c r="J886" i="3"/>
  <c r="J887" i="3"/>
  <c r="J1167" i="3"/>
  <c r="J1168" i="3"/>
  <c r="J1376" i="3"/>
  <c r="J88" i="3"/>
  <c r="J1377" i="3"/>
  <c r="J1169" i="3"/>
  <c r="J656" i="3"/>
  <c r="J1170" i="3"/>
  <c r="J1378" i="3"/>
  <c r="J657" i="3"/>
  <c r="J1171" i="3"/>
  <c r="J1172" i="3"/>
  <c r="J2492" i="3"/>
  <c r="J888" i="3"/>
  <c r="J1379" i="3"/>
  <c r="J1173" i="3"/>
  <c r="J1174" i="3"/>
  <c r="J2274" i="3"/>
  <c r="J1933" i="3"/>
  <c r="J1175" i="3"/>
  <c r="J889" i="3"/>
  <c r="J1176" i="3"/>
  <c r="J1177" i="3"/>
  <c r="J2275" i="3"/>
  <c r="J1178" i="3"/>
  <c r="J1179" i="3"/>
  <c r="J1180" i="3"/>
  <c r="J1934" i="3"/>
  <c r="J2145" i="3"/>
  <c r="J2276" i="3"/>
  <c r="J1181" i="3"/>
  <c r="J2277" i="3"/>
  <c r="J658" i="3"/>
  <c r="J1182" i="3"/>
  <c r="J1183" i="3"/>
  <c r="J89" i="3"/>
  <c r="J659" i="3"/>
  <c r="J660" i="3"/>
  <c r="J890" i="3"/>
  <c r="J661" i="3"/>
  <c r="J90" i="3"/>
  <c r="J1184" i="3"/>
  <c r="J891" i="3"/>
  <c r="J1185" i="3"/>
  <c r="J662" i="3"/>
  <c r="J91" i="3"/>
  <c r="J92" i="3"/>
  <c r="J93" i="3"/>
  <c r="J94" i="3"/>
  <c r="J95" i="3"/>
  <c r="J663" i="3"/>
  <c r="J664" i="3"/>
  <c r="J96" i="3"/>
  <c r="J892" i="3"/>
  <c r="J893" i="3"/>
  <c r="J1331" i="3"/>
  <c r="J1935" i="3"/>
  <c r="J665" i="3"/>
  <c r="J1186" i="3"/>
  <c r="J1936" i="3"/>
  <c r="J1937" i="3"/>
  <c r="J666" i="3"/>
  <c r="J1938" i="3"/>
  <c r="J1187" i="3"/>
  <c r="J1332" i="3"/>
  <c r="J1333" i="3"/>
  <c r="J1334" i="3"/>
  <c r="J1939" i="3"/>
  <c r="J1335" i="3"/>
  <c r="J2092" i="3"/>
  <c r="J2093" i="3"/>
  <c r="J1380" i="3"/>
  <c r="J1940" i="3"/>
  <c r="J97" i="3"/>
  <c r="J1381" i="3"/>
  <c r="J1188" i="3"/>
  <c r="J667" i="3"/>
  <c r="J1336" i="3"/>
  <c r="J1941" i="3"/>
  <c r="J894" i="3"/>
  <c r="J1189" i="3"/>
  <c r="J1190" i="3"/>
  <c r="J98" i="3"/>
  <c r="J2493" i="3"/>
  <c r="J2494" i="3"/>
  <c r="J1191" i="3"/>
  <c r="J1192" i="3"/>
  <c r="J1942" i="3"/>
  <c r="J1193" i="3"/>
  <c r="J2130" i="3"/>
  <c r="J1943" i="3"/>
  <c r="J99" i="3"/>
  <c r="J668" i="3"/>
  <c r="J1194" i="3"/>
  <c r="J895" i="3"/>
  <c r="J2131" i="3"/>
  <c r="J1195" i="3"/>
  <c r="J1196" i="3"/>
  <c r="J1197" i="3"/>
  <c r="J1944" i="3"/>
  <c r="J1945" i="3"/>
  <c r="J1946" i="3"/>
  <c r="J2495" i="3"/>
  <c r="J1947" i="3"/>
  <c r="J669" i="3"/>
  <c r="J670" i="3"/>
  <c r="J100" i="3"/>
  <c r="J1198" i="3"/>
  <c r="J1199" i="3"/>
  <c r="J1382" i="3"/>
  <c r="J896" i="3"/>
  <c r="J671" i="3"/>
  <c r="J1200" i="3"/>
  <c r="J1948" i="3"/>
  <c r="J1201" i="3"/>
  <c r="J1949" i="3"/>
  <c r="J672" i="3"/>
  <c r="J2278" i="3"/>
  <c r="J897" i="3"/>
  <c r="J101" i="3"/>
  <c r="J1950" i="3"/>
  <c r="J1202" i="3"/>
  <c r="J1951" i="3"/>
  <c r="J673" i="3"/>
  <c r="J674" i="3"/>
  <c r="J1383" i="3"/>
  <c r="J1384" i="3"/>
  <c r="J898" i="3"/>
  <c r="J1952" i="3"/>
  <c r="J1203" i="3"/>
  <c r="J1953" i="3"/>
  <c r="J1954" i="3"/>
  <c r="J1955" i="3"/>
  <c r="J675" i="3"/>
  <c r="J1956" i="3"/>
  <c r="J1204" i="3"/>
  <c r="J676" i="3"/>
  <c r="J1205" i="3"/>
  <c r="J677" i="3"/>
  <c r="J2496" i="3"/>
  <c r="J899" i="3"/>
  <c r="J678" i="3"/>
  <c r="J900" i="3"/>
  <c r="J1206" i="3"/>
  <c r="J2497" i="3"/>
  <c r="J901" i="3"/>
  <c r="J902" i="3"/>
  <c r="J1957" i="3"/>
  <c r="J1207" i="3"/>
  <c r="J679" i="3"/>
  <c r="J102" i="3"/>
  <c r="J680" i="3"/>
  <c r="J1958" i="3"/>
  <c r="J1959" i="3"/>
  <c r="J681" i="3"/>
  <c r="J2279" i="3"/>
  <c r="J1208" i="3"/>
  <c r="J1209" i="3"/>
  <c r="J903" i="3"/>
  <c r="J1210" i="3"/>
  <c r="J1211" i="3"/>
  <c r="J682" i="3"/>
  <c r="J1212" i="3"/>
  <c r="J1213" i="3"/>
  <c r="J1214" i="3"/>
  <c r="J1215" i="3"/>
  <c r="J1216" i="3"/>
  <c r="J1385" i="3"/>
  <c r="J683" i="3"/>
  <c r="J1217" i="3"/>
  <c r="J684" i="3"/>
  <c r="J1982" i="3"/>
  <c r="J904" i="3"/>
  <c r="J2094" i="3"/>
  <c r="J905" i="3"/>
  <c r="J906" i="3"/>
  <c r="J907" i="3"/>
  <c r="J908" i="3"/>
  <c r="J103" i="3"/>
  <c r="J104" i="3"/>
  <c r="J909" i="3"/>
  <c r="J685" i="3"/>
  <c r="J1386" i="3"/>
  <c r="J686" i="3"/>
  <c r="J105" i="3"/>
  <c r="J2498" i="3"/>
  <c r="J910" i="3"/>
  <c r="J1218" i="3"/>
  <c r="J687" i="3"/>
  <c r="J911" i="3"/>
  <c r="J1960" i="3"/>
  <c r="J1219" i="3"/>
  <c r="J1961" i="3"/>
  <c r="J1962" i="3"/>
  <c r="J912" i="3"/>
  <c r="J913" i="3"/>
  <c r="J1963" i="3"/>
  <c r="J1964" i="3"/>
  <c r="J1965" i="3"/>
  <c r="J2095" i="3"/>
  <c r="J2096" i="3"/>
  <c r="J1966" i="3"/>
  <c r="J1967" i="3"/>
  <c r="J1968" i="3"/>
  <c r="J1969" i="3"/>
  <c r="J1970" i="3"/>
  <c r="J2499" i="3"/>
  <c r="J914" i="3"/>
  <c r="J1971" i="3"/>
  <c r="J2132" i="3"/>
  <c r="J2133" i="3"/>
  <c r="J2134" i="3"/>
  <c r="J2135" i="3"/>
  <c r="J915" i="3"/>
  <c r="J2280" i="3"/>
  <c r="J2281" i="3"/>
  <c r="J2500" i="3"/>
  <c r="J2501" i="3"/>
  <c r="J2097" i="3"/>
  <c r="J2098" i="3"/>
  <c r="J2099" i="3"/>
  <c r="J2100" i="3"/>
  <c r="J2101" i="3"/>
  <c r="J2102" i="3"/>
  <c r="J1981" i="3"/>
  <c r="J2103" i="3"/>
  <c r="J1984" i="3"/>
  <c r="J2104" i="3"/>
  <c r="J916" i="3"/>
  <c r="J106" i="3"/>
  <c r="J688" i="3"/>
  <c r="J1387" i="3"/>
  <c r="J1388" i="3"/>
  <c r="J1389" i="3"/>
  <c r="J1390" i="3"/>
  <c r="J1391" i="3"/>
  <c r="J689" i="3"/>
  <c r="J1337" i="3"/>
  <c r="J1338" i="3"/>
  <c r="J1629" i="3"/>
  <c r="J1972" i="3"/>
  <c r="J690" i="3"/>
  <c r="J1973" i="3"/>
  <c r="J1974" i="3"/>
  <c r="J1975" i="3"/>
  <c r="J1976" i="3"/>
  <c r="J1977" i="3"/>
  <c r="J1220" i="3"/>
  <c r="J1221" i="3"/>
  <c r="J1222" i="3"/>
  <c r="J1223" i="3"/>
  <c r="J1224" i="3"/>
  <c r="J1392" i="3"/>
  <c r="J1225" i="3"/>
  <c r="J1226" i="3"/>
  <c r="J1227" i="3"/>
  <c r="J1631" i="3"/>
  <c r="J1978" i="3"/>
  <c r="J1228" i="3"/>
  <c r="J1229" i="3"/>
  <c r="J917" i="3"/>
  <c r="J107" i="3"/>
  <c r="J108" i="3"/>
  <c r="J109" i="3"/>
  <c r="J691" i="3"/>
  <c r="J692" i="3"/>
  <c r="J693" i="3"/>
  <c r="J2288" i="3"/>
  <c r="J2289" i="3"/>
  <c r="J2290" i="3"/>
  <c r="J2291" i="3"/>
  <c r="J2292" i="3"/>
  <c r="J2293" i="3"/>
  <c r="J2136" i="3"/>
  <c r="J2294" i="3"/>
  <c r="J2295" i="3"/>
  <c r="J2296" i="3"/>
  <c r="J2297" i="3"/>
  <c r="J2298" i="3"/>
  <c r="J2299" i="3"/>
  <c r="J2300" i="3"/>
  <c r="J2301" i="3"/>
  <c r="J434" i="3"/>
  <c r="J435" i="3"/>
  <c r="J436" i="3"/>
  <c r="J437" i="3"/>
  <c r="J438" i="3"/>
  <c r="J439" i="3"/>
  <c r="J440" i="3"/>
  <c r="J441" i="3"/>
  <c r="J442" i="3"/>
  <c r="J443" i="3"/>
  <c r="J444" i="3"/>
  <c r="J1403" i="3"/>
  <c r="J2302" i="3"/>
  <c r="J445" i="3"/>
  <c r="J446" i="3"/>
  <c r="J447" i="3"/>
  <c r="J448" i="3"/>
  <c r="J1404" i="3"/>
  <c r="J1405" i="3"/>
  <c r="J2137" i="3"/>
  <c r="J1406" i="3"/>
  <c r="J1407" i="3"/>
  <c r="J1408" i="3"/>
  <c r="J2303" i="3"/>
  <c r="J2138" i="3"/>
  <c r="J2315" i="3"/>
  <c r="J2139" i="3"/>
  <c r="J1409" i="3"/>
  <c r="J2140" i="3"/>
  <c r="J2141" i="3"/>
  <c r="J2304" i="3"/>
  <c r="J1410" i="3"/>
  <c r="J2142" i="3"/>
  <c r="J1411" i="3"/>
  <c r="J1412" i="3"/>
  <c r="J2305" i="3"/>
  <c r="J1413" i="3"/>
  <c r="J2143" i="3"/>
  <c r="J1414" i="3"/>
  <c r="J1415" i="3"/>
  <c r="J2316" i="3"/>
  <c r="J1416" i="3"/>
  <c r="J1417" i="3"/>
  <c r="J2306" i="3"/>
  <c r="J2317" i="3"/>
  <c r="J2144" i="3"/>
  <c r="J2307" i="3"/>
  <c r="J449" i="3"/>
  <c r="J918" i="3"/>
  <c r="J919" i="3"/>
  <c r="J2308" i="3"/>
  <c r="J920" i="3"/>
  <c r="J2309" i="3"/>
  <c r="J2310" i="3"/>
  <c r="J2311" i="3"/>
  <c r="J450" i="3"/>
  <c r="J451" i="3"/>
  <c r="J452" i="3"/>
  <c r="J453" i="3"/>
  <c r="J2312" i="3"/>
  <c r="J454" i="3"/>
  <c r="J455" i="3"/>
  <c r="J456" i="3"/>
  <c r="J457" i="3"/>
  <c r="J458" i="3"/>
  <c r="J459" i="3"/>
  <c r="J460" i="3"/>
  <c r="J461" i="3"/>
  <c r="J462" i="3"/>
  <c r="J2313" i="3"/>
  <c r="J463" i="3"/>
  <c r="J464" i="3"/>
  <c r="J2314" i="3"/>
  <c r="J465" i="3"/>
  <c r="J466" i="3"/>
  <c r="J467" i="3"/>
  <c r="J468" i="3"/>
  <c r="J469" i="3"/>
  <c r="J470" i="3"/>
  <c r="J471" i="3"/>
  <c r="J472" i="3"/>
  <c r="J2322" i="3"/>
  <c r="J2323" i="3"/>
  <c r="J473" i="3"/>
  <c r="J474" i="3"/>
  <c r="J2282" i="3"/>
  <c r="J1342" i="3"/>
  <c r="J475" i="3"/>
  <c r="J476" i="3"/>
  <c r="J2283" i="3"/>
  <c r="J1343" i="3"/>
  <c r="J477" i="3"/>
  <c r="J478" i="3"/>
  <c r="J479" i="3"/>
  <c r="J480" i="3"/>
  <c r="J1344" i="3"/>
  <c r="J481" i="3"/>
  <c r="J482" i="3"/>
  <c r="J1345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2284" i="3"/>
  <c r="J2285" i="3"/>
  <c r="J2324" i="3"/>
  <c r="J2325" i="3"/>
  <c r="J2326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446" i="3"/>
  <c r="J123" i="3"/>
  <c r="J124" i="3"/>
  <c r="J1447" i="3"/>
  <c r="J125" i="3"/>
  <c r="J126" i="3"/>
  <c r="J127" i="3"/>
  <c r="J128" i="3"/>
  <c r="J129" i="3"/>
  <c r="J130" i="3"/>
  <c r="J131" i="3"/>
  <c r="J132" i="3"/>
  <c r="J133" i="3"/>
  <c r="J1448" i="3"/>
  <c r="J1449" i="3"/>
  <c r="J1450" i="3"/>
  <c r="J1451" i="3"/>
  <c r="J1452" i="3"/>
  <c r="J1453" i="3"/>
  <c r="J1454" i="3"/>
  <c r="J1455" i="3"/>
  <c r="J1456" i="3"/>
  <c r="J1457" i="3"/>
  <c r="J1458" i="3"/>
  <c r="J1459" i="3"/>
  <c r="J1460" i="3"/>
  <c r="J1461" i="3"/>
  <c r="J134" i="3"/>
  <c r="J135" i="3"/>
  <c r="J1462" i="3"/>
  <c r="J1463" i="3"/>
  <c r="J136" i="3"/>
  <c r="J137" i="3"/>
  <c r="J138" i="3"/>
  <c r="J139" i="3"/>
  <c r="J140" i="3"/>
  <c r="J141" i="3"/>
  <c r="J142" i="3"/>
  <c r="J1464" i="3"/>
  <c r="J143" i="3"/>
  <c r="J144" i="3"/>
  <c r="J2502" i="3"/>
  <c r="J145" i="3"/>
  <c r="J146" i="3"/>
  <c r="J147" i="3"/>
  <c r="J148" i="3"/>
  <c r="J149" i="3"/>
  <c r="J150" i="3"/>
  <c r="J2503" i="3"/>
  <c r="J1465" i="3"/>
  <c r="J151" i="3"/>
  <c r="J152" i="3"/>
  <c r="J153" i="3"/>
  <c r="J154" i="3"/>
  <c r="J2504" i="3"/>
  <c r="J155" i="3"/>
  <c r="J156" i="3"/>
  <c r="J157" i="3"/>
  <c r="J1466" i="3"/>
  <c r="J2505" i="3"/>
  <c r="J158" i="3"/>
  <c r="J159" i="3"/>
  <c r="J1467" i="3"/>
  <c r="J1468" i="3"/>
  <c r="J160" i="3"/>
  <c r="J161" i="3"/>
  <c r="J1469" i="3"/>
  <c r="J2506" i="3"/>
  <c r="J1470" i="3"/>
  <c r="J2507" i="3"/>
  <c r="J2508" i="3"/>
  <c r="J433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2509" i="3"/>
  <c r="J185" i="3"/>
  <c r="J2510" i="3"/>
  <c r="J186" i="3"/>
  <c r="J187" i="3"/>
  <c r="J188" i="3"/>
  <c r="J2511" i="3"/>
  <c r="J189" i="3"/>
  <c r="J2512" i="3"/>
  <c r="J190" i="3"/>
  <c r="J191" i="3"/>
  <c r="J2513" i="3"/>
  <c r="J2514" i="3"/>
  <c r="J2515" i="3"/>
  <c r="J192" i="3"/>
  <c r="J2516" i="3"/>
  <c r="J193" i="3"/>
  <c r="J194" i="3"/>
  <c r="J195" i="3"/>
  <c r="J2517" i="3"/>
  <c r="J2518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519" i="3"/>
  <c r="J210" i="3"/>
  <c r="J211" i="3"/>
  <c r="J212" i="3"/>
  <c r="J213" i="3"/>
  <c r="J2520" i="3"/>
  <c r="J214" i="3"/>
  <c r="J215" i="3"/>
  <c r="J216" i="3"/>
  <c r="J217" i="3"/>
  <c r="J218" i="3"/>
  <c r="J219" i="3"/>
  <c r="J220" i="3"/>
  <c r="J2521" i="3"/>
  <c r="J2522" i="3"/>
  <c r="J221" i="3"/>
  <c r="J222" i="3"/>
  <c r="J223" i="3"/>
  <c r="J224" i="3"/>
  <c r="J2523" i="3"/>
  <c r="J225" i="3"/>
  <c r="J226" i="3"/>
  <c r="J227" i="3"/>
  <c r="J228" i="3"/>
  <c r="J2524" i="3"/>
  <c r="J229" i="3"/>
  <c r="J2525" i="3"/>
  <c r="J230" i="3"/>
  <c r="J231" i="3"/>
  <c r="J2526" i="3"/>
  <c r="J232" i="3"/>
  <c r="J2527" i="3"/>
  <c r="J233" i="3"/>
  <c r="J234" i="3"/>
  <c r="J2528" i="3"/>
  <c r="J2529" i="3"/>
  <c r="J235" i="3"/>
  <c r="J236" i="3"/>
  <c r="J237" i="3"/>
  <c r="J238" i="3"/>
  <c r="J239" i="3"/>
  <c r="J240" i="3"/>
  <c r="J241" i="3"/>
  <c r="J2530" i="3"/>
  <c r="J242" i="3"/>
  <c r="J243" i="3"/>
  <c r="J2531" i="3"/>
  <c r="J244" i="3"/>
  <c r="J2532" i="3"/>
  <c r="J245" i="3"/>
  <c r="J246" i="3"/>
  <c r="J247" i="3"/>
  <c r="J2533" i="3"/>
  <c r="J248" i="3"/>
  <c r="J2534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110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2535" i="3"/>
  <c r="J2536" i="3"/>
  <c r="J2537" i="3"/>
  <c r="J2538" i="3"/>
  <c r="J300" i="3"/>
  <c r="J2539" i="3"/>
  <c r="J301" i="3"/>
  <c r="J2540" i="3"/>
  <c r="J302" i="3"/>
  <c r="J303" i="3"/>
  <c r="J2541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2542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2318" i="3"/>
  <c r="J2319" i="3"/>
  <c r="J2560" i="3"/>
  <c r="J2561" i="3"/>
  <c r="J2562" i="3"/>
  <c r="J2563" i="3"/>
  <c r="J2564" i="3"/>
  <c r="J2565" i="3"/>
  <c r="J2566" i="3"/>
  <c r="J2567" i="3"/>
  <c r="J2568" i="3"/>
  <c r="J2569" i="3"/>
  <c r="J2570" i="3"/>
  <c r="J2571" i="3"/>
  <c r="J2572" i="3"/>
  <c r="J2573" i="3"/>
  <c r="J2574" i="3"/>
  <c r="J2575" i="3"/>
  <c r="J2576" i="3"/>
  <c r="J2577" i="3"/>
  <c r="J2578" i="3"/>
  <c r="J2579" i="3"/>
  <c r="J2580" i="3"/>
  <c r="J2581" i="3"/>
  <c r="J2320" i="3"/>
  <c r="J2321" i="3"/>
  <c r="J2548" i="3"/>
  <c r="J2549" i="3"/>
  <c r="J2550" i="3"/>
  <c r="J2551" i="3"/>
  <c r="J2552" i="3"/>
  <c r="J2327" i="3"/>
  <c r="J2328" i="3"/>
  <c r="J2329" i="3"/>
  <c r="J2330" i="3"/>
  <c r="J2331" i="3"/>
  <c r="J2332" i="3"/>
  <c r="H1477" i="3" a="1"/>
  <c r="H1477" i="3" s="1"/>
  <c r="H1478" i="3" a="1"/>
  <c r="H1478" i="3" s="1"/>
  <c r="H1402" i="3" a="1"/>
  <c r="H1402" i="3" s="1"/>
  <c r="H1479" i="3" a="1"/>
  <c r="H1479" i="3" s="1"/>
  <c r="H1480" i="3" a="1"/>
  <c r="H1480" i="3" s="1"/>
  <c r="H1481" i="3" a="1"/>
  <c r="H1481" i="3" s="1"/>
  <c r="H1482" i="3" a="1"/>
  <c r="H1482" i="3" s="1"/>
  <c r="H1483" i="3" a="1"/>
  <c r="H1483" i="3" s="1"/>
  <c r="H1484" i="3" a="1"/>
  <c r="H1484" i="3" s="1"/>
  <c r="H1485" i="3" a="1"/>
  <c r="H1485" i="3" s="1"/>
  <c r="H1486" i="3" a="1"/>
  <c r="H1486" i="3" s="1"/>
  <c r="H1487" i="3" a="1"/>
  <c r="H1487" i="3" s="1"/>
  <c r="H1488" i="3" a="1"/>
  <c r="H1488" i="3" s="1"/>
  <c r="H1489" i="3" a="1"/>
  <c r="H1489" i="3" s="1"/>
  <c r="H1490" i="3" a="1"/>
  <c r="H1490" i="3" s="1"/>
  <c r="H1491" i="3" a="1"/>
  <c r="H1491" i="3" s="1"/>
  <c r="H1492" i="3" a="1"/>
  <c r="H1492" i="3" s="1"/>
  <c r="H1493" i="3" a="1"/>
  <c r="H1493" i="3" s="1"/>
  <c r="H1494" i="3" a="1"/>
  <c r="H1494" i="3" s="1"/>
  <c r="H1495" i="3" a="1"/>
  <c r="H1495" i="3" s="1"/>
  <c r="H1496" i="3" a="1"/>
  <c r="H1496" i="3" s="1"/>
  <c r="H1497" i="3" a="1"/>
  <c r="H1497" i="3" s="1"/>
  <c r="H1498" i="3" a="1"/>
  <c r="H1498" i="3" s="1"/>
  <c r="H1499" i="3" a="1"/>
  <c r="H1499" i="3" s="1"/>
  <c r="H1500" i="3" a="1"/>
  <c r="H1500" i="3" s="1"/>
  <c r="H1501" i="3" a="1"/>
  <c r="H1501" i="3" s="1"/>
  <c r="H1502" i="3" a="1"/>
  <c r="H1502" i="3" s="1"/>
  <c r="H1503" i="3" a="1"/>
  <c r="H1503" i="3" s="1"/>
  <c r="H1504" i="3" a="1"/>
  <c r="H1504" i="3" s="1"/>
  <c r="H1505" i="3" a="1"/>
  <c r="H1505" i="3" s="1"/>
  <c r="H1506" i="3" a="1"/>
  <c r="H1506" i="3" s="1"/>
  <c r="H1507" i="3" a="1"/>
  <c r="H1507" i="3" s="1"/>
  <c r="H1508" i="3" a="1"/>
  <c r="H1508" i="3" s="1"/>
  <c r="H1509" i="3" a="1"/>
  <c r="H1509" i="3" s="1"/>
  <c r="H1510" i="3" a="1"/>
  <c r="H1510" i="3" s="1"/>
  <c r="H1511" i="3" a="1"/>
  <c r="H1511" i="3" s="1"/>
  <c r="H1512" i="3" a="1"/>
  <c r="H1512" i="3" s="1"/>
  <c r="H1513" i="3" a="1"/>
  <c r="H1513" i="3" s="1"/>
  <c r="H1514" i="3" a="1"/>
  <c r="H1514" i="3" s="1"/>
  <c r="H1515" i="3" a="1"/>
  <c r="H1515" i="3" s="1"/>
  <c r="H1516" i="3" a="1"/>
  <c r="H1516" i="3" s="1"/>
  <c r="H1517" i="3" a="1"/>
  <c r="H1517" i="3" s="1"/>
  <c r="H1518" i="3" a="1"/>
  <c r="H1518" i="3" s="1"/>
  <c r="H1519" i="3" a="1"/>
  <c r="H1519" i="3" s="1"/>
  <c r="H1520" i="3" a="1"/>
  <c r="H1520" i="3" s="1"/>
  <c r="H1521" i="3" a="1"/>
  <c r="H1521" i="3" s="1"/>
  <c r="H1522" i="3" a="1"/>
  <c r="H1522" i="3" s="1"/>
  <c r="H1523" i="3" a="1"/>
  <c r="H1523" i="3" s="1"/>
  <c r="H1524" i="3" a="1"/>
  <c r="H1524" i="3" s="1"/>
  <c r="H1525" i="3" a="1"/>
  <c r="H1525" i="3" s="1"/>
  <c r="H1526" i="3" a="1"/>
  <c r="H1526" i="3" s="1"/>
  <c r="H1527" i="3" a="1"/>
  <c r="H1527" i="3" s="1"/>
  <c r="H1528" i="3" a="1"/>
  <c r="H1528" i="3" s="1"/>
  <c r="H1529" i="3" a="1"/>
  <c r="H1529" i="3" s="1"/>
  <c r="H1530" i="3" a="1"/>
  <c r="H1530" i="3" s="1"/>
  <c r="H1531" i="3" a="1"/>
  <c r="H1531" i="3" s="1"/>
  <c r="H1532" i="3" a="1"/>
  <c r="H1532" i="3" s="1"/>
  <c r="H1533" i="3" a="1"/>
  <c r="H1533" i="3" s="1"/>
  <c r="H1534" i="3" a="1"/>
  <c r="H1534" i="3" s="1"/>
  <c r="H1535" i="3" a="1"/>
  <c r="H1535" i="3" s="1"/>
  <c r="H1536" i="3" a="1"/>
  <c r="H1536" i="3" s="1"/>
  <c r="H1537" i="3" a="1"/>
  <c r="H1537" i="3" s="1"/>
  <c r="H1538" i="3" a="1"/>
  <c r="H1538" i="3" s="1"/>
  <c r="H1539" i="3" a="1"/>
  <c r="H1539" i="3" s="1"/>
  <c r="H1540" i="3" a="1"/>
  <c r="H1540" i="3" s="1"/>
  <c r="H1541" i="3" a="1"/>
  <c r="H1541" i="3" s="1"/>
  <c r="H1542" i="3" a="1"/>
  <c r="H1542" i="3" s="1"/>
  <c r="H1543" i="3" a="1"/>
  <c r="H1543" i="3" s="1"/>
  <c r="H1544" i="3" a="1"/>
  <c r="H1544" i="3" s="1"/>
  <c r="H1545" i="3" a="1"/>
  <c r="H1545" i="3" s="1"/>
  <c r="H1546" i="3" a="1"/>
  <c r="H1546" i="3" s="1"/>
  <c r="H1547" i="3" a="1"/>
  <c r="H1547" i="3" s="1"/>
  <c r="H1548" i="3" a="1"/>
  <c r="H1548" i="3" s="1"/>
  <c r="H1549" i="3" a="1"/>
  <c r="H1549" i="3" s="1"/>
  <c r="H1550" i="3" a="1"/>
  <c r="H1550" i="3" s="1"/>
  <c r="H1551" i="3" a="1"/>
  <c r="H1551" i="3" s="1"/>
  <c r="H1552" i="3" a="1"/>
  <c r="H1552" i="3" s="1"/>
  <c r="H1553" i="3" a="1"/>
  <c r="H1553" i="3" s="1"/>
  <c r="H1554" i="3" a="1"/>
  <c r="H1554" i="3" s="1"/>
  <c r="H1555" i="3" a="1"/>
  <c r="H1555" i="3" s="1"/>
  <c r="H1556" i="3" a="1"/>
  <c r="H1556" i="3" s="1"/>
  <c r="H1557" i="3" a="1"/>
  <c r="H1557" i="3" s="1"/>
  <c r="H1471" i="3" a="1"/>
  <c r="H1471" i="3" s="1"/>
  <c r="H1558" i="3" a="1"/>
  <c r="H1558" i="3" s="1"/>
  <c r="H1559" i="3" a="1"/>
  <c r="H1559" i="3" s="1"/>
  <c r="H1560" i="3" a="1"/>
  <c r="H1560" i="3" s="1"/>
  <c r="H1561" i="3" a="1"/>
  <c r="H1561" i="3" s="1"/>
  <c r="H1562" i="3" a="1"/>
  <c r="H1562" i="3" s="1"/>
  <c r="H1563" i="3" a="1"/>
  <c r="H1563" i="3" s="1"/>
  <c r="H1564" i="3" a="1"/>
  <c r="H1564" i="3" s="1"/>
  <c r="H1565" i="3" a="1"/>
  <c r="H1565" i="3" s="1"/>
  <c r="H1566" i="3" a="1"/>
  <c r="H1566" i="3" s="1"/>
  <c r="H1567" i="3" a="1"/>
  <c r="H1567" i="3" s="1"/>
  <c r="H1474" i="3" a="1"/>
  <c r="H1474" i="3" s="1"/>
  <c r="H1568" i="3" a="1"/>
  <c r="H1568" i="3" s="1"/>
  <c r="H1569" i="3" a="1"/>
  <c r="H1569" i="3" s="1"/>
  <c r="H1570" i="3" a="1"/>
  <c r="H1570" i="3" s="1"/>
  <c r="H1571" i="3" a="1"/>
  <c r="H1571" i="3" s="1"/>
  <c r="H1572" i="3" a="1"/>
  <c r="H1572" i="3" s="1"/>
  <c r="H1573" i="3" a="1"/>
  <c r="H1573" i="3" s="1"/>
  <c r="H1574" i="3" a="1"/>
  <c r="H1574" i="3" s="1"/>
  <c r="H1575" i="3" a="1"/>
  <c r="H1575" i="3" s="1"/>
  <c r="H1576" i="3" a="1"/>
  <c r="H1576" i="3" s="1"/>
  <c r="H1577" i="3" a="1"/>
  <c r="H1577" i="3" s="1"/>
  <c r="H1578" i="3" a="1"/>
  <c r="H1578" i="3" s="1"/>
  <c r="H1579" i="3" a="1"/>
  <c r="H1579" i="3" s="1"/>
  <c r="H1580" i="3" a="1"/>
  <c r="H1580" i="3" s="1"/>
  <c r="H1581" i="3" a="1"/>
  <c r="H1581" i="3" s="1"/>
  <c r="H1582" i="3" a="1"/>
  <c r="H1582" i="3" s="1"/>
  <c r="H1583" i="3" a="1"/>
  <c r="H1583" i="3" s="1"/>
  <c r="H1473" i="3" a="1"/>
  <c r="H1473" i="3" s="1"/>
  <c r="H1475" i="3" a="1"/>
  <c r="H1475" i="3" s="1"/>
  <c r="H1584" i="3" a="1"/>
  <c r="H1584" i="3" s="1"/>
  <c r="H1585" i="3" a="1"/>
  <c r="H1585" i="3" s="1"/>
  <c r="H1586" i="3" a="1"/>
  <c r="H1586" i="3" s="1"/>
  <c r="H1587" i="3" a="1"/>
  <c r="H1587" i="3" s="1"/>
  <c r="H1588" i="3" a="1"/>
  <c r="H1588" i="3" s="1"/>
  <c r="H1589" i="3" a="1"/>
  <c r="H1589" i="3" s="1"/>
  <c r="H1590" i="3" a="1"/>
  <c r="H1590" i="3" s="1"/>
  <c r="H1591" i="3" a="1"/>
  <c r="H1591" i="3" s="1"/>
  <c r="H1592" i="3" a="1"/>
  <c r="H1592" i="3" s="1"/>
  <c r="H1593" i="3" a="1"/>
  <c r="H1593" i="3" s="1"/>
  <c r="H1594" i="3" a="1"/>
  <c r="H1594" i="3" s="1"/>
  <c r="H1595" i="3" a="1"/>
  <c r="H1595" i="3" s="1"/>
  <c r="H1596" i="3" a="1"/>
  <c r="H1596" i="3" s="1"/>
  <c r="H1597" i="3" a="1"/>
  <c r="H1597" i="3" s="1"/>
  <c r="H1598" i="3" a="1"/>
  <c r="H1598" i="3" s="1"/>
  <c r="H1599" i="3" a="1"/>
  <c r="H1599" i="3" s="1"/>
  <c r="H1600" i="3" a="1"/>
  <c r="H1600" i="3" s="1"/>
  <c r="H1601" i="3" a="1"/>
  <c r="H1601" i="3" s="1"/>
  <c r="H1602" i="3" a="1"/>
  <c r="H1602" i="3" s="1"/>
  <c r="H1603" i="3" a="1"/>
  <c r="H1603" i="3" s="1"/>
  <c r="H1604" i="3" a="1"/>
  <c r="H1604" i="3" s="1"/>
  <c r="H1472" i="3" a="1"/>
  <c r="H1472" i="3" s="1"/>
  <c r="H1605" i="3" a="1"/>
  <c r="H1605" i="3" s="1"/>
  <c r="H1606" i="3" a="1"/>
  <c r="H1606" i="3" s="1"/>
  <c r="H1607" i="3" a="1"/>
  <c r="H1607" i="3" s="1"/>
  <c r="H1608" i="3" a="1"/>
  <c r="H1608" i="3" s="1"/>
  <c r="H1609" i="3" a="1"/>
  <c r="H1609" i="3" s="1"/>
  <c r="H1610" i="3" a="1"/>
  <c r="H1610" i="3" s="1"/>
  <c r="H1611" i="3" a="1"/>
  <c r="H1611" i="3" s="1"/>
  <c r="H1612" i="3" a="1"/>
  <c r="H1612" i="3" s="1"/>
  <c r="H1613" i="3" a="1"/>
  <c r="H1613" i="3" s="1"/>
  <c r="H1614" i="3" a="1"/>
  <c r="H1614" i="3" s="1"/>
  <c r="H1476" i="3" a="1"/>
  <c r="H1476" i="3" s="1"/>
  <c r="H1615" i="3" a="1"/>
  <c r="H1615" i="3" s="1"/>
  <c r="H1616" i="3" a="1"/>
  <c r="H1616" i="3" s="1"/>
  <c r="H1617" i="3" a="1"/>
  <c r="H1617" i="3" s="1"/>
  <c r="H1618" i="3" a="1"/>
  <c r="H1618" i="3" s="1"/>
  <c r="H1619" i="3" a="1"/>
  <c r="H1619" i="3" s="1"/>
  <c r="H1620" i="3" a="1"/>
  <c r="H1620" i="3" s="1"/>
  <c r="H1621" i="3" a="1"/>
  <c r="H1621" i="3" s="1"/>
  <c r="H1622" i="3" a="1"/>
  <c r="H1622" i="3" s="1"/>
  <c r="H1623" i="3" a="1"/>
  <c r="H1623" i="3" s="1"/>
  <c r="H1624" i="3" a="1"/>
  <c r="H1624" i="3" s="1"/>
  <c r="H1625" i="3" a="1"/>
  <c r="H1625" i="3" s="1"/>
  <c r="H1626" i="3" a="1"/>
  <c r="H1626" i="3" s="1"/>
  <c r="H1633" i="3" a="1"/>
  <c r="H1633" i="3" s="1"/>
  <c r="H696" i="3" a="1"/>
  <c r="H696" i="3" s="1"/>
  <c r="H697" i="3" a="1"/>
  <c r="H697" i="3" s="1"/>
  <c r="H2105" i="3" a="1"/>
  <c r="H2105" i="3" s="1"/>
  <c r="H928" i="3" a="1"/>
  <c r="H928" i="3" s="1"/>
  <c r="H1634" i="3" a="1"/>
  <c r="H1634" i="3" s="1"/>
  <c r="H1635" i="3" a="1"/>
  <c r="H1635" i="3" s="1"/>
  <c r="H1636" i="3" a="1"/>
  <c r="H1636" i="3" s="1"/>
  <c r="H1237" i="3" a="1"/>
  <c r="H1237" i="3" s="1"/>
  <c r="H506" i="3" a="1"/>
  <c r="H506" i="3" s="1"/>
  <c r="H929" i="3" a="1"/>
  <c r="H929" i="3" s="1"/>
  <c r="H1637" i="3" a="1"/>
  <c r="H1637" i="3" s="1"/>
  <c r="H2146" i="3" a="1"/>
  <c r="H2146" i="3" s="1"/>
  <c r="H1238" i="3" a="1"/>
  <c r="H1238" i="3" s="1"/>
  <c r="H2106" i="3" a="1"/>
  <c r="H2106" i="3" s="1"/>
  <c r="H2" i="3" a="1"/>
  <c r="H2" i="3" s="1"/>
  <c r="H930" i="3" a="1"/>
  <c r="H930" i="3" s="1"/>
  <c r="H2147" i="3" a="1"/>
  <c r="H2147" i="3" s="1"/>
  <c r="H1239" i="3" a="1"/>
  <c r="H1239" i="3" s="1"/>
  <c r="H2107" i="3" a="1"/>
  <c r="H2107" i="3" s="1"/>
  <c r="H931" i="3" a="1"/>
  <c r="H931" i="3" s="1"/>
  <c r="H2286" i="3" a="1"/>
  <c r="H2286" i="3" s="1"/>
  <c r="H1638" i="3" a="1"/>
  <c r="H1638" i="3" s="1"/>
  <c r="H1240" i="3" a="1"/>
  <c r="H1240" i="3" s="1"/>
  <c r="H932" i="3" a="1"/>
  <c r="H932" i="3" s="1"/>
  <c r="H1985" i="3" a="1"/>
  <c r="H1985" i="3" s="1"/>
  <c r="H933" i="3" a="1"/>
  <c r="H933" i="3" s="1"/>
  <c r="H2334" i="3" a="1"/>
  <c r="H2334" i="3" s="1"/>
  <c r="H1639" i="3" a="1"/>
  <c r="H1639" i="3" s="1"/>
  <c r="H1241" i="3" a="1"/>
  <c r="H1241" i="3" s="1"/>
  <c r="H1242" i="3" a="1"/>
  <c r="H1242" i="3" s="1"/>
  <c r="H1640" i="3" a="1"/>
  <c r="H1640" i="3" s="1"/>
  <c r="H698" i="3" a="1"/>
  <c r="H698" i="3" s="1"/>
  <c r="H2148" i="3" a="1"/>
  <c r="H2148" i="3" s="1"/>
  <c r="H1243" i="3" a="1"/>
  <c r="H1243" i="3" s="1"/>
  <c r="H2287" i="3" a="1"/>
  <c r="H2287" i="3" s="1"/>
  <c r="H1641" i="3" a="1"/>
  <c r="H1641" i="3" s="1"/>
  <c r="H934" i="3" a="1"/>
  <c r="H934" i="3" s="1"/>
  <c r="H1642" i="3" a="1"/>
  <c r="H1642" i="3" s="1"/>
  <c r="H2335" i="3" a="1"/>
  <c r="H2335" i="3" s="1"/>
  <c r="H935" i="3" a="1"/>
  <c r="H935" i="3" s="1"/>
  <c r="H1643" i="3" a="1"/>
  <c r="H1643" i="3" s="1"/>
  <c r="H1244" i="3" a="1"/>
  <c r="H1244" i="3" s="1"/>
  <c r="H3" i="3" a="1"/>
  <c r="H3" i="3" s="1"/>
  <c r="H936" i="3" a="1"/>
  <c r="H936" i="3" s="1"/>
  <c r="H1644" i="3" a="1"/>
  <c r="H1644" i="3" s="1"/>
  <c r="H1245" i="3" a="1"/>
  <c r="H1245" i="3" s="1"/>
  <c r="H937" i="3" a="1"/>
  <c r="H937" i="3" s="1"/>
  <c r="H1645" i="3" a="1"/>
  <c r="H1645" i="3" s="1"/>
  <c r="H1246" i="3" a="1"/>
  <c r="H1246" i="3" s="1"/>
  <c r="H1247" i="3" a="1"/>
  <c r="H1247" i="3" s="1"/>
  <c r="H938" i="3" a="1"/>
  <c r="H938" i="3" s="1"/>
  <c r="H1646" i="3" a="1"/>
  <c r="H1646" i="3" s="1"/>
  <c r="H1647" i="3" a="1"/>
  <c r="H1647" i="3" s="1"/>
  <c r="H1648" i="3" a="1"/>
  <c r="H1648" i="3" s="1"/>
  <c r="H699" i="3" a="1"/>
  <c r="H699" i="3" s="1"/>
  <c r="H1649" i="3" a="1"/>
  <c r="H1649" i="3" s="1"/>
  <c r="H700" i="3" a="1"/>
  <c r="H700" i="3" s="1"/>
  <c r="H939" i="3" a="1"/>
  <c r="H939" i="3" s="1"/>
  <c r="H2108" i="3" a="1"/>
  <c r="H2108" i="3" s="1"/>
  <c r="H940" i="3" a="1"/>
  <c r="H940" i="3" s="1"/>
  <c r="H1986" i="3" a="1"/>
  <c r="H1986" i="3" s="1"/>
  <c r="H1248" i="3" a="1"/>
  <c r="H1248" i="3" s="1"/>
  <c r="H1650" i="3" a="1"/>
  <c r="H1650" i="3" s="1"/>
  <c r="H941" i="3" a="1"/>
  <c r="H941" i="3" s="1"/>
  <c r="H2336" i="3" a="1"/>
  <c r="H2336" i="3" s="1"/>
  <c r="H701" i="3" a="1"/>
  <c r="H701" i="3" s="1"/>
  <c r="H1249" i="3" a="1"/>
  <c r="H1249" i="3" s="1"/>
  <c r="H942" i="3" a="1"/>
  <c r="H942" i="3" s="1"/>
  <c r="H702" i="3" a="1"/>
  <c r="H702" i="3" s="1"/>
  <c r="H943" i="3" a="1"/>
  <c r="H943" i="3" s="1"/>
  <c r="H1651" i="3" a="1"/>
  <c r="H1651" i="3" s="1"/>
  <c r="H703" i="3" a="1"/>
  <c r="H703" i="3" s="1"/>
  <c r="H704" i="3" a="1"/>
  <c r="H704" i="3" s="1"/>
  <c r="H944" i="3" a="1"/>
  <c r="H944" i="3" s="1"/>
  <c r="H1652" i="3" a="1"/>
  <c r="H1652" i="3" s="1"/>
  <c r="H945" i="3" a="1"/>
  <c r="H945" i="3" s="1"/>
  <c r="H1653" i="3" a="1"/>
  <c r="H1653" i="3" s="1"/>
  <c r="H705" i="3" a="1"/>
  <c r="H705" i="3" s="1"/>
  <c r="H2149" i="3" a="1"/>
  <c r="H2149" i="3" s="1"/>
  <c r="H1250" i="3" a="1"/>
  <c r="H1250" i="3" s="1"/>
  <c r="H1654" i="3" a="1"/>
  <c r="H1654" i="3" s="1"/>
  <c r="H946" i="3" a="1"/>
  <c r="H946" i="3" s="1"/>
  <c r="H2150" i="3" a="1"/>
  <c r="H2150" i="3" s="1"/>
  <c r="H2337" i="3" a="1"/>
  <c r="H2337" i="3" s="1"/>
  <c r="H947" i="3" a="1"/>
  <c r="H947" i="3" s="1"/>
  <c r="H1987" i="3" a="1"/>
  <c r="H1987" i="3" s="1"/>
  <c r="H706" i="3" a="1"/>
  <c r="H706" i="3" s="1"/>
  <c r="H1655" i="3" a="1"/>
  <c r="H1655" i="3" s="1"/>
  <c r="H1656" i="3" a="1"/>
  <c r="H1656" i="3" s="1"/>
  <c r="H948" i="3" a="1"/>
  <c r="H948" i="3" s="1"/>
  <c r="H1251" i="3" a="1"/>
  <c r="H1251" i="3" s="1"/>
  <c r="H1252" i="3" a="1"/>
  <c r="H1252" i="3" s="1"/>
  <c r="H1253" i="3" a="1"/>
  <c r="H1253" i="3" s="1"/>
  <c r="H1254" i="3" a="1"/>
  <c r="H1254" i="3" s="1"/>
  <c r="H1255" i="3" a="1"/>
  <c r="H1255" i="3" s="1"/>
  <c r="H1256" i="3" a="1"/>
  <c r="H1256" i="3" s="1"/>
  <c r="H1257" i="3" a="1"/>
  <c r="H1257" i="3" s="1"/>
  <c r="H1258" i="3" a="1"/>
  <c r="H1258" i="3" s="1"/>
  <c r="H1259" i="3" a="1"/>
  <c r="H1259" i="3" s="1"/>
  <c r="H1260" i="3" a="1"/>
  <c r="H1260" i="3" s="1"/>
  <c r="H1261" i="3" a="1"/>
  <c r="H1261" i="3" s="1"/>
  <c r="H1262" i="3" a="1"/>
  <c r="H1262" i="3" s="1"/>
  <c r="H1263" i="3" a="1"/>
  <c r="H1263" i="3" s="1"/>
  <c r="H1264" i="3" a="1"/>
  <c r="H1264" i="3" s="1"/>
  <c r="H1265" i="3" a="1"/>
  <c r="H1265" i="3" s="1"/>
  <c r="H1657" i="3" a="1"/>
  <c r="H1657" i="3" s="1"/>
  <c r="H2338" i="3" a="1"/>
  <c r="H2338" i="3" s="1"/>
  <c r="H707" i="3" a="1"/>
  <c r="H707" i="3" s="1"/>
  <c r="H1988" i="3" a="1"/>
  <c r="H1988" i="3" s="1"/>
  <c r="H1658" i="3" a="1"/>
  <c r="H1658" i="3" s="1"/>
  <c r="H2151" i="3" a="1"/>
  <c r="H2151" i="3" s="1"/>
  <c r="H4" i="3" a="1"/>
  <c r="H4" i="3" s="1"/>
  <c r="H708" i="3" a="1"/>
  <c r="H708" i="3" s="1"/>
  <c r="H1659" i="3" a="1"/>
  <c r="H1659" i="3" s="1"/>
  <c r="H507" i="3" a="1"/>
  <c r="H507" i="3" s="1"/>
  <c r="H1660" i="3" a="1"/>
  <c r="H1660" i="3" s="1"/>
  <c r="H709" i="3" a="1"/>
  <c r="H709" i="3" s="1"/>
  <c r="H1661" i="3" a="1"/>
  <c r="H1661" i="3" s="1"/>
  <c r="H2152" i="3" a="1"/>
  <c r="H2152" i="3" s="1"/>
  <c r="H949" i="3" a="1"/>
  <c r="H949" i="3" s="1"/>
  <c r="H710" i="3" a="1"/>
  <c r="H710" i="3" s="1"/>
  <c r="H711" i="3" a="1"/>
  <c r="H711" i="3" s="1"/>
  <c r="H2339" i="3" a="1"/>
  <c r="H2339" i="3" s="1"/>
  <c r="H1662" i="3" a="1"/>
  <c r="H1662" i="3" s="1"/>
  <c r="H1663" i="3" a="1"/>
  <c r="H1663" i="3" s="1"/>
  <c r="H1989" i="3" a="1"/>
  <c r="H1989" i="3" s="1"/>
  <c r="H2340" i="3" a="1"/>
  <c r="H2340" i="3" s="1"/>
  <c r="H1664" i="3" a="1"/>
  <c r="H1664" i="3" s="1"/>
  <c r="H712" i="3" a="1"/>
  <c r="H712" i="3" s="1"/>
  <c r="H2153" i="3" a="1"/>
  <c r="H2153" i="3" s="1"/>
  <c r="H713" i="3" a="1"/>
  <c r="H713" i="3" s="1"/>
  <c r="H2341" i="3" a="1"/>
  <c r="H2341" i="3" s="1"/>
  <c r="H2154" i="3" a="1"/>
  <c r="H2154" i="3" s="1"/>
  <c r="H1266" i="3" a="1"/>
  <c r="H1266" i="3" s="1"/>
  <c r="H2109" i="3" a="1"/>
  <c r="H2109" i="3" s="1"/>
  <c r="H2342" i="3" a="1"/>
  <c r="H2342" i="3" s="1"/>
  <c r="H1267" i="3" a="1"/>
  <c r="H1267" i="3" s="1"/>
  <c r="H1990" i="3" a="1"/>
  <c r="H1990" i="3" s="1"/>
  <c r="H2343" i="3" a="1"/>
  <c r="H2343" i="3" s="1"/>
  <c r="H950" i="3" a="1"/>
  <c r="H950" i="3" s="1"/>
  <c r="H2344" i="3" a="1"/>
  <c r="H2344" i="3" s="1"/>
  <c r="H2155" i="3" a="1"/>
  <c r="H2155" i="3" s="1"/>
  <c r="H1665" i="3" a="1"/>
  <c r="H1665" i="3" s="1"/>
  <c r="H951" i="3" a="1"/>
  <c r="H951" i="3" s="1"/>
  <c r="H2156" i="3" a="1"/>
  <c r="H2156" i="3" s="1"/>
  <c r="H2345" i="3" a="1"/>
  <c r="H2345" i="3" s="1"/>
  <c r="H2157" i="3" a="1"/>
  <c r="H2157" i="3" s="1"/>
  <c r="H714" i="3" a="1"/>
  <c r="H714" i="3" s="1"/>
  <c r="H2346" i="3" a="1"/>
  <c r="H2346" i="3" s="1"/>
  <c r="H952" i="3" a="1"/>
  <c r="H952" i="3" s="1"/>
  <c r="H2158" i="3" a="1"/>
  <c r="H2158" i="3" s="1"/>
  <c r="H953" i="3" a="1"/>
  <c r="H953" i="3" s="1"/>
  <c r="H2159" i="3" a="1"/>
  <c r="H2159" i="3" s="1"/>
  <c r="H508" i="3" a="1"/>
  <c r="H508" i="3" s="1"/>
  <c r="H715" i="3" a="1"/>
  <c r="H715" i="3" s="1"/>
  <c r="H1991" i="3" a="1"/>
  <c r="H1991" i="3" s="1"/>
  <c r="H2110" i="3" a="1"/>
  <c r="H2110" i="3" s="1"/>
  <c r="H2347" i="3" a="1"/>
  <c r="H2347" i="3" s="1"/>
  <c r="H1666" i="3" a="1"/>
  <c r="H1666" i="3" s="1"/>
  <c r="H954" i="3" a="1"/>
  <c r="H954" i="3" s="1"/>
  <c r="H955" i="3" a="1"/>
  <c r="H955" i="3" s="1"/>
  <c r="H956" i="3" a="1"/>
  <c r="H956" i="3" s="1"/>
  <c r="H957" i="3" a="1"/>
  <c r="H957" i="3" s="1"/>
  <c r="H958" i="3" a="1"/>
  <c r="H958" i="3" s="1"/>
  <c r="H959" i="3" a="1"/>
  <c r="H959" i="3" s="1"/>
  <c r="H960" i="3" a="1"/>
  <c r="H960" i="3" s="1"/>
  <c r="H961" i="3" a="1"/>
  <c r="H961" i="3" s="1"/>
  <c r="H2348" i="3" a="1"/>
  <c r="H2348" i="3" s="1"/>
  <c r="H2160" i="3" a="1"/>
  <c r="H2160" i="3" s="1"/>
  <c r="H2111" i="3" a="1"/>
  <c r="H2111" i="3" s="1"/>
  <c r="H1667" i="3" a="1"/>
  <c r="H1667" i="3" s="1"/>
  <c r="H2349" i="3" a="1"/>
  <c r="H2349" i="3" s="1"/>
  <c r="H2161" i="3" a="1"/>
  <c r="H2161" i="3" s="1"/>
  <c r="H962" i="3" a="1"/>
  <c r="H962" i="3" s="1"/>
  <c r="H1668" i="3" a="1"/>
  <c r="H1668" i="3" s="1"/>
  <c r="H5" i="3" a="1"/>
  <c r="H5" i="3" s="1"/>
  <c r="H1669" i="3" a="1"/>
  <c r="H1669" i="3" s="1"/>
  <c r="H716" i="3" a="1"/>
  <c r="H716" i="3" s="1"/>
  <c r="H2112" i="3" a="1"/>
  <c r="H2112" i="3" s="1"/>
  <c r="H2162" i="3" a="1"/>
  <c r="H2162" i="3" s="1"/>
  <c r="H1670" i="3" a="1"/>
  <c r="H1670" i="3" s="1"/>
  <c r="H2163" i="3" a="1"/>
  <c r="H2163" i="3" s="1"/>
  <c r="H1393" i="3" a="1"/>
  <c r="H1393" i="3" s="1"/>
  <c r="H963" i="3" a="1"/>
  <c r="H963" i="3" s="1"/>
  <c r="H717" i="3" a="1"/>
  <c r="H717" i="3" s="1"/>
  <c r="H2113" i="3" a="1"/>
  <c r="H2113" i="3" s="1"/>
  <c r="H2350" i="3" a="1"/>
  <c r="H2350" i="3" s="1"/>
  <c r="H2164" i="3" a="1"/>
  <c r="H2164" i="3" s="1"/>
  <c r="H2553" i="3" a="1"/>
  <c r="H2553" i="3" s="1"/>
  <c r="H964" i="3" a="1"/>
  <c r="H964" i="3" s="1"/>
  <c r="H1671" i="3" a="1"/>
  <c r="H1671" i="3" s="1"/>
  <c r="H1672" i="3" a="1"/>
  <c r="H1672" i="3" s="1"/>
  <c r="H2165" i="3" a="1"/>
  <c r="H2165" i="3" s="1"/>
  <c r="H1673" i="3" a="1"/>
  <c r="H1673" i="3" s="1"/>
  <c r="H965" i="3" a="1"/>
  <c r="H965" i="3" s="1"/>
  <c r="H718" i="3" a="1"/>
  <c r="H718" i="3" s="1"/>
  <c r="H509" i="3" a="1"/>
  <c r="H509" i="3" s="1"/>
  <c r="H1674" i="3" a="1"/>
  <c r="H1674" i="3" s="1"/>
  <c r="H2166" i="3" a="1"/>
  <c r="H2166" i="3" s="1"/>
  <c r="H719" i="3" a="1"/>
  <c r="H719" i="3" s="1"/>
  <c r="H720" i="3" a="1"/>
  <c r="H720" i="3" s="1"/>
  <c r="H721" i="3" a="1"/>
  <c r="H721" i="3" s="1"/>
  <c r="H2554" i="3" a="1"/>
  <c r="H2554" i="3" s="1"/>
  <c r="H2167" i="3" a="1"/>
  <c r="H2167" i="3" s="1"/>
  <c r="H2168" i="3" a="1"/>
  <c r="H2168" i="3" s="1"/>
  <c r="H1675" i="3" a="1"/>
  <c r="H1675" i="3" s="1"/>
  <c r="H2114" i="3" a="1"/>
  <c r="H2114" i="3" s="1"/>
  <c r="H1676" i="3" a="1"/>
  <c r="H1676" i="3" s="1"/>
  <c r="H2169" i="3" a="1"/>
  <c r="H2169" i="3" s="1"/>
  <c r="H2351" i="3" a="1"/>
  <c r="H2351" i="3" s="1"/>
  <c r="H2352" i="3" a="1"/>
  <c r="H2352" i="3" s="1"/>
  <c r="H1677" i="3" a="1"/>
  <c r="H1677" i="3" s="1"/>
  <c r="H2170" i="3" a="1"/>
  <c r="H2170" i="3" s="1"/>
  <c r="H2353" i="3" a="1"/>
  <c r="H2353" i="3" s="1"/>
  <c r="H966" i="3" a="1"/>
  <c r="H966" i="3" s="1"/>
  <c r="H2171" i="3" a="1"/>
  <c r="H2171" i="3" s="1"/>
  <c r="H1678" i="3" a="1"/>
  <c r="H1678" i="3" s="1"/>
  <c r="H2172" i="3" a="1"/>
  <c r="H2172" i="3" s="1"/>
  <c r="H2354" i="3" a="1"/>
  <c r="H2354" i="3" s="1"/>
  <c r="H2173" i="3" a="1"/>
  <c r="H2173" i="3" s="1"/>
  <c r="H2174" i="3" a="1"/>
  <c r="H2174" i="3" s="1"/>
  <c r="H1679" i="3" a="1"/>
  <c r="H1679" i="3" s="1"/>
  <c r="H967" i="3" a="1"/>
  <c r="H967" i="3" s="1"/>
  <c r="H2175" i="3" a="1"/>
  <c r="H2175" i="3" s="1"/>
  <c r="H2355" i="3" a="1"/>
  <c r="H2355" i="3" s="1"/>
  <c r="H2176" i="3" a="1"/>
  <c r="H2176" i="3" s="1"/>
  <c r="H1680" i="3" a="1"/>
  <c r="H1680" i="3" s="1"/>
  <c r="H2356" i="3" a="1"/>
  <c r="H2356" i="3" s="1"/>
  <c r="H722" i="3" a="1"/>
  <c r="H722" i="3" s="1"/>
  <c r="H2177" i="3" a="1"/>
  <c r="H2177" i="3" s="1"/>
  <c r="H2357" i="3" a="1"/>
  <c r="H2357" i="3" s="1"/>
  <c r="H968" i="3" a="1"/>
  <c r="H968" i="3" s="1"/>
  <c r="H2115" i="3" a="1"/>
  <c r="H2115" i="3" s="1"/>
  <c r="H2178" i="3" a="1"/>
  <c r="H2178" i="3" s="1"/>
  <c r="H510" i="3" a="1"/>
  <c r="H510" i="3" s="1"/>
  <c r="H1681" i="3" a="1"/>
  <c r="H1681" i="3" s="1"/>
  <c r="H723" i="3" a="1"/>
  <c r="H723" i="3" s="1"/>
  <c r="H2358" i="3" a="1"/>
  <c r="H2358" i="3" s="1"/>
  <c r="H1682" i="3" a="1"/>
  <c r="H1682" i="3" s="1"/>
  <c r="H724" i="3" a="1"/>
  <c r="H724" i="3" s="1"/>
  <c r="H2179" i="3" a="1"/>
  <c r="H2179" i="3" s="1"/>
  <c r="H2180" i="3" a="1"/>
  <c r="H2180" i="3" s="1"/>
  <c r="H1683" i="3" a="1"/>
  <c r="H1683" i="3" s="1"/>
  <c r="H511" i="3" a="1"/>
  <c r="H511" i="3" s="1"/>
  <c r="H1684" i="3" a="1"/>
  <c r="H1684" i="3" s="1"/>
  <c r="H2181" i="3" a="1"/>
  <c r="H2181" i="3" s="1"/>
  <c r="H725" i="3" a="1"/>
  <c r="H725" i="3" s="1"/>
  <c r="H1685" i="3" a="1"/>
  <c r="H1685" i="3" s="1"/>
  <c r="H2182" i="3" a="1"/>
  <c r="H2182" i="3" s="1"/>
  <c r="H2183" i="3" a="1"/>
  <c r="H2183" i="3" s="1"/>
  <c r="H2184" i="3" a="1"/>
  <c r="H2184" i="3" s="1"/>
  <c r="H2185" i="3" a="1"/>
  <c r="H2185" i="3" s="1"/>
  <c r="H969" i="3" a="1"/>
  <c r="H969" i="3" s="1"/>
  <c r="H1418" i="3" a="1"/>
  <c r="H1418" i="3" s="1"/>
  <c r="H1686" i="3" a="1"/>
  <c r="H1686" i="3" s="1"/>
  <c r="H1687" i="3" a="1"/>
  <c r="H1687" i="3" s="1"/>
  <c r="H512" i="3" a="1"/>
  <c r="H512" i="3" s="1"/>
  <c r="H970" i="3" a="1"/>
  <c r="H970" i="3" s="1"/>
  <c r="H2186" i="3" a="1"/>
  <c r="H2186" i="3" s="1"/>
  <c r="H1688" i="3" a="1"/>
  <c r="H1688" i="3" s="1"/>
  <c r="H1689" i="3" a="1"/>
  <c r="H1689" i="3" s="1"/>
  <c r="H2187" i="3" a="1"/>
  <c r="H2187" i="3" s="1"/>
  <c r="H1690" i="3" a="1"/>
  <c r="H1690" i="3" s="1"/>
  <c r="H1691" i="3" a="1"/>
  <c r="H1691" i="3" s="1"/>
  <c r="H2188" i="3" a="1"/>
  <c r="H2188" i="3" s="1"/>
  <c r="H2116" i="3" a="1"/>
  <c r="H2116" i="3" s="1"/>
  <c r="H1268" i="3" a="1"/>
  <c r="H1268" i="3" s="1"/>
  <c r="H1692" i="3" a="1"/>
  <c r="H1692" i="3" s="1"/>
  <c r="H971" i="3" a="1"/>
  <c r="H971" i="3" s="1"/>
  <c r="H726" i="3" a="1"/>
  <c r="H726" i="3" s="1"/>
  <c r="H2189" i="3" a="1"/>
  <c r="H2189" i="3" s="1"/>
  <c r="H727" i="3" a="1"/>
  <c r="H727" i="3" s="1"/>
  <c r="H1269" i="3" a="1"/>
  <c r="H1269" i="3" s="1"/>
  <c r="H1693" i="3" a="1"/>
  <c r="H1693" i="3" s="1"/>
  <c r="H6" i="3" a="1"/>
  <c r="H6" i="3" s="1"/>
  <c r="H972" i="3" a="1"/>
  <c r="H972" i="3" s="1"/>
  <c r="H513" i="3" a="1"/>
  <c r="H513" i="3" s="1"/>
  <c r="H1394" i="3" a="1"/>
  <c r="H1394" i="3" s="1"/>
  <c r="H2190" i="3" a="1"/>
  <c r="H2190" i="3" s="1"/>
  <c r="H2191" i="3" a="1"/>
  <c r="H2191" i="3" s="1"/>
  <c r="H1694" i="3" a="1"/>
  <c r="H1694" i="3" s="1"/>
  <c r="H2192" i="3" a="1"/>
  <c r="H2192" i="3" s="1"/>
  <c r="H1695" i="3" a="1"/>
  <c r="H1695" i="3" s="1"/>
  <c r="H2193" i="3" a="1"/>
  <c r="H2193" i="3" s="1"/>
  <c r="H1395" i="3" a="1"/>
  <c r="H1395" i="3" s="1"/>
  <c r="H728" i="3" a="1"/>
  <c r="H728" i="3" s="1"/>
  <c r="H1696" i="3" a="1"/>
  <c r="H1696" i="3" s="1"/>
  <c r="H2194" i="3" a="1"/>
  <c r="H2194" i="3" s="1"/>
  <c r="H973" i="3" a="1"/>
  <c r="H973" i="3" s="1"/>
  <c r="H2359" i="3" a="1"/>
  <c r="H2359" i="3" s="1"/>
  <c r="H1697" i="3" a="1"/>
  <c r="H1697" i="3" s="1"/>
  <c r="H514" i="3" a="1"/>
  <c r="H514" i="3" s="1"/>
  <c r="H515" i="3" a="1"/>
  <c r="H515" i="3" s="1"/>
  <c r="H516" i="3" a="1"/>
  <c r="H516" i="3" s="1"/>
  <c r="H517" i="3" a="1"/>
  <c r="H517" i="3" s="1"/>
  <c r="H518" i="3" a="1"/>
  <c r="H518" i="3" s="1"/>
  <c r="H519" i="3" a="1"/>
  <c r="H519" i="3" s="1"/>
  <c r="H520" i="3" a="1"/>
  <c r="H520" i="3" s="1"/>
  <c r="H521" i="3" a="1"/>
  <c r="H521" i="3" s="1"/>
  <c r="H522" i="3" a="1"/>
  <c r="H522" i="3" s="1"/>
  <c r="H523" i="3" a="1"/>
  <c r="H523" i="3" s="1"/>
  <c r="H524" i="3" a="1"/>
  <c r="H524" i="3" s="1"/>
  <c r="H525" i="3" a="1"/>
  <c r="H525" i="3" s="1"/>
  <c r="H526" i="3" a="1"/>
  <c r="H526" i="3" s="1"/>
  <c r="H527" i="3" a="1"/>
  <c r="H527" i="3" s="1"/>
  <c r="H1270" i="3" a="1"/>
  <c r="H1270" i="3" s="1"/>
  <c r="H729" i="3" a="1"/>
  <c r="H729" i="3" s="1"/>
  <c r="H2360" i="3" a="1"/>
  <c r="H2360" i="3" s="1"/>
  <c r="H730" i="3" a="1"/>
  <c r="H730" i="3" s="1"/>
  <c r="H1698" i="3" a="1"/>
  <c r="H1698" i="3" s="1"/>
  <c r="H731" i="3" a="1"/>
  <c r="H731" i="3" s="1"/>
  <c r="H974" i="3" a="1"/>
  <c r="H974" i="3" s="1"/>
  <c r="H1699" i="3" a="1"/>
  <c r="H1699" i="3" s="1"/>
  <c r="H732" i="3" a="1"/>
  <c r="H732" i="3" s="1"/>
  <c r="H2361" i="3" a="1"/>
  <c r="H2361" i="3" s="1"/>
  <c r="H733" i="3" a="1"/>
  <c r="H733" i="3" s="1"/>
  <c r="H734" i="3" a="1"/>
  <c r="H734" i="3" s="1"/>
  <c r="H735" i="3" a="1"/>
  <c r="H735" i="3" s="1"/>
  <c r="H736" i="3" a="1"/>
  <c r="H736" i="3" s="1"/>
  <c r="H737" i="3" a="1"/>
  <c r="H737" i="3" s="1"/>
  <c r="H738" i="3" a="1"/>
  <c r="H738" i="3" s="1"/>
  <c r="H739" i="3" a="1"/>
  <c r="H739" i="3" s="1"/>
  <c r="H740" i="3" a="1"/>
  <c r="H740" i="3" s="1"/>
  <c r="H741" i="3" a="1"/>
  <c r="H741" i="3" s="1"/>
  <c r="H1700" i="3" a="1"/>
  <c r="H1700" i="3" s="1"/>
  <c r="H7" i="3" a="1"/>
  <c r="H7" i="3" s="1"/>
  <c r="H1701" i="3" a="1"/>
  <c r="H1701" i="3" s="1"/>
  <c r="H975" i="3" a="1"/>
  <c r="H975" i="3" s="1"/>
  <c r="H2195" i="3" a="1"/>
  <c r="H2195" i="3" s="1"/>
  <c r="H2196" i="3" a="1"/>
  <c r="H2196" i="3" s="1"/>
  <c r="H2197" i="3" a="1"/>
  <c r="H2197" i="3" s="1"/>
  <c r="H2198" i="3" a="1"/>
  <c r="H2198" i="3" s="1"/>
  <c r="H2199" i="3" a="1"/>
  <c r="H2199" i="3" s="1"/>
  <c r="H2200" i="3" a="1"/>
  <c r="H2200" i="3" s="1"/>
  <c r="H1702" i="3" a="1"/>
  <c r="H1702" i="3" s="1"/>
  <c r="H1271" i="3" a="1"/>
  <c r="H1271" i="3" s="1"/>
  <c r="H2201" i="3" a="1"/>
  <c r="H2201" i="3" s="1"/>
  <c r="H1703" i="3" a="1"/>
  <c r="H1703" i="3" s="1"/>
  <c r="H1704" i="3" a="1"/>
  <c r="H1704" i="3" s="1"/>
  <c r="H1272" i="3" a="1"/>
  <c r="H1272" i="3" s="1"/>
  <c r="H528" i="3" a="1"/>
  <c r="H528" i="3" s="1"/>
  <c r="H529" i="3" a="1"/>
  <c r="H529" i="3" s="1"/>
  <c r="H530" i="3" a="1"/>
  <c r="H530" i="3" s="1"/>
  <c r="H531" i="3" a="1"/>
  <c r="H531" i="3" s="1"/>
  <c r="H532" i="3" a="1"/>
  <c r="H532" i="3" s="1"/>
  <c r="H533" i="3" a="1"/>
  <c r="H533" i="3" s="1"/>
  <c r="H534" i="3" a="1"/>
  <c r="H534" i="3" s="1"/>
  <c r="H535" i="3" a="1"/>
  <c r="H535" i="3" s="1"/>
  <c r="H536" i="3" a="1"/>
  <c r="H536" i="3" s="1"/>
  <c r="H537" i="3" a="1"/>
  <c r="H537" i="3" s="1"/>
  <c r="H538" i="3" a="1"/>
  <c r="H538" i="3" s="1"/>
  <c r="H539" i="3" a="1"/>
  <c r="H539" i="3" s="1"/>
  <c r="H540" i="3" a="1"/>
  <c r="H540" i="3" s="1"/>
  <c r="H2202" i="3" a="1"/>
  <c r="H2202" i="3" s="1"/>
  <c r="H742" i="3" a="1"/>
  <c r="H742" i="3" s="1"/>
  <c r="H743" i="3" a="1"/>
  <c r="H743" i="3" s="1"/>
  <c r="H1705" i="3" a="1"/>
  <c r="H1705" i="3" s="1"/>
  <c r="H976" i="3" a="1"/>
  <c r="H976" i="3" s="1"/>
  <c r="H1706" i="3" a="1"/>
  <c r="H1706" i="3" s="1"/>
  <c r="H977" i="3" a="1"/>
  <c r="H977" i="3" s="1"/>
  <c r="H1273" i="3" a="1"/>
  <c r="H1273" i="3" s="1"/>
  <c r="H1707" i="3" a="1"/>
  <c r="H1707" i="3" s="1"/>
  <c r="H1708" i="3" a="1"/>
  <c r="H1708" i="3" s="1"/>
  <c r="H1274" i="3" a="1"/>
  <c r="H1274" i="3" s="1"/>
  <c r="H978" i="3" a="1"/>
  <c r="H978" i="3" s="1"/>
  <c r="H744" i="3" a="1"/>
  <c r="H744" i="3" s="1"/>
  <c r="H2203" i="3" a="1"/>
  <c r="H2203" i="3" s="1"/>
  <c r="H2204" i="3" a="1"/>
  <c r="H2204" i="3" s="1"/>
  <c r="H2205" i="3" a="1"/>
  <c r="H2205" i="3" s="1"/>
  <c r="H2206" i="3" a="1"/>
  <c r="H2206" i="3" s="1"/>
  <c r="H2207" i="3" a="1"/>
  <c r="H2207" i="3" s="1"/>
  <c r="H2208" i="3" a="1"/>
  <c r="H2208" i="3" s="1"/>
  <c r="H2209" i="3" a="1"/>
  <c r="H2209" i="3" s="1"/>
  <c r="H2210" i="3" a="1"/>
  <c r="H2210" i="3" s="1"/>
  <c r="H2211" i="3" a="1"/>
  <c r="H2211" i="3" s="1"/>
  <c r="H2212" i="3" a="1"/>
  <c r="H2212" i="3" s="1"/>
  <c r="H2213" i="3" a="1"/>
  <c r="H2213" i="3" s="1"/>
  <c r="H2214" i="3" a="1"/>
  <c r="H2214" i="3" s="1"/>
  <c r="H2215" i="3" a="1"/>
  <c r="H2215" i="3" s="1"/>
  <c r="H2216" i="3" a="1"/>
  <c r="H2216" i="3" s="1"/>
  <c r="H2217" i="3" a="1"/>
  <c r="H2217" i="3" s="1"/>
  <c r="H2218" i="3" a="1"/>
  <c r="H2218" i="3" s="1"/>
  <c r="H1992" i="3" a="1"/>
  <c r="H1992" i="3" s="1"/>
  <c r="H745" i="3" a="1"/>
  <c r="H745" i="3" s="1"/>
  <c r="H1709" i="3" a="1"/>
  <c r="H1709" i="3" s="1"/>
  <c r="H2219" i="3" a="1"/>
  <c r="H2219" i="3" s="1"/>
  <c r="H979" i="3" a="1"/>
  <c r="H979" i="3" s="1"/>
  <c r="H1710" i="3" a="1"/>
  <c r="H1710" i="3" s="1"/>
  <c r="H2220" i="3" a="1"/>
  <c r="H2220" i="3" s="1"/>
  <c r="H2221" i="3" a="1"/>
  <c r="H2221" i="3" s="1"/>
  <c r="H2222" i="3" a="1"/>
  <c r="H2222" i="3" s="1"/>
  <c r="H1711" i="3" a="1"/>
  <c r="H1711" i="3" s="1"/>
  <c r="H2223" i="3" a="1"/>
  <c r="H2223" i="3" s="1"/>
  <c r="H541" i="3" a="1"/>
  <c r="H541" i="3" s="1"/>
  <c r="H1712" i="3" a="1"/>
  <c r="H1712" i="3" s="1"/>
  <c r="H1993" i="3" a="1"/>
  <c r="H1993" i="3" s="1"/>
  <c r="H2362" i="3" a="1"/>
  <c r="H2362" i="3" s="1"/>
  <c r="H1713" i="3" a="1"/>
  <c r="H1713" i="3" s="1"/>
  <c r="H746" i="3" a="1"/>
  <c r="H746" i="3" s="1"/>
  <c r="H2224" i="3" a="1"/>
  <c r="H2224" i="3" s="1"/>
  <c r="H2363" i="3" a="1"/>
  <c r="H2363" i="3" s="1"/>
  <c r="H1714" i="3" a="1"/>
  <c r="H1714" i="3" s="1"/>
  <c r="H980" i="3" a="1"/>
  <c r="H980" i="3" s="1"/>
  <c r="H747" i="3" a="1"/>
  <c r="H747" i="3" s="1"/>
  <c r="H1715" i="3" a="1"/>
  <c r="H1715" i="3" s="1"/>
  <c r="H2117" i="3" a="1"/>
  <c r="H2117" i="3" s="1"/>
  <c r="H2225" i="3" a="1"/>
  <c r="H2225" i="3" s="1"/>
  <c r="H1716" i="3" a="1"/>
  <c r="H1716" i="3" s="1"/>
  <c r="H1717" i="3" a="1"/>
  <c r="H1717" i="3" s="1"/>
  <c r="H2364" i="3" a="1"/>
  <c r="H2364" i="3" s="1"/>
  <c r="H1718" i="3" a="1"/>
  <c r="H1718" i="3" s="1"/>
  <c r="H981" i="3" a="1"/>
  <c r="H981" i="3" s="1"/>
  <c r="H982" i="3" a="1"/>
  <c r="H982" i="3" s="1"/>
  <c r="H748" i="3" a="1"/>
  <c r="H748" i="3" s="1"/>
  <c r="H542" i="3" a="1"/>
  <c r="H542" i="3" s="1"/>
  <c r="H1433" i="3" a="1"/>
  <c r="H1433" i="3" s="1"/>
  <c r="H2365" i="3" a="1"/>
  <c r="H2365" i="3" s="1"/>
  <c r="H2226" i="3" a="1"/>
  <c r="H2226" i="3" s="1"/>
  <c r="H749" i="3" a="1"/>
  <c r="H749" i="3" s="1"/>
  <c r="H1719" i="3" a="1"/>
  <c r="H1719" i="3" s="1"/>
  <c r="H1720" i="3" a="1"/>
  <c r="H1720" i="3" s="1"/>
  <c r="H1721" i="3" a="1"/>
  <c r="H1721" i="3" s="1"/>
  <c r="H1722" i="3" a="1"/>
  <c r="H1722" i="3" s="1"/>
  <c r="H1723" i="3" a="1"/>
  <c r="H1723" i="3" s="1"/>
  <c r="H1724" i="3" a="1"/>
  <c r="H1724" i="3" s="1"/>
  <c r="H1725" i="3" a="1"/>
  <c r="H1725" i="3" s="1"/>
  <c r="H1726" i="3" a="1"/>
  <c r="H1726" i="3" s="1"/>
  <c r="H1727" i="3" a="1"/>
  <c r="H1727" i="3" s="1"/>
  <c r="H1728" i="3" a="1"/>
  <c r="H1728" i="3" s="1"/>
  <c r="H1729" i="3" a="1"/>
  <c r="H1729" i="3" s="1"/>
  <c r="H1730" i="3" a="1"/>
  <c r="H1730" i="3" s="1"/>
  <c r="H1731" i="3" a="1"/>
  <c r="H1731" i="3" s="1"/>
  <c r="H1732" i="3" a="1"/>
  <c r="H1732" i="3" s="1"/>
  <c r="H1733" i="3" a="1"/>
  <c r="H1733" i="3" s="1"/>
  <c r="H1434" i="3" a="1"/>
  <c r="H1434" i="3" s="1"/>
  <c r="H1734" i="3" a="1"/>
  <c r="H1734" i="3" s="1"/>
  <c r="H750" i="3" a="1"/>
  <c r="H750" i="3" s="1"/>
  <c r="H1275" i="3" a="1"/>
  <c r="H1275" i="3" s="1"/>
  <c r="H2227" i="3" a="1"/>
  <c r="H2227" i="3" s="1"/>
  <c r="H1735" i="3" a="1"/>
  <c r="H1735" i="3" s="1"/>
  <c r="H2366" i="3" a="1"/>
  <c r="H2366" i="3" s="1"/>
  <c r="H1736" i="3" a="1"/>
  <c r="H1736" i="3" s="1"/>
  <c r="H1737" i="3" a="1"/>
  <c r="H1737" i="3" s="1"/>
  <c r="H983" i="3" a="1"/>
  <c r="H983" i="3" s="1"/>
  <c r="H2228" i="3" a="1"/>
  <c r="H2228" i="3" s="1"/>
  <c r="H1738" i="3" a="1"/>
  <c r="H1738" i="3" s="1"/>
  <c r="H1739" i="3" a="1"/>
  <c r="H1739" i="3" s="1"/>
  <c r="H751" i="3" a="1"/>
  <c r="H751" i="3" s="1"/>
  <c r="H1432" i="3" a="1"/>
  <c r="H1432" i="3" s="1"/>
  <c r="H1740" i="3" a="1"/>
  <c r="H1740" i="3" s="1"/>
  <c r="H543" i="3" a="1"/>
  <c r="H543" i="3" s="1"/>
  <c r="H1741" i="3" a="1"/>
  <c r="H1741" i="3" s="1"/>
  <c r="H1276" i="3" a="1"/>
  <c r="H1276" i="3" s="1"/>
  <c r="H752" i="3" a="1"/>
  <c r="H752" i="3" s="1"/>
  <c r="H1742" i="3" a="1"/>
  <c r="H1742" i="3" s="1"/>
  <c r="H544" i="3" a="1"/>
  <c r="H544" i="3" s="1"/>
  <c r="H2367" i="3" a="1"/>
  <c r="H2367" i="3" s="1"/>
  <c r="H1235" i="3" a="1"/>
  <c r="H1235" i="3" s="1"/>
  <c r="H1743" i="3" a="1"/>
  <c r="H1743" i="3" s="1"/>
  <c r="H2555" i="3" a="1"/>
  <c r="H2555" i="3" s="1"/>
  <c r="H753" i="3" a="1"/>
  <c r="H753" i="3" s="1"/>
  <c r="H1744" i="3" a="1"/>
  <c r="H1744" i="3" s="1"/>
  <c r="H1745" i="3" a="1"/>
  <c r="H1745" i="3" s="1"/>
  <c r="H1435" i="3" a="1"/>
  <c r="H1435" i="3" s="1"/>
  <c r="H1746" i="3" a="1"/>
  <c r="H1746" i="3" s="1"/>
  <c r="H1436" i="3" a="1"/>
  <c r="H1436" i="3" s="1"/>
  <c r="H754" i="3" a="1"/>
  <c r="H754" i="3" s="1"/>
  <c r="H755" i="3" a="1"/>
  <c r="H755" i="3" s="1"/>
  <c r="H756" i="3" a="1"/>
  <c r="H756" i="3" s="1"/>
  <c r="H757" i="3" a="1"/>
  <c r="H757" i="3" s="1"/>
  <c r="H2543" i="3" a="1"/>
  <c r="H2543" i="3" s="1"/>
  <c r="H545" i="3" a="1"/>
  <c r="H545" i="3" s="1"/>
  <c r="H1747" i="3" a="1"/>
  <c r="H1747" i="3" s="1"/>
  <c r="H1230" i="3" a="1"/>
  <c r="H1230" i="3" s="1"/>
  <c r="H2368" i="3" a="1"/>
  <c r="H2368" i="3" s="1"/>
  <c r="H1994" i="3" a="1"/>
  <c r="H1994" i="3" s="1"/>
  <c r="H1748" i="3" a="1"/>
  <c r="H1748" i="3" s="1"/>
  <c r="H1749" i="3" a="1"/>
  <c r="H1749" i="3" s="1"/>
  <c r="H1750" i="3" a="1"/>
  <c r="H1750" i="3" s="1"/>
  <c r="H1277" i="3" a="1"/>
  <c r="H1277" i="3" s="1"/>
  <c r="H1437" i="3" a="1"/>
  <c r="H1437" i="3" s="1"/>
  <c r="H1751" i="3" a="1"/>
  <c r="H1751" i="3" s="1"/>
  <c r="H1752" i="3" a="1"/>
  <c r="H1752" i="3" s="1"/>
  <c r="H1232" i="3" a="1"/>
  <c r="H1232" i="3" s="1"/>
  <c r="H8" i="3" a="1"/>
  <c r="H8" i="3" s="1"/>
  <c r="H1753" i="3" a="1"/>
  <c r="H1753" i="3" s="1"/>
  <c r="H1438" i="3" a="1"/>
  <c r="H1438" i="3" s="1"/>
  <c r="H1278" i="3" a="1"/>
  <c r="H1278" i="3" s="1"/>
  <c r="H2369" i="3" a="1"/>
  <c r="H2369" i="3" s="1"/>
  <c r="H1754" i="3" a="1"/>
  <c r="H1754" i="3" s="1"/>
  <c r="H1755" i="3" a="1"/>
  <c r="H1755" i="3" s="1"/>
  <c r="H1439" i="3" a="1"/>
  <c r="H1439" i="3" s="1"/>
  <c r="H1756" i="3" a="1"/>
  <c r="H1756" i="3" s="1"/>
  <c r="H984" i="3" a="1"/>
  <c r="H984" i="3" s="1"/>
  <c r="H1757" i="3" a="1"/>
  <c r="H1757" i="3" s="1"/>
  <c r="H1440" i="3" a="1"/>
  <c r="H1440" i="3" s="1"/>
  <c r="H1279" i="3" a="1"/>
  <c r="H1279" i="3" s="1"/>
  <c r="H1280" i="3" a="1"/>
  <c r="H1280" i="3" s="1"/>
  <c r="H1281" i="3" a="1"/>
  <c r="H1281" i="3" s="1"/>
  <c r="H1282" i="3" a="1"/>
  <c r="H1282" i="3" s="1"/>
  <c r="H1283" i="3" a="1"/>
  <c r="H1283" i="3" s="1"/>
  <c r="H1284" i="3" a="1"/>
  <c r="H1284" i="3" s="1"/>
  <c r="H1285" i="3" a="1"/>
  <c r="H1285" i="3" s="1"/>
  <c r="H1286" i="3" a="1"/>
  <c r="H1286" i="3" s="1"/>
  <c r="H1287" i="3" a="1"/>
  <c r="H1287" i="3" s="1"/>
  <c r="H1288" i="3" a="1"/>
  <c r="H1288" i="3" s="1"/>
  <c r="H1289" i="3" a="1"/>
  <c r="H1289" i="3" s="1"/>
  <c r="H1290" i="3" a="1"/>
  <c r="H1290" i="3" s="1"/>
  <c r="H1291" i="3" a="1"/>
  <c r="H1291" i="3" s="1"/>
  <c r="H758" i="3" a="1"/>
  <c r="H758" i="3" s="1"/>
  <c r="H1758" i="3" a="1"/>
  <c r="H1758" i="3" s="1"/>
  <c r="H546" i="3" a="1"/>
  <c r="H546" i="3" s="1"/>
  <c r="H1759" i="3" a="1"/>
  <c r="H1759" i="3" s="1"/>
  <c r="H547" i="3" a="1"/>
  <c r="H547" i="3" s="1"/>
  <c r="H1441" i="3" a="1"/>
  <c r="H1441" i="3" s="1"/>
  <c r="H2370" i="3" a="1"/>
  <c r="H2370" i="3" s="1"/>
  <c r="H1760" i="3" a="1"/>
  <c r="H1760" i="3" s="1"/>
  <c r="H2544" i="3" a="1"/>
  <c r="H2544" i="3" s="1"/>
  <c r="H1761" i="3" a="1"/>
  <c r="H1761" i="3" s="1"/>
  <c r="H1995" i="3" a="1"/>
  <c r="H1995" i="3" s="1"/>
  <c r="H1762" i="3" a="1"/>
  <c r="H1762" i="3" s="1"/>
  <c r="H1442" i="3" a="1"/>
  <c r="H1442" i="3" s="1"/>
  <c r="H1763" i="3" a="1"/>
  <c r="H1763" i="3" s="1"/>
  <c r="H2556" i="3" a="1"/>
  <c r="H2556" i="3" s="1"/>
  <c r="H1764" i="3" a="1"/>
  <c r="H1764" i="3" s="1"/>
  <c r="H759" i="3" a="1"/>
  <c r="H759" i="3" s="1"/>
  <c r="H760" i="3" a="1"/>
  <c r="H760" i="3" s="1"/>
  <c r="H761" i="3" a="1"/>
  <c r="H761" i="3" s="1"/>
  <c r="H762" i="3" a="1"/>
  <c r="H762" i="3" s="1"/>
  <c r="H548" i="3" a="1"/>
  <c r="H548" i="3" s="1"/>
  <c r="H1765" i="3" a="1"/>
  <c r="H1765" i="3" s="1"/>
  <c r="H763" i="3" a="1"/>
  <c r="H763" i="3" s="1"/>
  <c r="H764" i="3" a="1"/>
  <c r="H764" i="3" s="1"/>
  <c r="H694" i="3" a="1"/>
  <c r="H694" i="3" s="1"/>
  <c r="H985" i="3" a="1"/>
  <c r="H985" i="3" s="1"/>
  <c r="H2545" i="3" a="1"/>
  <c r="H2545" i="3" s="1"/>
  <c r="H2371" i="3" a="1"/>
  <c r="H2371" i="3" s="1"/>
  <c r="H1996" i="3" a="1"/>
  <c r="H1996" i="3" s="1"/>
  <c r="H765" i="3" a="1"/>
  <c r="H765" i="3" s="1"/>
  <c r="H549" i="3" a="1"/>
  <c r="H549" i="3" s="1"/>
  <c r="H1766" i="3" a="1"/>
  <c r="H1766" i="3" s="1"/>
  <c r="H9" i="3" a="1"/>
  <c r="H9" i="3" s="1"/>
  <c r="H1767" i="3" a="1"/>
  <c r="H1767" i="3" s="1"/>
  <c r="H2372" i="3" a="1"/>
  <c r="H2372" i="3" s="1"/>
  <c r="H1768" i="3" a="1"/>
  <c r="H1768" i="3" s="1"/>
  <c r="H550" i="3" a="1"/>
  <c r="H550" i="3" s="1"/>
  <c r="H551" i="3" a="1"/>
  <c r="H551" i="3" s="1"/>
  <c r="H2557" i="3" a="1"/>
  <c r="H2557" i="3" s="1"/>
  <c r="H552" i="3" a="1"/>
  <c r="H552" i="3" s="1"/>
  <c r="H2373" i="3" a="1"/>
  <c r="H2373" i="3" s="1"/>
  <c r="H553" i="3" a="1"/>
  <c r="H553" i="3" s="1"/>
  <c r="H1769" i="3" a="1"/>
  <c r="H1769" i="3" s="1"/>
  <c r="H1770" i="3" a="1"/>
  <c r="H1770" i="3" s="1"/>
  <c r="H986" i="3" a="1"/>
  <c r="H986" i="3" s="1"/>
  <c r="H766" i="3" a="1"/>
  <c r="H766" i="3" s="1"/>
  <c r="H2374" i="3" a="1"/>
  <c r="H2374" i="3" s="1"/>
  <c r="H2375" i="3" a="1"/>
  <c r="H2375" i="3" s="1"/>
  <c r="H2376" i="3" a="1"/>
  <c r="H2376" i="3" s="1"/>
  <c r="H2377" i="3" a="1"/>
  <c r="H2377" i="3" s="1"/>
  <c r="H2378" i="3" a="1"/>
  <c r="H2378" i="3" s="1"/>
  <c r="H2379" i="3" a="1"/>
  <c r="H2379" i="3" s="1"/>
  <c r="H2380" i="3" a="1"/>
  <c r="H2380" i="3" s="1"/>
  <c r="H2381" i="3" a="1"/>
  <c r="H2381" i="3" s="1"/>
  <c r="H2382" i="3" a="1"/>
  <c r="H2382" i="3" s="1"/>
  <c r="H1771" i="3" a="1"/>
  <c r="H1771" i="3" s="1"/>
  <c r="H2546" i="3" a="1"/>
  <c r="H2546" i="3" s="1"/>
  <c r="H987" i="3" a="1"/>
  <c r="H987" i="3" s="1"/>
  <c r="H1772" i="3" a="1"/>
  <c r="H1772" i="3" s="1"/>
  <c r="H767" i="3" a="1"/>
  <c r="H767" i="3" s="1"/>
  <c r="H1773" i="3" a="1"/>
  <c r="H1773" i="3" s="1"/>
  <c r="H554" i="3" a="1"/>
  <c r="H554" i="3" s="1"/>
  <c r="H768" i="3" a="1"/>
  <c r="H768" i="3" s="1"/>
  <c r="H2558" i="3" a="1"/>
  <c r="H2558" i="3" s="1"/>
  <c r="H988" i="3" a="1"/>
  <c r="H988" i="3" s="1"/>
  <c r="H1774" i="3" a="1"/>
  <c r="H1774" i="3" s="1"/>
  <c r="H769" i="3" a="1"/>
  <c r="H769" i="3" s="1"/>
  <c r="H1997" i="3" a="1"/>
  <c r="H1997" i="3" s="1"/>
  <c r="H555" i="3" a="1"/>
  <c r="H555" i="3" s="1"/>
  <c r="H1775" i="3" a="1"/>
  <c r="H1775" i="3" s="1"/>
  <c r="H770" i="3" a="1"/>
  <c r="H770" i="3" s="1"/>
  <c r="H1443" i="3" a="1"/>
  <c r="H1443" i="3" s="1"/>
  <c r="H2383" i="3" a="1"/>
  <c r="H2383" i="3" s="1"/>
  <c r="H1776" i="3" a="1"/>
  <c r="H1776" i="3" s="1"/>
  <c r="H556" i="3" a="1"/>
  <c r="H556" i="3" s="1"/>
  <c r="H1998" i="3" a="1"/>
  <c r="H1998" i="3" s="1"/>
  <c r="H2384" i="3" a="1"/>
  <c r="H2384" i="3" s="1"/>
  <c r="H1292" i="3" a="1"/>
  <c r="H1292" i="3" s="1"/>
  <c r="H2547" i="3" a="1"/>
  <c r="H2547" i="3" s="1"/>
  <c r="H771" i="3" a="1"/>
  <c r="H771" i="3" s="1"/>
  <c r="H772" i="3" a="1"/>
  <c r="H772" i="3" s="1"/>
  <c r="H1777" i="3" a="1"/>
  <c r="H1777" i="3" s="1"/>
  <c r="H773" i="3" a="1"/>
  <c r="H773" i="3" s="1"/>
  <c r="H10" i="3" a="1"/>
  <c r="H10" i="3" s="1"/>
  <c r="H774" i="3" a="1"/>
  <c r="H774" i="3" s="1"/>
  <c r="H2385" i="3" a="1"/>
  <c r="H2385" i="3" s="1"/>
  <c r="H1999" i="3" a="1"/>
  <c r="H1999" i="3" s="1"/>
  <c r="H557" i="3" a="1"/>
  <c r="H557" i="3" s="1"/>
  <c r="H11" i="3" a="1"/>
  <c r="H11" i="3" s="1"/>
  <c r="H1339" i="3" a="1"/>
  <c r="H1339" i="3" s="1"/>
  <c r="H1444" i="3" a="1"/>
  <c r="H1444" i="3" s="1"/>
  <c r="H558" i="3" a="1"/>
  <c r="H558" i="3" s="1"/>
  <c r="H2386" i="3" a="1"/>
  <c r="H2386" i="3" s="1"/>
  <c r="H1778" i="3" a="1"/>
  <c r="H1778" i="3" s="1"/>
  <c r="H775" i="3" a="1"/>
  <c r="H775" i="3" s="1"/>
  <c r="H1340" i="3" a="1"/>
  <c r="H1340" i="3" s="1"/>
  <c r="H2387" i="3" a="1"/>
  <c r="H2387" i="3" s="1"/>
  <c r="H559" i="3" a="1"/>
  <c r="H559" i="3" s="1"/>
  <c r="H1779" i="3" a="1"/>
  <c r="H1779" i="3" s="1"/>
  <c r="H1780" i="3" a="1"/>
  <c r="H1780" i="3" s="1"/>
  <c r="H776" i="3" a="1"/>
  <c r="H776" i="3" s="1"/>
  <c r="H1341" i="3" a="1"/>
  <c r="H1341" i="3" s="1"/>
  <c r="H560" i="3" a="1"/>
  <c r="H560" i="3" s="1"/>
  <c r="H561" i="3" a="1"/>
  <c r="H561" i="3" s="1"/>
  <c r="H562" i="3" a="1"/>
  <c r="H562" i="3" s="1"/>
  <c r="H1445" i="3" a="1"/>
  <c r="H1445" i="3" s="1"/>
  <c r="H2559" i="3" a="1"/>
  <c r="H2559" i="3" s="1"/>
  <c r="H563" i="3" a="1"/>
  <c r="H563" i="3" s="1"/>
  <c r="H2388" i="3" a="1"/>
  <c r="H2388" i="3" s="1"/>
  <c r="H2333" i="3" a="1"/>
  <c r="H2333" i="3" s="1"/>
  <c r="H2389" i="3" a="1"/>
  <c r="H2389" i="3" s="1"/>
  <c r="H2390" i="3" a="1"/>
  <c r="H2390" i="3" s="1"/>
  <c r="H2391" i="3" a="1"/>
  <c r="H2391" i="3" s="1"/>
  <c r="H2392" i="3" a="1"/>
  <c r="H2392" i="3" s="1"/>
  <c r="H2393" i="3" a="1"/>
  <c r="H2393" i="3" s="1"/>
  <c r="H2394" i="3" a="1"/>
  <c r="H2394" i="3" s="1"/>
  <c r="H2395" i="3" a="1"/>
  <c r="H2395" i="3" s="1"/>
  <c r="H2396" i="3" a="1"/>
  <c r="H2396" i="3" s="1"/>
  <c r="H777" i="3" a="1"/>
  <c r="H777" i="3" s="1"/>
  <c r="H989" i="3" a="1"/>
  <c r="H989" i="3" s="1"/>
  <c r="H2397" i="3" a="1"/>
  <c r="H2397" i="3" s="1"/>
  <c r="H990" i="3" a="1"/>
  <c r="H990" i="3" s="1"/>
  <c r="H778" i="3" a="1"/>
  <c r="H778" i="3" s="1"/>
  <c r="H2000" i="3" a="1"/>
  <c r="H2000" i="3" s="1"/>
  <c r="H12" i="3" a="1"/>
  <c r="H12" i="3" s="1"/>
  <c r="H564" i="3" a="1"/>
  <c r="H564" i="3" s="1"/>
  <c r="H779" i="3" a="1"/>
  <c r="H779" i="3" s="1"/>
  <c r="H13" i="3" a="1"/>
  <c r="H13" i="3" s="1"/>
  <c r="H14" i="3" a="1"/>
  <c r="H14" i="3" s="1"/>
  <c r="H15" i="3" a="1"/>
  <c r="H15" i="3" s="1"/>
  <c r="H565" i="3" a="1"/>
  <c r="H565" i="3" s="1"/>
  <c r="H2398" i="3" a="1"/>
  <c r="H2398" i="3" s="1"/>
  <c r="H2229" i="3" a="1"/>
  <c r="H2229" i="3" s="1"/>
  <c r="H16" i="3" a="1"/>
  <c r="H16" i="3" s="1"/>
  <c r="H991" i="3" a="1"/>
  <c r="H991" i="3" s="1"/>
  <c r="H1396" i="3" a="1"/>
  <c r="H1396" i="3" s="1"/>
  <c r="H566" i="3" a="1"/>
  <c r="H566" i="3" s="1"/>
  <c r="H2399" i="3" a="1"/>
  <c r="H2399" i="3" s="1"/>
  <c r="H992" i="3" a="1"/>
  <c r="H992" i="3" s="1"/>
  <c r="H2400" i="3" a="1"/>
  <c r="H2400" i="3" s="1"/>
  <c r="H780" i="3" a="1"/>
  <c r="H780" i="3" s="1"/>
  <c r="H17" i="3" a="1"/>
  <c r="H17" i="3" s="1"/>
  <c r="H1346" i="3" a="1"/>
  <c r="H1346" i="3" s="1"/>
  <c r="H993" i="3" a="1"/>
  <c r="H993" i="3" s="1"/>
  <c r="H781" i="3" a="1"/>
  <c r="H781" i="3" s="1"/>
  <c r="H695" i="3" a="1"/>
  <c r="H695" i="3" s="1"/>
  <c r="H1397" i="3" a="1"/>
  <c r="H1397" i="3" s="1"/>
  <c r="H567" i="3" a="1"/>
  <c r="H567" i="3" s="1"/>
  <c r="H994" i="3" a="1"/>
  <c r="H994" i="3" s="1"/>
  <c r="H18" i="3" a="1"/>
  <c r="H18" i="3" s="1"/>
  <c r="H1781" i="3" a="1"/>
  <c r="H1781" i="3" s="1"/>
  <c r="H2401" i="3" a="1"/>
  <c r="H2401" i="3" s="1"/>
  <c r="H782" i="3" a="1"/>
  <c r="H782" i="3" s="1"/>
  <c r="H1782" i="3" a="1"/>
  <c r="H1782" i="3" s="1"/>
  <c r="H568" i="3" a="1"/>
  <c r="H568" i="3" s="1"/>
  <c r="H2402" i="3" a="1"/>
  <c r="H2402" i="3" s="1"/>
  <c r="H1783" i="3" a="1"/>
  <c r="H1783" i="3" s="1"/>
  <c r="H1293" i="3" a="1"/>
  <c r="H1293" i="3" s="1"/>
  <c r="H783" i="3" a="1"/>
  <c r="H783" i="3" s="1"/>
  <c r="H2403" i="3" a="1"/>
  <c r="H2403" i="3" s="1"/>
  <c r="H2404" i="3" a="1"/>
  <c r="H2404" i="3" s="1"/>
  <c r="H1784" i="3" a="1"/>
  <c r="H1784" i="3" s="1"/>
  <c r="H1398" i="3" a="1"/>
  <c r="H1398" i="3" s="1"/>
  <c r="H1347" i="3" a="1"/>
  <c r="H1347" i="3" s="1"/>
  <c r="H19" i="3" a="1"/>
  <c r="H19" i="3" s="1"/>
  <c r="H1785" i="3" a="1"/>
  <c r="H1785" i="3" s="1"/>
  <c r="H1786" i="3" a="1"/>
  <c r="H1786" i="3" s="1"/>
  <c r="H2230" i="3" a="1"/>
  <c r="H2230" i="3" s="1"/>
  <c r="H1787" i="3" a="1"/>
  <c r="H1787" i="3" s="1"/>
  <c r="H2001" i="3" a="1"/>
  <c r="H2001" i="3" s="1"/>
  <c r="H20" i="3" a="1"/>
  <c r="H20" i="3" s="1"/>
  <c r="H995" i="3" a="1"/>
  <c r="H995" i="3" s="1"/>
  <c r="H784" i="3" a="1"/>
  <c r="H784" i="3" s="1"/>
  <c r="H2118" i="3" a="1"/>
  <c r="H2118" i="3" s="1"/>
  <c r="H569" i="3" a="1"/>
  <c r="H569" i="3" s="1"/>
  <c r="H2405" i="3" a="1"/>
  <c r="H2405" i="3" s="1"/>
  <c r="H1788" i="3" a="1"/>
  <c r="H1788" i="3" s="1"/>
  <c r="H996" i="3" a="1"/>
  <c r="H996" i="3" s="1"/>
  <c r="H785" i="3" a="1"/>
  <c r="H785" i="3" s="1"/>
  <c r="H21" i="3" a="1"/>
  <c r="H21" i="3" s="1"/>
  <c r="H997" i="3" a="1"/>
  <c r="H997" i="3" s="1"/>
  <c r="H1789" i="3" a="1"/>
  <c r="H1789" i="3" s="1"/>
  <c r="H570" i="3" a="1"/>
  <c r="H570" i="3" s="1"/>
  <c r="H2119" i="3" a="1"/>
  <c r="H2119" i="3" s="1"/>
  <c r="H998" i="3" a="1"/>
  <c r="H998" i="3" s="1"/>
  <c r="H786" i="3" a="1"/>
  <c r="H786" i="3" s="1"/>
  <c r="H2406" i="3" a="1"/>
  <c r="H2406" i="3" s="1"/>
  <c r="H1790" i="3" a="1"/>
  <c r="H1790" i="3" s="1"/>
  <c r="H571" i="3" a="1"/>
  <c r="H571" i="3" s="1"/>
  <c r="H1791" i="3" a="1"/>
  <c r="H1791" i="3" s="1"/>
  <c r="H2120" i="3" a="1"/>
  <c r="H2120" i="3" s="1"/>
  <c r="H1792" i="3" a="1"/>
  <c r="H1792" i="3" s="1"/>
  <c r="H22" i="3" a="1"/>
  <c r="H22" i="3" s="1"/>
  <c r="H1294" i="3" a="1"/>
  <c r="H1294" i="3" s="1"/>
  <c r="H572" i="3" a="1"/>
  <c r="H572" i="3" s="1"/>
  <c r="H2407" i="3" a="1"/>
  <c r="H2407" i="3" s="1"/>
  <c r="H2121" i="3" a="1"/>
  <c r="H2121" i="3" s="1"/>
  <c r="H573" i="3" a="1"/>
  <c r="H573" i="3" s="1"/>
  <c r="H1793" i="3" a="1"/>
  <c r="H1793" i="3" s="1"/>
  <c r="H1794" i="3" a="1"/>
  <c r="H1794" i="3" s="1"/>
  <c r="H787" i="3" a="1"/>
  <c r="H787" i="3" s="1"/>
  <c r="H2231" i="3" a="1"/>
  <c r="H2231" i="3" s="1"/>
  <c r="H2122" i="3" a="1"/>
  <c r="H2122" i="3" s="1"/>
  <c r="H1295" i="3" a="1"/>
  <c r="H1295" i="3" s="1"/>
  <c r="H788" i="3" a="1"/>
  <c r="H788" i="3" s="1"/>
  <c r="H2408" i="3" a="1"/>
  <c r="H2408" i="3" s="1"/>
  <c r="H1795" i="3" a="1"/>
  <c r="H1795" i="3" s="1"/>
  <c r="H2232" i="3" a="1"/>
  <c r="H2232" i="3" s="1"/>
  <c r="H574" i="3" a="1"/>
  <c r="H574" i="3" s="1"/>
  <c r="H23" i="3" a="1"/>
  <c r="H23" i="3" s="1"/>
  <c r="H2233" i="3" a="1"/>
  <c r="H2233" i="3" s="1"/>
  <c r="H24" i="3" a="1"/>
  <c r="H24" i="3" s="1"/>
  <c r="H1348" i="3" a="1"/>
  <c r="H1348" i="3" s="1"/>
  <c r="H1349" i="3" a="1"/>
  <c r="H1349" i="3" s="1"/>
  <c r="H1350" i="3" a="1"/>
  <c r="H1350" i="3" s="1"/>
  <c r="H1351" i="3" a="1"/>
  <c r="H1351" i="3" s="1"/>
  <c r="H1352" i="3" a="1"/>
  <c r="H1352" i="3" s="1"/>
  <c r="H1353" i="3" a="1"/>
  <c r="H1353" i="3" s="1"/>
  <c r="H1354" i="3" a="1"/>
  <c r="H1354" i="3" s="1"/>
  <c r="H1296" i="3" a="1"/>
  <c r="H1296" i="3" s="1"/>
  <c r="H999" i="3" a="1"/>
  <c r="H999" i="3" s="1"/>
  <c r="H25" i="3" a="1"/>
  <c r="H25" i="3" s="1"/>
  <c r="H1627" i="3" a="1"/>
  <c r="H1627" i="3" s="1"/>
  <c r="H575" i="3" a="1"/>
  <c r="H575" i="3" s="1"/>
  <c r="H2123" i="3" a="1"/>
  <c r="H2123" i="3" s="1"/>
  <c r="H1796" i="3" a="1"/>
  <c r="H1796" i="3" s="1"/>
  <c r="H1000" i="3" a="1"/>
  <c r="H1000" i="3" s="1"/>
  <c r="H576" i="3" a="1"/>
  <c r="H576" i="3" s="1"/>
  <c r="H2234" i="3" a="1"/>
  <c r="H2234" i="3" s="1"/>
  <c r="H789" i="3" a="1"/>
  <c r="H789" i="3" s="1"/>
  <c r="H2235" i="3" a="1"/>
  <c r="H2235" i="3" s="1"/>
  <c r="H1797" i="3" a="1"/>
  <c r="H1797" i="3" s="1"/>
  <c r="H1297" i="3" a="1"/>
  <c r="H1297" i="3" s="1"/>
  <c r="H2124" i="3" a="1"/>
  <c r="H2124" i="3" s="1"/>
  <c r="H1399" i="3" a="1"/>
  <c r="H1399" i="3" s="1"/>
  <c r="H2409" i="3" a="1"/>
  <c r="H2409" i="3" s="1"/>
  <c r="H2410" i="3" a="1"/>
  <c r="H2410" i="3" s="1"/>
  <c r="H1798" i="3" a="1"/>
  <c r="H1798" i="3" s="1"/>
  <c r="H26" i="3" a="1"/>
  <c r="H26" i="3" s="1"/>
  <c r="H1001" i="3" a="1"/>
  <c r="H1001" i="3" s="1"/>
  <c r="H2411" i="3" a="1"/>
  <c r="H2411" i="3" s="1"/>
  <c r="H2002" i="3" a="1"/>
  <c r="H2002" i="3" s="1"/>
  <c r="H1799" i="3" a="1"/>
  <c r="H1799" i="3" s="1"/>
  <c r="H577" i="3" a="1"/>
  <c r="H577" i="3" s="1"/>
  <c r="H1002" i="3" a="1"/>
  <c r="H1002" i="3" s="1"/>
  <c r="H2125" i="3" a="1"/>
  <c r="H2125" i="3" s="1"/>
  <c r="H790" i="3" a="1"/>
  <c r="H790" i="3" s="1"/>
  <c r="H791" i="3" a="1"/>
  <c r="H791" i="3" s="1"/>
  <c r="H2236" i="3" a="1"/>
  <c r="H2236" i="3" s="1"/>
  <c r="H1800" i="3" a="1"/>
  <c r="H1800" i="3" s="1"/>
  <c r="H2412" i="3" a="1"/>
  <c r="H2412" i="3" s="1"/>
  <c r="H1003" i="3" a="1"/>
  <c r="H1003" i="3" s="1"/>
  <c r="H578" i="3" a="1"/>
  <c r="H578" i="3" s="1"/>
  <c r="H579" i="3" a="1"/>
  <c r="H579" i="3" s="1"/>
  <c r="H580" i="3" a="1"/>
  <c r="H580" i="3" s="1"/>
  <c r="H581" i="3" a="1"/>
  <c r="H581" i="3" s="1"/>
  <c r="H582" i="3" a="1"/>
  <c r="H582" i="3" s="1"/>
  <c r="H583" i="3" a="1"/>
  <c r="H583" i="3" s="1"/>
  <c r="H504" i="3" a="1"/>
  <c r="H504" i="3" s="1"/>
  <c r="H584" i="3" a="1"/>
  <c r="H584" i="3" s="1"/>
  <c r="H585" i="3" a="1"/>
  <c r="H585" i="3" s="1"/>
  <c r="H586" i="3" a="1"/>
  <c r="H586" i="3" s="1"/>
  <c r="H503" i="3" a="1"/>
  <c r="H503" i="3" s="1"/>
  <c r="H792" i="3" a="1"/>
  <c r="H792" i="3" s="1"/>
  <c r="H1298" i="3" a="1"/>
  <c r="H1298" i="3" s="1"/>
  <c r="H1299" i="3" a="1"/>
  <c r="H1299" i="3" s="1"/>
  <c r="H1300" i="3" a="1"/>
  <c r="H1300" i="3" s="1"/>
  <c r="H1301" i="3" a="1"/>
  <c r="H1301" i="3" s="1"/>
  <c r="H1302" i="3" a="1"/>
  <c r="H1302" i="3" s="1"/>
  <c r="H1303" i="3" a="1"/>
  <c r="H1303" i="3" s="1"/>
  <c r="H1304" i="3" a="1"/>
  <c r="H1304" i="3" s="1"/>
  <c r="H1305" i="3" a="1"/>
  <c r="H1305" i="3" s="1"/>
  <c r="H1306" i="3" a="1"/>
  <c r="H1306" i="3" s="1"/>
  <c r="H1307" i="3" a="1"/>
  <c r="H1307" i="3" s="1"/>
  <c r="H1308" i="3" a="1"/>
  <c r="H1308" i="3" s="1"/>
  <c r="H1309" i="3" a="1"/>
  <c r="H1309" i="3" s="1"/>
  <c r="H1310" i="3" a="1"/>
  <c r="H1310" i="3" s="1"/>
  <c r="H1311" i="3" a="1"/>
  <c r="H1311" i="3" s="1"/>
  <c r="H1312" i="3" a="1"/>
  <c r="H1312" i="3" s="1"/>
  <c r="H1801" i="3" a="1"/>
  <c r="H1801" i="3" s="1"/>
  <c r="H1313" i="3" a="1"/>
  <c r="H1313" i="3" s="1"/>
  <c r="H793" i="3" a="1"/>
  <c r="H793" i="3" s="1"/>
  <c r="H1802" i="3" a="1"/>
  <c r="H1802" i="3" s="1"/>
  <c r="H2237" i="3" a="1"/>
  <c r="H2237" i="3" s="1"/>
  <c r="H2413" i="3" a="1"/>
  <c r="H2413" i="3" s="1"/>
  <c r="H1314" i="3" a="1"/>
  <c r="H1314" i="3" s="1"/>
  <c r="H1315" i="3" a="1"/>
  <c r="H1315" i="3" s="1"/>
  <c r="H1316" i="3" a="1"/>
  <c r="H1316" i="3" s="1"/>
  <c r="H1317" i="3" a="1"/>
  <c r="H1317" i="3" s="1"/>
  <c r="H1004" i="3" a="1"/>
  <c r="H1004" i="3" s="1"/>
  <c r="H1803" i="3" a="1"/>
  <c r="H1803" i="3" s="1"/>
  <c r="H1005" i="3" a="1"/>
  <c r="H1005" i="3" s="1"/>
  <c r="H27" i="3" a="1"/>
  <c r="H27" i="3" s="1"/>
  <c r="H2414" i="3" a="1"/>
  <c r="H2414" i="3" s="1"/>
  <c r="H1804" i="3" a="1"/>
  <c r="H1804" i="3" s="1"/>
  <c r="H28" i="3" a="1"/>
  <c r="H28" i="3" s="1"/>
  <c r="H1006" i="3" a="1"/>
  <c r="H1006" i="3" s="1"/>
  <c r="H794" i="3" a="1"/>
  <c r="H794" i="3" s="1"/>
  <c r="H1805" i="3" a="1"/>
  <c r="H1805" i="3" s="1"/>
  <c r="H2238" i="3" a="1"/>
  <c r="H2238" i="3" s="1"/>
  <c r="H1007" i="3" a="1"/>
  <c r="H1007" i="3" s="1"/>
  <c r="H795" i="3" a="1"/>
  <c r="H795" i="3" s="1"/>
  <c r="H2239" i="3" a="1"/>
  <c r="H2239" i="3" s="1"/>
  <c r="H796" i="3" a="1"/>
  <c r="H796" i="3" s="1"/>
  <c r="H2415" i="3" a="1"/>
  <c r="H2415" i="3" s="1"/>
  <c r="H1355" i="3" a="1"/>
  <c r="H1355" i="3" s="1"/>
  <c r="H2003" i="3" a="1"/>
  <c r="H2003" i="3" s="1"/>
  <c r="H2126" i="3" a="1"/>
  <c r="H2126" i="3" s="1"/>
  <c r="H587" i="3" a="1"/>
  <c r="H587" i="3" s="1"/>
  <c r="H2004" i="3" a="1"/>
  <c r="H2004" i="3" s="1"/>
  <c r="H1806" i="3" a="1"/>
  <c r="H1806" i="3" s="1"/>
  <c r="H1008" i="3" a="1"/>
  <c r="H1008" i="3" s="1"/>
  <c r="H29" i="3" a="1"/>
  <c r="H29" i="3" s="1"/>
  <c r="H1318" i="3" a="1"/>
  <c r="H1318" i="3" s="1"/>
  <c r="H797" i="3" a="1"/>
  <c r="H797" i="3" s="1"/>
  <c r="H1807" i="3" a="1"/>
  <c r="H1807" i="3" s="1"/>
  <c r="H1009" i="3" a="1"/>
  <c r="H1009" i="3" s="1"/>
  <c r="H1400" i="3" a="1"/>
  <c r="H1400" i="3" s="1"/>
  <c r="H2005" i="3" a="1"/>
  <c r="H2005" i="3" s="1"/>
  <c r="H1010" i="3" a="1"/>
  <c r="H1010" i="3" s="1"/>
  <c r="H1808" i="3" a="1"/>
  <c r="H1808" i="3" s="1"/>
  <c r="H1809" i="3" a="1"/>
  <c r="H1809" i="3" s="1"/>
  <c r="H1810" i="3" a="1"/>
  <c r="H1810" i="3" s="1"/>
  <c r="H1811" i="3" a="1"/>
  <c r="H1811" i="3" s="1"/>
  <c r="H1812" i="3" a="1"/>
  <c r="H1812" i="3" s="1"/>
  <c r="H1813" i="3" a="1"/>
  <c r="H1813" i="3" s="1"/>
  <c r="H1814" i="3" a="1"/>
  <c r="H1814" i="3" s="1"/>
  <c r="H1815" i="3" a="1"/>
  <c r="H1815" i="3" s="1"/>
  <c r="H1816" i="3" a="1"/>
  <c r="H1816" i="3" s="1"/>
  <c r="H1817" i="3" a="1"/>
  <c r="H1817" i="3" s="1"/>
  <c r="H1818" i="3" a="1"/>
  <c r="H1818" i="3" s="1"/>
  <c r="H1819" i="3" a="1"/>
  <c r="H1819" i="3" s="1"/>
  <c r="H1820" i="3" a="1"/>
  <c r="H1820" i="3" s="1"/>
  <c r="H1821" i="3" a="1"/>
  <c r="H1821" i="3" s="1"/>
  <c r="H1011" i="3" a="1"/>
  <c r="H1011" i="3" s="1"/>
  <c r="H588" i="3" a="1"/>
  <c r="H588" i="3" s="1"/>
  <c r="H798" i="3" a="1"/>
  <c r="H798" i="3" s="1"/>
  <c r="H2240" i="3" a="1"/>
  <c r="H2240" i="3" s="1"/>
  <c r="H2416" i="3" a="1"/>
  <c r="H2416" i="3" s="1"/>
  <c r="H2241" i="3" a="1"/>
  <c r="H2241" i="3" s="1"/>
  <c r="H1012" i="3" a="1"/>
  <c r="H1012" i="3" s="1"/>
  <c r="H1822" i="3" a="1"/>
  <c r="H1822" i="3" s="1"/>
  <c r="H2006" i="3" a="1"/>
  <c r="H2006" i="3" s="1"/>
  <c r="H589" i="3" a="1"/>
  <c r="H589" i="3" s="1"/>
  <c r="H2007" i="3" a="1"/>
  <c r="H2007" i="3" s="1"/>
  <c r="H1630" i="3" a="1"/>
  <c r="H1630" i="3" s="1"/>
  <c r="H30" i="3" a="1"/>
  <c r="H30" i="3" s="1"/>
  <c r="H799" i="3" a="1"/>
  <c r="H799" i="3" s="1"/>
  <c r="H2417" i="3" a="1"/>
  <c r="H2417" i="3" s="1"/>
  <c r="H1319" i="3" a="1"/>
  <c r="H1319" i="3" s="1"/>
  <c r="H590" i="3" a="1"/>
  <c r="H590" i="3" s="1"/>
  <c r="H2418" i="3" a="1"/>
  <c r="H2418" i="3" s="1"/>
  <c r="H1013" i="3" a="1"/>
  <c r="H1013" i="3" s="1"/>
  <c r="H1823" i="3" a="1"/>
  <c r="H1823" i="3" s="1"/>
  <c r="H591" i="3" a="1"/>
  <c r="H591" i="3" s="1"/>
  <c r="H1824" i="3" a="1"/>
  <c r="H1824" i="3" s="1"/>
  <c r="H800" i="3" a="1"/>
  <c r="H800" i="3" s="1"/>
  <c r="H1014" i="3" a="1"/>
  <c r="H1014" i="3" s="1"/>
  <c r="H1015" i="3" a="1"/>
  <c r="H1015" i="3" s="1"/>
  <c r="H2008" i="3" a="1"/>
  <c r="H2008" i="3" s="1"/>
  <c r="H1825" i="3" a="1"/>
  <c r="H1825" i="3" s="1"/>
  <c r="H2009" i="3" a="1"/>
  <c r="H2009" i="3" s="1"/>
  <c r="H592" i="3" a="1"/>
  <c r="H592" i="3" s="1"/>
  <c r="H921" i="3" a="1"/>
  <c r="H921" i="3" s="1"/>
  <c r="H1826" i="3" a="1"/>
  <c r="H1826" i="3" s="1"/>
  <c r="H1320" i="3" a="1"/>
  <c r="H1320" i="3" s="1"/>
  <c r="H801" i="3" a="1"/>
  <c r="H801" i="3" s="1"/>
  <c r="H2242" i="3" a="1"/>
  <c r="H2242" i="3" s="1"/>
  <c r="H505" i="3" a="1"/>
  <c r="H505" i="3" s="1"/>
  <c r="H2243" i="3" a="1"/>
  <c r="H2243" i="3" s="1"/>
  <c r="H1016" i="3" a="1"/>
  <c r="H1016" i="3" s="1"/>
  <c r="H1017" i="3" a="1"/>
  <c r="H1017" i="3" s="1"/>
  <c r="H2010" i="3" a="1"/>
  <c r="H2010" i="3" s="1"/>
  <c r="H802" i="3" a="1"/>
  <c r="H802" i="3" s="1"/>
  <c r="H803" i="3" a="1"/>
  <c r="H803" i="3" s="1"/>
  <c r="H593" i="3" a="1"/>
  <c r="H593" i="3" s="1"/>
  <c r="H1321" i="3" a="1"/>
  <c r="H1321" i="3" s="1"/>
  <c r="H31" i="3" a="1"/>
  <c r="H31" i="3" s="1"/>
  <c r="H1018" i="3" a="1"/>
  <c r="H1018" i="3" s="1"/>
  <c r="H2419" i="3" a="1"/>
  <c r="H2419" i="3" s="1"/>
  <c r="H2244" i="3" a="1"/>
  <c r="H2244" i="3" s="1"/>
  <c r="H1827" i="3" a="1"/>
  <c r="H1827" i="3" s="1"/>
  <c r="H1356" i="3" a="1"/>
  <c r="H1356" i="3" s="1"/>
  <c r="H1019" i="3" a="1"/>
  <c r="H1019" i="3" s="1"/>
  <c r="H1322" i="3" a="1"/>
  <c r="H1322" i="3" s="1"/>
  <c r="H1828" i="3" a="1"/>
  <c r="H1828" i="3" s="1"/>
  <c r="H804" i="3" a="1"/>
  <c r="H804" i="3" s="1"/>
  <c r="H1020" i="3" a="1"/>
  <c r="H1020" i="3" s="1"/>
  <c r="H32" i="3" a="1"/>
  <c r="H32" i="3" s="1"/>
  <c r="H805" i="3" a="1"/>
  <c r="H805" i="3" s="1"/>
  <c r="H806" i="3" a="1"/>
  <c r="H806" i="3" s="1"/>
  <c r="H1021" i="3" a="1"/>
  <c r="H1021" i="3" s="1"/>
  <c r="H1231" i="3" a="1"/>
  <c r="H1231" i="3" s="1"/>
  <c r="H2245" i="3" a="1"/>
  <c r="H2245" i="3" s="1"/>
  <c r="H807" i="3" a="1"/>
  <c r="H807" i="3" s="1"/>
  <c r="H2011" i="3" a="1"/>
  <c r="H2011" i="3" s="1"/>
  <c r="H2012" i="3" a="1"/>
  <c r="H2012" i="3" s="1"/>
  <c r="H2013" i="3" a="1"/>
  <c r="H2013" i="3" s="1"/>
  <c r="H2014" i="3" a="1"/>
  <c r="H2014" i="3" s="1"/>
  <c r="H1829" i="3" a="1"/>
  <c r="H1829" i="3" s="1"/>
  <c r="H2015" i="3" a="1"/>
  <c r="H2015" i="3" s="1"/>
  <c r="H2016" i="3" a="1"/>
  <c r="H2016" i="3" s="1"/>
  <c r="H2017" i="3" a="1"/>
  <c r="H2017" i="3" s="1"/>
  <c r="H2018" i="3" a="1"/>
  <c r="H2018" i="3" s="1"/>
  <c r="H2019" i="3" a="1"/>
  <c r="H2019" i="3" s="1"/>
  <c r="H2020" i="3" a="1"/>
  <c r="H2020" i="3" s="1"/>
  <c r="H2021" i="3" a="1"/>
  <c r="H2021" i="3" s="1"/>
  <c r="H594" i="3" a="1"/>
  <c r="H594" i="3" s="1"/>
  <c r="H2246" i="3" a="1"/>
  <c r="H2246" i="3" s="1"/>
  <c r="H595" i="3" a="1"/>
  <c r="H595" i="3" s="1"/>
  <c r="H1022" i="3" a="1"/>
  <c r="H1022" i="3" s="1"/>
  <c r="H808" i="3" a="1"/>
  <c r="H808" i="3" s="1"/>
  <c r="H1830" i="3" a="1"/>
  <c r="H1830" i="3" s="1"/>
  <c r="H2247" i="3" a="1"/>
  <c r="H2247" i="3" s="1"/>
  <c r="H2420" i="3" a="1"/>
  <c r="H2420" i="3" s="1"/>
  <c r="H2248" i="3" a="1"/>
  <c r="H2248" i="3" s="1"/>
  <c r="H1831" i="3" a="1"/>
  <c r="H1831" i="3" s="1"/>
  <c r="H2022" i="3" a="1"/>
  <c r="H2022" i="3" s="1"/>
  <c r="H1832" i="3" a="1"/>
  <c r="H1832" i="3" s="1"/>
  <c r="H596" i="3" a="1"/>
  <c r="H596" i="3" s="1"/>
  <c r="H1023" i="3" a="1"/>
  <c r="H1023" i="3" s="1"/>
  <c r="H2249" i="3" a="1"/>
  <c r="H2249" i="3" s="1"/>
  <c r="H2023" i="3" a="1"/>
  <c r="H2023" i="3" s="1"/>
  <c r="H809" i="3" a="1"/>
  <c r="H809" i="3" s="1"/>
  <c r="H1833" i="3" a="1"/>
  <c r="H1833" i="3" s="1"/>
  <c r="H1834" i="3" a="1"/>
  <c r="H1834" i="3" s="1"/>
  <c r="H2421" i="3" a="1"/>
  <c r="H2421" i="3" s="1"/>
  <c r="H1024" i="3" a="1"/>
  <c r="H1024" i="3" s="1"/>
  <c r="H2024" i="3" a="1"/>
  <c r="H2024" i="3" s="1"/>
  <c r="H1835" i="3" a="1"/>
  <c r="H1835" i="3" s="1"/>
  <c r="H1836" i="3" a="1"/>
  <c r="H1836" i="3" s="1"/>
  <c r="H2422" i="3" a="1"/>
  <c r="H2422" i="3" s="1"/>
  <c r="H2250" i="3" a="1"/>
  <c r="H2250" i="3" s="1"/>
  <c r="H2025" i="3" a="1"/>
  <c r="H2025" i="3" s="1"/>
  <c r="H2026" i="3" a="1"/>
  <c r="H2026" i="3" s="1"/>
  <c r="H2423" i="3" a="1"/>
  <c r="H2423" i="3" s="1"/>
  <c r="H597" i="3" a="1"/>
  <c r="H597" i="3" s="1"/>
  <c r="H2251" i="3" a="1"/>
  <c r="H2251" i="3" s="1"/>
  <c r="H810" i="3" a="1"/>
  <c r="H810" i="3" s="1"/>
  <c r="H2424" i="3" a="1"/>
  <c r="H2424" i="3" s="1"/>
  <c r="H1837" i="3" a="1"/>
  <c r="H1837" i="3" s="1"/>
  <c r="H811" i="3" a="1"/>
  <c r="H811" i="3" s="1"/>
  <c r="H598" i="3" a="1"/>
  <c r="H598" i="3" s="1"/>
  <c r="H2027" i="3" a="1"/>
  <c r="H2027" i="3" s="1"/>
  <c r="H1838" i="3" a="1"/>
  <c r="H1838" i="3" s="1"/>
  <c r="H812" i="3" a="1"/>
  <c r="H812" i="3" s="1"/>
  <c r="H1839" i="3" a="1"/>
  <c r="H1839" i="3" s="1"/>
  <c r="H599" i="3" a="1"/>
  <c r="H599" i="3" s="1"/>
  <c r="H925" i="3" a="1"/>
  <c r="H925" i="3" s="1"/>
  <c r="H1840" i="3" a="1"/>
  <c r="H1840" i="3" s="1"/>
  <c r="H1025" i="3" a="1"/>
  <c r="H1025" i="3" s="1"/>
  <c r="H813" i="3" a="1"/>
  <c r="H813" i="3" s="1"/>
  <c r="H2028" i="3" a="1"/>
  <c r="H2028" i="3" s="1"/>
  <c r="H1841" i="3" a="1"/>
  <c r="H1841" i="3" s="1"/>
  <c r="H1842" i="3" a="1"/>
  <c r="H1842" i="3" s="1"/>
  <c r="H2425" i="3" a="1"/>
  <c r="H2425" i="3" s="1"/>
  <c r="H1026" i="3" a="1"/>
  <c r="H1026" i="3" s="1"/>
  <c r="H1843" i="3" a="1"/>
  <c r="H1843" i="3" s="1"/>
  <c r="H924" i="3" a="1"/>
  <c r="H924" i="3" s="1"/>
  <c r="H1027" i="3" a="1"/>
  <c r="H1027" i="3" s="1"/>
  <c r="H814" i="3" a="1"/>
  <c r="H814" i="3" s="1"/>
  <c r="H1844" i="3" a="1"/>
  <c r="H1844" i="3" s="1"/>
  <c r="H2029" i="3" a="1"/>
  <c r="H2029" i="3" s="1"/>
  <c r="H1845" i="3" a="1"/>
  <c r="H1845" i="3" s="1"/>
  <c r="H2030" i="3" a="1"/>
  <c r="H2030" i="3" s="1"/>
  <c r="H1846" i="3" a="1"/>
  <c r="H1846" i="3" s="1"/>
  <c r="H2031" i="3" a="1"/>
  <c r="H2031" i="3" s="1"/>
  <c r="H1847" i="3" a="1"/>
  <c r="H1847" i="3" s="1"/>
  <c r="H1848" i="3" a="1"/>
  <c r="H1848" i="3" s="1"/>
  <c r="H815" i="3" a="1"/>
  <c r="H815" i="3" s="1"/>
  <c r="H2426" i="3" a="1"/>
  <c r="H2426" i="3" s="1"/>
  <c r="H1849" i="3" a="1"/>
  <c r="H1849" i="3" s="1"/>
  <c r="H2032" i="3" a="1"/>
  <c r="H2032" i="3" s="1"/>
  <c r="H1028" i="3" a="1"/>
  <c r="H1028" i="3" s="1"/>
  <c r="H1850" i="3" a="1"/>
  <c r="H1850" i="3" s="1"/>
  <c r="H2252" i="3" a="1"/>
  <c r="H2252" i="3" s="1"/>
  <c r="H33" i="3" a="1"/>
  <c r="H33" i="3" s="1"/>
  <c r="H2427" i="3" a="1"/>
  <c r="H2427" i="3" s="1"/>
  <c r="H816" i="3" a="1"/>
  <c r="H816" i="3" s="1"/>
  <c r="H1851" i="3" a="1"/>
  <c r="H1851" i="3" s="1"/>
  <c r="H1419" i="3" a="1"/>
  <c r="H1419" i="3" s="1"/>
  <c r="H1420" i="3" a="1"/>
  <c r="H1420" i="3" s="1"/>
  <c r="H1421" i="3" a="1"/>
  <c r="H1421" i="3" s="1"/>
  <c r="H1422" i="3" a="1"/>
  <c r="H1422" i="3" s="1"/>
  <c r="H1423" i="3" a="1"/>
  <c r="H1423" i="3" s="1"/>
  <c r="H1424" i="3" a="1"/>
  <c r="H1424" i="3" s="1"/>
  <c r="H1425" i="3" a="1"/>
  <c r="H1425" i="3" s="1"/>
  <c r="H1426" i="3" a="1"/>
  <c r="H1426" i="3" s="1"/>
  <c r="H1427" i="3" a="1"/>
  <c r="H1427" i="3" s="1"/>
  <c r="H1428" i="3" a="1"/>
  <c r="H1428" i="3" s="1"/>
  <c r="H1429" i="3" a="1"/>
  <c r="H1429" i="3" s="1"/>
  <c r="H1430" i="3" a="1"/>
  <c r="H1430" i="3" s="1"/>
  <c r="H1431" i="3" a="1"/>
  <c r="H1431" i="3" s="1"/>
  <c r="H1852" i="3" a="1"/>
  <c r="H1852" i="3" s="1"/>
  <c r="H1323" i="3" a="1"/>
  <c r="H1323" i="3" s="1"/>
  <c r="H1853" i="3" a="1"/>
  <c r="H1853" i="3" s="1"/>
  <c r="H2033" i="3" a="1"/>
  <c r="H2033" i="3" s="1"/>
  <c r="H1029" i="3" a="1"/>
  <c r="H1029" i="3" s="1"/>
  <c r="H2253" i="3" a="1"/>
  <c r="H2253" i="3" s="1"/>
  <c r="H817" i="3" a="1"/>
  <c r="H817" i="3" s="1"/>
  <c r="H1854" i="3" a="1"/>
  <c r="H1854" i="3" s="1"/>
  <c r="H1357" i="3" a="1"/>
  <c r="H1357" i="3" s="1"/>
  <c r="H2034" i="3" a="1"/>
  <c r="H2034" i="3" s="1"/>
  <c r="H1030" i="3" a="1"/>
  <c r="H1030" i="3" s="1"/>
  <c r="H1855" i="3" a="1"/>
  <c r="H1855" i="3" s="1"/>
  <c r="H1856" i="3" a="1"/>
  <c r="H1856" i="3" s="1"/>
  <c r="H2428" i="3" a="1"/>
  <c r="H2428" i="3" s="1"/>
  <c r="H2035" i="3" a="1"/>
  <c r="H2035" i="3" s="1"/>
  <c r="H1857" i="3" a="1"/>
  <c r="H1857" i="3" s="1"/>
  <c r="H2036" i="3" a="1"/>
  <c r="H2036" i="3" s="1"/>
  <c r="H1031" i="3" a="1"/>
  <c r="H1031" i="3" s="1"/>
  <c r="H600" i="3" a="1"/>
  <c r="H600" i="3" s="1"/>
  <c r="H2429" i="3" a="1"/>
  <c r="H2429" i="3" s="1"/>
  <c r="H1032" i="3" a="1"/>
  <c r="H1032" i="3" s="1"/>
  <c r="H2037" i="3" a="1"/>
  <c r="H2037" i="3" s="1"/>
  <c r="H2430" i="3" a="1"/>
  <c r="H2430" i="3" s="1"/>
  <c r="H2254" i="3" a="1"/>
  <c r="H2254" i="3" s="1"/>
  <c r="H1858" i="3" a="1"/>
  <c r="H1858" i="3" s="1"/>
  <c r="H1033" i="3" a="1"/>
  <c r="H1033" i="3" s="1"/>
  <c r="H1859" i="3" a="1"/>
  <c r="H1859" i="3" s="1"/>
  <c r="H2038" i="3" a="1"/>
  <c r="H2038" i="3" s="1"/>
  <c r="H2039" i="3" a="1"/>
  <c r="H2039" i="3" s="1"/>
  <c r="H818" i="3" a="1"/>
  <c r="H818" i="3" s="1"/>
  <c r="H819" i="3" a="1"/>
  <c r="H819" i="3" s="1"/>
  <c r="H820" i="3" a="1"/>
  <c r="H820" i="3" s="1"/>
  <c r="H821" i="3" a="1"/>
  <c r="H821" i="3" s="1"/>
  <c r="H822" i="3" a="1"/>
  <c r="H822" i="3" s="1"/>
  <c r="H823" i="3" a="1"/>
  <c r="H823" i="3" s="1"/>
  <c r="H824" i="3" a="1"/>
  <c r="H824" i="3" s="1"/>
  <c r="H825" i="3" a="1"/>
  <c r="H825" i="3" s="1"/>
  <c r="H826" i="3" a="1"/>
  <c r="H826" i="3" s="1"/>
  <c r="H827" i="3" a="1"/>
  <c r="H827" i="3" s="1"/>
  <c r="H34" i="3" a="1"/>
  <c r="H34" i="3" s="1"/>
  <c r="H1860" i="3" a="1"/>
  <c r="H1860" i="3" s="1"/>
  <c r="H2040" i="3" a="1"/>
  <c r="H2040" i="3" s="1"/>
  <c r="H828" i="3" a="1"/>
  <c r="H828" i="3" s="1"/>
  <c r="H829" i="3" a="1"/>
  <c r="H829" i="3" s="1"/>
  <c r="H830" i="3" a="1"/>
  <c r="H830" i="3" s="1"/>
  <c r="H831" i="3" a="1"/>
  <c r="H831" i="3" s="1"/>
  <c r="H832" i="3" a="1"/>
  <c r="H832" i="3" s="1"/>
  <c r="H833" i="3" a="1"/>
  <c r="H833" i="3" s="1"/>
  <c r="H834" i="3" a="1"/>
  <c r="H834" i="3" s="1"/>
  <c r="H835" i="3" a="1"/>
  <c r="H835" i="3" s="1"/>
  <c r="H836" i="3" a="1"/>
  <c r="H836" i="3" s="1"/>
  <c r="H837" i="3" a="1"/>
  <c r="H837" i="3" s="1"/>
  <c r="H1861" i="3" a="1"/>
  <c r="H1861" i="3" s="1"/>
  <c r="H1034" i="3" a="1"/>
  <c r="H1034" i="3" s="1"/>
  <c r="H1862" i="3" a="1"/>
  <c r="H1862" i="3" s="1"/>
  <c r="H1324" i="3" a="1"/>
  <c r="H1324" i="3" s="1"/>
  <c r="H1863" i="3" a="1"/>
  <c r="H1863" i="3" s="1"/>
  <c r="H838" i="3" a="1"/>
  <c r="H838" i="3" s="1"/>
  <c r="H839" i="3" a="1"/>
  <c r="H839" i="3" s="1"/>
  <c r="H840" i="3" a="1"/>
  <c r="H840" i="3" s="1"/>
  <c r="H841" i="3" a="1"/>
  <c r="H841" i="3" s="1"/>
  <c r="H842" i="3" a="1"/>
  <c r="H842" i="3" s="1"/>
  <c r="H843" i="3" a="1"/>
  <c r="H843" i="3" s="1"/>
  <c r="H844" i="3" a="1"/>
  <c r="H844" i="3" s="1"/>
  <c r="H1864" i="3" a="1"/>
  <c r="H1864" i="3" s="1"/>
  <c r="H2255" i="3" a="1"/>
  <c r="H2255" i="3" s="1"/>
  <c r="H1035" i="3" a="1"/>
  <c r="H1035" i="3" s="1"/>
  <c r="H1865" i="3" a="1"/>
  <c r="H1865" i="3" s="1"/>
  <c r="H2431" i="3" a="1"/>
  <c r="H2431" i="3" s="1"/>
  <c r="H2432" i="3" a="1"/>
  <c r="H2432" i="3" s="1"/>
  <c r="H2433" i="3" a="1"/>
  <c r="H2433" i="3" s="1"/>
  <c r="H1866" i="3" a="1"/>
  <c r="H1866" i="3" s="1"/>
  <c r="H1036" i="3" a="1"/>
  <c r="H1036" i="3" s="1"/>
  <c r="H2434" i="3" a="1"/>
  <c r="H2434" i="3" s="1"/>
  <c r="H845" i="3" a="1"/>
  <c r="H845" i="3" s="1"/>
  <c r="H1867" i="3" a="1"/>
  <c r="H1867" i="3" s="1"/>
  <c r="H601" i="3" a="1"/>
  <c r="H601" i="3" s="1"/>
  <c r="H1037" i="3" a="1"/>
  <c r="H1037" i="3" s="1"/>
  <c r="H1038" i="3" a="1"/>
  <c r="H1038" i="3" s="1"/>
  <c r="H1039" i="3" a="1"/>
  <c r="H1039" i="3" s="1"/>
  <c r="H1040" i="3" a="1"/>
  <c r="H1040" i="3" s="1"/>
  <c r="H1041" i="3" a="1"/>
  <c r="H1041" i="3" s="1"/>
  <c r="H1042" i="3" a="1"/>
  <c r="H1042" i="3" s="1"/>
  <c r="H1043" i="3" a="1"/>
  <c r="H1043" i="3" s="1"/>
  <c r="H1044" i="3" a="1"/>
  <c r="H1044" i="3" s="1"/>
  <c r="H1045" i="3" a="1"/>
  <c r="H1045" i="3" s="1"/>
  <c r="H1046" i="3" a="1"/>
  <c r="H1046" i="3" s="1"/>
  <c r="H1047" i="3" a="1"/>
  <c r="H1047" i="3" s="1"/>
  <c r="H1048" i="3" a="1"/>
  <c r="H1048" i="3" s="1"/>
  <c r="H1049" i="3" a="1"/>
  <c r="H1049" i="3" s="1"/>
  <c r="H1050" i="3" a="1"/>
  <c r="H1050" i="3" s="1"/>
  <c r="H1051" i="3" a="1"/>
  <c r="H1051" i="3" s="1"/>
  <c r="H1868" i="3" a="1"/>
  <c r="H1868" i="3" s="1"/>
  <c r="H35" i="3" a="1"/>
  <c r="H35" i="3" s="1"/>
  <c r="H2435" i="3" a="1"/>
  <c r="H2435" i="3" s="1"/>
  <c r="H1052" i="3" a="1"/>
  <c r="H1052" i="3" s="1"/>
  <c r="H2256" i="3" a="1"/>
  <c r="H2256" i="3" s="1"/>
  <c r="H2436" i="3" a="1"/>
  <c r="H2436" i="3" s="1"/>
  <c r="H602" i="3" a="1"/>
  <c r="H602" i="3" s="1"/>
  <c r="H1053" i="3" a="1"/>
  <c r="H1053" i="3" s="1"/>
  <c r="H1054" i="3" a="1"/>
  <c r="H1054" i="3" s="1"/>
  <c r="H1869" i="3" a="1"/>
  <c r="H1869" i="3" s="1"/>
  <c r="H603" i="3" a="1"/>
  <c r="H603" i="3" s="1"/>
  <c r="H1236" i="3" a="1"/>
  <c r="H1236" i="3" s="1"/>
  <c r="H1233" i="3" a="1"/>
  <c r="H1233" i="3" s="1"/>
  <c r="H1055" i="3" a="1"/>
  <c r="H1055" i="3" s="1"/>
  <c r="H1056" i="3" a="1"/>
  <c r="H1056" i="3" s="1"/>
  <c r="H1870" i="3" a="1"/>
  <c r="H1870" i="3" s="1"/>
  <c r="H1057" i="3" a="1"/>
  <c r="H1057" i="3" s="1"/>
  <c r="H2437" i="3" a="1"/>
  <c r="H2437" i="3" s="1"/>
  <c r="H1871" i="3" a="1"/>
  <c r="H1871" i="3" s="1"/>
  <c r="H1872" i="3" a="1"/>
  <c r="H1872" i="3" s="1"/>
  <c r="H1873" i="3" a="1"/>
  <c r="H1873" i="3" s="1"/>
  <c r="H1874" i="3" a="1"/>
  <c r="H1874" i="3" s="1"/>
  <c r="H1875" i="3" a="1"/>
  <c r="H1875" i="3" s="1"/>
  <c r="H1876" i="3" a="1"/>
  <c r="H1876" i="3" s="1"/>
  <c r="H1877" i="3" a="1"/>
  <c r="H1877" i="3" s="1"/>
  <c r="H1878" i="3" a="1"/>
  <c r="H1878" i="3" s="1"/>
  <c r="H1058" i="3" a="1"/>
  <c r="H1058" i="3" s="1"/>
  <c r="H604" i="3" a="1"/>
  <c r="H604" i="3" s="1"/>
  <c r="H2438" i="3" a="1"/>
  <c r="H2438" i="3" s="1"/>
  <c r="H605" i="3" a="1"/>
  <c r="H605" i="3" s="1"/>
  <c r="H606" i="3" a="1"/>
  <c r="H606" i="3" s="1"/>
  <c r="H1059" i="3" a="1"/>
  <c r="H1059" i="3" s="1"/>
  <c r="H1060" i="3" a="1"/>
  <c r="H1060" i="3" s="1"/>
  <c r="H2439" i="3" a="1"/>
  <c r="H2439" i="3" s="1"/>
  <c r="H36" i="3" a="1"/>
  <c r="H36" i="3" s="1"/>
  <c r="H2440" i="3" a="1"/>
  <c r="H2440" i="3" s="1"/>
  <c r="H1061" i="3" a="1"/>
  <c r="H1061" i="3" s="1"/>
  <c r="H1062" i="3" a="1"/>
  <c r="H1062" i="3" s="1"/>
  <c r="H607" i="3" a="1"/>
  <c r="H607" i="3" s="1"/>
  <c r="H1063" i="3" a="1"/>
  <c r="H1063" i="3" s="1"/>
  <c r="H1064" i="3" a="1"/>
  <c r="H1064" i="3" s="1"/>
  <c r="H37" i="3" a="1"/>
  <c r="H37" i="3" s="1"/>
  <c r="H1879" i="3" a="1"/>
  <c r="H1879" i="3" s="1"/>
  <c r="H608" i="3" a="1"/>
  <c r="H608" i="3" s="1"/>
  <c r="H1880" i="3" a="1"/>
  <c r="H1880" i="3" s="1"/>
  <c r="H1065" i="3" a="1"/>
  <c r="H1065" i="3" s="1"/>
  <c r="H926" i="3" a="1"/>
  <c r="H926" i="3" s="1"/>
  <c r="H2041" i="3" a="1"/>
  <c r="H2041" i="3" s="1"/>
  <c r="H1066" i="3" a="1"/>
  <c r="H1066" i="3" s="1"/>
  <c r="H1881" i="3" a="1"/>
  <c r="H1881" i="3" s="1"/>
  <c r="H1067" i="3" a="1"/>
  <c r="H1067" i="3" s="1"/>
  <c r="H609" i="3" a="1"/>
  <c r="H609" i="3" s="1"/>
  <c r="H2042" i="3" a="1"/>
  <c r="H2042" i="3" s="1"/>
  <c r="H2441" i="3" a="1"/>
  <c r="H2441" i="3" s="1"/>
  <c r="H38" i="3" a="1"/>
  <c r="H38" i="3" s="1"/>
  <c r="H2043" i="3" a="1"/>
  <c r="H2043" i="3" s="1"/>
  <c r="H1068" i="3" a="1"/>
  <c r="H1068" i="3" s="1"/>
  <c r="H1069" i="3" a="1"/>
  <c r="H1069" i="3" s="1"/>
  <c r="H2044" i="3" a="1"/>
  <c r="H2044" i="3" s="1"/>
  <c r="H39" i="3" a="1"/>
  <c r="H39" i="3" s="1"/>
  <c r="H40" i="3" a="1"/>
  <c r="H40" i="3" s="1"/>
  <c r="H2045" i="3" a="1"/>
  <c r="H2045" i="3" s="1"/>
  <c r="H1070" i="3" a="1"/>
  <c r="H1070" i="3" s="1"/>
  <c r="H2442" i="3" a="1"/>
  <c r="H2442" i="3" s="1"/>
  <c r="H1071" i="3" a="1"/>
  <c r="H1071" i="3" s="1"/>
  <c r="H2046" i="3" a="1"/>
  <c r="H2046" i="3" s="1"/>
  <c r="H610" i="3" a="1"/>
  <c r="H610" i="3" s="1"/>
  <c r="H1882" i="3" a="1"/>
  <c r="H1882" i="3" s="1"/>
  <c r="H41" i="3" a="1"/>
  <c r="H41" i="3" s="1"/>
  <c r="H2443" i="3" a="1"/>
  <c r="H2443" i="3" s="1"/>
  <c r="H2047" i="3" a="1"/>
  <c r="H2047" i="3" s="1"/>
  <c r="H42" i="3" a="1"/>
  <c r="H42" i="3" s="1"/>
  <c r="H1072" i="3" a="1"/>
  <c r="H1072" i="3" s="1"/>
  <c r="H2048" i="3" a="1"/>
  <c r="H2048" i="3" s="1"/>
  <c r="H2444" i="3" a="1"/>
  <c r="H2444" i="3" s="1"/>
  <c r="H611" i="3" a="1"/>
  <c r="H611" i="3" s="1"/>
  <c r="H846" i="3" a="1"/>
  <c r="H846" i="3" s="1"/>
  <c r="H2049" i="3" a="1"/>
  <c r="H2049" i="3" s="1"/>
  <c r="H43" i="3" a="1"/>
  <c r="H43" i="3" s="1"/>
  <c r="H2445" i="3" a="1"/>
  <c r="H2445" i="3" s="1"/>
  <c r="H2050" i="3" a="1"/>
  <c r="H2050" i="3" s="1"/>
  <c r="H1073" i="3" a="1"/>
  <c r="H1073" i="3" s="1"/>
  <c r="H612" i="3" a="1"/>
  <c r="H612" i="3" s="1"/>
  <c r="H44" i="3" a="1"/>
  <c r="H44" i="3" s="1"/>
  <c r="H2446" i="3" a="1"/>
  <c r="H2446" i="3" s="1"/>
  <c r="H1074" i="3" a="1"/>
  <c r="H1074" i="3" s="1"/>
  <c r="H2051" i="3" a="1"/>
  <c r="H2051" i="3" s="1"/>
  <c r="H2447" i="3" a="1"/>
  <c r="H2447" i="3" s="1"/>
  <c r="H2448" i="3" a="1"/>
  <c r="H2448" i="3" s="1"/>
  <c r="H1883" i="3" a="1"/>
  <c r="H1883" i="3" s="1"/>
  <c r="H45" i="3" a="1"/>
  <c r="H45" i="3" s="1"/>
  <c r="H1075" i="3" a="1"/>
  <c r="H1075" i="3" s="1"/>
  <c r="H2449" i="3" a="1"/>
  <c r="H2449" i="3" s="1"/>
  <c r="H1076" i="3" a="1"/>
  <c r="H1076" i="3" s="1"/>
  <c r="H2450" i="3" a="1"/>
  <c r="H2450" i="3" s="1"/>
  <c r="H1077" i="3" a="1"/>
  <c r="H1077" i="3" s="1"/>
  <c r="H2052" i="3" a="1"/>
  <c r="H2052" i="3" s="1"/>
  <c r="H46" i="3" a="1"/>
  <c r="H46" i="3" s="1"/>
  <c r="H2053" i="3" a="1"/>
  <c r="H2053" i="3" s="1"/>
  <c r="H613" i="3" a="1"/>
  <c r="H613" i="3" s="1"/>
  <c r="H2451" i="3" a="1"/>
  <c r="H2451" i="3" s="1"/>
  <c r="H47" i="3" a="1"/>
  <c r="H47" i="3" s="1"/>
  <c r="H1884" i="3" a="1"/>
  <c r="H1884" i="3" s="1"/>
  <c r="H1078" i="3" a="1"/>
  <c r="H1078" i="3" s="1"/>
  <c r="H1079" i="3" a="1"/>
  <c r="H1079" i="3" s="1"/>
  <c r="H1080" i="3" a="1"/>
  <c r="H1080" i="3" s="1"/>
  <c r="H1081" i="3" a="1"/>
  <c r="H1081" i="3" s="1"/>
  <c r="H1885" i="3" a="1"/>
  <c r="H1885" i="3" s="1"/>
  <c r="H1082" i="3" a="1"/>
  <c r="H1082" i="3" s="1"/>
  <c r="H922" i="3" a="1"/>
  <c r="H922" i="3" s="1"/>
  <c r="H1083" i="3" a="1"/>
  <c r="H1083" i="3" s="1"/>
  <c r="H2452" i="3" a="1"/>
  <c r="H2452" i="3" s="1"/>
  <c r="H614" i="3" a="1"/>
  <c r="H614" i="3" s="1"/>
  <c r="H1886" i="3" a="1"/>
  <c r="H1886" i="3" s="1"/>
  <c r="H2054" i="3" a="1"/>
  <c r="H2054" i="3" s="1"/>
  <c r="H847" i="3" a="1"/>
  <c r="H847" i="3" s="1"/>
  <c r="H48" i="3" a="1"/>
  <c r="H48" i="3" s="1"/>
  <c r="H2453" i="3" a="1"/>
  <c r="H2453" i="3" s="1"/>
  <c r="H2055" i="3" a="1"/>
  <c r="H2055" i="3" s="1"/>
  <c r="H2454" i="3" a="1"/>
  <c r="H2454" i="3" s="1"/>
  <c r="H2056" i="3" a="1"/>
  <c r="H2056" i="3" s="1"/>
  <c r="H1084" i="3" a="1"/>
  <c r="H1084" i="3" s="1"/>
  <c r="H615" i="3" a="1"/>
  <c r="H615" i="3" s="1"/>
  <c r="H2057" i="3" a="1"/>
  <c r="H2057" i="3" s="1"/>
  <c r="H1085" i="3" a="1"/>
  <c r="H1085" i="3" s="1"/>
  <c r="H1887" i="3" a="1"/>
  <c r="H1887" i="3" s="1"/>
  <c r="H616" i="3" a="1"/>
  <c r="H616" i="3" s="1"/>
  <c r="H2455" i="3" a="1"/>
  <c r="H2455" i="3" s="1"/>
  <c r="H2058" i="3" a="1"/>
  <c r="H2058" i="3" s="1"/>
  <c r="H49" i="3" a="1"/>
  <c r="H49" i="3" s="1"/>
  <c r="H2456" i="3" a="1"/>
  <c r="H2456" i="3" s="1"/>
  <c r="H50" i="3" a="1"/>
  <c r="H50" i="3" s="1"/>
  <c r="H2457" i="3" a="1"/>
  <c r="H2457" i="3" s="1"/>
  <c r="H2059" i="3" a="1"/>
  <c r="H2059" i="3" s="1"/>
  <c r="H1888" i="3" a="1"/>
  <c r="H1888" i="3" s="1"/>
  <c r="H617" i="3" a="1"/>
  <c r="H617" i="3" s="1"/>
  <c r="H2060" i="3" a="1"/>
  <c r="H2060" i="3" s="1"/>
  <c r="H848" i="3" a="1"/>
  <c r="H848" i="3" s="1"/>
  <c r="H1086" i="3" a="1"/>
  <c r="H1086" i="3" s="1"/>
  <c r="H2061" i="3" a="1"/>
  <c r="H2061" i="3" s="1"/>
  <c r="H2458" i="3" a="1"/>
  <c r="H2458" i="3" s="1"/>
  <c r="H51" i="3" a="1"/>
  <c r="H51" i="3" s="1"/>
  <c r="H1087" i="3" a="1"/>
  <c r="H1087" i="3" s="1"/>
  <c r="H2062" i="3" a="1"/>
  <c r="H2062" i="3" s="1"/>
  <c r="H2063" i="3" a="1"/>
  <c r="H2063" i="3" s="1"/>
  <c r="H2459" i="3" a="1"/>
  <c r="H2459" i="3" s="1"/>
  <c r="H2064" i="3" a="1"/>
  <c r="H2064" i="3" s="1"/>
  <c r="H618" i="3" a="1"/>
  <c r="H618" i="3" s="1"/>
  <c r="H2065" i="3" a="1"/>
  <c r="H2065" i="3" s="1"/>
  <c r="H2257" i="3" a="1"/>
  <c r="H2257" i="3" s="1"/>
  <c r="H619" i="3" a="1"/>
  <c r="H619" i="3" s="1"/>
  <c r="H620" i="3" a="1"/>
  <c r="H620" i="3" s="1"/>
  <c r="H621" i="3" a="1"/>
  <c r="H621" i="3" s="1"/>
  <c r="H2066" i="3" a="1"/>
  <c r="H2066" i="3" s="1"/>
  <c r="H1088" i="3" a="1"/>
  <c r="H1088" i="3" s="1"/>
  <c r="H2127" i="3" a="1"/>
  <c r="H2127" i="3" s="1"/>
  <c r="H849" i="3" a="1"/>
  <c r="H849" i="3" s="1"/>
  <c r="H2460" i="3" a="1"/>
  <c r="H2460" i="3" s="1"/>
  <c r="H2067" i="3" a="1"/>
  <c r="H2067" i="3" s="1"/>
  <c r="H1889" i="3" a="1"/>
  <c r="H1889" i="3" s="1"/>
  <c r="H1089" i="3" a="1"/>
  <c r="H1089" i="3" s="1"/>
  <c r="H1090" i="3" a="1"/>
  <c r="H1090" i="3" s="1"/>
  <c r="H1091" i="3" a="1"/>
  <c r="H1091" i="3" s="1"/>
  <c r="H2461" i="3" a="1"/>
  <c r="H2461" i="3" s="1"/>
  <c r="H1092" i="3" a="1"/>
  <c r="H1092" i="3" s="1"/>
  <c r="H1358" i="3" a="1"/>
  <c r="H1358" i="3" s="1"/>
  <c r="H850" i="3" a="1"/>
  <c r="H850" i="3" s="1"/>
  <c r="H2068" i="3" a="1"/>
  <c r="H2068" i="3" s="1"/>
  <c r="H2462" i="3" a="1"/>
  <c r="H2462" i="3" s="1"/>
  <c r="H1890" i="3" a="1"/>
  <c r="H1890" i="3" s="1"/>
  <c r="H52" i="3" a="1"/>
  <c r="H52" i="3" s="1"/>
  <c r="H1093" i="3" a="1"/>
  <c r="H1093" i="3" s="1"/>
  <c r="H1983" i="3" a="1"/>
  <c r="H1983" i="3" s="1"/>
  <c r="H2069" i="3" a="1"/>
  <c r="H2069" i="3" s="1"/>
  <c r="H2070" i="3" a="1"/>
  <c r="H2070" i="3" s="1"/>
  <c r="H2071" i="3" a="1"/>
  <c r="H2071" i="3" s="1"/>
  <c r="H2072" i="3" a="1"/>
  <c r="H2072" i="3" s="1"/>
  <c r="H2073" i="3" a="1"/>
  <c r="H2073" i="3" s="1"/>
  <c r="H2074" i="3" a="1"/>
  <c r="H2074" i="3" s="1"/>
  <c r="H2075" i="3" a="1"/>
  <c r="H2075" i="3" s="1"/>
  <c r="H2076" i="3" a="1"/>
  <c r="H2076" i="3" s="1"/>
  <c r="H2077" i="3" a="1"/>
  <c r="H2077" i="3" s="1"/>
  <c r="H2078" i="3" a="1"/>
  <c r="H2078" i="3" s="1"/>
  <c r="H2079" i="3" a="1"/>
  <c r="H2079" i="3" s="1"/>
  <c r="H1891" i="3" a="1"/>
  <c r="H1891" i="3" s="1"/>
  <c r="H1094" i="3" a="1"/>
  <c r="H1094" i="3" s="1"/>
  <c r="H53" i="3" a="1"/>
  <c r="H53" i="3" s="1"/>
  <c r="H1980" i="3" a="1"/>
  <c r="H1980" i="3" s="1"/>
  <c r="H1095" i="3" a="1"/>
  <c r="H1095" i="3" s="1"/>
  <c r="H2258" i="3" a="1"/>
  <c r="H2258" i="3" s="1"/>
  <c r="H1096" i="3" a="1"/>
  <c r="H1096" i="3" s="1"/>
  <c r="H54" i="3" a="1"/>
  <c r="H54" i="3" s="1"/>
  <c r="H851" i="3" a="1"/>
  <c r="H851" i="3" s="1"/>
  <c r="H622" i="3" a="1"/>
  <c r="H622" i="3" s="1"/>
  <c r="H852" i="3" a="1"/>
  <c r="H852" i="3" s="1"/>
  <c r="H2463" i="3" a="1"/>
  <c r="H2463" i="3" s="1"/>
  <c r="H1892" i="3" a="1"/>
  <c r="H1892" i="3" s="1"/>
  <c r="H1893" i="3" a="1"/>
  <c r="H1893" i="3" s="1"/>
  <c r="H1894" i="3" a="1"/>
  <c r="H1894" i="3" s="1"/>
  <c r="H55" i="3" a="1"/>
  <c r="H55" i="3" s="1"/>
  <c r="H2464" i="3" a="1"/>
  <c r="H2464" i="3" s="1"/>
  <c r="H1097" i="3" a="1"/>
  <c r="H1097" i="3" s="1"/>
  <c r="H623" i="3" a="1"/>
  <c r="H623" i="3" s="1"/>
  <c r="H1098" i="3" a="1"/>
  <c r="H1098" i="3" s="1"/>
  <c r="H2259" i="3" a="1"/>
  <c r="H2259" i="3" s="1"/>
  <c r="H2080" i="3" a="1"/>
  <c r="H2080" i="3" s="1"/>
  <c r="H2081" i="3" a="1"/>
  <c r="H2081" i="3" s="1"/>
  <c r="H2465" i="3" a="1"/>
  <c r="H2465" i="3" s="1"/>
  <c r="H1099" i="3" a="1"/>
  <c r="H1099" i="3" s="1"/>
  <c r="H2082" i="3" a="1"/>
  <c r="H2082" i="3" s="1"/>
  <c r="H1100" i="3" a="1"/>
  <c r="H1100" i="3" s="1"/>
  <c r="H56" i="3" a="1"/>
  <c r="H56" i="3" s="1"/>
  <c r="H1101" i="3" a="1"/>
  <c r="H1101" i="3" s="1"/>
  <c r="H2466" i="3" a="1"/>
  <c r="H2466" i="3" s="1"/>
  <c r="H2083" i="3" a="1"/>
  <c r="H2083" i="3" s="1"/>
  <c r="H1102" i="3" a="1"/>
  <c r="H1102" i="3" s="1"/>
  <c r="H1103" i="3" a="1"/>
  <c r="H1103" i="3" s="1"/>
  <c r="H1104" i="3" a="1"/>
  <c r="H1104" i="3" s="1"/>
  <c r="H57" i="3" a="1"/>
  <c r="H57" i="3" s="1"/>
  <c r="H1895" i="3" a="1"/>
  <c r="H1895" i="3" s="1"/>
  <c r="H58" i="3" a="1"/>
  <c r="H58" i="3" s="1"/>
  <c r="H853" i="3" a="1"/>
  <c r="H853" i="3" s="1"/>
  <c r="H624" i="3" a="1"/>
  <c r="H624" i="3" s="1"/>
  <c r="H1105" i="3" a="1"/>
  <c r="H1105" i="3" s="1"/>
  <c r="H1896" i="3" a="1"/>
  <c r="H1896" i="3" s="1"/>
  <c r="H1897" i="3" a="1"/>
  <c r="H1897" i="3" s="1"/>
  <c r="H1359" i="3" a="1"/>
  <c r="H1359" i="3" s="1"/>
  <c r="H1106" i="3" a="1"/>
  <c r="H1106" i="3" s="1"/>
  <c r="H2467" i="3" a="1"/>
  <c r="H2467" i="3" s="1"/>
  <c r="H2084" i="3" a="1"/>
  <c r="H2084" i="3" s="1"/>
  <c r="H625" i="3" a="1"/>
  <c r="H625" i="3" s="1"/>
  <c r="H2468" i="3" a="1"/>
  <c r="H2468" i="3" s="1"/>
  <c r="H1898" i="3" a="1"/>
  <c r="H1898" i="3" s="1"/>
  <c r="H2085" i="3" a="1"/>
  <c r="H2085" i="3" s="1"/>
  <c r="H2469" i="3" a="1"/>
  <c r="H2469" i="3" s="1"/>
  <c r="H1107" i="3" a="1"/>
  <c r="H1107" i="3" s="1"/>
  <c r="H626" i="3" a="1"/>
  <c r="H626" i="3" s="1"/>
  <c r="H1899" i="3" a="1"/>
  <c r="H1899" i="3" s="1"/>
  <c r="H1108" i="3" a="1"/>
  <c r="H1108" i="3" s="1"/>
  <c r="H1109" i="3" a="1"/>
  <c r="H1109" i="3" s="1"/>
  <c r="H854" i="3" a="1"/>
  <c r="H854" i="3" s="1"/>
  <c r="H627" i="3" a="1"/>
  <c r="H627" i="3" s="1"/>
  <c r="H59" i="3" a="1"/>
  <c r="H59" i="3" s="1"/>
  <c r="H2470" i="3" a="1"/>
  <c r="H2470" i="3" s="1"/>
  <c r="H1900" i="3" a="1"/>
  <c r="H1900" i="3" s="1"/>
  <c r="H628" i="3" a="1"/>
  <c r="H628" i="3" s="1"/>
  <c r="H1325" i="3" a="1"/>
  <c r="H1325" i="3" s="1"/>
  <c r="H1901" i="3" a="1"/>
  <c r="H1901" i="3" s="1"/>
  <c r="H1110" i="3" a="1"/>
  <c r="H1110" i="3" s="1"/>
  <c r="H2471" i="3" a="1"/>
  <c r="H2471" i="3" s="1"/>
  <c r="H1111" i="3" a="1"/>
  <c r="H1111" i="3" s="1"/>
  <c r="H1112" i="3" a="1"/>
  <c r="H1112" i="3" s="1"/>
  <c r="H629" i="3" a="1"/>
  <c r="H629" i="3" s="1"/>
  <c r="H855" i="3" a="1"/>
  <c r="H855" i="3" s="1"/>
  <c r="H2472" i="3" a="1"/>
  <c r="H2472" i="3" s="1"/>
  <c r="H1360" i="3" a="1"/>
  <c r="H1360" i="3" s="1"/>
  <c r="H60" i="3" a="1"/>
  <c r="H60" i="3" s="1"/>
  <c r="H1113" i="3" a="1"/>
  <c r="H1113" i="3" s="1"/>
  <c r="H2473" i="3" a="1"/>
  <c r="H2473" i="3" s="1"/>
  <c r="H856" i="3" a="1"/>
  <c r="H856" i="3" s="1"/>
  <c r="H1902" i="3" a="1"/>
  <c r="H1902" i="3" s="1"/>
  <c r="H1114" i="3" a="1"/>
  <c r="H1114" i="3" s="1"/>
  <c r="H61" i="3" a="1"/>
  <c r="H61" i="3" s="1"/>
  <c r="H1903" i="3" a="1"/>
  <c r="H1903" i="3" s="1"/>
  <c r="H1115" i="3" a="1"/>
  <c r="H1115" i="3" s="1"/>
  <c r="H1904" i="3" a="1"/>
  <c r="H1904" i="3" s="1"/>
  <c r="H2128" i="3" a="1"/>
  <c r="H2128" i="3" s="1"/>
  <c r="H1905" i="3" a="1"/>
  <c r="H1905" i="3" s="1"/>
  <c r="H2260" i="3" a="1"/>
  <c r="H2260" i="3" s="1"/>
  <c r="H62" i="3" a="1"/>
  <c r="H62" i="3" s="1"/>
  <c r="H857" i="3" a="1"/>
  <c r="H857" i="3" s="1"/>
  <c r="H858" i="3" a="1"/>
  <c r="H858" i="3" s="1"/>
  <c r="H1234" i="3" a="1"/>
  <c r="H1234" i="3" s="1"/>
  <c r="H1116" i="3" a="1"/>
  <c r="H1116" i="3" s="1"/>
  <c r="H630" i="3" a="1"/>
  <c r="H630" i="3" s="1"/>
  <c r="H859" i="3" a="1"/>
  <c r="H859" i="3" s="1"/>
  <c r="H1117" i="3" a="1"/>
  <c r="H1117" i="3" s="1"/>
  <c r="H860" i="3" a="1"/>
  <c r="H860" i="3" s="1"/>
  <c r="H1361" i="3" a="1"/>
  <c r="H1361" i="3" s="1"/>
  <c r="H631" i="3" a="1"/>
  <c r="H631" i="3" s="1"/>
  <c r="H1118" i="3" a="1"/>
  <c r="H1118" i="3" s="1"/>
  <c r="H1119" i="3" a="1"/>
  <c r="H1119" i="3" s="1"/>
  <c r="H632" i="3" a="1"/>
  <c r="H632" i="3" s="1"/>
  <c r="H63" i="3" a="1"/>
  <c r="H63" i="3" s="1"/>
  <c r="H64" i="3" a="1"/>
  <c r="H64" i="3" s="1"/>
  <c r="H861" i="3" a="1"/>
  <c r="H861" i="3" s="1"/>
  <c r="H862" i="3" a="1"/>
  <c r="H862" i="3" s="1"/>
  <c r="H863" i="3" a="1"/>
  <c r="H863" i="3" s="1"/>
  <c r="H2474" i="3" a="1"/>
  <c r="H2474" i="3" s="1"/>
  <c r="H65" i="3" a="1"/>
  <c r="H65" i="3" s="1"/>
  <c r="H2475" i="3" a="1"/>
  <c r="H2475" i="3" s="1"/>
  <c r="H2476" i="3" a="1"/>
  <c r="H2476" i="3" s="1"/>
  <c r="H923" i="3" a="1"/>
  <c r="H923" i="3" s="1"/>
  <c r="H1906" i="3" a="1"/>
  <c r="H1906" i="3" s="1"/>
  <c r="H2129" i="3" a="1"/>
  <c r="H2129" i="3" s="1"/>
  <c r="H66" i="3" a="1"/>
  <c r="H66" i="3" s="1"/>
  <c r="H1907" i="3" a="1"/>
  <c r="H1907" i="3" s="1"/>
  <c r="H1120" i="3" a="1"/>
  <c r="H1120" i="3" s="1"/>
  <c r="H67" i="3" a="1"/>
  <c r="H67" i="3" s="1"/>
  <c r="H1121" i="3" a="1"/>
  <c r="H1121" i="3" s="1"/>
  <c r="H1908" i="3" a="1"/>
  <c r="H1908" i="3" s="1"/>
  <c r="H1122" i="3" a="1"/>
  <c r="H1122" i="3" s="1"/>
  <c r="H864" i="3" a="1"/>
  <c r="H864" i="3" s="1"/>
  <c r="H633" i="3" a="1"/>
  <c r="H633" i="3" s="1"/>
  <c r="H1123" i="3" a="1"/>
  <c r="H1123" i="3" s="1"/>
  <c r="H1909" i="3" a="1"/>
  <c r="H1909" i="3" s="1"/>
  <c r="H634" i="3" a="1"/>
  <c r="H634" i="3" s="1"/>
  <c r="H2477" i="3" a="1"/>
  <c r="H2477" i="3" s="1"/>
  <c r="H2086" i="3" a="1"/>
  <c r="H2086" i="3" s="1"/>
  <c r="H635" i="3" a="1"/>
  <c r="H635" i="3" s="1"/>
  <c r="H1124" i="3" a="1"/>
  <c r="H1124" i="3" s="1"/>
  <c r="H2087" i="3" a="1"/>
  <c r="H2087" i="3" s="1"/>
  <c r="H1910" i="3" a="1"/>
  <c r="H1910" i="3" s="1"/>
  <c r="H2088" i="3" a="1"/>
  <c r="H2088" i="3" s="1"/>
  <c r="H1362" i="3" a="1"/>
  <c r="H1362" i="3" s="1"/>
  <c r="H636" i="3" a="1"/>
  <c r="H636" i="3" s="1"/>
  <c r="H2478" i="3" a="1"/>
  <c r="H2478" i="3" s="1"/>
  <c r="H1911" i="3" a="1"/>
  <c r="H1911" i="3" s="1"/>
  <c r="H2089" i="3" a="1"/>
  <c r="H2089" i="3" s="1"/>
  <c r="H637" i="3" a="1"/>
  <c r="H637" i="3" s="1"/>
  <c r="H1912" i="3" a="1"/>
  <c r="H1912" i="3" s="1"/>
  <c r="H1363" i="3" a="1"/>
  <c r="H1363" i="3" s="1"/>
  <c r="H638" i="3" a="1"/>
  <c r="H638" i="3" s="1"/>
  <c r="H1125" i="3" a="1"/>
  <c r="H1125" i="3" s="1"/>
  <c r="H639" i="3" a="1"/>
  <c r="H639" i="3" s="1"/>
  <c r="H640" i="3" a="1"/>
  <c r="H640" i="3" s="1"/>
  <c r="H1126" i="3" a="1"/>
  <c r="H1126" i="3" s="1"/>
  <c r="H2261" i="3" a="1"/>
  <c r="H2261" i="3" s="1"/>
  <c r="H641" i="3" a="1"/>
  <c r="H641" i="3" s="1"/>
  <c r="H642" i="3" a="1"/>
  <c r="H642" i="3" s="1"/>
  <c r="H643" i="3" a="1"/>
  <c r="H643" i="3" s="1"/>
  <c r="H2479" i="3" a="1"/>
  <c r="H2479" i="3" s="1"/>
  <c r="H2262" i="3" a="1"/>
  <c r="H2262" i="3" s="1"/>
  <c r="H2480" i="3" a="1"/>
  <c r="H2480" i="3" s="1"/>
  <c r="H1127" i="3" a="1"/>
  <c r="H1127" i="3" s="1"/>
  <c r="H1913" i="3" a="1"/>
  <c r="H1913" i="3" s="1"/>
  <c r="H865" i="3" a="1"/>
  <c r="H865" i="3" s="1"/>
  <c r="H1326" i="3" a="1"/>
  <c r="H1326" i="3" s="1"/>
  <c r="H2481" i="3" a="1"/>
  <c r="H2481" i="3" s="1"/>
  <c r="H1128" i="3" a="1"/>
  <c r="H1128" i="3" s="1"/>
  <c r="H1914" i="3" a="1"/>
  <c r="H1914" i="3" s="1"/>
  <c r="H2482" i="3" a="1"/>
  <c r="H2482" i="3" s="1"/>
  <c r="H1129" i="3" a="1"/>
  <c r="H1129" i="3" s="1"/>
  <c r="H1915" i="3" a="1"/>
  <c r="H1915" i="3" s="1"/>
  <c r="H1327" i="3" a="1"/>
  <c r="H1327" i="3" s="1"/>
  <c r="H866" i="3" a="1"/>
  <c r="H866" i="3" s="1"/>
  <c r="H1130" i="3" a="1"/>
  <c r="H1130" i="3" s="1"/>
  <c r="H2483" i="3" a="1"/>
  <c r="H2483" i="3" s="1"/>
  <c r="H1131" i="3" a="1"/>
  <c r="H1131" i="3" s="1"/>
  <c r="H2484" i="3" a="1"/>
  <c r="H2484" i="3" s="1"/>
  <c r="H1401" i="3" a="1"/>
  <c r="H1401" i="3" s="1"/>
  <c r="H644" i="3" a="1"/>
  <c r="H644" i="3" s="1"/>
  <c r="H645" i="3" a="1"/>
  <c r="H645" i="3" s="1"/>
  <c r="H1132" i="3" a="1"/>
  <c r="H1132" i="3" s="1"/>
  <c r="H2485" i="3" a="1"/>
  <c r="H2485" i="3" s="1"/>
  <c r="H867" i="3" a="1"/>
  <c r="H867" i="3" s="1"/>
  <c r="H1916" i="3" a="1"/>
  <c r="H1916" i="3" s="1"/>
  <c r="H1133" i="3" a="1"/>
  <c r="H1133" i="3" s="1"/>
  <c r="H1328" i="3" a="1"/>
  <c r="H1328" i="3" s="1"/>
  <c r="H1134" i="3" a="1"/>
  <c r="H1134" i="3" s="1"/>
  <c r="H68" i="3" a="1"/>
  <c r="H68" i="3" s="1"/>
  <c r="H2486" i="3" a="1"/>
  <c r="H2486" i="3" s="1"/>
  <c r="H1135" i="3" a="1"/>
  <c r="H1135" i="3" s="1"/>
  <c r="H2487" i="3" a="1"/>
  <c r="H2487" i="3" s="1"/>
  <c r="H2263" i="3" a="1"/>
  <c r="H2263" i="3" s="1"/>
  <c r="H2264" i="3" a="1"/>
  <c r="H2264" i="3" s="1"/>
  <c r="H2488" i="3" a="1"/>
  <c r="H2488" i="3" s="1"/>
  <c r="H1136" i="3" a="1"/>
  <c r="H1136" i="3" s="1"/>
  <c r="H1137" i="3" a="1"/>
  <c r="H1137" i="3" s="1"/>
  <c r="H1917" i="3" a="1"/>
  <c r="H1917" i="3" s="1"/>
  <c r="H1918" i="3" a="1"/>
  <c r="H1918" i="3" s="1"/>
  <c r="H1138" i="3" a="1"/>
  <c r="H1138" i="3" s="1"/>
  <c r="H868" i="3" a="1"/>
  <c r="H868" i="3" s="1"/>
  <c r="H1139" i="3" a="1"/>
  <c r="H1139" i="3" s="1"/>
  <c r="H69" i="3" a="1"/>
  <c r="H69" i="3" s="1"/>
  <c r="H1919" i="3" a="1"/>
  <c r="H1919" i="3" s="1"/>
  <c r="H1140" i="3" a="1"/>
  <c r="H1140" i="3" s="1"/>
  <c r="H70" i="3" a="1"/>
  <c r="H70" i="3" s="1"/>
  <c r="H71" i="3" a="1"/>
  <c r="H71" i="3" s="1"/>
  <c r="H646" i="3" a="1"/>
  <c r="H646" i="3" s="1"/>
  <c r="H1141" i="3" a="1"/>
  <c r="H1141" i="3" s="1"/>
  <c r="H1142" i="3" a="1"/>
  <c r="H1142" i="3" s="1"/>
  <c r="H1920" i="3" a="1"/>
  <c r="H1920" i="3" s="1"/>
  <c r="H869" i="3" a="1"/>
  <c r="H869" i="3" s="1"/>
  <c r="H870" i="3" a="1"/>
  <c r="H870" i="3" s="1"/>
  <c r="H2489" i="3" a="1"/>
  <c r="H2489" i="3" s="1"/>
  <c r="H1921" i="3" a="1"/>
  <c r="H1921" i="3" s="1"/>
  <c r="H1922" i="3" a="1"/>
  <c r="H1922" i="3" s="1"/>
  <c r="H1143" i="3" a="1"/>
  <c r="H1143" i="3" s="1"/>
  <c r="H871" i="3" a="1"/>
  <c r="H871" i="3" s="1"/>
  <c r="H872" i="3" a="1"/>
  <c r="H872" i="3" s="1"/>
  <c r="H72" i="3" a="1"/>
  <c r="H72" i="3" s="1"/>
  <c r="H2265" i="3" a="1"/>
  <c r="H2265" i="3" s="1"/>
  <c r="H873" i="3" a="1"/>
  <c r="H873" i="3" s="1"/>
  <c r="H1144" i="3" a="1"/>
  <c r="H1144" i="3" s="1"/>
  <c r="H1364" i="3" a="1"/>
  <c r="H1364" i="3" s="1"/>
  <c r="H1145" i="3" a="1"/>
  <c r="H1145" i="3" s="1"/>
  <c r="H1146" i="3" a="1"/>
  <c r="H1146" i="3" s="1"/>
  <c r="H647" i="3" a="1"/>
  <c r="H647" i="3" s="1"/>
  <c r="H1147" i="3" a="1"/>
  <c r="H1147" i="3" s="1"/>
  <c r="H1148" i="3" a="1"/>
  <c r="H1148" i="3" s="1"/>
  <c r="H874" i="3" a="1"/>
  <c r="H874" i="3" s="1"/>
  <c r="H2090" i="3" a="1"/>
  <c r="H2090" i="3" s="1"/>
  <c r="H1979" i="3" a="1"/>
  <c r="H1979" i="3" s="1"/>
  <c r="H1365" i="3" a="1"/>
  <c r="H1365" i="3" s="1"/>
  <c r="H875" i="3" a="1"/>
  <c r="H875" i="3" s="1"/>
  <c r="H876" i="3" a="1"/>
  <c r="H876" i="3" s="1"/>
  <c r="H1366" i="3" a="1"/>
  <c r="H1366" i="3" s="1"/>
  <c r="H1367" i="3" a="1"/>
  <c r="H1367" i="3" s="1"/>
  <c r="H2490" i="3" a="1"/>
  <c r="H2490" i="3" s="1"/>
  <c r="H1329" i="3" a="1"/>
  <c r="H1329" i="3" s="1"/>
  <c r="H73" i="3" a="1"/>
  <c r="H73" i="3" s="1"/>
  <c r="H877" i="3" a="1"/>
  <c r="H877" i="3" s="1"/>
  <c r="H1149" i="3" a="1"/>
  <c r="H1149" i="3" s="1"/>
  <c r="H74" i="3" a="1"/>
  <c r="H74" i="3" s="1"/>
  <c r="H1923" i="3" a="1"/>
  <c r="H1923" i="3" s="1"/>
  <c r="H1924" i="3" a="1"/>
  <c r="H1924" i="3" s="1"/>
  <c r="H878" i="3" a="1"/>
  <c r="H878" i="3" s="1"/>
  <c r="H75" i="3" a="1"/>
  <c r="H75" i="3" s="1"/>
  <c r="H879" i="3" a="1"/>
  <c r="H879" i="3" s="1"/>
  <c r="H2266" i="3" a="1"/>
  <c r="H2266" i="3" s="1"/>
  <c r="H880" i="3" a="1"/>
  <c r="H880" i="3" s="1"/>
  <c r="H1925" i="3" a="1"/>
  <c r="H1925" i="3" s="1"/>
  <c r="H648" i="3" a="1"/>
  <c r="H648" i="3" s="1"/>
  <c r="H1368" i="3" a="1"/>
  <c r="H1368" i="3" s="1"/>
  <c r="H1369" i="3" a="1"/>
  <c r="H1369" i="3" s="1"/>
  <c r="H76" i="3" a="1"/>
  <c r="H76" i="3" s="1"/>
  <c r="H1150" i="3" a="1"/>
  <c r="H1150" i="3" s="1"/>
  <c r="H77" i="3" a="1"/>
  <c r="H77" i="3" s="1"/>
  <c r="H78" i="3" a="1"/>
  <c r="H78" i="3" s="1"/>
  <c r="H2267" i="3" a="1"/>
  <c r="H2267" i="3" s="1"/>
  <c r="H1926" i="3" a="1"/>
  <c r="H1926" i="3" s="1"/>
  <c r="H2268" i="3" a="1"/>
  <c r="H2268" i="3" s="1"/>
  <c r="H1151" i="3" a="1"/>
  <c r="H1151" i="3" s="1"/>
  <c r="H1152" i="3" a="1"/>
  <c r="H1152" i="3" s="1"/>
  <c r="H1370" i="3" a="1"/>
  <c r="H1370" i="3" s="1"/>
  <c r="H79" i="3" a="1"/>
  <c r="H79" i="3" s="1"/>
  <c r="H1153" i="3" a="1"/>
  <c r="H1153" i="3" s="1"/>
  <c r="H1154" i="3" a="1"/>
  <c r="H1154" i="3" s="1"/>
  <c r="H2491" i="3" a="1"/>
  <c r="H2491" i="3" s="1"/>
  <c r="H1632" i="3" a="1"/>
  <c r="H1632" i="3" s="1"/>
  <c r="H1628" i="3" a="1"/>
  <c r="H1628" i="3" s="1"/>
  <c r="H1927" i="3" a="1"/>
  <c r="H1927" i="3" s="1"/>
  <c r="H649" i="3" a="1"/>
  <c r="H649" i="3" s="1"/>
  <c r="H881" i="3" a="1"/>
  <c r="H881" i="3" s="1"/>
  <c r="H1928" i="3" a="1"/>
  <c r="H1928" i="3" s="1"/>
  <c r="H1371" i="3" a="1"/>
  <c r="H1371" i="3" s="1"/>
  <c r="H1372" i="3" a="1"/>
  <c r="H1372" i="3" s="1"/>
  <c r="H80" i="3" a="1"/>
  <c r="H80" i="3" s="1"/>
  <c r="H1155" i="3" a="1"/>
  <c r="H1155" i="3" s="1"/>
  <c r="H882" i="3" a="1"/>
  <c r="H882" i="3" s="1"/>
  <c r="H2269" i="3" a="1"/>
  <c r="H2269" i="3" s="1"/>
  <c r="H2270" i="3" a="1"/>
  <c r="H2270" i="3" s="1"/>
  <c r="H81" i="3" a="1"/>
  <c r="H81" i="3" s="1"/>
  <c r="H82" i="3" a="1"/>
  <c r="H82" i="3" s="1"/>
  <c r="H2271" i="3" a="1"/>
  <c r="H2271" i="3" s="1"/>
  <c r="H1156" i="3" a="1"/>
  <c r="H1156" i="3" s="1"/>
  <c r="H650" i="3" a="1"/>
  <c r="H650" i="3" s="1"/>
  <c r="H83" i="3" a="1"/>
  <c r="H83" i="3" s="1"/>
  <c r="H1373" i="3" a="1"/>
  <c r="H1373" i="3" s="1"/>
  <c r="H1330" i="3" a="1"/>
  <c r="H1330" i="3" s="1"/>
  <c r="H2272" i="3" a="1"/>
  <c r="H2272" i="3" s="1"/>
  <c r="H1929" i="3" a="1"/>
  <c r="H1929" i="3" s="1"/>
  <c r="H84" i="3" a="1"/>
  <c r="H84" i="3" s="1"/>
  <c r="H2273" i="3" a="1"/>
  <c r="H2273" i="3" s="1"/>
  <c r="H1374" i="3" a="1"/>
  <c r="H1374" i="3" s="1"/>
  <c r="H1157" i="3" a="1"/>
  <c r="H1157" i="3" s="1"/>
  <c r="H1158" i="3" a="1"/>
  <c r="H1158" i="3" s="1"/>
  <c r="H1159" i="3" a="1"/>
  <c r="H1159" i="3" s="1"/>
  <c r="H883" i="3" a="1"/>
  <c r="H883" i="3" s="1"/>
  <c r="H1160" i="3" a="1"/>
  <c r="H1160" i="3" s="1"/>
  <c r="H1930" i="3" a="1"/>
  <c r="H1930" i="3" s="1"/>
  <c r="H1161" i="3" a="1"/>
  <c r="H1161" i="3" s="1"/>
  <c r="H2091" i="3" a="1"/>
  <c r="H2091" i="3" s="1"/>
  <c r="H1162" i="3" a="1"/>
  <c r="H1162" i="3" s="1"/>
  <c r="H85" i="3" a="1"/>
  <c r="H85" i="3" s="1"/>
  <c r="H1931" i="3" a="1"/>
  <c r="H1931" i="3" s="1"/>
  <c r="H1375" i="3" a="1"/>
  <c r="H1375" i="3" s="1"/>
  <c r="H1163" i="3" a="1"/>
  <c r="H1163" i="3" s="1"/>
  <c r="H1932" i="3" a="1"/>
  <c r="H1932" i="3" s="1"/>
  <c r="H927" i="3" a="1"/>
  <c r="H927" i="3" s="1"/>
  <c r="H651" i="3" a="1"/>
  <c r="H651" i="3" s="1"/>
  <c r="H86" i="3" a="1"/>
  <c r="H86" i="3" s="1"/>
  <c r="H652" i="3" a="1"/>
  <c r="H652" i="3" s="1"/>
  <c r="H1164" i="3" a="1"/>
  <c r="H1164" i="3" s="1"/>
  <c r="H87" i="3" a="1"/>
  <c r="H87" i="3" s="1"/>
  <c r="H653" i="3" a="1"/>
  <c r="H653" i="3" s="1"/>
  <c r="H654" i="3" a="1"/>
  <c r="H654" i="3" s="1"/>
  <c r="H1165" i="3" a="1"/>
  <c r="H1165" i="3" s="1"/>
  <c r="H1166" i="3" a="1"/>
  <c r="H1166" i="3" s="1"/>
  <c r="H884" i="3" a="1"/>
  <c r="H884" i="3" s="1"/>
  <c r="H655" i="3" a="1"/>
  <c r="H655" i="3" s="1"/>
  <c r="H885" i="3" a="1"/>
  <c r="H885" i="3" s="1"/>
  <c r="H886" i="3" a="1"/>
  <c r="H886" i="3" s="1"/>
  <c r="H887" i="3" a="1"/>
  <c r="H887" i="3" s="1"/>
  <c r="H1167" i="3" a="1"/>
  <c r="H1167" i="3" s="1"/>
  <c r="H1168" i="3" a="1"/>
  <c r="H1168" i="3" s="1"/>
  <c r="H1376" i="3" a="1"/>
  <c r="H1376" i="3" s="1"/>
  <c r="H88" i="3" a="1"/>
  <c r="H88" i="3" s="1"/>
  <c r="H1377" i="3" a="1"/>
  <c r="H1377" i="3" s="1"/>
  <c r="H1169" i="3" a="1"/>
  <c r="H1169" i="3" s="1"/>
  <c r="H656" i="3" a="1"/>
  <c r="H656" i="3" s="1"/>
  <c r="H1170" i="3" a="1"/>
  <c r="H1170" i="3" s="1"/>
  <c r="H1378" i="3" a="1"/>
  <c r="H1378" i="3" s="1"/>
  <c r="H657" i="3" a="1"/>
  <c r="H657" i="3" s="1"/>
  <c r="H1171" i="3" a="1"/>
  <c r="H1171" i="3" s="1"/>
  <c r="H1172" i="3" a="1"/>
  <c r="H1172" i="3" s="1"/>
  <c r="H2492" i="3" a="1"/>
  <c r="H2492" i="3" s="1"/>
  <c r="H888" i="3" a="1"/>
  <c r="H888" i="3" s="1"/>
  <c r="H1379" i="3" a="1"/>
  <c r="H1379" i="3" s="1"/>
  <c r="H1173" i="3" a="1"/>
  <c r="H1173" i="3" s="1"/>
  <c r="H1174" i="3" a="1"/>
  <c r="H1174" i="3" s="1"/>
  <c r="H2274" i="3" a="1"/>
  <c r="H2274" i="3" s="1"/>
  <c r="H1933" i="3" a="1"/>
  <c r="H1933" i="3" s="1"/>
  <c r="H1175" i="3" a="1"/>
  <c r="H1175" i="3" s="1"/>
  <c r="H889" i="3" a="1"/>
  <c r="H889" i="3" s="1"/>
  <c r="H1176" i="3" a="1"/>
  <c r="H1176" i="3" s="1"/>
  <c r="H1177" i="3" a="1"/>
  <c r="H1177" i="3" s="1"/>
  <c r="H2275" i="3" a="1"/>
  <c r="H2275" i="3" s="1"/>
  <c r="H1178" i="3" a="1"/>
  <c r="H1178" i="3" s="1"/>
  <c r="H1179" i="3" a="1"/>
  <c r="H1179" i="3" s="1"/>
  <c r="H1180" i="3" a="1"/>
  <c r="H1180" i="3" s="1"/>
  <c r="H1934" i="3" a="1"/>
  <c r="H1934" i="3" s="1"/>
  <c r="H2145" i="3" a="1"/>
  <c r="H2145" i="3" s="1"/>
  <c r="H2276" i="3" a="1"/>
  <c r="H2276" i="3" s="1"/>
  <c r="H1181" i="3" a="1"/>
  <c r="H1181" i="3" s="1"/>
  <c r="H2277" i="3" a="1"/>
  <c r="H2277" i="3" s="1"/>
  <c r="H658" i="3" a="1"/>
  <c r="H658" i="3" s="1"/>
  <c r="H1182" i="3" a="1"/>
  <c r="H1182" i="3" s="1"/>
  <c r="H1183" i="3" a="1"/>
  <c r="H1183" i="3" s="1"/>
  <c r="H89" i="3" a="1"/>
  <c r="H89" i="3" s="1"/>
  <c r="H659" i="3" a="1"/>
  <c r="H659" i="3" s="1"/>
  <c r="H660" i="3" a="1"/>
  <c r="H660" i="3" s="1"/>
  <c r="H890" i="3" a="1"/>
  <c r="H890" i="3" s="1"/>
  <c r="H661" i="3" a="1"/>
  <c r="H661" i="3" s="1"/>
  <c r="H90" i="3" a="1"/>
  <c r="H90" i="3" s="1"/>
  <c r="H1184" i="3" a="1"/>
  <c r="H1184" i="3" s="1"/>
  <c r="H891" i="3" a="1"/>
  <c r="H891" i="3" s="1"/>
  <c r="H1185" i="3" a="1"/>
  <c r="H1185" i="3" s="1"/>
  <c r="H662" i="3" a="1"/>
  <c r="H662" i="3" s="1"/>
  <c r="H91" i="3" a="1"/>
  <c r="H91" i="3" s="1"/>
  <c r="H92" i="3" a="1"/>
  <c r="H92" i="3" s="1"/>
  <c r="H93" i="3" a="1"/>
  <c r="H93" i="3" s="1"/>
  <c r="H94" i="3" a="1"/>
  <c r="H94" i="3" s="1"/>
  <c r="H95" i="3" a="1"/>
  <c r="H95" i="3" s="1"/>
  <c r="H663" i="3" a="1"/>
  <c r="H663" i="3" s="1"/>
  <c r="H664" i="3" a="1"/>
  <c r="H664" i="3" s="1"/>
  <c r="H96" i="3" a="1"/>
  <c r="H96" i="3" s="1"/>
  <c r="H892" i="3" a="1"/>
  <c r="H892" i="3" s="1"/>
  <c r="H893" i="3" a="1"/>
  <c r="H893" i="3" s="1"/>
  <c r="H1331" i="3" a="1"/>
  <c r="H1331" i="3" s="1"/>
  <c r="H1935" i="3" a="1"/>
  <c r="H1935" i="3" s="1"/>
  <c r="H665" i="3" a="1"/>
  <c r="H665" i="3" s="1"/>
  <c r="H1186" i="3" a="1"/>
  <c r="H1186" i="3" s="1"/>
  <c r="H1936" i="3" a="1"/>
  <c r="H1936" i="3" s="1"/>
  <c r="H1937" i="3" a="1"/>
  <c r="H1937" i="3" s="1"/>
  <c r="H666" i="3" a="1"/>
  <c r="H666" i="3" s="1"/>
  <c r="H1938" i="3" a="1"/>
  <c r="H1938" i="3" s="1"/>
  <c r="H1187" i="3" a="1"/>
  <c r="H1187" i="3" s="1"/>
  <c r="H1332" i="3" a="1"/>
  <c r="H1332" i="3" s="1"/>
  <c r="H1333" i="3" a="1"/>
  <c r="H1333" i="3" s="1"/>
  <c r="H1334" i="3" a="1"/>
  <c r="H1334" i="3" s="1"/>
  <c r="H1939" i="3" a="1"/>
  <c r="H1939" i="3" s="1"/>
  <c r="H1335" i="3" a="1"/>
  <c r="H1335" i="3" s="1"/>
  <c r="H2092" i="3" a="1"/>
  <c r="H2092" i="3" s="1"/>
  <c r="H2093" i="3" a="1"/>
  <c r="H2093" i="3" s="1"/>
  <c r="H1380" i="3" a="1"/>
  <c r="H1380" i="3" s="1"/>
  <c r="H1940" i="3" a="1"/>
  <c r="H1940" i="3" s="1"/>
  <c r="H97" i="3" a="1"/>
  <c r="H97" i="3" s="1"/>
  <c r="H1381" i="3" a="1"/>
  <c r="H1381" i="3" s="1"/>
  <c r="H1188" i="3" a="1"/>
  <c r="H1188" i="3" s="1"/>
  <c r="H667" i="3" a="1"/>
  <c r="H667" i="3" s="1"/>
  <c r="H1336" i="3" a="1"/>
  <c r="H1336" i="3" s="1"/>
  <c r="H1941" i="3" a="1"/>
  <c r="H1941" i="3" s="1"/>
  <c r="H894" i="3" a="1"/>
  <c r="H894" i="3" s="1"/>
  <c r="H1189" i="3" a="1"/>
  <c r="H1189" i="3" s="1"/>
  <c r="H1190" i="3" a="1"/>
  <c r="H1190" i="3" s="1"/>
  <c r="H98" i="3" a="1"/>
  <c r="H98" i="3" s="1"/>
  <c r="H2493" i="3" a="1"/>
  <c r="H2493" i="3" s="1"/>
  <c r="H2494" i="3" a="1"/>
  <c r="H2494" i="3" s="1"/>
  <c r="H1191" i="3" a="1"/>
  <c r="H1191" i="3" s="1"/>
  <c r="H1192" i="3" a="1"/>
  <c r="H1192" i="3" s="1"/>
  <c r="H1942" i="3" a="1"/>
  <c r="H1942" i="3" s="1"/>
  <c r="H1193" i="3" a="1"/>
  <c r="H1193" i="3" s="1"/>
  <c r="H2130" i="3" a="1"/>
  <c r="H2130" i="3" s="1"/>
  <c r="H1943" i="3" a="1"/>
  <c r="H1943" i="3" s="1"/>
  <c r="H99" i="3" a="1"/>
  <c r="H99" i="3" s="1"/>
  <c r="H668" i="3" a="1"/>
  <c r="H668" i="3" s="1"/>
  <c r="H1194" i="3" a="1"/>
  <c r="H1194" i="3" s="1"/>
  <c r="H895" i="3" a="1"/>
  <c r="H895" i="3" s="1"/>
  <c r="H2131" i="3" a="1"/>
  <c r="H2131" i="3" s="1"/>
  <c r="H1195" i="3" a="1"/>
  <c r="H1195" i="3" s="1"/>
  <c r="H1196" i="3" a="1"/>
  <c r="H1196" i="3" s="1"/>
  <c r="H1197" i="3" a="1"/>
  <c r="H1197" i="3" s="1"/>
  <c r="H1944" i="3" a="1"/>
  <c r="H1944" i="3" s="1"/>
  <c r="H1945" i="3" a="1"/>
  <c r="H1945" i="3" s="1"/>
  <c r="H1946" i="3" a="1"/>
  <c r="H1946" i="3" s="1"/>
  <c r="H2495" i="3" a="1"/>
  <c r="H2495" i="3" s="1"/>
  <c r="H1947" i="3" a="1"/>
  <c r="H1947" i="3" s="1"/>
  <c r="H669" i="3" a="1"/>
  <c r="H669" i="3" s="1"/>
  <c r="H670" i="3" a="1"/>
  <c r="H670" i="3" s="1"/>
  <c r="H100" i="3" a="1"/>
  <c r="H100" i="3" s="1"/>
  <c r="H1198" i="3" a="1"/>
  <c r="H1198" i="3" s="1"/>
  <c r="H1199" i="3" a="1"/>
  <c r="H1199" i="3" s="1"/>
  <c r="H1382" i="3" a="1"/>
  <c r="H1382" i="3" s="1"/>
  <c r="H896" i="3" a="1"/>
  <c r="H896" i="3" s="1"/>
  <c r="H671" i="3" a="1"/>
  <c r="H671" i="3" s="1"/>
  <c r="H1200" i="3" a="1"/>
  <c r="H1200" i="3" s="1"/>
  <c r="H1948" i="3" a="1"/>
  <c r="H1948" i="3" s="1"/>
  <c r="H1201" i="3" a="1"/>
  <c r="H1201" i="3" s="1"/>
  <c r="H1949" i="3" a="1"/>
  <c r="H1949" i="3" s="1"/>
  <c r="H672" i="3" a="1"/>
  <c r="H672" i="3" s="1"/>
  <c r="H2278" i="3" a="1"/>
  <c r="H2278" i="3" s="1"/>
  <c r="H897" i="3" a="1"/>
  <c r="H897" i="3" s="1"/>
  <c r="H101" i="3" a="1"/>
  <c r="H101" i="3" s="1"/>
  <c r="H1950" i="3" a="1"/>
  <c r="H1950" i="3" s="1"/>
  <c r="H1202" i="3" a="1"/>
  <c r="H1202" i="3" s="1"/>
  <c r="H1951" i="3" a="1"/>
  <c r="H1951" i="3" s="1"/>
  <c r="H673" i="3" a="1"/>
  <c r="H673" i="3" s="1"/>
  <c r="H674" i="3" a="1"/>
  <c r="H674" i="3" s="1"/>
  <c r="H1383" i="3" a="1"/>
  <c r="H1383" i="3" s="1"/>
  <c r="H1384" i="3" a="1"/>
  <c r="H1384" i="3" s="1"/>
  <c r="H898" i="3" a="1"/>
  <c r="H898" i="3" s="1"/>
  <c r="H1952" i="3" a="1"/>
  <c r="H1952" i="3" s="1"/>
  <c r="H1203" i="3" a="1"/>
  <c r="H1203" i="3" s="1"/>
  <c r="H1953" i="3" a="1"/>
  <c r="H1953" i="3" s="1"/>
  <c r="H1954" i="3" a="1"/>
  <c r="H1954" i="3" s="1"/>
  <c r="H1955" i="3" a="1"/>
  <c r="H1955" i="3" s="1"/>
  <c r="H675" i="3" a="1"/>
  <c r="H675" i="3" s="1"/>
  <c r="H1956" i="3" a="1"/>
  <c r="H1956" i="3" s="1"/>
  <c r="H1204" i="3" a="1"/>
  <c r="H1204" i="3" s="1"/>
  <c r="H676" i="3" a="1"/>
  <c r="H676" i="3" s="1"/>
  <c r="H1205" i="3" a="1"/>
  <c r="H1205" i="3" s="1"/>
  <c r="H677" i="3" a="1"/>
  <c r="H677" i="3" s="1"/>
  <c r="H2496" i="3" a="1"/>
  <c r="H2496" i="3" s="1"/>
  <c r="H899" i="3" a="1"/>
  <c r="H899" i="3" s="1"/>
  <c r="H678" i="3" a="1"/>
  <c r="H678" i="3" s="1"/>
  <c r="H900" i="3" a="1"/>
  <c r="H900" i="3" s="1"/>
  <c r="H1206" i="3" a="1"/>
  <c r="H1206" i="3" s="1"/>
  <c r="H2497" i="3" a="1"/>
  <c r="H2497" i="3" s="1"/>
  <c r="H901" i="3" a="1"/>
  <c r="H901" i="3" s="1"/>
  <c r="H902" i="3" a="1"/>
  <c r="H902" i="3" s="1"/>
  <c r="H1957" i="3" a="1"/>
  <c r="H1957" i="3" s="1"/>
  <c r="H1207" i="3" a="1"/>
  <c r="H1207" i="3" s="1"/>
  <c r="H679" i="3" a="1"/>
  <c r="H679" i="3" s="1"/>
  <c r="H102" i="3" a="1"/>
  <c r="H102" i="3" s="1"/>
  <c r="H680" i="3" a="1"/>
  <c r="H680" i="3" s="1"/>
  <c r="H1958" i="3" a="1"/>
  <c r="H1958" i="3" s="1"/>
  <c r="H1959" i="3" a="1"/>
  <c r="H1959" i="3" s="1"/>
  <c r="H681" i="3" a="1"/>
  <c r="H681" i="3" s="1"/>
  <c r="H2279" i="3" a="1"/>
  <c r="H2279" i="3" s="1"/>
  <c r="H1208" i="3" a="1"/>
  <c r="H1208" i="3" s="1"/>
  <c r="H1209" i="3" a="1"/>
  <c r="H1209" i="3" s="1"/>
  <c r="H903" i="3" a="1"/>
  <c r="H903" i="3" s="1"/>
  <c r="H1210" i="3" a="1"/>
  <c r="H1210" i="3" s="1"/>
  <c r="H1211" i="3" a="1"/>
  <c r="H1211" i="3" s="1"/>
  <c r="H682" i="3" a="1"/>
  <c r="H682" i="3" s="1"/>
  <c r="H1212" i="3" a="1"/>
  <c r="H1212" i="3" s="1"/>
  <c r="H1213" i="3" a="1"/>
  <c r="H1213" i="3" s="1"/>
  <c r="H1214" i="3" a="1"/>
  <c r="H1214" i="3" s="1"/>
  <c r="H1215" i="3" a="1"/>
  <c r="H1215" i="3" s="1"/>
  <c r="H1216" i="3" a="1"/>
  <c r="H1216" i="3" s="1"/>
  <c r="H1385" i="3" a="1"/>
  <c r="H1385" i="3" s="1"/>
  <c r="H683" i="3" a="1"/>
  <c r="H683" i="3" s="1"/>
  <c r="H1217" i="3" a="1"/>
  <c r="H1217" i="3" s="1"/>
  <c r="H684" i="3" a="1"/>
  <c r="H684" i="3" s="1"/>
  <c r="H1982" i="3" a="1"/>
  <c r="H1982" i="3" s="1"/>
  <c r="H904" i="3" a="1"/>
  <c r="H904" i="3" s="1"/>
  <c r="H2094" i="3" a="1"/>
  <c r="H2094" i="3" s="1"/>
  <c r="H905" i="3" a="1"/>
  <c r="H905" i="3" s="1"/>
  <c r="H906" i="3" a="1"/>
  <c r="H906" i="3" s="1"/>
  <c r="H907" i="3" a="1"/>
  <c r="H907" i="3" s="1"/>
  <c r="H908" i="3" a="1"/>
  <c r="H908" i="3" s="1"/>
  <c r="H103" i="3" a="1"/>
  <c r="H103" i="3" s="1"/>
  <c r="H104" i="3" a="1"/>
  <c r="H104" i="3" s="1"/>
  <c r="H909" i="3" a="1"/>
  <c r="H909" i="3" s="1"/>
  <c r="H685" i="3" a="1"/>
  <c r="H685" i="3" s="1"/>
  <c r="H1386" i="3" a="1"/>
  <c r="H1386" i="3" s="1"/>
  <c r="H686" i="3" a="1"/>
  <c r="H686" i="3" s="1"/>
  <c r="H105" i="3" a="1"/>
  <c r="H105" i="3" s="1"/>
  <c r="H2498" i="3" a="1"/>
  <c r="H2498" i="3" s="1"/>
  <c r="H910" i="3" a="1"/>
  <c r="H910" i="3" s="1"/>
  <c r="H1218" i="3" a="1"/>
  <c r="H1218" i="3" s="1"/>
  <c r="H687" i="3" a="1"/>
  <c r="H687" i="3" s="1"/>
  <c r="H911" i="3" a="1"/>
  <c r="H911" i="3" s="1"/>
  <c r="H1960" i="3" a="1"/>
  <c r="H1960" i="3" s="1"/>
  <c r="H1219" i="3" a="1"/>
  <c r="H1219" i="3" s="1"/>
  <c r="H1961" i="3" a="1"/>
  <c r="H1961" i="3" s="1"/>
  <c r="H1962" i="3" a="1"/>
  <c r="H1962" i="3" s="1"/>
  <c r="H912" i="3" a="1"/>
  <c r="H912" i="3" s="1"/>
  <c r="H913" i="3" a="1"/>
  <c r="H913" i="3" s="1"/>
  <c r="H1963" i="3" a="1"/>
  <c r="H1963" i="3" s="1"/>
  <c r="H1964" i="3" a="1"/>
  <c r="H1964" i="3" s="1"/>
  <c r="H1965" i="3" a="1"/>
  <c r="H1965" i="3" s="1"/>
  <c r="H2095" i="3" a="1"/>
  <c r="H2095" i="3" s="1"/>
  <c r="H2096" i="3" a="1"/>
  <c r="H2096" i="3" s="1"/>
  <c r="H1966" i="3" a="1"/>
  <c r="H1966" i="3" s="1"/>
  <c r="H1967" i="3" a="1"/>
  <c r="H1967" i="3" s="1"/>
  <c r="H1968" i="3" a="1"/>
  <c r="H1968" i="3" s="1"/>
  <c r="H1969" i="3" a="1"/>
  <c r="H1969" i="3" s="1"/>
  <c r="H1970" i="3" a="1"/>
  <c r="H1970" i="3" s="1"/>
  <c r="H2499" i="3" a="1"/>
  <c r="H2499" i="3" s="1"/>
  <c r="H914" i="3" a="1"/>
  <c r="H914" i="3" s="1"/>
  <c r="H1971" i="3" a="1"/>
  <c r="H1971" i="3" s="1"/>
  <c r="H2132" i="3" a="1"/>
  <c r="H2132" i="3" s="1"/>
  <c r="H2133" i="3" a="1"/>
  <c r="H2133" i="3" s="1"/>
  <c r="H2134" i="3" a="1"/>
  <c r="H2134" i="3" s="1"/>
  <c r="H2135" i="3" a="1"/>
  <c r="H2135" i="3" s="1"/>
  <c r="H915" i="3" a="1"/>
  <c r="H915" i="3" s="1"/>
  <c r="H2280" i="3" a="1"/>
  <c r="H2280" i="3" s="1"/>
  <c r="H2281" i="3" a="1"/>
  <c r="H2281" i="3" s="1"/>
  <c r="H2500" i="3" a="1"/>
  <c r="H2500" i="3" s="1"/>
  <c r="H2501" i="3" a="1"/>
  <c r="H2501" i="3" s="1"/>
  <c r="H2097" i="3" a="1"/>
  <c r="H2097" i="3" s="1"/>
  <c r="H2098" i="3" a="1"/>
  <c r="H2098" i="3" s="1"/>
  <c r="H2099" i="3" a="1"/>
  <c r="H2099" i="3" s="1"/>
  <c r="H2100" i="3" a="1"/>
  <c r="H2100" i="3" s="1"/>
  <c r="H2101" i="3" a="1"/>
  <c r="H2101" i="3" s="1"/>
  <c r="H2102" i="3" a="1"/>
  <c r="H2102" i="3" s="1"/>
  <c r="H1981" i="3" a="1"/>
  <c r="H1981" i="3" s="1"/>
  <c r="H2103" i="3" a="1"/>
  <c r="H2103" i="3" s="1"/>
  <c r="H1984" i="3" a="1"/>
  <c r="H1984" i="3" s="1"/>
  <c r="H2104" i="3" a="1"/>
  <c r="H2104" i="3" s="1"/>
  <c r="H916" i="3" a="1"/>
  <c r="H916" i="3" s="1"/>
  <c r="H106" i="3" a="1"/>
  <c r="H106" i="3" s="1"/>
  <c r="H688" i="3" a="1"/>
  <c r="H688" i="3" s="1"/>
  <c r="H1387" i="3" a="1"/>
  <c r="H1387" i="3" s="1"/>
  <c r="H1388" i="3" a="1"/>
  <c r="H1388" i="3" s="1"/>
  <c r="H1389" i="3" a="1"/>
  <c r="H1389" i="3" s="1"/>
  <c r="H1390" i="3" a="1"/>
  <c r="H1390" i="3" s="1"/>
  <c r="H1391" i="3" a="1"/>
  <c r="H1391" i="3" s="1"/>
  <c r="H689" i="3" a="1"/>
  <c r="H689" i="3" s="1"/>
  <c r="H1337" i="3" a="1"/>
  <c r="H1337" i="3" s="1"/>
  <c r="H1338" i="3" a="1"/>
  <c r="H1338" i="3" s="1"/>
  <c r="H1629" i="3" a="1"/>
  <c r="H1629" i="3" s="1"/>
  <c r="H1972" i="3" a="1"/>
  <c r="H1972" i="3" s="1"/>
  <c r="H690" i="3" a="1"/>
  <c r="H690" i="3" s="1"/>
  <c r="H1973" i="3" a="1"/>
  <c r="H1973" i="3" s="1"/>
  <c r="H1974" i="3" a="1"/>
  <c r="H1974" i="3" s="1"/>
  <c r="H1975" i="3" a="1"/>
  <c r="H1975" i="3" s="1"/>
  <c r="H1976" i="3" a="1"/>
  <c r="H1976" i="3" s="1"/>
  <c r="H1977" i="3" a="1"/>
  <c r="H1977" i="3" s="1"/>
  <c r="H1220" i="3" a="1"/>
  <c r="H1220" i="3" s="1"/>
  <c r="H1221" i="3" a="1"/>
  <c r="H1221" i="3" s="1"/>
  <c r="H1222" i="3" a="1"/>
  <c r="H1222" i="3" s="1"/>
  <c r="H1223" i="3" a="1"/>
  <c r="H1223" i="3" s="1"/>
  <c r="H1224" i="3" a="1"/>
  <c r="H1224" i="3" s="1"/>
  <c r="H1392" i="3" a="1"/>
  <c r="H1392" i="3" s="1"/>
  <c r="H1225" i="3" a="1"/>
  <c r="H1225" i="3" s="1"/>
  <c r="H1226" i="3" a="1"/>
  <c r="H1226" i="3" s="1"/>
  <c r="H1227" i="3" a="1"/>
  <c r="H1227" i="3" s="1"/>
  <c r="H1631" i="3" a="1"/>
  <c r="H1631" i="3" s="1"/>
  <c r="H1978" i="3" a="1"/>
  <c r="H1978" i="3" s="1"/>
  <c r="H1228" i="3" a="1"/>
  <c r="H1228" i="3" s="1"/>
  <c r="H1229" i="3" a="1"/>
  <c r="H1229" i="3" s="1"/>
  <c r="H917" i="3" a="1"/>
  <c r="H917" i="3" s="1"/>
  <c r="H107" i="3" a="1"/>
  <c r="H107" i="3" s="1"/>
  <c r="H108" i="3" a="1"/>
  <c r="H108" i="3" s="1"/>
  <c r="H109" i="3" a="1"/>
  <c r="H109" i="3" s="1"/>
  <c r="H691" i="3" a="1"/>
  <c r="H691" i="3" s="1"/>
  <c r="H692" i="3" a="1"/>
  <c r="H692" i="3" s="1"/>
  <c r="H693" i="3" a="1"/>
  <c r="H693" i="3" s="1"/>
  <c r="H2288" i="3" a="1"/>
  <c r="H2288" i="3" s="1"/>
  <c r="H2289" i="3" a="1"/>
  <c r="H2289" i="3" s="1"/>
  <c r="H2290" i="3" a="1"/>
  <c r="H2290" i="3" s="1"/>
  <c r="H2291" i="3" a="1"/>
  <c r="H2291" i="3" s="1"/>
  <c r="H2292" i="3" a="1"/>
  <c r="H2292" i="3" s="1"/>
  <c r="H2293" i="3" a="1"/>
  <c r="H2293" i="3" s="1"/>
  <c r="H2136" i="3" a="1"/>
  <c r="H2136" i="3" s="1"/>
  <c r="H2294" i="3" a="1"/>
  <c r="H2294" i="3" s="1"/>
  <c r="H2295" i="3" a="1"/>
  <c r="H2295" i="3" s="1"/>
  <c r="H2296" i="3" a="1"/>
  <c r="H2296" i="3" s="1"/>
  <c r="H2297" i="3" a="1"/>
  <c r="H2297" i="3" s="1"/>
  <c r="H2298" i="3" a="1"/>
  <c r="H2298" i="3" s="1"/>
  <c r="H2299" i="3" a="1"/>
  <c r="H2299" i="3" s="1"/>
  <c r="H2300" i="3" a="1"/>
  <c r="H2300" i="3" s="1"/>
  <c r="H2301" i="3" a="1"/>
  <c r="H2301" i="3" s="1"/>
  <c r="H434" i="3" a="1"/>
  <c r="H434" i="3" s="1"/>
  <c r="H435" i="3" a="1"/>
  <c r="H435" i="3" s="1"/>
  <c r="H436" i="3" a="1"/>
  <c r="H436" i="3" s="1"/>
  <c r="H437" i="3" a="1"/>
  <c r="H437" i="3" s="1"/>
  <c r="H438" i="3" a="1"/>
  <c r="H438" i="3" s="1"/>
  <c r="H439" i="3" a="1"/>
  <c r="H439" i="3" s="1"/>
  <c r="H440" i="3" a="1"/>
  <c r="H440" i="3" s="1"/>
  <c r="H441" i="3" a="1"/>
  <c r="H441" i="3" s="1"/>
  <c r="H442" i="3" a="1"/>
  <c r="H442" i="3" s="1"/>
  <c r="H443" i="3" a="1"/>
  <c r="H443" i="3" s="1"/>
  <c r="H444" i="3" a="1"/>
  <c r="H444" i="3" s="1"/>
  <c r="H1403" i="3" a="1"/>
  <c r="H1403" i="3" s="1"/>
  <c r="H2302" i="3" a="1"/>
  <c r="H2302" i="3" s="1"/>
  <c r="H445" i="3" a="1"/>
  <c r="H445" i="3" s="1"/>
  <c r="H446" i="3" a="1"/>
  <c r="H446" i="3" s="1"/>
  <c r="H447" i="3" a="1"/>
  <c r="H447" i="3" s="1"/>
  <c r="H448" i="3" a="1"/>
  <c r="H448" i="3" s="1"/>
  <c r="H1404" i="3" a="1"/>
  <c r="H1404" i="3" s="1"/>
  <c r="H1405" i="3" a="1"/>
  <c r="H1405" i="3" s="1"/>
  <c r="H2137" i="3" a="1"/>
  <c r="H2137" i="3" s="1"/>
  <c r="H1406" i="3" a="1"/>
  <c r="H1406" i="3" s="1"/>
  <c r="H1407" i="3" a="1"/>
  <c r="H1407" i="3" s="1"/>
  <c r="H1408" i="3" a="1"/>
  <c r="H1408" i="3" s="1"/>
  <c r="H2303" i="3" a="1"/>
  <c r="H2303" i="3" s="1"/>
  <c r="H2138" i="3" a="1"/>
  <c r="H2138" i="3" s="1"/>
  <c r="H2315" i="3" a="1"/>
  <c r="H2315" i="3" s="1"/>
  <c r="H2139" i="3" a="1"/>
  <c r="H2139" i="3" s="1"/>
  <c r="H1409" i="3" a="1"/>
  <c r="H1409" i="3" s="1"/>
  <c r="H2140" i="3" a="1"/>
  <c r="H2140" i="3" s="1"/>
  <c r="H2141" i="3" a="1"/>
  <c r="H2141" i="3" s="1"/>
  <c r="H2304" i="3" a="1"/>
  <c r="H2304" i="3" s="1"/>
  <c r="H1410" i="3" a="1"/>
  <c r="H1410" i="3" s="1"/>
  <c r="H2142" i="3" a="1"/>
  <c r="H2142" i="3" s="1"/>
  <c r="H1411" i="3" a="1"/>
  <c r="H1411" i="3" s="1"/>
  <c r="H1412" i="3" a="1"/>
  <c r="H1412" i="3" s="1"/>
  <c r="H2305" i="3" a="1"/>
  <c r="H2305" i="3" s="1"/>
  <c r="H1413" i="3" a="1"/>
  <c r="H1413" i="3" s="1"/>
  <c r="H2143" i="3" a="1"/>
  <c r="H2143" i="3" s="1"/>
  <c r="H1414" i="3" a="1"/>
  <c r="H1414" i="3" s="1"/>
  <c r="H1415" i="3" a="1"/>
  <c r="H1415" i="3" s="1"/>
  <c r="H2316" i="3" a="1"/>
  <c r="H2316" i="3" s="1"/>
  <c r="H1416" i="3" a="1"/>
  <c r="H1416" i="3" s="1"/>
  <c r="H1417" i="3" a="1"/>
  <c r="H1417" i="3" s="1"/>
  <c r="H2306" i="3" a="1"/>
  <c r="H2306" i="3" s="1"/>
  <c r="H2317" i="3" a="1"/>
  <c r="H2317" i="3" s="1"/>
  <c r="H2144" i="3" a="1"/>
  <c r="H2144" i="3" s="1"/>
  <c r="H2307" i="3" a="1"/>
  <c r="H2307" i="3" s="1"/>
  <c r="H449" i="3" a="1"/>
  <c r="H449" i="3" s="1"/>
  <c r="H918" i="3" a="1"/>
  <c r="H918" i="3" s="1"/>
  <c r="H919" i="3" a="1"/>
  <c r="H919" i="3" s="1"/>
  <c r="H2308" i="3" a="1"/>
  <c r="H2308" i="3" s="1"/>
  <c r="H920" i="3" a="1"/>
  <c r="H920" i="3" s="1"/>
  <c r="H2309" i="3" a="1"/>
  <c r="H2309" i="3" s="1"/>
  <c r="H2310" i="3" a="1"/>
  <c r="H2310" i="3" s="1"/>
  <c r="H2311" i="3" a="1"/>
  <c r="H2311" i="3" s="1"/>
  <c r="H450" i="3" a="1"/>
  <c r="H450" i="3" s="1"/>
  <c r="H451" i="3" a="1"/>
  <c r="H451" i="3" s="1"/>
  <c r="H452" i="3" a="1"/>
  <c r="H452" i="3" s="1"/>
  <c r="H453" i="3" a="1"/>
  <c r="H453" i="3" s="1"/>
  <c r="H2312" i="3" a="1"/>
  <c r="H2312" i="3" s="1"/>
  <c r="H454" i="3" a="1"/>
  <c r="H454" i="3" s="1"/>
  <c r="H455" i="3" a="1"/>
  <c r="H455" i="3" s="1"/>
  <c r="H456" i="3" a="1"/>
  <c r="H456" i="3" s="1"/>
  <c r="H457" i="3" a="1"/>
  <c r="H457" i="3" s="1"/>
  <c r="H458" i="3" a="1"/>
  <c r="H458" i="3" s="1"/>
  <c r="H459" i="3" a="1"/>
  <c r="H459" i="3" s="1"/>
  <c r="H460" i="3" a="1"/>
  <c r="H460" i="3" s="1"/>
  <c r="H461" i="3" a="1"/>
  <c r="H461" i="3" s="1"/>
  <c r="H462" i="3" a="1"/>
  <c r="H462" i="3" s="1"/>
  <c r="H2313" i="3" a="1"/>
  <c r="H2313" i="3" s="1"/>
  <c r="H463" i="3" a="1"/>
  <c r="H463" i="3" s="1"/>
  <c r="H464" i="3" a="1"/>
  <c r="H464" i="3" s="1"/>
  <c r="H2314" i="3" a="1"/>
  <c r="H2314" i="3" s="1"/>
  <c r="H465" i="3" a="1"/>
  <c r="H465" i="3" s="1"/>
  <c r="H466" i="3" a="1"/>
  <c r="H466" i="3" s="1"/>
  <c r="H467" i="3" a="1"/>
  <c r="H467" i="3" s="1"/>
  <c r="H468" i="3" a="1"/>
  <c r="H468" i="3" s="1"/>
  <c r="H469" i="3" a="1"/>
  <c r="H469" i="3" s="1"/>
  <c r="H470" i="3" a="1"/>
  <c r="H470" i="3" s="1"/>
  <c r="H471" i="3" a="1"/>
  <c r="H471" i="3" s="1"/>
  <c r="H472" i="3" a="1"/>
  <c r="H472" i="3" s="1"/>
  <c r="H2322" i="3" a="1"/>
  <c r="H2322" i="3" s="1"/>
  <c r="H2323" i="3" a="1"/>
  <c r="H2323" i="3" s="1"/>
  <c r="H473" i="3" a="1"/>
  <c r="H473" i="3" s="1"/>
  <c r="H474" i="3" a="1"/>
  <c r="H474" i="3" s="1"/>
  <c r="H2282" i="3" a="1"/>
  <c r="H2282" i="3" s="1"/>
  <c r="H1342" i="3" a="1"/>
  <c r="H1342" i="3" s="1"/>
  <c r="H475" i="3" a="1"/>
  <c r="H475" i="3" s="1"/>
  <c r="H476" i="3" a="1"/>
  <c r="H476" i="3" s="1"/>
  <c r="H2283" i="3" a="1"/>
  <c r="H2283" i="3" s="1"/>
  <c r="H1343" i="3" a="1"/>
  <c r="H1343" i="3" s="1"/>
  <c r="H477" i="3" a="1"/>
  <c r="H477" i="3" s="1"/>
  <c r="H478" i="3" a="1"/>
  <c r="H478" i="3" s="1"/>
  <c r="H479" i="3" a="1"/>
  <c r="H479" i="3" s="1"/>
  <c r="H480" i="3" a="1"/>
  <c r="H480" i="3" s="1"/>
  <c r="H1344" i="3" a="1"/>
  <c r="H1344" i="3" s="1"/>
  <c r="H481" i="3" a="1"/>
  <c r="H481" i="3" s="1"/>
  <c r="H482" i="3" a="1"/>
  <c r="H482" i="3" s="1"/>
  <c r="H1345" i="3" a="1"/>
  <c r="H1345" i="3" s="1"/>
  <c r="H483" i="3" a="1"/>
  <c r="H483" i="3" s="1"/>
  <c r="H484" i="3" a="1"/>
  <c r="H484" i="3" s="1"/>
  <c r="H485" i="3" a="1"/>
  <c r="H485" i="3" s="1"/>
  <c r="H486" i="3" a="1"/>
  <c r="H486" i="3" s="1"/>
  <c r="H487" i="3" a="1"/>
  <c r="H487" i="3" s="1"/>
  <c r="H488" i="3" a="1"/>
  <c r="H488" i="3" s="1"/>
  <c r="H489" i="3" a="1"/>
  <c r="H489" i="3" s="1"/>
  <c r="H490" i="3" a="1"/>
  <c r="H490" i="3" s="1"/>
  <c r="H491" i="3" a="1"/>
  <c r="H491" i="3" s="1"/>
  <c r="H492" i="3" a="1"/>
  <c r="H492" i="3" s="1"/>
  <c r="H493" i="3" a="1"/>
  <c r="H493" i="3" s="1"/>
  <c r="H494" i="3" a="1"/>
  <c r="H494" i="3" s="1"/>
  <c r="H495" i="3" a="1"/>
  <c r="H495" i="3" s="1"/>
  <c r="H496" i="3" a="1"/>
  <c r="H496" i="3" s="1"/>
  <c r="H497" i="3" a="1"/>
  <c r="H497" i="3" s="1"/>
  <c r="H498" i="3" a="1"/>
  <c r="H498" i="3" s="1"/>
  <c r="H499" i="3" a="1"/>
  <c r="H499" i="3" s="1"/>
  <c r="H500" i="3" a="1"/>
  <c r="H500" i="3" s="1"/>
  <c r="H501" i="3" a="1"/>
  <c r="H501" i="3" s="1"/>
  <c r="H502" i="3" a="1"/>
  <c r="H502" i="3" s="1"/>
  <c r="H2284" i="3" a="1"/>
  <c r="H2284" i="3" s="1"/>
  <c r="H2285" i="3" a="1"/>
  <c r="H2285" i="3" s="1"/>
  <c r="H2324" i="3" a="1"/>
  <c r="H2324" i="3" s="1"/>
  <c r="H2325" i="3" a="1"/>
  <c r="H2325" i="3" s="1"/>
  <c r="H2326" i="3" a="1"/>
  <c r="H2326" i="3" s="1"/>
  <c r="H111" i="3" a="1"/>
  <c r="H111" i="3" s="1"/>
  <c r="H112" i="3" a="1"/>
  <c r="H112" i="3" s="1"/>
  <c r="H113" i="3" a="1"/>
  <c r="H113" i="3" s="1"/>
  <c r="H114" i="3" a="1"/>
  <c r="H114" i="3" s="1"/>
  <c r="H115" i="3" a="1"/>
  <c r="H115" i="3" s="1"/>
  <c r="H116" i="3" a="1"/>
  <c r="H116" i="3" s="1"/>
  <c r="H117" i="3" a="1"/>
  <c r="H117" i="3" s="1"/>
  <c r="H118" i="3" a="1"/>
  <c r="H118" i="3" s="1"/>
  <c r="H119" i="3" a="1"/>
  <c r="H119" i="3" s="1"/>
  <c r="H120" i="3" a="1"/>
  <c r="H120" i="3" s="1"/>
  <c r="H121" i="3" a="1"/>
  <c r="H121" i="3" s="1"/>
  <c r="H122" i="3" a="1"/>
  <c r="H122" i="3" s="1"/>
  <c r="H1446" i="3" a="1"/>
  <c r="H1446" i="3" s="1"/>
  <c r="H123" i="3" a="1"/>
  <c r="H123" i="3" s="1"/>
  <c r="H124" i="3" a="1"/>
  <c r="H124" i="3" s="1"/>
  <c r="H1447" i="3" a="1"/>
  <c r="H1447" i="3" s="1"/>
  <c r="H125" i="3" a="1"/>
  <c r="H125" i="3" s="1"/>
  <c r="H126" i="3" a="1"/>
  <c r="H126" i="3" s="1"/>
  <c r="H127" i="3" a="1"/>
  <c r="H127" i="3" s="1"/>
  <c r="H128" i="3" a="1"/>
  <c r="H128" i="3" s="1"/>
  <c r="H129" i="3" a="1"/>
  <c r="H129" i="3" s="1"/>
  <c r="H130" i="3" a="1"/>
  <c r="H130" i="3" s="1"/>
  <c r="H131" i="3" a="1"/>
  <c r="H131" i="3" s="1"/>
  <c r="H132" i="3" a="1"/>
  <c r="H132" i="3" s="1"/>
  <c r="H133" i="3" a="1"/>
  <c r="H133" i="3" s="1"/>
  <c r="H1448" i="3" a="1"/>
  <c r="H1448" i="3" s="1"/>
  <c r="H1449" i="3" a="1"/>
  <c r="H1449" i="3" s="1"/>
  <c r="H1450" i="3" a="1"/>
  <c r="H1450" i="3" s="1"/>
  <c r="H1451" i="3" a="1"/>
  <c r="H1451" i="3" s="1"/>
  <c r="H1452" i="3" a="1"/>
  <c r="H1452" i="3" s="1"/>
  <c r="H1453" i="3" a="1"/>
  <c r="H1453" i="3" s="1"/>
  <c r="H1454" i="3" a="1"/>
  <c r="H1454" i="3" s="1"/>
  <c r="H1455" i="3" a="1"/>
  <c r="H1455" i="3" s="1"/>
  <c r="H1456" i="3" a="1"/>
  <c r="H1456" i="3" s="1"/>
  <c r="H1457" i="3" a="1"/>
  <c r="H1457" i="3" s="1"/>
  <c r="H1458" i="3" a="1"/>
  <c r="H1458" i="3" s="1"/>
  <c r="H1459" i="3" a="1"/>
  <c r="H1459" i="3" s="1"/>
  <c r="H1460" i="3" a="1"/>
  <c r="H1460" i="3" s="1"/>
  <c r="H1461" i="3" a="1"/>
  <c r="H1461" i="3" s="1"/>
  <c r="H134" i="3" a="1"/>
  <c r="H134" i="3" s="1"/>
  <c r="H135" i="3" a="1"/>
  <c r="H135" i="3" s="1"/>
  <c r="H1462" i="3" a="1"/>
  <c r="H1462" i="3" s="1"/>
  <c r="H1463" i="3" a="1"/>
  <c r="H1463" i="3" s="1"/>
  <c r="H136" i="3" a="1"/>
  <c r="H136" i="3" s="1"/>
  <c r="H137" i="3" a="1"/>
  <c r="H137" i="3" s="1"/>
  <c r="H138" i="3" a="1"/>
  <c r="H138" i="3" s="1"/>
  <c r="H139" i="3" a="1"/>
  <c r="H139" i="3" s="1"/>
  <c r="H140" i="3" a="1"/>
  <c r="H140" i="3" s="1"/>
  <c r="H141" i="3" a="1"/>
  <c r="H141" i="3" s="1"/>
  <c r="H142" i="3" a="1"/>
  <c r="H142" i="3" s="1"/>
  <c r="H1464" i="3" a="1"/>
  <c r="H1464" i="3" s="1"/>
  <c r="H143" i="3" a="1"/>
  <c r="H143" i="3" s="1"/>
  <c r="H144" i="3" a="1"/>
  <c r="H144" i="3" s="1"/>
  <c r="H2502" i="3" a="1"/>
  <c r="H2502" i="3" s="1"/>
  <c r="H145" i="3" a="1"/>
  <c r="H145" i="3" s="1"/>
  <c r="H146" i="3" a="1"/>
  <c r="H146" i="3" s="1"/>
  <c r="H147" i="3" a="1"/>
  <c r="H147" i="3" s="1"/>
  <c r="H148" i="3" a="1"/>
  <c r="H148" i="3" s="1"/>
  <c r="H149" i="3" a="1"/>
  <c r="H149" i="3" s="1"/>
  <c r="H150" i="3" a="1"/>
  <c r="H150" i="3" s="1"/>
  <c r="H2503" i="3" a="1"/>
  <c r="H2503" i="3" s="1"/>
  <c r="H1465" i="3" a="1"/>
  <c r="H1465" i="3" s="1"/>
  <c r="H151" i="3" a="1"/>
  <c r="H151" i="3" s="1"/>
  <c r="H152" i="3" a="1"/>
  <c r="H152" i="3" s="1"/>
  <c r="H153" i="3" a="1"/>
  <c r="H153" i="3" s="1"/>
  <c r="H154" i="3" a="1"/>
  <c r="H154" i="3" s="1"/>
  <c r="H2504" i="3" a="1"/>
  <c r="H2504" i="3" s="1"/>
  <c r="H155" i="3" a="1"/>
  <c r="H155" i="3" s="1"/>
  <c r="H156" i="3" a="1"/>
  <c r="H156" i="3" s="1"/>
  <c r="H157" i="3" a="1"/>
  <c r="H157" i="3" s="1"/>
  <c r="H1466" i="3" a="1"/>
  <c r="H1466" i="3" s="1"/>
  <c r="H2505" i="3" a="1"/>
  <c r="H2505" i="3" s="1"/>
  <c r="H158" i="3" a="1"/>
  <c r="H158" i="3" s="1"/>
  <c r="H159" i="3" a="1"/>
  <c r="H159" i="3" s="1"/>
  <c r="H1467" i="3" a="1"/>
  <c r="H1467" i="3" s="1"/>
  <c r="H1468" i="3" a="1"/>
  <c r="H1468" i="3" s="1"/>
  <c r="H160" i="3" a="1"/>
  <c r="H160" i="3" s="1"/>
  <c r="H161" i="3" a="1"/>
  <c r="H161" i="3" s="1"/>
  <c r="H1469" i="3" a="1"/>
  <c r="H1469" i="3" s="1"/>
  <c r="H2506" i="3" a="1"/>
  <c r="H2506" i="3" s="1"/>
  <c r="H1470" i="3" a="1"/>
  <c r="H1470" i="3" s="1"/>
  <c r="H2507" i="3" a="1"/>
  <c r="H2507" i="3" s="1"/>
  <c r="H2508" i="3" a="1"/>
  <c r="H2508" i="3" s="1"/>
  <c r="H433" i="3" a="1"/>
  <c r="H433" i="3" s="1"/>
  <c r="H162" i="3" a="1"/>
  <c r="H162" i="3" s="1"/>
  <c r="H163" i="3" a="1"/>
  <c r="H163" i="3" s="1"/>
  <c r="H164" i="3" a="1"/>
  <c r="H164" i="3" s="1"/>
  <c r="H165" i="3" a="1"/>
  <c r="H165" i="3" s="1"/>
  <c r="H166" i="3" a="1"/>
  <c r="H166" i="3" s="1"/>
  <c r="H167" i="3" a="1"/>
  <c r="H167" i="3" s="1"/>
  <c r="H168" i="3" a="1"/>
  <c r="H168" i="3" s="1"/>
  <c r="H169" i="3" a="1"/>
  <c r="H169" i="3" s="1"/>
  <c r="H170" i="3" a="1"/>
  <c r="H170" i="3" s="1"/>
  <c r="H171" i="3" a="1"/>
  <c r="H171" i="3" s="1"/>
  <c r="H172" i="3" a="1"/>
  <c r="H172" i="3" s="1"/>
  <c r="H173" i="3" a="1"/>
  <c r="H173" i="3" s="1"/>
  <c r="H174" i="3" a="1"/>
  <c r="H174" i="3" s="1"/>
  <c r="H175" i="3" a="1"/>
  <c r="H175" i="3" s="1"/>
  <c r="H176" i="3" a="1"/>
  <c r="H176" i="3" s="1"/>
  <c r="H177" i="3" a="1"/>
  <c r="H177" i="3" s="1"/>
  <c r="H178" i="3" a="1"/>
  <c r="H178" i="3" s="1"/>
  <c r="H179" i="3" a="1"/>
  <c r="H179" i="3" s="1"/>
  <c r="H180" i="3" a="1"/>
  <c r="H180" i="3" s="1"/>
  <c r="H181" i="3" a="1"/>
  <c r="H181" i="3" s="1"/>
  <c r="H182" i="3" a="1"/>
  <c r="H182" i="3" s="1"/>
  <c r="H183" i="3" a="1"/>
  <c r="H183" i="3" s="1"/>
  <c r="H184" i="3" a="1"/>
  <c r="H184" i="3" s="1"/>
  <c r="H2509" i="3" a="1"/>
  <c r="H2509" i="3" s="1"/>
  <c r="H185" i="3" a="1"/>
  <c r="H185" i="3" s="1"/>
  <c r="H2510" i="3" a="1"/>
  <c r="H2510" i="3" s="1"/>
  <c r="H186" i="3" a="1"/>
  <c r="H186" i="3" s="1"/>
  <c r="H187" i="3" a="1"/>
  <c r="H187" i="3" s="1"/>
  <c r="H188" i="3" a="1"/>
  <c r="H188" i="3" s="1"/>
  <c r="H2511" i="3" a="1"/>
  <c r="H2511" i="3" s="1"/>
  <c r="H189" i="3" a="1"/>
  <c r="H189" i="3" s="1"/>
  <c r="H2512" i="3" a="1"/>
  <c r="H2512" i="3" s="1"/>
  <c r="H190" i="3" a="1"/>
  <c r="H190" i="3" s="1"/>
  <c r="H191" i="3" a="1"/>
  <c r="H191" i="3" s="1"/>
  <c r="H2513" i="3" a="1"/>
  <c r="H2513" i="3" s="1"/>
  <c r="H2514" i="3" a="1"/>
  <c r="H2514" i="3" s="1"/>
  <c r="H2515" i="3" a="1"/>
  <c r="H2515" i="3" s="1"/>
  <c r="H192" i="3" a="1"/>
  <c r="H192" i="3" s="1"/>
  <c r="H2516" i="3" a="1"/>
  <c r="H2516" i="3" s="1"/>
  <c r="H193" i="3" a="1"/>
  <c r="H193" i="3" s="1"/>
  <c r="H194" i="3" a="1"/>
  <c r="H194" i="3" s="1"/>
  <c r="H195" i="3" a="1"/>
  <c r="H195" i="3" s="1"/>
  <c r="H2517" i="3" a="1"/>
  <c r="H2517" i="3" s="1"/>
  <c r="H2518" i="3" a="1"/>
  <c r="H2518" i="3" s="1"/>
  <c r="H196" i="3" a="1"/>
  <c r="H196" i="3" s="1"/>
  <c r="H197" i="3" a="1"/>
  <c r="H197" i="3" s="1"/>
  <c r="H198" i="3" a="1"/>
  <c r="H198" i="3" s="1"/>
  <c r="H199" i="3" a="1"/>
  <c r="H199" i="3" s="1"/>
  <c r="H200" i="3" a="1"/>
  <c r="H200" i="3" s="1"/>
  <c r="H201" i="3" a="1"/>
  <c r="H201" i="3" s="1"/>
  <c r="H202" i="3" a="1"/>
  <c r="H202" i="3" s="1"/>
  <c r="H203" i="3" a="1"/>
  <c r="H203" i="3" s="1"/>
  <c r="H204" i="3" a="1"/>
  <c r="H204" i="3" s="1"/>
  <c r="H205" i="3" a="1"/>
  <c r="H205" i="3" s="1"/>
  <c r="H206" i="3" a="1"/>
  <c r="H206" i="3" s="1"/>
  <c r="H207" i="3" a="1"/>
  <c r="H207" i="3" s="1"/>
  <c r="H208" i="3" a="1"/>
  <c r="H208" i="3" s="1"/>
  <c r="H209" i="3" a="1"/>
  <c r="H209" i="3" s="1"/>
  <c r="H2519" i="3" a="1"/>
  <c r="H2519" i="3" s="1"/>
  <c r="H210" i="3" a="1"/>
  <c r="H210" i="3" s="1"/>
  <c r="H211" i="3" a="1"/>
  <c r="H211" i="3" s="1"/>
  <c r="H212" i="3" a="1"/>
  <c r="H212" i="3" s="1"/>
  <c r="H213" i="3" a="1"/>
  <c r="H213" i="3" s="1"/>
  <c r="H2520" i="3" a="1"/>
  <c r="H2520" i="3" s="1"/>
  <c r="H214" i="3" a="1"/>
  <c r="H214" i="3" s="1"/>
  <c r="H215" i="3" a="1"/>
  <c r="H215" i="3" s="1"/>
  <c r="H216" i="3" a="1"/>
  <c r="H216" i="3" s="1"/>
  <c r="H217" i="3" a="1"/>
  <c r="H217" i="3" s="1"/>
  <c r="H218" i="3" a="1"/>
  <c r="H218" i="3" s="1"/>
  <c r="H219" i="3" a="1"/>
  <c r="H219" i="3" s="1"/>
  <c r="H220" i="3" a="1"/>
  <c r="H220" i="3" s="1"/>
  <c r="H2521" i="3" a="1"/>
  <c r="H2521" i="3" s="1"/>
  <c r="H2522" i="3" a="1"/>
  <c r="H2522" i="3" s="1"/>
  <c r="H221" i="3" a="1"/>
  <c r="H221" i="3" s="1"/>
  <c r="H222" i="3" a="1"/>
  <c r="H222" i="3" s="1"/>
  <c r="H223" i="3" a="1"/>
  <c r="H223" i="3" s="1"/>
  <c r="H224" i="3" a="1"/>
  <c r="H224" i="3" s="1"/>
  <c r="H2523" i="3" a="1"/>
  <c r="H2523" i="3" s="1"/>
  <c r="H225" i="3" a="1"/>
  <c r="H225" i="3" s="1"/>
  <c r="H226" i="3" a="1"/>
  <c r="H226" i="3" s="1"/>
  <c r="H227" i="3" a="1"/>
  <c r="H227" i="3" s="1"/>
  <c r="H228" i="3" a="1"/>
  <c r="H228" i="3" s="1"/>
  <c r="H2524" i="3" a="1"/>
  <c r="H2524" i="3" s="1"/>
  <c r="H229" i="3" a="1"/>
  <c r="H229" i="3" s="1"/>
  <c r="H2525" i="3" a="1"/>
  <c r="H2525" i="3" s="1"/>
  <c r="H230" i="3" a="1"/>
  <c r="H230" i="3" s="1"/>
  <c r="H231" i="3" a="1"/>
  <c r="H231" i="3" s="1"/>
  <c r="H2526" i="3" a="1"/>
  <c r="H2526" i="3" s="1"/>
  <c r="H232" i="3" a="1"/>
  <c r="H232" i="3" s="1"/>
  <c r="H2527" i="3" a="1"/>
  <c r="H2527" i="3" s="1"/>
  <c r="H233" i="3" a="1"/>
  <c r="H233" i="3" s="1"/>
  <c r="H234" i="3" a="1"/>
  <c r="H234" i="3" s="1"/>
  <c r="H2528" i="3" a="1"/>
  <c r="H2528" i="3" s="1"/>
  <c r="H2529" i="3" a="1"/>
  <c r="H2529" i="3" s="1"/>
  <c r="H235" i="3" a="1"/>
  <c r="H235" i="3" s="1"/>
  <c r="H236" i="3" a="1"/>
  <c r="H236" i="3" s="1"/>
  <c r="H237" i="3" a="1"/>
  <c r="H237" i="3" s="1"/>
  <c r="H238" i="3" a="1"/>
  <c r="H238" i="3" s="1"/>
  <c r="H239" i="3" a="1"/>
  <c r="H239" i="3" s="1"/>
  <c r="H240" i="3" a="1"/>
  <c r="H240" i="3" s="1"/>
  <c r="H241" i="3" a="1"/>
  <c r="H241" i="3" s="1"/>
  <c r="H2530" i="3" a="1"/>
  <c r="H2530" i="3" s="1"/>
  <c r="H242" i="3" a="1"/>
  <c r="H242" i="3" s="1"/>
  <c r="H243" i="3" a="1"/>
  <c r="H243" i="3" s="1"/>
  <c r="H2531" i="3" a="1"/>
  <c r="H2531" i="3" s="1"/>
  <c r="H244" i="3" a="1"/>
  <c r="H244" i="3" s="1"/>
  <c r="H2532" i="3" a="1"/>
  <c r="H2532" i="3" s="1"/>
  <c r="H245" i="3" a="1"/>
  <c r="H245" i="3" s="1"/>
  <c r="H246" i="3" a="1"/>
  <c r="H246" i="3" s="1"/>
  <c r="H247" i="3" a="1"/>
  <c r="H247" i="3" s="1"/>
  <c r="H2533" i="3" a="1"/>
  <c r="H2533" i="3" s="1"/>
  <c r="H248" i="3" a="1"/>
  <c r="H248" i="3" s="1"/>
  <c r="H2534" i="3" a="1"/>
  <c r="H2534" i="3" s="1"/>
  <c r="H249" i="3" a="1"/>
  <c r="H249" i="3" s="1"/>
  <c r="H250" i="3" a="1"/>
  <c r="H250" i="3" s="1"/>
  <c r="H251" i="3" a="1"/>
  <c r="H251" i="3" s="1"/>
  <c r="H252" i="3" a="1"/>
  <c r="H252" i="3" s="1"/>
  <c r="H253" i="3" a="1"/>
  <c r="H253" i="3" s="1"/>
  <c r="H254" i="3" a="1"/>
  <c r="H254" i="3" s="1"/>
  <c r="H255" i="3" a="1"/>
  <c r="H255" i="3" s="1"/>
  <c r="H256" i="3" a="1"/>
  <c r="H256" i="3" s="1"/>
  <c r="H257" i="3" a="1"/>
  <c r="H257" i="3" s="1"/>
  <c r="H258" i="3" a="1"/>
  <c r="H258" i="3" s="1"/>
  <c r="H259" i="3" a="1"/>
  <c r="H259" i="3" s="1"/>
  <c r="H260" i="3" a="1"/>
  <c r="H260" i="3" s="1"/>
  <c r="H261" i="3" a="1"/>
  <c r="H261" i="3" s="1"/>
  <c r="H262" i="3" a="1"/>
  <c r="H262" i="3" s="1"/>
  <c r="H263" i="3" a="1"/>
  <c r="H263" i="3" s="1"/>
  <c r="H264" i="3" a="1"/>
  <c r="H264" i="3" s="1"/>
  <c r="H265" i="3" a="1"/>
  <c r="H265" i="3" s="1"/>
  <c r="H266" i="3" a="1"/>
  <c r="H266" i="3" s="1"/>
  <c r="H267" i="3" a="1"/>
  <c r="H267" i="3" s="1"/>
  <c r="H268" i="3" a="1"/>
  <c r="H268" i="3" s="1"/>
  <c r="H269" i="3" a="1"/>
  <c r="H269" i="3" s="1"/>
  <c r="H270" i="3" a="1"/>
  <c r="H270" i="3" s="1"/>
  <c r="H271" i="3" a="1"/>
  <c r="H271" i="3" s="1"/>
  <c r="H272" i="3" a="1"/>
  <c r="H272" i="3" s="1"/>
  <c r="H273" i="3" a="1"/>
  <c r="H273" i="3" s="1"/>
  <c r="H274" i="3" a="1"/>
  <c r="H274" i="3" s="1"/>
  <c r="H110" i="3" a="1"/>
  <c r="H110" i="3" s="1"/>
  <c r="H275" i="3" a="1"/>
  <c r="H275" i="3" s="1"/>
  <c r="H276" i="3" a="1"/>
  <c r="H276" i="3" s="1"/>
  <c r="H277" i="3" a="1"/>
  <c r="H277" i="3" s="1"/>
  <c r="H278" i="3" a="1"/>
  <c r="H278" i="3" s="1"/>
  <c r="H279" i="3" a="1"/>
  <c r="H279" i="3" s="1"/>
  <c r="H280" i="3" a="1"/>
  <c r="H280" i="3" s="1"/>
  <c r="H281" i="3" a="1"/>
  <c r="H281" i="3" s="1"/>
  <c r="H282" i="3" a="1"/>
  <c r="H282" i="3" s="1"/>
  <c r="H283" i="3" a="1"/>
  <c r="H283" i="3" s="1"/>
  <c r="H284" i="3" a="1"/>
  <c r="H284" i="3" s="1"/>
  <c r="H285" i="3" a="1"/>
  <c r="H285" i="3" s="1"/>
  <c r="H286" i="3" a="1"/>
  <c r="H286" i="3" s="1"/>
  <c r="H287" i="3" a="1"/>
  <c r="H287" i="3" s="1"/>
  <c r="H288" i="3" a="1"/>
  <c r="H288" i="3" s="1"/>
  <c r="H289" i="3" a="1"/>
  <c r="H289" i="3" s="1"/>
  <c r="H290" i="3" a="1"/>
  <c r="H290" i="3" s="1"/>
  <c r="H291" i="3" a="1"/>
  <c r="H291" i="3" s="1"/>
  <c r="H292" i="3" a="1"/>
  <c r="H292" i="3" s="1"/>
  <c r="H293" i="3" a="1"/>
  <c r="H293" i="3" s="1"/>
  <c r="H294" i="3" a="1"/>
  <c r="H294" i="3" s="1"/>
  <c r="H295" i="3" a="1"/>
  <c r="H295" i="3" s="1"/>
  <c r="H296" i="3" a="1"/>
  <c r="H296" i="3" s="1"/>
  <c r="H297" i="3" a="1"/>
  <c r="H297" i="3" s="1"/>
  <c r="H298" i="3" a="1"/>
  <c r="H298" i="3" s="1"/>
  <c r="H299" i="3" a="1"/>
  <c r="H299" i="3" s="1"/>
  <c r="H2535" i="3" a="1"/>
  <c r="H2535" i="3" s="1"/>
  <c r="H2536" i="3" a="1"/>
  <c r="H2536" i="3" s="1"/>
  <c r="H2537" i="3" a="1"/>
  <c r="H2537" i="3" s="1"/>
  <c r="H2538" i="3" a="1"/>
  <c r="H2538" i="3" s="1"/>
  <c r="H300" i="3" a="1"/>
  <c r="H300" i="3" s="1"/>
  <c r="H2539" i="3" a="1"/>
  <c r="H2539" i="3" s="1"/>
  <c r="H301" i="3" a="1"/>
  <c r="H301" i="3" s="1"/>
  <c r="H2540" i="3" a="1"/>
  <c r="H2540" i="3" s="1"/>
  <c r="H302" i="3" a="1"/>
  <c r="H302" i="3" s="1"/>
  <c r="H303" i="3" a="1"/>
  <c r="H303" i="3" s="1"/>
  <c r="H2541" i="3" a="1"/>
  <c r="H2541" i="3" s="1"/>
  <c r="H304" i="3" a="1"/>
  <c r="H304" i="3" s="1"/>
  <c r="H305" i="3" a="1"/>
  <c r="H305" i="3" s="1"/>
  <c r="H306" i="3" a="1"/>
  <c r="H306" i="3" s="1"/>
  <c r="H307" i="3" a="1"/>
  <c r="H307" i="3" s="1"/>
  <c r="H308" i="3" a="1"/>
  <c r="H308" i="3" s="1"/>
  <c r="H309" i="3" a="1"/>
  <c r="H309" i="3" s="1"/>
  <c r="H310" i="3" a="1"/>
  <c r="H310" i="3" s="1"/>
  <c r="H311" i="3" a="1"/>
  <c r="H311" i="3" s="1"/>
  <c r="H312" i="3" a="1"/>
  <c r="H312" i="3" s="1"/>
  <c r="H313" i="3" a="1"/>
  <c r="H313" i="3" s="1"/>
  <c r="H314" i="3" a="1"/>
  <c r="H314" i="3" s="1"/>
  <c r="H315" i="3" a="1"/>
  <c r="H315" i="3" s="1"/>
  <c r="H316" i="3" a="1"/>
  <c r="H316" i="3" s="1"/>
  <c r="H317" i="3" a="1"/>
  <c r="H317" i="3" s="1"/>
  <c r="H318" i="3" a="1"/>
  <c r="H318" i="3" s="1"/>
  <c r="H319" i="3" a="1"/>
  <c r="H319" i="3" s="1"/>
  <c r="H320" i="3" a="1"/>
  <c r="H320" i="3" s="1"/>
  <c r="H321" i="3" a="1"/>
  <c r="H321" i="3" s="1"/>
  <c r="H322" i="3" a="1"/>
  <c r="H322" i="3" s="1"/>
  <c r="H323" i="3" a="1"/>
  <c r="H323" i="3" s="1"/>
  <c r="H324" i="3" a="1"/>
  <c r="H324" i="3" s="1"/>
  <c r="H325" i="3" a="1"/>
  <c r="H325" i="3" s="1"/>
  <c r="H326" i="3" a="1"/>
  <c r="H326" i="3" s="1"/>
  <c r="H327" i="3" a="1"/>
  <c r="H327" i="3" s="1"/>
  <c r="H328" i="3" a="1"/>
  <c r="H328" i="3" s="1"/>
  <c r="H329" i="3" a="1"/>
  <c r="H329" i="3" s="1"/>
  <c r="H330" i="3" a="1"/>
  <c r="H330" i="3" s="1"/>
  <c r="H331" i="3" a="1"/>
  <c r="H331" i="3" s="1"/>
  <c r="H332" i="3" a="1"/>
  <c r="H332" i="3" s="1"/>
  <c r="H333" i="3" a="1"/>
  <c r="H333" i="3" s="1"/>
  <c r="H334" i="3" a="1"/>
  <c r="H334" i="3" s="1"/>
  <c r="H335" i="3" a="1"/>
  <c r="H335" i="3" s="1"/>
  <c r="H336" i="3" a="1"/>
  <c r="H336" i="3" s="1"/>
  <c r="H337" i="3" a="1"/>
  <c r="H337" i="3" s="1"/>
  <c r="H338" i="3" a="1"/>
  <c r="H338" i="3" s="1"/>
  <c r="H339" i="3" a="1"/>
  <c r="H339" i="3" s="1"/>
  <c r="H340" i="3" a="1"/>
  <c r="H340" i="3" s="1"/>
  <c r="H341" i="3" a="1"/>
  <c r="H341" i="3" s="1"/>
  <c r="H342" i="3" a="1"/>
  <c r="H342" i="3" s="1"/>
  <c r="H343" i="3" a="1"/>
  <c r="H343" i="3" s="1"/>
  <c r="H344" i="3" a="1"/>
  <c r="H344" i="3" s="1"/>
  <c r="H345" i="3" a="1"/>
  <c r="H345" i="3" s="1"/>
  <c r="H346" i="3" a="1"/>
  <c r="H346" i="3" s="1"/>
  <c r="H347" i="3" a="1"/>
  <c r="H347" i="3" s="1"/>
  <c r="H348" i="3" a="1"/>
  <c r="H348" i="3" s="1"/>
  <c r="H349" i="3" a="1"/>
  <c r="H349" i="3" s="1"/>
  <c r="H350" i="3" a="1"/>
  <c r="H350" i="3" s="1"/>
  <c r="H351" i="3" a="1"/>
  <c r="H351" i="3" s="1"/>
  <c r="H352" i="3" a="1"/>
  <c r="H352" i="3" s="1"/>
  <c r="H353" i="3" a="1"/>
  <c r="H353" i="3" s="1"/>
  <c r="H354" i="3" a="1"/>
  <c r="H354" i="3" s="1"/>
  <c r="H355" i="3" a="1"/>
  <c r="H355" i="3" s="1"/>
  <c r="H356" i="3" a="1"/>
  <c r="H356" i="3" s="1"/>
  <c r="H357" i="3" a="1"/>
  <c r="H357" i="3" s="1"/>
  <c r="H358" i="3" a="1"/>
  <c r="H358" i="3" s="1"/>
  <c r="H359" i="3" a="1"/>
  <c r="H359" i="3" s="1"/>
  <c r="H360" i="3" a="1"/>
  <c r="H360" i="3" s="1"/>
  <c r="H361" i="3" a="1"/>
  <c r="H361" i="3" s="1"/>
  <c r="H362" i="3" a="1"/>
  <c r="H362" i="3" s="1"/>
  <c r="H363" i="3" a="1"/>
  <c r="H363" i="3" s="1"/>
  <c r="H364" i="3" a="1"/>
  <c r="H364" i="3" s="1"/>
  <c r="H365" i="3" a="1"/>
  <c r="H365" i="3" s="1"/>
  <c r="H366" i="3" a="1"/>
  <c r="H366" i="3" s="1"/>
  <c r="H367" i="3" a="1"/>
  <c r="H367" i="3" s="1"/>
  <c r="H368" i="3" a="1"/>
  <c r="H368" i="3" s="1"/>
  <c r="H369" i="3" a="1"/>
  <c r="H369" i="3" s="1"/>
  <c r="H2542" i="3" a="1"/>
  <c r="H2542" i="3" s="1"/>
  <c r="H370" i="3" a="1"/>
  <c r="H370" i="3" s="1"/>
  <c r="H371" i="3" a="1"/>
  <c r="H371" i="3" s="1"/>
  <c r="H372" i="3" a="1"/>
  <c r="H372" i="3" s="1"/>
  <c r="H373" i="3" a="1"/>
  <c r="H373" i="3" s="1"/>
  <c r="H374" i="3" a="1"/>
  <c r="H374" i="3" s="1"/>
  <c r="H375" i="3" a="1"/>
  <c r="H375" i="3" s="1"/>
  <c r="H376" i="3" a="1"/>
  <c r="H376" i="3" s="1"/>
  <c r="H377" i="3" a="1"/>
  <c r="H377" i="3" s="1"/>
  <c r="H378" i="3" a="1"/>
  <c r="H378" i="3" s="1"/>
  <c r="H379" i="3" a="1"/>
  <c r="H379" i="3" s="1"/>
  <c r="H380" i="3" a="1"/>
  <c r="H380" i="3" s="1"/>
  <c r="H381" i="3" a="1"/>
  <c r="H381" i="3" s="1"/>
  <c r="H382" i="3" a="1"/>
  <c r="H382" i="3" s="1"/>
  <c r="H383" i="3" a="1"/>
  <c r="H383" i="3" s="1"/>
  <c r="H384" i="3" a="1"/>
  <c r="H384" i="3" s="1"/>
  <c r="H385" i="3" a="1"/>
  <c r="H385" i="3" s="1"/>
  <c r="H386" i="3" a="1"/>
  <c r="H386" i="3" s="1"/>
  <c r="H387" i="3" a="1"/>
  <c r="H387" i="3" s="1"/>
  <c r="H388" i="3" a="1"/>
  <c r="H388" i="3" s="1"/>
  <c r="H389" i="3" a="1"/>
  <c r="H389" i="3" s="1"/>
  <c r="H390" i="3" a="1"/>
  <c r="H390" i="3" s="1"/>
  <c r="H391" i="3" a="1"/>
  <c r="H391" i="3" s="1"/>
  <c r="H392" i="3" a="1"/>
  <c r="H392" i="3" s="1"/>
  <c r="H393" i="3" a="1"/>
  <c r="H393" i="3" s="1"/>
  <c r="H394" i="3" a="1"/>
  <c r="H394" i="3" s="1"/>
  <c r="H395" i="3" a="1"/>
  <c r="H395" i="3" s="1"/>
  <c r="H396" i="3" a="1"/>
  <c r="H396" i="3" s="1"/>
  <c r="H397" i="3" a="1"/>
  <c r="H397" i="3" s="1"/>
  <c r="H398" i="3" a="1"/>
  <c r="H398" i="3" s="1"/>
  <c r="H399" i="3" a="1"/>
  <c r="H399" i="3" s="1"/>
  <c r="H400" i="3" a="1"/>
  <c r="H400" i="3" s="1"/>
  <c r="H401" i="3" a="1"/>
  <c r="H401" i="3" s="1"/>
  <c r="H402" i="3" a="1"/>
  <c r="H402" i="3" s="1"/>
  <c r="H403" i="3" a="1"/>
  <c r="H403" i="3" s="1"/>
  <c r="H404" i="3" a="1"/>
  <c r="H404" i="3" s="1"/>
  <c r="H405" i="3" a="1"/>
  <c r="H405" i="3" s="1"/>
  <c r="H406" i="3" a="1"/>
  <c r="H406" i="3" s="1"/>
  <c r="H407" i="3" a="1"/>
  <c r="H407" i="3" s="1"/>
  <c r="H408" i="3" a="1"/>
  <c r="H408" i="3" s="1"/>
  <c r="H409" i="3" a="1"/>
  <c r="H409" i="3" s="1"/>
  <c r="H410" i="3" a="1"/>
  <c r="H410" i="3" s="1"/>
  <c r="H411" i="3" a="1"/>
  <c r="H411" i="3" s="1"/>
  <c r="H412" i="3" a="1"/>
  <c r="H412" i="3" s="1"/>
  <c r="H413" i="3" a="1"/>
  <c r="H413" i="3" s="1"/>
  <c r="H414" i="3" a="1"/>
  <c r="H414" i="3" s="1"/>
  <c r="H415" i="3" a="1"/>
  <c r="H415" i="3" s="1"/>
  <c r="H416" i="3" a="1"/>
  <c r="H416" i="3" s="1"/>
  <c r="H417" i="3" a="1"/>
  <c r="H417" i="3" s="1"/>
  <c r="H418" i="3" a="1"/>
  <c r="H418" i="3" s="1"/>
  <c r="H419" i="3" a="1"/>
  <c r="H419" i="3" s="1"/>
  <c r="H420" i="3" a="1"/>
  <c r="H420" i="3" s="1"/>
  <c r="H421" i="3" a="1"/>
  <c r="H421" i="3" s="1"/>
  <c r="H422" i="3" a="1"/>
  <c r="H422" i="3" s="1"/>
  <c r="H423" i="3" a="1"/>
  <c r="H423" i="3" s="1"/>
  <c r="H424" i="3" a="1"/>
  <c r="H424" i="3" s="1"/>
  <c r="H425" i="3" a="1"/>
  <c r="H425" i="3" s="1"/>
  <c r="H426" i="3" a="1"/>
  <c r="H426" i="3" s="1"/>
  <c r="H427" i="3" a="1"/>
  <c r="H427" i="3" s="1"/>
  <c r="H428" i="3" a="1"/>
  <c r="H428" i="3" s="1"/>
  <c r="H429" i="3" a="1"/>
  <c r="H429" i="3" s="1"/>
  <c r="H430" i="3" a="1"/>
  <c r="H430" i="3" s="1"/>
  <c r="H431" i="3" a="1"/>
  <c r="H431" i="3" s="1"/>
  <c r="H432" i="3" a="1"/>
  <c r="H432" i="3" s="1"/>
  <c r="H2318" i="3" a="1"/>
  <c r="H2318" i="3" s="1"/>
  <c r="H2319" i="3" a="1"/>
  <c r="H2319" i="3" s="1"/>
  <c r="H2560" i="3" a="1"/>
  <c r="H2560" i="3" s="1"/>
  <c r="H2561" i="3" a="1"/>
  <c r="H2561" i="3" s="1"/>
  <c r="H2562" i="3" a="1"/>
  <c r="H2562" i="3" s="1"/>
  <c r="H2563" i="3" a="1"/>
  <c r="H2563" i="3" s="1"/>
  <c r="H2564" i="3" a="1"/>
  <c r="H2564" i="3" s="1"/>
  <c r="H2565" i="3" a="1"/>
  <c r="H2565" i="3" s="1"/>
  <c r="H2566" i="3" a="1"/>
  <c r="H2566" i="3" s="1"/>
  <c r="H2567" i="3" a="1"/>
  <c r="H2567" i="3" s="1"/>
  <c r="H2568" i="3" a="1"/>
  <c r="H2568" i="3" s="1"/>
  <c r="H2569" i="3" a="1"/>
  <c r="H2569" i="3" s="1"/>
  <c r="H2570" i="3" a="1"/>
  <c r="H2570" i="3" s="1"/>
  <c r="H2571" i="3" a="1"/>
  <c r="H2571" i="3" s="1"/>
  <c r="H2572" i="3" a="1"/>
  <c r="H2572" i="3" s="1"/>
  <c r="H2573" i="3" a="1"/>
  <c r="H2573" i="3" s="1"/>
  <c r="H2574" i="3" a="1"/>
  <c r="H2574" i="3" s="1"/>
  <c r="H2575" i="3" a="1"/>
  <c r="H2575" i="3" s="1"/>
  <c r="H2576" i="3" a="1"/>
  <c r="H2576" i="3" s="1"/>
  <c r="H2577" i="3" a="1"/>
  <c r="H2577" i="3" s="1"/>
  <c r="H2578" i="3" a="1"/>
  <c r="H2578" i="3" s="1"/>
  <c r="H2579" i="3" a="1"/>
  <c r="H2579" i="3" s="1"/>
  <c r="H2580" i="3" a="1"/>
  <c r="H2580" i="3" s="1"/>
  <c r="H2581" i="3" a="1"/>
  <c r="H2581" i="3" s="1"/>
  <c r="H2320" i="3" a="1"/>
  <c r="H2320" i="3" s="1"/>
  <c r="H2321" i="3" a="1"/>
  <c r="H2321" i="3" s="1"/>
  <c r="H2548" i="3" a="1"/>
  <c r="H2548" i="3" s="1"/>
  <c r="H2549" i="3" a="1"/>
  <c r="H2549" i="3" s="1"/>
  <c r="H2550" i="3" a="1"/>
  <c r="H2550" i="3" s="1"/>
  <c r="H2551" i="3" a="1"/>
  <c r="H2551" i="3" s="1"/>
  <c r="H2552" i="3" a="1"/>
  <c r="H2552" i="3" s="1"/>
  <c r="H2327" i="3" a="1"/>
  <c r="H2327" i="3" s="1"/>
  <c r="H2328" i="3" a="1"/>
  <c r="H2328" i="3" s="1"/>
  <c r="H2329" i="3" a="1"/>
  <c r="H2329" i="3" s="1"/>
  <c r="H2330" i="3" a="1"/>
  <c r="H2330" i="3" s="1"/>
  <c r="H2331" i="3" a="1"/>
  <c r="H2331" i="3" s="1"/>
  <c r="H2332" i="3" a="1"/>
  <c r="H2332" i="3" s="1"/>
  <c r="F1633" i="3" l="1"/>
  <c r="F696" i="3"/>
  <c r="F111" i="3"/>
  <c r="F697" i="3"/>
  <c r="F2105" i="3"/>
  <c r="F928" i="3"/>
  <c r="F1634" i="3"/>
  <c r="F1635" i="3"/>
  <c r="F1636" i="3"/>
  <c r="F1237" i="3"/>
  <c r="F506" i="3"/>
  <c r="F112" i="3"/>
  <c r="F929" i="3"/>
  <c r="F1637" i="3"/>
  <c r="F2146" i="3"/>
  <c r="F1238" i="3"/>
  <c r="F2106" i="3"/>
  <c r="F113" i="3"/>
  <c r="F2" i="3"/>
  <c r="F930" i="3"/>
  <c r="F2147" i="3"/>
  <c r="F114" i="3"/>
  <c r="F1239" i="3"/>
  <c r="F115" i="3"/>
  <c r="F2107" i="3"/>
  <c r="F931" i="3"/>
  <c r="F2286" i="3"/>
  <c r="F1638" i="3"/>
  <c r="F1477" i="3"/>
  <c r="F1240" i="3"/>
  <c r="F932" i="3"/>
  <c r="F1985" i="3"/>
  <c r="F933" i="3"/>
  <c r="F2334" i="3"/>
  <c r="F1639" i="3"/>
  <c r="F1241" i="3"/>
  <c r="F116" i="3"/>
  <c r="F1242" i="3"/>
  <c r="F1640" i="3"/>
  <c r="F117" i="3"/>
  <c r="F698" i="3"/>
  <c r="F2148" i="3"/>
  <c r="F118" i="3"/>
  <c r="F1243" i="3"/>
  <c r="F2287" i="3"/>
  <c r="F119" i="3"/>
  <c r="F1641" i="3"/>
  <c r="F934" i="3"/>
  <c r="F1642" i="3"/>
  <c r="F2335" i="3"/>
  <c r="F935" i="3"/>
  <c r="F1643" i="3"/>
  <c r="F1244" i="3"/>
  <c r="F3" i="3"/>
  <c r="F936" i="3"/>
  <c r="F1644" i="3"/>
  <c r="F1245" i="3"/>
  <c r="F937" i="3"/>
  <c r="F1645" i="3"/>
  <c r="F1246" i="3"/>
  <c r="F1247" i="3"/>
  <c r="F938" i="3"/>
  <c r="F1646" i="3"/>
  <c r="F1647" i="3"/>
  <c r="F1648" i="3"/>
  <c r="F699" i="3"/>
  <c r="F1649" i="3"/>
  <c r="F120" i="3"/>
  <c r="F700" i="3"/>
  <c r="F939" i="3"/>
  <c r="F1478" i="3"/>
  <c r="F2108" i="3"/>
  <c r="F940" i="3"/>
  <c r="F1986" i="3"/>
  <c r="F1248" i="3"/>
  <c r="F1650" i="3"/>
  <c r="F941" i="3"/>
  <c r="F2336" i="3"/>
  <c r="F1402" i="3"/>
  <c r="F701" i="3"/>
  <c r="F1479" i="3"/>
  <c r="F1249" i="3"/>
  <c r="F2288" i="3"/>
  <c r="F2289" i="3"/>
  <c r="F2290" i="3"/>
  <c r="F2291" i="3"/>
  <c r="F2292" i="3"/>
  <c r="F2293" i="3"/>
  <c r="F2136" i="3"/>
  <c r="F2294" i="3"/>
  <c r="F2295" i="3"/>
  <c r="F2296" i="3"/>
  <c r="F2297" i="3"/>
  <c r="F2298" i="3"/>
  <c r="F2299" i="3"/>
  <c r="F2300" i="3"/>
  <c r="F2301" i="3"/>
  <c r="F942" i="3"/>
  <c r="F702" i="3"/>
  <c r="F943" i="3"/>
  <c r="F1651" i="3"/>
  <c r="F1480" i="3"/>
  <c r="F703" i="3"/>
  <c r="F704" i="3"/>
  <c r="F944" i="3"/>
  <c r="F1652" i="3"/>
  <c r="F945" i="3"/>
  <c r="F1653" i="3"/>
  <c r="F705" i="3"/>
  <c r="F2149" i="3"/>
  <c r="F121" i="3"/>
  <c r="F1250" i="3"/>
  <c r="F1654" i="3"/>
  <c r="F946" i="3"/>
  <c r="F2150" i="3"/>
  <c r="F2337" i="3"/>
  <c r="F947" i="3"/>
  <c r="F1987" i="3"/>
  <c r="F706" i="3"/>
  <c r="F1655" i="3"/>
  <c r="F122" i="3"/>
  <c r="F1656" i="3"/>
  <c r="F948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446" i="3"/>
  <c r="F1657" i="3"/>
  <c r="F2338" i="3"/>
  <c r="F707" i="3"/>
  <c r="F1988" i="3"/>
  <c r="F1658" i="3"/>
  <c r="F2151" i="3"/>
  <c r="F4" i="3"/>
  <c r="F708" i="3"/>
  <c r="F1659" i="3"/>
  <c r="F507" i="3"/>
  <c r="F123" i="3"/>
  <c r="F1481" i="3"/>
  <c r="F1660" i="3"/>
  <c r="F709" i="3"/>
  <c r="F1661" i="3"/>
  <c r="F124" i="3"/>
  <c r="F2152" i="3"/>
  <c r="F949" i="3"/>
  <c r="F710" i="3"/>
  <c r="F1447" i="3"/>
  <c r="F711" i="3"/>
  <c r="F2339" i="3"/>
  <c r="F1662" i="3"/>
  <c r="F1663" i="3"/>
  <c r="F1989" i="3"/>
  <c r="F2340" i="3"/>
  <c r="F1664" i="3"/>
  <c r="F712" i="3"/>
  <c r="F2153" i="3"/>
  <c r="F125" i="3"/>
  <c r="F126" i="3"/>
  <c r="F127" i="3"/>
  <c r="F128" i="3"/>
  <c r="F129" i="3"/>
  <c r="F713" i="3"/>
  <c r="F2341" i="3"/>
  <c r="F2154" i="3"/>
  <c r="F1266" i="3"/>
  <c r="F130" i="3"/>
  <c r="F2109" i="3"/>
  <c r="F2342" i="3"/>
  <c r="F1267" i="3"/>
  <c r="F1990" i="3"/>
  <c r="F2343" i="3"/>
  <c r="F950" i="3"/>
  <c r="F2318" i="3"/>
  <c r="F2344" i="3"/>
  <c r="F2155" i="3"/>
  <c r="F1665" i="3"/>
  <c r="F1482" i="3"/>
  <c r="F951" i="3"/>
  <c r="F2156" i="3"/>
  <c r="F131" i="3"/>
  <c r="F2345" i="3"/>
  <c r="F2157" i="3"/>
  <c r="F2319" i="3"/>
  <c r="F714" i="3"/>
  <c r="F2346" i="3"/>
  <c r="F132" i="3"/>
  <c r="F952" i="3"/>
  <c r="F2158" i="3"/>
  <c r="F953" i="3"/>
  <c r="F133" i="3"/>
  <c r="F2159" i="3"/>
  <c r="F1483" i="3"/>
  <c r="F508" i="3"/>
  <c r="F715" i="3"/>
  <c r="F1991" i="3"/>
  <c r="F2110" i="3"/>
  <c r="F2347" i="3"/>
  <c r="F1666" i="3"/>
  <c r="F954" i="3"/>
  <c r="F955" i="3"/>
  <c r="F956" i="3"/>
  <c r="F957" i="3"/>
  <c r="F958" i="3"/>
  <c r="F959" i="3"/>
  <c r="F960" i="3"/>
  <c r="F961" i="3"/>
  <c r="F2348" i="3"/>
  <c r="F2160" i="3"/>
  <c r="F2111" i="3"/>
  <c r="F1667" i="3"/>
  <c r="F2349" i="3"/>
  <c r="F2161" i="3"/>
  <c r="F962" i="3"/>
  <c r="F1668" i="3"/>
  <c r="F5" i="3"/>
  <c r="F1669" i="3"/>
  <c r="F716" i="3"/>
  <c r="F2112" i="3"/>
  <c r="F2162" i="3"/>
  <c r="F2560" i="3"/>
  <c r="F1670" i="3"/>
  <c r="F2163" i="3"/>
  <c r="F1393" i="3"/>
  <c r="F963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717" i="3"/>
  <c r="F2113" i="3"/>
  <c r="F2350" i="3"/>
  <c r="F134" i="3"/>
  <c r="F2164" i="3"/>
  <c r="F2553" i="3"/>
  <c r="F964" i="3"/>
  <c r="F1671" i="3"/>
  <c r="F1672" i="3"/>
  <c r="F2165" i="3"/>
  <c r="F1673" i="3"/>
  <c r="F965" i="3"/>
  <c r="F718" i="3"/>
  <c r="F509" i="3"/>
  <c r="F1674" i="3"/>
  <c r="F135" i="3"/>
  <c r="F2166" i="3"/>
  <c r="F719" i="3"/>
  <c r="F720" i="3"/>
  <c r="F721" i="3"/>
  <c r="F2554" i="3"/>
  <c r="F2167" i="3"/>
  <c r="F2561" i="3"/>
  <c r="F1462" i="3"/>
  <c r="F2168" i="3"/>
  <c r="F1675" i="3"/>
  <c r="F2114" i="3"/>
  <c r="F1463" i="3"/>
  <c r="F1676" i="3"/>
  <c r="F2562" i="3"/>
  <c r="F2169" i="3"/>
  <c r="F1484" i="3"/>
  <c r="F136" i="3"/>
  <c r="F2351" i="3"/>
  <c r="F2563" i="3"/>
  <c r="F2352" i="3"/>
  <c r="F1677" i="3"/>
  <c r="F2170" i="3"/>
  <c r="F2353" i="3"/>
  <c r="F966" i="3"/>
  <c r="F2171" i="3"/>
  <c r="F1678" i="3"/>
  <c r="F2172" i="3"/>
  <c r="F2354" i="3"/>
  <c r="F2173" i="3"/>
  <c r="F2564" i="3"/>
  <c r="F2174" i="3"/>
  <c r="F1679" i="3"/>
  <c r="F967" i="3"/>
  <c r="F2175" i="3"/>
  <c r="F2355" i="3"/>
  <c r="F2176" i="3"/>
  <c r="F1680" i="3"/>
  <c r="F137" i="3"/>
  <c r="F138" i="3"/>
  <c r="F2356" i="3"/>
  <c r="F2565" i="3"/>
  <c r="F722" i="3"/>
  <c r="F2177" i="3"/>
  <c r="F2357" i="3"/>
  <c r="F968" i="3"/>
  <c r="F2115" i="3"/>
  <c r="F2178" i="3"/>
  <c r="F139" i="3"/>
  <c r="F510" i="3"/>
  <c r="F1681" i="3"/>
  <c r="F723" i="3"/>
  <c r="F2358" i="3"/>
  <c r="F140" i="3"/>
  <c r="F1682" i="3"/>
  <c r="F724" i="3"/>
  <c r="F141" i="3"/>
  <c r="F2179" i="3"/>
  <c r="F2180" i="3"/>
  <c r="F142" i="3"/>
  <c r="F1683" i="3"/>
  <c r="F511" i="3"/>
  <c r="F2566" i="3"/>
  <c r="F1684" i="3"/>
  <c r="F1464" i="3"/>
  <c r="F2181" i="3"/>
  <c r="F725" i="3"/>
  <c r="F143" i="3"/>
  <c r="F1685" i="3"/>
  <c r="F144" i="3"/>
  <c r="F2182" i="3"/>
  <c r="F2183" i="3"/>
  <c r="F2184" i="3"/>
  <c r="F2502" i="3"/>
  <c r="F2185" i="3"/>
  <c r="F969" i="3"/>
  <c r="F145" i="3"/>
  <c r="F1418" i="3"/>
  <c r="F1686" i="3"/>
  <c r="F1687" i="3"/>
  <c r="F512" i="3"/>
  <c r="F970" i="3"/>
  <c r="F2186" i="3"/>
  <c r="F1688" i="3"/>
  <c r="F2567" i="3"/>
  <c r="F1689" i="3"/>
  <c r="F2187" i="3"/>
  <c r="F1690" i="3"/>
  <c r="F146" i="3"/>
  <c r="F1691" i="3"/>
  <c r="F2188" i="3"/>
  <c r="F2116" i="3"/>
  <c r="F1268" i="3"/>
  <c r="F1485" i="3"/>
  <c r="F1692" i="3"/>
  <c r="F971" i="3"/>
  <c r="F2568" i="3"/>
  <c r="F726" i="3"/>
  <c r="F2189" i="3"/>
  <c r="F727" i="3"/>
  <c r="F1269" i="3"/>
  <c r="F1693" i="3"/>
  <c r="F6" i="3"/>
  <c r="F972" i="3"/>
  <c r="F513" i="3"/>
  <c r="F1394" i="3"/>
  <c r="F2190" i="3"/>
  <c r="F147" i="3"/>
  <c r="F2191" i="3"/>
  <c r="F1694" i="3"/>
  <c r="F148" i="3"/>
  <c r="F2548" i="3"/>
  <c r="F149" i="3"/>
  <c r="F2192" i="3"/>
  <c r="F434" i="3"/>
  <c r="F435" i="3"/>
  <c r="F436" i="3"/>
  <c r="F437" i="3"/>
  <c r="F438" i="3"/>
  <c r="F439" i="3"/>
  <c r="F1695" i="3"/>
  <c r="F2193" i="3"/>
  <c r="F1395" i="3"/>
  <c r="F1486" i="3"/>
  <c r="F728" i="3"/>
  <c r="F1696" i="3"/>
  <c r="F2194" i="3"/>
  <c r="F2569" i="3"/>
  <c r="F973" i="3"/>
  <c r="F2359" i="3"/>
  <c r="F1697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150" i="3"/>
  <c r="F1270" i="3"/>
  <c r="F729" i="3"/>
  <c r="F2503" i="3"/>
  <c r="F2360" i="3"/>
  <c r="F2570" i="3"/>
  <c r="F730" i="3"/>
  <c r="F1698" i="3"/>
  <c r="F731" i="3"/>
  <c r="F974" i="3"/>
  <c r="F1699" i="3"/>
  <c r="F1465" i="3"/>
  <c r="F732" i="3"/>
  <c r="F2361" i="3"/>
  <c r="F733" i="3"/>
  <c r="F734" i="3"/>
  <c r="F735" i="3"/>
  <c r="F736" i="3"/>
  <c r="F737" i="3"/>
  <c r="F738" i="3"/>
  <c r="F739" i="3"/>
  <c r="F740" i="3"/>
  <c r="F741" i="3"/>
  <c r="F151" i="3"/>
  <c r="F1700" i="3"/>
  <c r="F152" i="3"/>
  <c r="F2549" i="3"/>
  <c r="F7" i="3"/>
  <c r="F153" i="3"/>
  <c r="F1701" i="3"/>
  <c r="F975" i="3"/>
  <c r="F2195" i="3"/>
  <c r="F2196" i="3"/>
  <c r="F2197" i="3"/>
  <c r="F2198" i="3"/>
  <c r="F2199" i="3"/>
  <c r="F2200" i="3"/>
  <c r="F1702" i="3"/>
  <c r="F154" i="3"/>
  <c r="F1271" i="3"/>
  <c r="F2201" i="3"/>
  <c r="F1487" i="3"/>
  <c r="F1703" i="3"/>
  <c r="F2571" i="3"/>
  <c r="F1704" i="3"/>
  <c r="F1272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2202" i="3"/>
  <c r="F2504" i="3"/>
  <c r="F742" i="3"/>
  <c r="F743" i="3"/>
  <c r="F2550" i="3"/>
  <c r="F1705" i="3"/>
  <c r="F155" i="3"/>
  <c r="F976" i="3"/>
  <c r="F156" i="3"/>
  <c r="F1706" i="3"/>
  <c r="F977" i="3"/>
  <c r="F1273" i="3"/>
  <c r="F1707" i="3"/>
  <c r="F157" i="3"/>
  <c r="F1488" i="3"/>
  <c r="F1708" i="3"/>
  <c r="F1274" i="3"/>
  <c r="F978" i="3"/>
  <c r="F744" i="3"/>
  <c r="F2203" i="3"/>
  <c r="F1489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1992" i="3"/>
  <c r="F1466" i="3"/>
  <c r="F2505" i="3"/>
  <c r="F158" i="3"/>
  <c r="F745" i="3"/>
  <c r="F1709" i="3"/>
  <c r="F2219" i="3"/>
  <c r="F2572" i="3"/>
  <c r="F979" i="3"/>
  <c r="F1710" i="3"/>
  <c r="F2220" i="3"/>
  <c r="F159" i="3"/>
  <c r="F2221" i="3"/>
  <c r="F1467" i="3"/>
  <c r="F2222" i="3"/>
  <c r="F1711" i="3"/>
  <c r="F2223" i="3"/>
  <c r="F541" i="3"/>
  <c r="F1468" i="3"/>
  <c r="F160" i="3"/>
  <c r="F1712" i="3"/>
  <c r="F2573" i="3"/>
  <c r="F161" i="3"/>
  <c r="F1993" i="3"/>
  <c r="F2362" i="3"/>
  <c r="F1490" i="3"/>
  <c r="F1469" i="3"/>
  <c r="F1713" i="3"/>
  <c r="F746" i="3"/>
  <c r="F1491" i="3"/>
  <c r="F2506" i="3"/>
  <c r="F2224" i="3"/>
  <c r="F1492" i="3"/>
  <c r="F2574" i="3"/>
  <c r="F2363" i="3"/>
  <c r="F2551" i="3"/>
  <c r="F1714" i="3"/>
  <c r="F1493" i="3"/>
  <c r="F980" i="3"/>
  <c r="F747" i="3"/>
  <c r="F1715" i="3"/>
  <c r="F2575" i="3"/>
  <c r="F2117" i="3"/>
  <c r="F2225" i="3"/>
  <c r="F1494" i="3"/>
  <c r="F1716" i="3"/>
  <c r="F2576" i="3"/>
  <c r="F1470" i="3"/>
  <c r="F1717" i="3"/>
  <c r="F1495" i="3"/>
  <c r="F440" i="3"/>
  <c r="F441" i="3"/>
  <c r="F442" i="3"/>
  <c r="F443" i="3"/>
  <c r="F444" i="3"/>
  <c r="F2364" i="3"/>
  <c r="F1718" i="3"/>
  <c r="F981" i="3"/>
  <c r="F982" i="3"/>
  <c r="F2507" i="3"/>
  <c r="F1496" i="3"/>
  <c r="F748" i="3"/>
  <c r="F2508" i="3"/>
  <c r="F542" i="3"/>
  <c r="F2577" i="3"/>
  <c r="F1433" i="3"/>
  <c r="F1403" i="3"/>
  <c r="F2365" i="3"/>
  <c r="F433" i="3"/>
  <c r="F2226" i="3"/>
  <c r="F749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497" i="3"/>
  <c r="F1434" i="3"/>
  <c r="F1734" i="3"/>
  <c r="F750" i="3"/>
  <c r="F1275" i="3"/>
  <c r="F2227" i="3"/>
  <c r="F1735" i="3"/>
  <c r="F2366" i="3"/>
  <c r="F1498" i="3"/>
  <c r="F2578" i="3"/>
  <c r="F1736" i="3"/>
  <c r="F1499" i="3"/>
  <c r="F1500" i="3"/>
  <c r="F1737" i="3"/>
  <c r="F2302" i="3"/>
  <c r="F983" i="3"/>
  <c r="F2552" i="3"/>
  <c r="F2228" i="3"/>
  <c r="F1738" i="3"/>
  <c r="F1501" i="3"/>
  <c r="F162" i="3"/>
  <c r="F163" i="3"/>
  <c r="F1739" i="3"/>
  <c r="F751" i="3"/>
  <c r="F1502" i="3"/>
  <c r="F1432" i="3"/>
  <c r="F445" i="3"/>
  <c r="F446" i="3"/>
  <c r="F447" i="3"/>
  <c r="F448" i="3"/>
  <c r="F1740" i="3"/>
  <c r="F164" i="3"/>
  <c r="F543" i="3"/>
  <c r="F1741" i="3"/>
  <c r="F165" i="3"/>
  <c r="F1404" i="3"/>
  <c r="F1276" i="3"/>
  <c r="F752" i="3"/>
  <c r="F166" i="3"/>
  <c r="F1742" i="3"/>
  <c r="F544" i="3"/>
  <c r="F2367" i="3"/>
  <c r="F1235" i="3"/>
  <c r="F1743" i="3"/>
  <c r="F2555" i="3"/>
  <c r="F753" i="3"/>
  <c r="F1744" i="3"/>
  <c r="F1503" i="3"/>
  <c r="F1405" i="3"/>
  <c r="F1745" i="3"/>
  <c r="F1435" i="3"/>
  <c r="F1746" i="3"/>
  <c r="F1436" i="3"/>
  <c r="F167" i="3"/>
  <c r="F754" i="3"/>
  <c r="F755" i="3"/>
  <c r="F756" i="3"/>
  <c r="F757" i="3"/>
  <c r="F2137" i="3"/>
  <c r="F1406" i="3"/>
  <c r="F2543" i="3"/>
  <c r="F545" i="3"/>
  <c r="F1747" i="3"/>
  <c r="F168" i="3"/>
  <c r="F1230" i="3"/>
  <c r="F2368" i="3"/>
  <c r="F1407" i="3"/>
  <c r="F1994" i="3"/>
  <c r="F169" i="3"/>
  <c r="F1748" i="3"/>
  <c r="F1749" i="3"/>
  <c r="F1408" i="3"/>
  <c r="F170" i="3"/>
  <c r="F2303" i="3"/>
  <c r="F1750" i="3"/>
  <c r="F1277" i="3"/>
  <c r="F171" i="3"/>
  <c r="F1437" i="3"/>
  <c r="F1751" i="3"/>
  <c r="F172" i="3"/>
  <c r="F2138" i="3"/>
  <c r="F1752" i="3"/>
  <c r="F1232" i="3"/>
  <c r="F8" i="3"/>
  <c r="F2315" i="3"/>
  <c r="F2139" i="3"/>
  <c r="F1753" i="3"/>
  <c r="F1438" i="3"/>
  <c r="F1278" i="3"/>
  <c r="F1504" i="3"/>
  <c r="F1409" i="3"/>
  <c r="F2369" i="3"/>
  <c r="F1754" i="3"/>
  <c r="F2140" i="3"/>
  <c r="F1755" i="3"/>
  <c r="F1439" i="3"/>
  <c r="F1756" i="3"/>
  <c r="F984" i="3"/>
  <c r="F173" i="3"/>
  <c r="F1757" i="3"/>
  <c r="F1440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74" i="3"/>
  <c r="F1505" i="3"/>
  <c r="F758" i="3"/>
  <c r="F1758" i="3"/>
  <c r="F546" i="3"/>
  <c r="F2141" i="3"/>
  <c r="F2304" i="3"/>
  <c r="F1759" i="3"/>
  <c r="F547" i="3"/>
  <c r="F1506" i="3"/>
  <c r="F1441" i="3"/>
  <c r="F175" i="3"/>
  <c r="F2370" i="3"/>
  <c r="F1507" i="3"/>
  <c r="F1410" i="3"/>
  <c r="F1760" i="3"/>
  <c r="F2544" i="3"/>
  <c r="F1761" i="3"/>
  <c r="F176" i="3"/>
  <c r="F1995" i="3"/>
  <c r="F1762" i="3"/>
  <c r="F1442" i="3"/>
  <c r="F2142" i="3"/>
  <c r="F177" i="3"/>
  <c r="F1763" i="3"/>
  <c r="F178" i="3"/>
  <c r="F1508" i="3"/>
  <c r="F1509" i="3"/>
  <c r="F1411" i="3"/>
  <c r="F179" i="3"/>
  <c r="F2556" i="3"/>
  <c r="F1764" i="3"/>
  <c r="F759" i="3"/>
  <c r="F760" i="3"/>
  <c r="F761" i="3"/>
  <c r="F762" i="3"/>
  <c r="F1510" i="3"/>
  <c r="F1511" i="3"/>
  <c r="F1512" i="3"/>
  <c r="F1513" i="3"/>
  <c r="F1514" i="3"/>
  <c r="F1515" i="3"/>
  <c r="F1516" i="3"/>
  <c r="F548" i="3"/>
  <c r="F1765" i="3"/>
  <c r="F763" i="3"/>
  <c r="F764" i="3"/>
  <c r="F694" i="3"/>
  <c r="F985" i="3"/>
  <c r="F2545" i="3"/>
  <c r="F2371" i="3"/>
  <c r="F180" i="3"/>
  <c r="F1517" i="3"/>
  <c r="F1996" i="3"/>
  <c r="F181" i="3"/>
  <c r="F765" i="3"/>
  <c r="F549" i="3"/>
  <c r="F1766" i="3"/>
  <c r="F1518" i="3"/>
  <c r="F9" i="3"/>
  <c r="F1767" i="3"/>
  <c r="F1412" i="3"/>
  <c r="F2305" i="3"/>
  <c r="F2372" i="3"/>
  <c r="F1413" i="3"/>
  <c r="F1519" i="3"/>
  <c r="F1768" i="3"/>
  <c r="F550" i="3"/>
  <c r="F551" i="3"/>
  <c r="F1520" i="3"/>
  <c r="F2557" i="3"/>
  <c r="F2143" i="3"/>
  <c r="F552" i="3"/>
  <c r="F182" i="3"/>
  <c r="F2373" i="3"/>
  <c r="F183" i="3"/>
  <c r="F184" i="3"/>
  <c r="F1414" i="3"/>
  <c r="F553" i="3"/>
  <c r="F1769" i="3"/>
  <c r="F2509" i="3"/>
  <c r="F1521" i="3"/>
  <c r="F1522" i="3"/>
  <c r="F1523" i="3"/>
  <c r="F1524" i="3"/>
  <c r="F1525" i="3"/>
  <c r="F1526" i="3"/>
  <c r="F1527" i="3"/>
  <c r="F1528" i="3"/>
  <c r="F185" i="3"/>
  <c r="F1529" i="3"/>
  <c r="F1770" i="3"/>
  <c r="F1415" i="3"/>
  <c r="F2510" i="3"/>
  <c r="F1530" i="3"/>
  <c r="F986" i="3"/>
  <c r="F766" i="3"/>
  <c r="F2374" i="3"/>
  <c r="F2375" i="3"/>
  <c r="F2376" i="3"/>
  <c r="F2377" i="3"/>
  <c r="F2378" i="3"/>
  <c r="F2379" i="3"/>
  <c r="F2380" i="3"/>
  <c r="F2381" i="3"/>
  <c r="F2382" i="3"/>
  <c r="F1531" i="3"/>
  <c r="F1771" i="3"/>
  <c r="F2546" i="3"/>
  <c r="F987" i="3"/>
  <c r="F186" i="3"/>
  <c r="F2316" i="3"/>
  <c r="F1772" i="3"/>
  <c r="F767" i="3"/>
  <c r="F187" i="3"/>
  <c r="F1773" i="3"/>
  <c r="F554" i="3"/>
  <c r="F1532" i="3"/>
  <c r="F1416" i="3"/>
  <c r="F768" i="3"/>
  <c r="F2558" i="3"/>
  <c r="F988" i="3"/>
  <c r="F188" i="3"/>
  <c r="F1774" i="3"/>
  <c r="F769" i="3"/>
  <c r="F1997" i="3"/>
  <c r="F555" i="3"/>
  <c r="F2511" i="3"/>
  <c r="F1533" i="3"/>
  <c r="F1775" i="3"/>
  <c r="F1417" i="3"/>
  <c r="F770" i="3"/>
  <c r="F1443" i="3"/>
  <c r="F1534" i="3"/>
  <c r="F189" i="3"/>
  <c r="F2383" i="3"/>
  <c r="F1776" i="3"/>
  <c r="F556" i="3"/>
  <c r="F1998" i="3"/>
  <c r="F1535" i="3"/>
  <c r="F2384" i="3"/>
  <c r="F1292" i="3"/>
  <c r="F2306" i="3"/>
  <c r="F1536" i="3"/>
  <c r="F2547" i="3"/>
  <c r="F771" i="3"/>
  <c r="F772" i="3"/>
  <c r="F1777" i="3"/>
  <c r="F773" i="3"/>
  <c r="F10" i="3"/>
  <c r="F774" i="3"/>
  <c r="F2317" i="3"/>
  <c r="F2385" i="3"/>
  <c r="F1537" i="3"/>
  <c r="F1999" i="3"/>
  <c r="F1538" i="3"/>
  <c r="F557" i="3"/>
  <c r="F11" i="3"/>
  <c r="F1339" i="3"/>
  <c r="F1444" i="3"/>
  <c r="F558" i="3"/>
  <c r="F2386" i="3"/>
  <c r="F1539" i="3"/>
  <c r="F1778" i="3"/>
  <c r="F1540" i="3"/>
  <c r="F775" i="3"/>
  <c r="F2144" i="3"/>
  <c r="F1340" i="3"/>
  <c r="F2512" i="3"/>
  <c r="F1541" i="3"/>
  <c r="F1542" i="3"/>
  <c r="F2387" i="3"/>
  <c r="F559" i="3"/>
  <c r="F1779" i="3"/>
  <c r="F1780" i="3"/>
  <c r="F776" i="3"/>
  <c r="F1543" i="3"/>
  <c r="F190" i="3"/>
  <c r="F1341" i="3"/>
  <c r="F560" i="3"/>
  <c r="F561" i="3"/>
  <c r="F562" i="3"/>
  <c r="F1445" i="3"/>
  <c r="F2559" i="3"/>
  <c r="F563" i="3"/>
  <c r="F2388" i="3"/>
  <c r="F2333" i="3"/>
  <c r="F2389" i="3"/>
  <c r="F2390" i="3"/>
  <c r="F2391" i="3"/>
  <c r="F2392" i="3"/>
  <c r="F2393" i="3"/>
  <c r="F2394" i="3"/>
  <c r="F2395" i="3"/>
  <c r="F2396" i="3"/>
  <c r="F1544" i="3"/>
  <c r="F777" i="3"/>
  <c r="F191" i="3"/>
  <c r="F989" i="3"/>
  <c r="F1545" i="3"/>
  <c r="F2397" i="3"/>
  <c r="F990" i="3"/>
  <c r="F778" i="3"/>
  <c r="F2513" i="3"/>
  <c r="F1546" i="3"/>
  <c r="F2000" i="3"/>
  <c r="F12" i="3"/>
  <c r="F564" i="3"/>
  <c r="F779" i="3"/>
  <c r="F13" i="3"/>
  <c r="F14" i="3"/>
  <c r="F1547" i="3"/>
  <c r="F15" i="3"/>
  <c r="F565" i="3"/>
  <c r="F2398" i="3"/>
  <c r="F2229" i="3"/>
  <c r="F16" i="3"/>
  <c r="F991" i="3"/>
  <c r="F1396" i="3"/>
  <c r="F566" i="3"/>
  <c r="F2399" i="3"/>
  <c r="F1548" i="3"/>
  <c r="F1549" i="3"/>
  <c r="F1550" i="3"/>
  <c r="F1551" i="3"/>
  <c r="F992" i="3"/>
  <c r="F2400" i="3"/>
  <c r="F780" i="3"/>
  <c r="F2514" i="3"/>
  <c r="F17" i="3"/>
  <c r="F1346" i="3"/>
  <c r="F1552" i="3"/>
  <c r="F993" i="3"/>
  <c r="F2515" i="3"/>
  <c r="F192" i="3"/>
  <c r="F781" i="3"/>
  <c r="F1553" i="3"/>
  <c r="F695" i="3"/>
  <c r="F2307" i="3"/>
  <c r="F1397" i="3"/>
  <c r="F567" i="3"/>
  <c r="F994" i="3"/>
  <c r="F18" i="3"/>
  <c r="F1554" i="3"/>
  <c r="F1781" i="3"/>
  <c r="F2401" i="3"/>
  <c r="F1555" i="3"/>
  <c r="F2516" i="3"/>
  <c r="F782" i="3"/>
  <c r="F1782" i="3"/>
  <c r="F568" i="3"/>
  <c r="F2402" i="3"/>
  <c r="F1556" i="3"/>
  <c r="F193" i="3"/>
  <c r="F1783" i="3"/>
  <c r="F1557" i="3"/>
  <c r="F1293" i="3"/>
  <c r="F783" i="3"/>
  <c r="F1471" i="3"/>
  <c r="F2403" i="3"/>
  <c r="F2404" i="3"/>
  <c r="F1558" i="3"/>
  <c r="F1784" i="3"/>
  <c r="F1398" i="3"/>
  <c r="F1347" i="3"/>
  <c r="F19" i="3"/>
  <c r="F1785" i="3"/>
  <c r="F1559" i="3"/>
  <c r="F1786" i="3"/>
  <c r="F1560" i="3"/>
  <c r="F2230" i="3"/>
  <c r="F1787" i="3"/>
  <c r="F2001" i="3"/>
  <c r="F20" i="3"/>
  <c r="F995" i="3"/>
  <c r="F784" i="3"/>
  <c r="F2118" i="3"/>
  <c r="F569" i="3"/>
  <c r="F194" i="3"/>
  <c r="F1561" i="3"/>
  <c r="F2405" i="3"/>
  <c r="F1788" i="3"/>
  <c r="F996" i="3"/>
  <c r="F785" i="3"/>
  <c r="F1562" i="3"/>
  <c r="F1563" i="3"/>
  <c r="F1564" i="3"/>
  <c r="F1565" i="3"/>
  <c r="F1566" i="3"/>
  <c r="F1567" i="3"/>
  <c r="F1474" i="3"/>
  <c r="F1568" i="3"/>
  <c r="F1569" i="3"/>
  <c r="F1570" i="3"/>
  <c r="F21" i="3"/>
  <c r="F997" i="3"/>
  <c r="F1571" i="3"/>
  <c r="F1789" i="3"/>
  <c r="F570" i="3"/>
  <c r="F2119" i="3"/>
  <c r="F998" i="3"/>
  <c r="F786" i="3"/>
  <c r="F1572" i="3"/>
  <c r="F2406" i="3"/>
  <c r="F1573" i="3"/>
  <c r="F1790" i="3"/>
  <c r="F1574" i="3"/>
  <c r="F571" i="3"/>
  <c r="F1791" i="3"/>
  <c r="F2120" i="3"/>
  <c r="F1792" i="3"/>
  <c r="F22" i="3"/>
  <c r="F195" i="3"/>
  <c r="F1294" i="3"/>
  <c r="F1575" i="3"/>
  <c r="F572" i="3"/>
  <c r="F2407" i="3"/>
  <c r="F2517" i="3"/>
  <c r="F1576" i="3"/>
  <c r="F2121" i="3"/>
  <c r="F449" i="3"/>
  <c r="F918" i="3"/>
  <c r="F1577" i="3"/>
  <c r="F573" i="3"/>
  <c r="F1793" i="3"/>
  <c r="F1578" i="3"/>
  <c r="F2518" i="3"/>
  <c r="F1794" i="3"/>
  <c r="F787" i="3"/>
  <c r="F2231" i="3"/>
  <c r="F1579" i="3"/>
  <c r="F196" i="3"/>
  <c r="F2122" i="3"/>
  <c r="F1295" i="3"/>
  <c r="F788" i="3"/>
  <c r="F2408" i="3"/>
  <c r="F1795" i="3"/>
  <c r="F2232" i="3"/>
  <c r="F574" i="3"/>
  <c r="F23" i="3"/>
  <c r="F2233" i="3"/>
  <c r="F1580" i="3"/>
  <c r="F24" i="3"/>
  <c r="F1348" i="3"/>
  <c r="F1349" i="3"/>
  <c r="F1350" i="3"/>
  <c r="F1351" i="3"/>
  <c r="F1352" i="3"/>
  <c r="F1353" i="3"/>
  <c r="F1354" i="3"/>
  <c r="F1581" i="3"/>
  <c r="F1296" i="3"/>
  <c r="F999" i="3"/>
  <c r="F25" i="3"/>
  <c r="F1627" i="3"/>
  <c r="F575" i="3"/>
  <c r="F2123" i="3"/>
  <c r="F1582" i="3"/>
  <c r="F919" i="3"/>
  <c r="F1796" i="3"/>
  <c r="F1000" i="3"/>
  <c r="F1583" i="3"/>
  <c r="F576" i="3"/>
  <c r="F2234" i="3"/>
  <c r="F789" i="3"/>
  <c r="F2235" i="3"/>
  <c r="F1797" i="3"/>
  <c r="F1473" i="3"/>
  <c r="F1297" i="3"/>
  <c r="F2124" i="3"/>
  <c r="F1399" i="3"/>
  <c r="F2409" i="3"/>
  <c r="F197" i="3"/>
  <c r="F2410" i="3"/>
  <c r="F1798" i="3"/>
  <c r="F1475" i="3"/>
  <c r="F26" i="3"/>
  <c r="F1001" i="3"/>
  <c r="F198" i="3"/>
  <c r="F2411" i="3"/>
  <c r="F1584" i="3"/>
  <c r="F2002" i="3"/>
  <c r="F1799" i="3"/>
  <c r="F577" i="3"/>
  <c r="F1002" i="3"/>
  <c r="F2308" i="3"/>
  <c r="F2125" i="3"/>
  <c r="F790" i="3"/>
  <c r="F920" i="3"/>
  <c r="F791" i="3"/>
  <c r="F199" i="3"/>
  <c r="F1585" i="3"/>
  <c r="F2236" i="3"/>
  <c r="F1800" i="3"/>
  <c r="F2412" i="3"/>
  <c r="F1003" i="3"/>
  <c r="F200" i="3"/>
  <c r="F578" i="3"/>
  <c r="F579" i="3"/>
  <c r="F2309" i="3"/>
  <c r="F580" i="3"/>
  <c r="F581" i="3"/>
  <c r="F582" i="3"/>
  <c r="F583" i="3"/>
  <c r="F504" i="3"/>
  <c r="F584" i="3"/>
  <c r="F2310" i="3"/>
  <c r="F585" i="3"/>
  <c r="F586" i="3"/>
  <c r="F503" i="3"/>
  <c r="F2311" i="3"/>
  <c r="F1586" i="3"/>
  <c r="F201" i="3"/>
  <c r="F792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801" i="3"/>
  <c r="F1587" i="3"/>
  <c r="F202" i="3"/>
  <c r="F203" i="3"/>
  <c r="F1313" i="3"/>
  <c r="F204" i="3"/>
  <c r="F793" i="3"/>
  <c r="F1588" i="3"/>
  <c r="F1802" i="3"/>
  <c r="F2237" i="3"/>
  <c r="F2413" i="3"/>
  <c r="F1314" i="3"/>
  <c r="F1589" i="3"/>
  <c r="F1315" i="3"/>
  <c r="F1316" i="3"/>
  <c r="F1317" i="3"/>
  <c r="F1004" i="3"/>
  <c r="F2327" i="3"/>
  <c r="F1803" i="3"/>
  <c r="F205" i="3"/>
  <c r="F1005" i="3"/>
  <c r="F1590" i="3"/>
  <c r="F450" i="3"/>
  <c r="F27" i="3"/>
  <c r="F206" i="3"/>
  <c r="F2414" i="3"/>
  <c r="F1804" i="3"/>
  <c r="F28" i="3"/>
  <c r="F1006" i="3"/>
  <c r="F794" i="3"/>
  <c r="F1805" i="3"/>
  <c r="F2238" i="3"/>
  <c r="F1007" i="3"/>
  <c r="F795" i="3"/>
  <c r="F2239" i="3"/>
  <c r="F796" i="3"/>
  <c r="F1591" i="3"/>
  <c r="F2415" i="3"/>
  <c r="F1355" i="3"/>
  <c r="F207" i="3"/>
  <c r="F2003" i="3"/>
  <c r="F2126" i="3"/>
  <c r="F587" i="3"/>
  <c r="F451" i="3"/>
  <c r="F2004" i="3"/>
  <c r="F1806" i="3"/>
  <c r="F1008" i="3"/>
  <c r="F29" i="3"/>
  <c r="F1318" i="3"/>
  <c r="F797" i="3"/>
  <c r="F1807" i="3"/>
  <c r="F208" i="3"/>
  <c r="F1009" i="3"/>
  <c r="F1592" i="3"/>
  <c r="F209" i="3"/>
  <c r="F1400" i="3"/>
  <c r="F2005" i="3"/>
  <c r="F452" i="3"/>
  <c r="F1010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453" i="3"/>
  <c r="F1011" i="3"/>
  <c r="F2519" i="3"/>
  <c r="F588" i="3"/>
  <c r="F798" i="3"/>
  <c r="F2312" i="3"/>
  <c r="F454" i="3"/>
  <c r="F210" i="3"/>
  <c r="F2240" i="3"/>
  <c r="F2416" i="3"/>
  <c r="F2241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472" i="3"/>
  <c r="F1605" i="3"/>
  <c r="F1606" i="3"/>
  <c r="F1012" i="3"/>
  <c r="F1822" i="3"/>
  <c r="F211" i="3"/>
  <c r="F212" i="3"/>
  <c r="F213" i="3"/>
  <c r="F1607" i="3"/>
  <c r="F2520" i="3"/>
  <c r="F2006" i="3"/>
  <c r="F589" i="3"/>
  <c r="F455" i="3"/>
  <c r="F214" i="3"/>
  <c r="F215" i="3"/>
  <c r="F216" i="3"/>
  <c r="F217" i="3"/>
  <c r="F218" i="3"/>
  <c r="F219" i="3"/>
  <c r="F2007" i="3"/>
  <c r="F1630" i="3"/>
  <c r="F30" i="3"/>
  <c r="F799" i="3"/>
  <c r="F2417" i="3"/>
  <c r="F1608" i="3"/>
  <c r="F1319" i="3"/>
  <c r="F590" i="3"/>
  <c r="F2418" i="3"/>
  <c r="F1013" i="3"/>
  <c r="F1823" i="3"/>
  <c r="F591" i="3"/>
  <c r="F1609" i="3"/>
  <c r="F1824" i="3"/>
  <c r="F800" i="3"/>
  <c r="F1014" i="3"/>
  <c r="F456" i="3"/>
  <c r="F1015" i="3"/>
  <c r="F2008" i="3"/>
  <c r="F1825" i="3"/>
  <c r="F2009" i="3"/>
  <c r="F220" i="3"/>
  <c r="F592" i="3"/>
  <c r="F921" i="3"/>
  <c r="F1826" i="3"/>
  <c r="F1320" i="3"/>
  <c r="F801" i="3"/>
  <c r="F2242" i="3"/>
  <c r="F2521" i="3"/>
  <c r="F505" i="3"/>
  <c r="F2243" i="3"/>
  <c r="F1016" i="3"/>
  <c r="F2522" i="3"/>
  <c r="F1017" i="3"/>
  <c r="F2010" i="3"/>
  <c r="F802" i="3"/>
  <c r="F803" i="3"/>
  <c r="F593" i="3"/>
  <c r="F1321" i="3"/>
  <c r="F2328" i="3"/>
  <c r="F31" i="3"/>
  <c r="F1018" i="3"/>
  <c r="F2419" i="3"/>
  <c r="F2244" i="3"/>
  <c r="F1827" i="3"/>
  <c r="F457" i="3"/>
  <c r="F1356" i="3"/>
  <c r="F221" i="3"/>
  <c r="F1019" i="3"/>
  <c r="F1322" i="3"/>
  <c r="F1828" i="3"/>
  <c r="F804" i="3"/>
  <c r="F458" i="3"/>
  <c r="F1020" i="3"/>
  <c r="F32" i="3"/>
  <c r="F1610" i="3"/>
  <c r="F805" i="3"/>
  <c r="F806" i="3"/>
  <c r="F459" i="3"/>
  <c r="F1021" i="3"/>
  <c r="F1231" i="3"/>
  <c r="F460" i="3"/>
  <c r="F2245" i="3"/>
  <c r="F807" i="3"/>
  <c r="F2011" i="3"/>
  <c r="F2012" i="3"/>
  <c r="F2013" i="3"/>
  <c r="F2014" i="3"/>
  <c r="F1829" i="3"/>
  <c r="F2015" i="3"/>
  <c r="F2016" i="3"/>
  <c r="F2017" i="3"/>
  <c r="F2018" i="3"/>
  <c r="F2019" i="3"/>
  <c r="F2020" i="3"/>
  <c r="F2021" i="3"/>
  <c r="F594" i="3"/>
  <c r="F2246" i="3"/>
  <c r="F222" i="3"/>
  <c r="F461" i="3"/>
  <c r="F595" i="3"/>
  <c r="F1022" i="3"/>
  <c r="F2329" i="3"/>
  <c r="F808" i="3"/>
  <c r="F1830" i="3"/>
  <c r="F223" i="3"/>
  <c r="F2247" i="3"/>
  <c r="F2420" i="3"/>
  <c r="F2248" i="3"/>
  <c r="F224" i="3"/>
  <c r="F1831" i="3"/>
  <c r="F1611" i="3"/>
  <c r="F2022" i="3"/>
  <c r="F1832" i="3"/>
  <c r="F596" i="3"/>
  <c r="F1023" i="3"/>
  <c r="F2249" i="3"/>
  <c r="F462" i="3"/>
  <c r="F2330" i="3"/>
  <c r="F2023" i="3"/>
  <c r="F809" i="3"/>
  <c r="F1612" i="3"/>
  <c r="F1833" i="3"/>
  <c r="F1834" i="3"/>
  <c r="F2523" i="3"/>
  <c r="F2421" i="3"/>
  <c r="F225" i="3"/>
  <c r="F1024" i="3"/>
  <c r="F1613" i="3"/>
  <c r="F2313" i="3"/>
  <c r="F2024" i="3"/>
  <c r="F1835" i="3"/>
  <c r="F1836" i="3"/>
  <c r="F2422" i="3"/>
  <c r="F2250" i="3"/>
  <c r="F463" i="3"/>
  <c r="F2025" i="3"/>
  <c r="F2026" i="3"/>
  <c r="F2423" i="3"/>
  <c r="F597" i="3"/>
  <c r="F2251" i="3"/>
  <c r="F810" i="3"/>
  <c r="F464" i="3"/>
  <c r="F2424" i="3"/>
  <c r="F1837" i="3"/>
  <c r="F811" i="3"/>
  <c r="F598" i="3"/>
  <c r="F2331" i="3"/>
  <c r="F2027" i="3"/>
  <c r="F1838" i="3"/>
  <c r="F812" i="3"/>
  <c r="F1839" i="3"/>
  <c r="F599" i="3"/>
  <c r="F925" i="3"/>
  <c r="F1840" i="3"/>
  <c r="F226" i="3"/>
  <c r="F1614" i="3"/>
  <c r="F1025" i="3"/>
  <c r="F2314" i="3"/>
  <c r="F813" i="3"/>
  <c r="F2028" i="3"/>
  <c r="F1841" i="3"/>
  <c r="F1842" i="3"/>
  <c r="F2425" i="3"/>
  <c r="F1026" i="3"/>
  <c r="F2332" i="3"/>
  <c r="F465" i="3"/>
  <c r="F1843" i="3"/>
  <c r="F924" i="3"/>
  <c r="F466" i="3"/>
  <c r="F1027" i="3"/>
  <c r="F814" i="3"/>
  <c r="F1844" i="3"/>
  <c r="F227" i="3"/>
  <c r="F2029" i="3"/>
  <c r="F1845" i="3"/>
  <c r="F2030" i="3"/>
  <c r="F1846" i="3"/>
  <c r="F2031" i="3"/>
  <c r="F228" i="3"/>
  <c r="F467" i="3"/>
  <c r="F1847" i="3"/>
  <c r="F2524" i="3"/>
  <c r="F1848" i="3"/>
  <c r="F468" i="3"/>
  <c r="F815" i="3"/>
  <c r="F229" i="3"/>
  <c r="F2525" i="3"/>
  <c r="F2426" i="3"/>
  <c r="F1849" i="3"/>
  <c r="F2032" i="3"/>
  <c r="F1028" i="3"/>
  <c r="F1850" i="3"/>
  <c r="F2252" i="3"/>
  <c r="F469" i="3"/>
  <c r="F33" i="3"/>
  <c r="F230" i="3"/>
  <c r="F2427" i="3"/>
  <c r="F816" i="3"/>
  <c r="F1851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852" i="3"/>
  <c r="F1323" i="3"/>
  <c r="F1853" i="3"/>
  <c r="F2033" i="3"/>
  <c r="F1029" i="3"/>
  <c r="F2253" i="3"/>
  <c r="F470" i="3"/>
  <c r="F817" i="3"/>
  <c r="F231" i="3"/>
  <c r="F1854" i="3"/>
  <c r="F1357" i="3"/>
  <c r="F2526" i="3"/>
  <c r="F2034" i="3"/>
  <c r="F232" i="3"/>
  <c r="F1030" i="3"/>
  <c r="F1855" i="3"/>
  <c r="F1856" i="3"/>
  <c r="F2428" i="3"/>
  <c r="F2035" i="3"/>
  <c r="F471" i="3"/>
  <c r="F2527" i="3"/>
  <c r="F233" i="3"/>
  <c r="F1857" i="3"/>
  <c r="F234" i="3"/>
  <c r="F2036" i="3"/>
  <c r="F1031" i="3"/>
  <c r="F600" i="3"/>
  <c r="F2429" i="3"/>
  <c r="F1032" i="3"/>
  <c r="F2037" i="3"/>
  <c r="F2430" i="3"/>
  <c r="F2254" i="3"/>
  <c r="F1858" i="3"/>
  <c r="F1033" i="3"/>
  <c r="F2528" i="3"/>
  <c r="F1859" i="3"/>
  <c r="F472" i="3"/>
  <c r="F2038" i="3"/>
  <c r="F2322" i="3"/>
  <c r="F2323" i="3"/>
  <c r="F2039" i="3"/>
  <c r="F818" i="3"/>
  <c r="F819" i="3"/>
  <c r="F820" i="3"/>
  <c r="F821" i="3"/>
  <c r="F822" i="3"/>
  <c r="F823" i="3"/>
  <c r="F824" i="3"/>
  <c r="F825" i="3"/>
  <c r="F826" i="3"/>
  <c r="F827" i="3"/>
  <c r="F1476" i="3"/>
  <c r="F473" i="3"/>
  <c r="F34" i="3"/>
  <c r="F2529" i="3"/>
  <c r="F1860" i="3"/>
  <c r="F2040" i="3"/>
  <c r="F828" i="3"/>
  <c r="F829" i="3"/>
  <c r="F830" i="3"/>
  <c r="F831" i="3"/>
  <c r="F832" i="3"/>
  <c r="F833" i="3"/>
  <c r="F834" i="3"/>
  <c r="F835" i="3"/>
  <c r="F836" i="3"/>
  <c r="F837" i="3"/>
  <c r="F1861" i="3"/>
  <c r="F1034" i="3"/>
  <c r="F1862" i="3"/>
  <c r="F1324" i="3"/>
  <c r="F1863" i="3"/>
  <c r="F235" i="3"/>
  <c r="F236" i="3"/>
  <c r="F237" i="3"/>
  <c r="F238" i="3"/>
  <c r="F239" i="3"/>
  <c r="F240" i="3"/>
  <c r="F241" i="3"/>
  <c r="F1615" i="3"/>
  <c r="F838" i="3"/>
  <c r="F839" i="3"/>
  <c r="F840" i="3"/>
  <c r="F841" i="3"/>
  <c r="F842" i="3"/>
  <c r="F843" i="3"/>
  <c r="F844" i="3"/>
  <c r="F1864" i="3"/>
  <c r="F2255" i="3"/>
  <c r="F2530" i="3"/>
  <c r="F1035" i="3"/>
  <c r="F1865" i="3"/>
  <c r="F242" i="3"/>
  <c r="F243" i="3"/>
  <c r="F2431" i="3"/>
  <c r="F2432" i="3"/>
  <c r="F2433" i="3"/>
  <c r="F474" i="3"/>
  <c r="F2531" i="3"/>
  <c r="F244" i="3"/>
  <c r="F1866" i="3"/>
  <c r="F1036" i="3"/>
  <c r="F2434" i="3"/>
  <c r="F845" i="3"/>
  <c r="F2532" i="3"/>
  <c r="F1867" i="3"/>
  <c r="F601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245" i="3"/>
  <c r="F246" i="3"/>
  <c r="F1868" i="3"/>
  <c r="F35" i="3"/>
  <c r="F2282" i="3"/>
  <c r="F247" i="3"/>
  <c r="F2435" i="3"/>
  <c r="F2533" i="3"/>
  <c r="F1052" i="3"/>
  <c r="F2256" i="3"/>
  <c r="F1342" i="3"/>
  <c r="F2436" i="3"/>
  <c r="F602" i="3"/>
  <c r="F248" i="3"/>
  <c r="F2534" i="3"/>
  <c r="F1053" i="3"/>
  <c r="F249" i="3"/>
  <c r="F475" i="3"/>
  <c r="F1054" i="3"/>
  <c r="F1869" i="3"/>
  <c r="F250" i="3"/>
  <c r="F476" i="3"/>
  <c r="F603" i="3"/>
  <c r="F2283" i="3"/>
  <c r="F1236" i="3"/>
  <c r="F1233" i="3"/>
  <c r="F251" i="3"/>
  <c r="F1055" i="3"/>
  <c r="F1343" i="3"/>
  <c r="F2579" i="3"/>
  <c r="F1056" i="3"/>
  <c r="F477" i="3"/>
  <c r="F252" i="3"/>
  <c r="F253" i="3"/>
  <c r="F254" i="3"/>
  <c r="F255" i="3"/>
  <c r="F256" i="3"/>
  <c r="F257" i="3"/>
  <c r="F258" i="3"/>
  <c r="F259" i="3"/>
  <c r="F1870" i="3"/>
  <c r="F1057" i="3"/>
  <c r="F478" i="3"/>
  <c r="F260" i="3"/>
  <c r="F2437" i="3"/>
  <c r="F261" i="3"/>
  <c r="F262" i="3"/>
  <c r="F263" i="3"/>
  <c r="F264" i="3"/>
  <c r="F265" i="3"/>
  <c r="F266" i="3"/>
  <c r="F267" i="3"/>
  <c r="F1871" i="3"/>
  <c r="F479" i="3"/>
  <c r="F268" i="3"/>
  <c r="F2580" i="3"/>
  <c r="F269" i="3"/>
  <c r="F1872" i="3"/>
  <c r="F1873" i="3"/>
  <c r="F1874" i="3"/>
  <c r="F1875" i="3"/>
  <c r="F1876" i="3"/>
  <c r="F1877" i="3"/>
  <c r="F1878" i="3"/>
  <c r="F480" i="3"/>
  <c r="F1344" i="3"/>
  <c r="F1058" i="3"/>
  <c r="F481" i="3"/>
  <c r="F2581" i="3"/>
  <c r="F270" i="3"/>
  <c r="F271" i="3"/>
  <c r="F482" i="3"/>
  <c r="F604" i="3"/>
  <c r="F1345" i="3"/>
  <c r="F2438" i="3"/>
  <c r="F483" i="3"/>
  <c r="F605" i="3"/>
  <c r="F484" i="3"/>
  <c r="F272" i="3"/>
  <c r="F606" i="3"/>
  <c r="F273" i="3"/>
  <c r="F274" i="3"/>
  <c r="F110" i="3"/>
  <c r="F1059" i="3"/>
  <c r="F1060" i="3"/>
  <c r="F2439" i="3"/>
  <c r="F275" i="3"/>
  <c r="F36" i="3"/>
  <c r="F2440" i="3"/>
  <c r="F1061" i="3"/>
  <c r="F1616" i="3"/>
  <c r="F1062" i="3"/>
  <c r="F276" i="3"/>
  <c r="F1617" i="3"/>
  <c r="F607" i="3"/>
  <c r="F1063" i="3"/>
  <c r="F277" i="3"/>
  <c r="F278" i="3"/>
  <c r="F1064" i="3"/>
  <c r="F37" i="3"/>
  <c r="F1879" i="3"/>
  <c r="F608" i="3"/>
  <c r="F1880" i="3"/>
  <c r="F1065" i="3"/>
  <c r="F279" i="3"/>
  <c r="F280" i="3"/>
  <c r="F926" i="3"/>
  <c r="F2041" i="3"/>
  <c r="F281" i="3"/>
  <c r="F1066" i="3"/>
  <c r="F1618" i="3"/>
  <c r="F282" i="3"/>
  <c r="F1881" i="3"/>
  <c r="F1067" i="3"/>
  <c r="F609" i="3"/>
  <c r="F2042" i="3"/>
  <c r="F283" i="3"/>
  <c r="F2320" i="3"/>
  <c r="F2441" i="3"/>
  <c r="F2321" i="3"/>
  <c r="F38" i="3"/>
  <c r="F2043" i="3"/>
  <c r="F1068" i="3"/>
  <c r="F1069" i="3"/>
  <c r="F2044" i="3"/>
  <c r="F39" i="3"/>
  <c r="F40" i="3"/>
  <c r="F284" i="3"/>
  <c r="F285" i="3"/>
  <c r="F286" i="3"/>
  <c r="F287" i="3"/>
  <c r="F288" i="3"/>
  <c r="F289" i="3"/>
  <c r="F290" i="3"/>
  <c r="F2045" i="3"/>
  <c r="F1070" i="3"/>
  <c r="F2442" i="3"/>
  <c r="F1071" i="3"/>
  <c r="F291" i="3"/>
  <c r="F292" i="3"/>
  <c r="F2046" i="3"/>
  <c r="F610" i="3"/>
  <c r="F1882" i="3"/>
  <c r="F41" i="3"/>
  <c r="F293" i="3"/>
  <c r="F2443" i="3"/>
  <c r="F2047" i="3"/>
  <c r="F42" i="3"/>
  <c r="F1072" i="3"/>
  <c r="F2048" i="3"/>
  <c r="F2444" i="3"/>
  <c r="F611" i="3"/>
  <c r="F846" i="3"/>
  <c r="F2049" i="3"/>
  <c r="F294" i="3"/>
  <c r="F43" i="3"/>
  <c r="F2445" i="3"/>
  <c r="F295" i="3"/>
  <c r="F2050" i="3"/>
  <c r="F1073" i="3"/>
  <c r="F612" i="3"/>
  <c r="F44" i="3"/>
  <c r="F2446" i="3"/>
  <c r="F1074" i="3"/>
  <c r="F2051" i="3"/>
  <c r="F2447" i="3"/>
  <c r="F296" i="3"/>
  <c r="F297" i="3"/>
  <c r="F2448" i="3"/>
  <c r="F1883" i="3"/>
  <c r="F45" i="3"/>
  <c r="F1075" i="3"/>
  <c r="F1619" i="3"/>
  <c r="F298" i="3"/>
  <c r="F2449" i="3"/>
  <c r="F1076" i="3"/>
  <c r="F2450" i="3"/>
  <c r="F1077" i="3"/>
  <c r="F2052" i="3"/>
  <c r="F299" i="3"/>
  <c r="F46" i="3"/>
  <c r="F2535" i="3"/>
  <c r="F2053" i="3"/>
  <c r="F613" i="3"/>
  <c r="F2451" i="3"/>
  <c r="F47" i="3"/>
  <c r="F1884" i="3"/>
  <c r="F1078" i="3"/>
  <c r="F1079" i="3"/>
  <c r="F1080" i="3"/>
  <c r="F1081" i="3"/>
  <c r="F1885" i="3"/>
  <c r="F1082" i="3"/>
  <c r="F922" i="3"/>
  <c r="F1083" i="3"/>
  <c r="F2452" i="3"/>
  <c r="F614" i="3"/>
  <c r="F1886" i="3"/>
  <c r="F2054" i="3"/>
  <c r="F847" i="3"/>
  <c r="F48" i="3"/>
  <c r="F2453" i="3"/>
  <c r="F2055" i="3"/>
  <c r="F2536" i="3"/>
  <c r="F2454" i="3"/>
  <c r="F2537" i="3"/>
  <c r="F2056" i="3"/>
  <c r="F1084" i="3"/>
  <c r="F615" i="3"/>
  <c r="F2057" i="3"/>
  <c r="F1085" i="3"/>
  <c r="F1887" i="3"/>
  <c r="F616" i="3"/>
  <c r="F2455" i="3"/>
  <c r="F2058" i="3"/>
  <c r="F49" i="3"/>
  <c r="F2538" i="3"/>
  <c r="F300" i="3"/>
  <c r="F2456" i="3"/>
  <c r="F2324" i="3"/>
  <c r="F50" i="3"/>
  <c r="F2457" i="3"/>
  <c r="F2059" i="3"/>
  <c r="F2539" i="3"/>
  <c r="F301" i="3"/>
  <c r="F1888" i="3"/>
  <c r="F617" i="3"/>
  <c r="F2060" i="3"/>
  <c r="F848" i="3"/>
  <c r="F1086" i="3"/>
  <c r="F2540" i="3"/>
  <c r="F2061" i="3"/>
  <c r="F2458" i="3"/>
  <c r="F302" i="3"/>
  <c r="F303" i="3"/>
  <c r="F51" i="3"/>
  <c r="F1087" i="3"/>
  <c r="F2062" i="3"/>
  <c r="F1620" i="3"/>
  <c r="F2541" i="3"/>
  <c r="F2063" i="3"/>
  <c r="F2459" i="3"/>
  <c r="F2064" i="3"/>
  <c r="F618" i="3"/>
  <c r="F304" i="3"/>
  <c r="F2065" i="3"/>
  <c r="F2257" i="3"/>
  <c r="F305" i="3"/>
  <c r="F619" i="3"/>
  <c r="F620" i="3"/>
  <c r="F621" i="3"/>
  <c r="F2066" i="3"/>
  <c r="F1088" i="3"/>
  <c r="F2127" i="3"/>
  <c r="F849" i="3"/>
  <c r="F306" i="3"/>
  <c r="F307" i="3"/>
  <c r="F308" i="3"/>
  <c r="F2460" i="3"/>
  <c r="F2067" i="3"/>
  <c r="F1889" i="3"/>
  <c r="F1089" i="3"/>
  <c r="F309" i="3"/>
  <c r="F1090" i="3"/>
  <c r="F310" i="3"/>
  <c r="F1091" i="3"/>
  <c r="F311" i="3"/>
  <c r="F312" i="3"/>
  <c r="F313" i="3"/>
  <c r="F314" i="3"/>
  <c r="F2461" i="3"/>
  <c r="F1092" i="3"/>
  <c r="F1358" i="3"/>
  <c r="F1621" i="3"/>
  <c r="F2325" i="3"/>
  <c r="F850" i="3"/>
  <c r="F2068" i="3"/>
  <c r="F2462" i="3"/>
  <c r="F1890" i="3"/>
  <c r="F52" i="3"/>
  <c r="F315" i="3"/>
  <c r="F1093" i="3"/>
  <c r="F1983" i="3"/>
  <c r="F2069" i="3"/>
  <c r="F2070" i="3"/>
  <c r="F2071" i="3"/>
  <c r="F2072" i="3"/>
  <c r="F2073" i="3"/>
  <c r="F2074" i="3"/>
  <c r="F2075" i="3"/>
  <c r="F2076" i="3"/>
  <c r="F2077" i="3"/>
  <c r="F2078" i="3"/>
  <c r="F2079" i="3"/>
  <c r="F1891" i="3"/>
  <c r="F316" i="3"/>
  <c r="F2326" i="3"/>
  <c r="F317" i="3"/>
  <c r="F1094" i="3"/>
  <c r="F318" i="3"/>
  <c r="F53" i="3"/>
  <c r="F1980" i="3"/>
  <c r="F1095" i="3"/>
  <c r="F319" i="3"/>
  <c r="F2258" i="3"/>
  <c r="F1096" i="3"/>
  <c r="F54" i="3"/>
  <c r="F320" i="3"/>
  <c r="F851" i="3"/>
  <c r="F622" i="3"/>
  <c r="F852" i="3"/>
  <c r="F2463" i="3"/>
  <c r="F321" i="3"/>
  <c r="F322" i="3"/>
  <c r="F1892" i="3"/>
  <c r="F323" i="3"/>
  <c r="F1893" i="3"/>
  <c r="F324" i="3"/>
  <c r="F325" i="3"/>
  <c r="F326" i="3"/>
  <c r="F327" i="3"/>
  <c r="F1894" i="3"/>
  <c r="F55" i="3"/>
  <c r="F2464" i="3"/>
  <c r="F1097" i="3"/>
  <c r="F1622" i="3"/>
  <c r="F328" i="3"/>
  <c r="F623" i="3"/>
  <c r="F1098" i="3"/>
  <c r="F2259" i="3"/>
  <c r="F2080" i="3"/>
  <c r="F2081" i="3"/>
  <c r="F2465" i="3"/>
  <c r="F1099" i="3"/>
  <c r="F2082" i="3"/>
  <c r="F1100" i="3"/>
  <c r="F56" i="3"/>
  <c r="F1623" i="3"/>
  <c r="F1101" i="3"/>
  <c r="F2466" i="3"/>
  <c r="F2083" i="3"/>
  <c r="F1102" i="3"/>
  <c r="F1103" i="3"/>
  <c r="F1104" i="3"/>
  <c r="F485" i="3"/>
  <c r="F486" i="3"/>
  <c r="F57" i="3"/>
  <c r="F1895" i="3"/>
  <c r="F58" i="3"/>
  <c r="F329" i="3"/>
  <c r="F853" i="3"/>
  <c r="F624" i="3"/>
  <c r="F330" i="3"/>
  <c r="F1105" i="3"/>
  <c r="F1896" i="3"/>
  <c r="F1897" i="3"/>
  <c r="F1359" i="3"/>
  <c r="F331" i="3"/>
  <c r="F1106" i="3"/>
  <c r="F2467" i="3"/>
  <c r="F332" i="3"/>
  <c r="F2084" i="3"/>
  <c r="F625" i="3"/>
  <c r="F2468" i="3"/>
  <c r="F1898" i="3"/>
  <c r="F2085" i="3"/>
  <c r="F2469" i="3"/>
  <c r="F487" i="3"/>
  <c r="F1107" i="3"/>
  <c r="F626" i="3"/>
  <c r="F1899" i="3"/>
  <c r="F1108" i="3"/>
  <c r="F1109" i="3"/>
  <c r="F854" i="3"/>
  <c r="F627" i="3"/>
  <c r="F59" i="3"/>
  <c r="F2470" i="3"/>
  <c r="F1900" i="3"/>
  <c r="F628" i="3"/>
  <c r="F1325" i="3"/>
  <c r="F1901" i="3"/>
  <c r="F1110" i="3"/>
  <c r="F2471" i="3"/>
  <c r="F1111" i="3"/>
  <c r="F1112" i="3"/>
  <c r="F629" i="3"/>
  <c r="F855" i="3"/>
  <c r="F2472" i="3"/>
  <c r="F1360" i="3"/>
  <c r="F60" i="3"/>
  <c r="F1113" i="3"/>
  <c r="F488" i="3"/>
  <c r="F2473" i="3"/>
  <c r="F856" i="3"/>
  <c r="F1902" i="3"/>
  <c r="F1114" i="3"/>
  <c r="F61" i="3"/>
  <c r="F1903" i="3"/>
  <c r="F1115" i="3"/>
  <c r="F1904" i="3"/>
  <c r="F2128" i="3"/>
  <c r="F1905" i="3"/>
  <c r="F2260" i="3"/>
  <c r="F62" i="3"/>
  <c r="F333" i="3"/>
  <c r="F489" i="3"/>
  <c r="F857" i="3"/>
  <c r="F858" i="3"/>
  <c r="F1234" i="3"/>
  <c r="F490" i="3"/>
  <c r="F1116" i="3"/>
  <c r="F630" i="3"/>
  <c r="F491" i="3"/>
  <c r="F859" i="3"/>
  <c r="F1117" i="3"/>
  <c r="F860" i="3"/>
  <c r="F334" i="3"/>
  <c r="F1361" i="3"/>
  <c r="F631" i="3"/>
  <c r="F492" i="3"/>
  <c r="F335" i="3"/>
  <c r="F336" i="3"/>
  <c r="F1118" i="3"/>
  <c r="F1119" i="3"/>
  <c r="F493" i="3"/>
  <c r="F494" i="3"/>
  <c r="F632" i="3"/>
  <c r="F63" i="3"/>
  <c r="F64" i="3"/>
  <c r="F861" i="3"/>
  <c r="F862" i="3"/>
  <c r="F863" i="3"/>
  <c r="F2474" i="3"/>
  <c r="F65" i="3"/>
  <c r="F337" i="3"/>
  <c r="F338" i="3"/>
  <c r="F2475" i="3"/>
  <c r="F2476" i="3"/>
  <c r="F923" i="3"/>
  <c r="F495" i="3"/>
  <c r="F1906" i="3"/>
  <c r="F496" i="3"/>
  <c r="F2129" i="3"/>
  <c r="F66" i="3"/>
  <c r="F339" i="3"/>
  <c r="F1907" i="3"/>
  <c r="F1120" i="3"/>
  <c r="F67" i="3"/>
  <c r="F1121" i="3"/>
  <c r="F1908" i="3"/>
  <c r="F1122" i="3"/>
  <c r="F497" i="3"/>
  <c r="F864" i="3"/>
  <c r="F633" i="3"/>
  <c r="F498" i="3"/>
  <c r="F1123" i="3"/>
  <c r="F1909" i="3"/>
  <c r="F634" i="3"/>
  <c r="F2477" i="3"/>
  <c r="F499" i="3"/>
  <c r="F2086" i="3"/>
  <c r="F500" i="3"/>
  <c r="F635" i="3"/>
  <c r="F1124" i="3"/>
  <c r="F2087" i="3"/>
  <c r="F501" i="3"/>
  <c r="F1910" i="3"/>
  <c r="F2088" i="3"/>
  <c r="F502" i="3"/>
  <c r="F1362" i="3"/>
  <c r="F636" i="3"/>
  <c r="F2478" i="3"/>
  <c r="F2284" i="3"/>
  <c r="F1911" i="3"/>
  <c r="F2089" i="3"/>
  <c r="F637" i="3"/>
  <c r="F340" i="3"/>
  <c r="F1912" i="3"/>
  <c r="F1363" i="3"/>
  <c r="F638" i="3"/>
  <c r="F1125" i="3"/>
  <c r="F639" i="3"/>
  <c r="F640" i="3"/>
  <c r="F1126" i="3"/>
  <c r="F2261" i="3"/>
  <c r="F641" i="3"/>
  <c r="F642" i="3"/>
  <c r="F341" i="3"/>
  <c r="F2285" i="3"/>
  <c r="F643" i="3"/>
  <c r="F342" i="3"/>
  <c r="F2479" i="3"/>
  <c r="F2262" i="3"/>
  <c r="F2480" i="3"/>
  <c r="F1127" i="3"/>
  <c r="F1913" i="3"/>
  <c r="F865" i="3"/>
  <c r="F1326" i="3"/>
  <c r="F2481" i="3"/>
  <c r="F343" i="3"/>
  <c r="F1128" i="3"/>
  <c r="F344" i="3"/>
  <c r="F1914" i="3"/>
  <c r="F2482" i="3"/>
  <c r="F1129" i="3"/>
  <c r="F1915" i="3"/>
  <c r="F1327" i="3"/>
  <c r="F866" i="3"/>
  <c r="F1130" i="3"/>
  <c r="F2483" i="3"/>
  <c r="F1131" i="3"/>
  <c r="F2484" i="3"/>
  <c r="F1401" i="3"/>
  <c r="F644" i="3"/>
  <c r="F645" i="3"/>
  <c r="F1132" i="3"/>
  <c r="F345" i="3"/>
  <c r="F2485" i="3"/>
  <c r="F867" i="3"/>
  <c r="F1916" i="3"/>
  <c r="F346" i="3"/>
  <c r="F1133" i="3"/>
  <c r="F1328" i="3"/>
  <c r="F1134" i="3"/>
  <c r="F68" i="3"/>
  <c r="F2486" i="3"/>
  <c r="F1135" i="3"/>
  <c r="F2487" i="3"/>
  <c r="F2263" i="3"/>
  <c r="F2264" i="3"/>
  <c r="F2488" i="3"/>
  <c r="F1136" i="3"/>
  <c r="F1137" i="3"/>
  <c r="F1917" i="3"/>
  <c r="F1918" i="3"/>
  <c r="F347" i="3"/>
  <c r="F348" i="3"/>
  <c r="F1138" i="3"/>
  <c r="F868" i="3"/>
  <c r="F1139" i="3"/>
  <c r="F349" i="3"/>
  <c r="F350" i="3"/>
  <c r="F69" i="3"/>
  <c r="F1919" i="3"/>
  <c r="F351" i="3"/>
  <c r="F352" i="3"/>
  <c r="F353" i="3"/>
  <c r="F354" i="3"/>
  <c r="F1140" i="3"/>
  <c r="F70" i="3"/>
  <c r="F71" i="3"/>
  <c r="F355" i="3"/>
  <c r="F646" i="3"/>
  <c r="F1141" i="3"/>
  <c r="F356" i="3"/>
  <c r="F1142" i="3"/>
  <c r="F1920" i="3"/>
  <c r="F357" i="3"/>
  <c r="F869" i="3"/>
  <c r="F1624" i="3"/>
  <c r="F870" i="3"/>
  <c r="F2489" i="3"/>
  <c r="F358" i="3"/>
  <c r="F359" i="3"/>
  <c r="F1921" i="3"/>
  <c r="F1922" i="3"/>
  <c r="F1143" i="3"/>
  <c r="F871" i="3"/>
  <c r="F872" i="3"/>
  <c r="F72" i="3"/>
  <c r="F2265" i="3"/>
  <c r="F873" i="3"/>
  <c r="F1144" i="3"/>
  <c r="F1364" i="3"/>
  <c r="F1145" i="3"/>
  <c r="F1146" i="3"/>
  <c r="F360" i="3"/>
  <c r="F647" i="3"/>
  <c r="F1147" i="3"/>
  <c r="F1148" i="3"/>
  <c r="F874" i="3"/>
  <c r="F2090" i="3"/>
  <c r="F1979" i="3"/>
  <c r="F1365" i="3"/>
  <c r="F875" i="3"/>
  <c r="F876" i="3"/>
  <c r="F1366" i="3"/>
  <c r="F1367" i="3"/>
  <c r="F2490" i="3"/>
  <c r="F1329" i="3"/>
  <c r="F73" i="3"/>
  <c r="F361" i="3"/>
  <c r="F877" i="3"/>
  <c r="F1149" i="3"/>
  <c r="F74" i="3"/>
  <c r="F1923" i="3"/>
  <c r="F362" i="3"/>
  <c r="F1924" i="3"/>
  <c r="F878" i="3"/>
  <c r="F75" i="3"/>
  <c r="F363" i="3"/>
  <c r="F879" i="3"/>
  <c r="F2266" i="3"/>
  <c r="F880" i="3"/>
  <c r="F1925" i="3"/>
  <c r="F648" i="3"/>
  <c r="F1368" i="3"/>
  <c r="F1369" i="3"/>
  <c r="F76" i="3"/>
  <c r="F1150" i="3"/>
  <c r="F77" i="3"/>
  <c r="F1625" i="3"/>
  <c r="F78" i="3"/>
  <c r="F364" i="3"/>
  <c r="F2267" i="3"/>
  <c r="F1926" i="3"/>
  <c r="F2268" i="3"/>
  <c r="F1151" i="3"/>
  <c r="F1152" i="3"/>
  <c r="F1370" i="3"/>
  <c r="F79" i="3"/>
  <c r="F1153" i="3"/>
  <c r="F1154" i="3"/>
  <c r="F2491" i="3"/>
  <c r="F1632" i="3"/>
  <c r="F1628" i="3"/>
  <c r="F1927" i="3"/>
  <c r="F649" i="3"/>
  <c r="F365" i="3"/>
  <c r="F366" i="3"/>
  <c r="F367" i="3"/>
  <c r="F881" i="3"/>
  <c r="F1928" i="3"/>
  <c r="F1371" i="3"/>
  <c r="F1372" i="3"/>
  <c r="F80" i="3"/>
  <c r="F1155" i="3"/>
  <c r="F368" i="3"/>
  <c r="F882" i="3"/>
  <c r="F2269" i="3"/>
  <c r="F2270" i="3"/>
  <c r="F81" i="3"/>
  <c r="F82" i="3"/>
  <c r="F369" i="3"/>
  <c r="F2542" i="3"/>
  <c r="F370" i="3"/>
  <c r="F2271" i="3"/>
  <c r="F1156" i="3"/>
  <c r="F650" i="3"/>
  <c r="F83" i="3"/>
  <c r="F1373" i="3"/>
  <c r="F1330" i="3"/>
  <c r="F2272" i="3"/>
  <c r="F1929" i="3"/>
  <c r="F84" i="3"/>
  <c r="F371" i="3"/>
  <c r="F372" i="3"/>
  <c r="F373" i="3"/>
  <c r="F2273" i="3"/>
  <c r="F1374" i="3"/>
  <c r="F374" i="3"/>
  <c r="F1157" i="3"/>
  <c r="F375" i="3"/>
  <c r="F376" i="3"/>
  <c r="F377" i="3"/>
  <c r="F378" i="3"/>
  <c r="F379" i="3"/>
  <c r="F1158" i="3"/>
  <c r="F1159" i="3"/>
  <c r="F883" i="3"/>
  <c r="F1160" i="3"/>
  <c r="F1930" i="3"/>
  <c r="F1161" i="3"/>
  <c r="F2091" i="3"/>
  <c r="F1162" i="3"/>
  <c r="F85" i="3"/>
  <c r="F1931" i="3"/>
  <c r="F1375" i="3"/>
  <c r="F380" i="3"/>
  <c r="F381" i="3"/>
  <c r="F1163" i="3"/>
  <c r="F1932" i="3"/>
  <c r="F382" i="3"/>
  <c r="F383" i="3"/>
  <c r="F927" i="3"/>
  <c r="F651" i="3"/>
  <c r="F86" i="3"/>
  <c r="F652" i="3"/>
  <c r="F1164" i="3"/>
  <c r="F87" i="3"/>
  <c r="F653" i="3"/>
  <c r="F654" i="3"/>
  <c r="F1165" i="3"/>
  <c r="F1166" i="3"/>
  <c r="F884" i="3"/>
  <c r="F655" i="3"/>
  <c r="F384" i="3"/>
  <c r="F385" i="3"/>
  <c r="F885" i="3"/>
  <c r="F386" i="3"/>
  <c r="F886" i="3"/>
  <c r="F887" i="3"/>
  <c r="F1167" i="3"/>
  <c r="F1168" i="3"/>
  <c r="F1376" i="3"/>
  <c r="F88" i="3"/>
  <c r="F1377" i="3"/>
  <c r="F1169" i="3"/>
  <c r="F387" i="3"/>
  <c r="F656" i="3"/>
  <c r="F1170" i="3"/>
  <c r="F1378" i="3"/>
  <c r="F657" i="3"/>
  <c r="F1171" i="3"/>
  <c r="F1172" i="3"/>
  <c r="F2492" i="3"/>
  <c r="F888" i="3"/>
  <c r="F1379" i="3"/>
  <c r="F1173" i="3"/>
  <c r="F1174" i="3"/>
  <c r="F2274" i="3"/>
  <c r="F1933" i="3"/>
  <c r="F1175" i="3"/>
  <c r="F889" i="3"/>
  <c r="F1176" i="3"/>
  <c r="F1177" i="3"/>
  <c r="F2275" i="3"/>
  <c r="F1178" i="3"/>
  <c r="F1179" i="3"/>
  <c r="F1180" i="3"/>
  <c r="F1934" i="3"/>
  <c r="F2145" i="3"/>
  <c r="F2276" i="3"/>
  <c r="F1181" i="3"/>
  <c r="F2277" i="3"/>
  <c r="F658" i="3"/>
  <c r="F1182" i="3"/>
  <c r="F1183" i="3"/>
  <c r="F388" i="3"/>
  <c r="F89" i="3"/>
  <c r="F659" i="3"/>
  <c r="F660" i="3"/>
  <c r="F890" i="3"/>
  <c r="F661" i="3"/>
  <c r="F90" i="3"/>
  <c r="F1184" i="3"/>
  <c r="F891" i="3"/>
  <c r="F1185" i="3"/>
  <c r="F389" i="3"/>
  <c r="F662" i="3"/>
  <c r="F91" i="3"/>
  <c r="F390" i="3"/>
  <c r="F92" i="3"/>
  <c r="F391" i="3"/>
  <c r="F93" i="3"/>
  <c r="F94" i="3"/>
  <c r="F392" i="3"/>
  <c r="F95" i="3"/>
  <c r="F663" i="3"/>
  <c r="F393" i="3"/>
  <c r="F394" i="3"/>
  <c r="F664" i="3"/>
  <c r="F96" i="3"/>
  <c r="F395" i="3"/>
  <c r="F396" i="3"/>
  <c r="F397" i="3"/>
  <c r="F892" i="3"/>
  <c r="F893" i="3"/>
  <c r="F1331" i="3"/>
  <c r="F1935" i="3"/>
  <c r="F665" i="3"/>
  <c r="F1186" i="3"/>
  <c r="F1936" i="3"/>
  <c r="F1937" i="3"/>
  <c r="F666" i="3"/>
  <c r="F398" i="3"/>
  <c r="F1938" i="3"/>
  <c r="F1187" i="3"/>
  <c r="F399" i="3"/>
  <c r="F1332" i="3"/>
  <c r="F1333" i="3"/>
  <c r="F1334" i="3"/>
  <c r="F1939" i="3"/>
  <c r="F1335" i="3"/>
  <c r="F2092" i="3"/>
  <c r="F2093" i="3"/>
  <c r="F1380" i="3"/>
  <c r="F1940" i="3"/>
  <c r="F97" i="3"/>
  <c r="F1381" i="3"/>
  <c r="F400" i="3"/>
  <c r="F1188" i="3"/>
  <c r="F667" i="3"/>
  <c r="F1336" i="3"/>
  <c r="F1941" i="3"/>
  <c r="F401" i="3"/>
  <c r="F894" i="3"/>
  <c r="F1189" i="3"/>
  <c r="F402" i="3"/>
  <c r="F1190" i="3"/>
  <c r="F403" i="3"/>
  <c r="F404" i="3"/>
  <c r="F405" i="3"/>
  <c r="F406" i="3"/>
  <c r="F407" i="3"/>
  <c r="F98" i="3"/>
  <c r="F2493" i="3"/>
  <c r="F408" i="3"/>
  <c r="F2494" i="3"/>
  <c r="F409" i="3"/>
  <c r="F1191" i="3"/>
  <c r="F410" i="3"/>
  <c r="F411" i="3"/>
  <c r="F412" i="3"/>
  <c r="F413" i="3"/>
  <c r="F414" i="3"/>
  <c r="F415" i="3"/>
  <c r="F1192" i="3"/>
  <c r="F1942" i="3"/>
  <c r="F1193" i="3"/>
  <c r="F2130" i="3"/>
  <c r="F1943" i="3"/>
  <c r="F99" i="3"/>
  <c r="F668" i="3"/>
  <c r="F1194" i="3"/>
  <c r="F895" i="3"/>
  <c r="F1626" i="3"/>
  <c r="F2131" i="3"/>
  <c r="F1195" i="3"/>
  <c r="F1196" i="3"/>
  <c r="F1197" i="3"/>
  <c r="F1944" i="3"/>
  <c r="F1945" i="3"/>
  <c r="F416" i="3"/>
  <c r="F1946" i="3"/>
  <c r="F2495" i="3"/>
  <c r="F1947" i="3"/>
  <c r="F669" i="3"/>
  <c r="F670" i="3"/>
  <c r="F100" i="3"/>
  <c r="F1198" i="3"/>
  <c r="F1199" i="3"/>
  <c r="F1382" i="3"/>
  <c r="F896" i="3"/>
  <c r="F671" i="3"/>
  <c r="F1200" i="3"/>
  <c r="F1948" i="3"/>
  <c r="F1201" i="3"/>
  <c r="F1949" i="3"/>
  <c r="F672" i="3"/>
  <c r="F417" i="3"/>
  <c r="F2278" i="3"/>
  <c r="F897" i="3"/>
  <c r="F101" i="3"/>
  <c r="F1950" i="3"/>
  <c r="F1202" i="3"/>
  <c r="F1951" i="3"/>
  <c r="F673" i="3"/>
  <c r="F674" i="3"/>
  <c r="F1383" i="3"/>
  <c r="F418" i="3"/>
  <c r="F1384" i="3"/>
  <c r="F419" i="3"/>
  <c r="F420" i="3"/>
  <c r="F898" i="3"/>
  <c r="F1952" i="3"/>
  <c r="F1203" i="3"/>
  <c r="F1953" i="3"/>
  <c r="F1954" i="3"/>
  <c r="F1955" i="3"/>
  <c r="F675" i="3"/>
  <c r="F1956" i="3"/>
  <c r="F1204" i="3"/>
  <c r="F676" i="3"/>
  <c r="F421" i="3"/>
  <c r="F1205" i="3"/>
  <c r="F677" i="3"/>
  <c r="F2496" i="3"/>
  <c r="F899" i="3"/>
  <c r="F422" i="3"/>
  <c r="F678" i="3"/>
  <c r="F900" i="3"/>
  <c r="F1206" i="3"/>
  <c r="F2497" i="3"/>
  <c r="F901" i="3"/>
  <c r="F902" i="3"/>
  <c r="F1957" i="3"/>
  <c r="F1207" i="3"/>
  <c r="F679" i="3"/>
  <c r="F102" i="3"/>
  <c r="F680" i="3"/>
  <c r="F1958" i="3"/>
  <c r="F1959" i="3"/>
  <c r="F681" i="3"/>
  <c r="F2279" i="3"/>
  <c r="F1208" i="3"/>
  <c r="F1209" i="3"/>
  <c r="F903" i="3"/>
  <c r="F1210" i="3"/>
  <c r="F1211" i="3"/>
  <c r="F682" i="3"/>
  <c r="F1212" i="3"/>
  <c r="F1213" i="3"/>
  <c r="F1214" i="3"/>
  <c r="F1215" i="3"/>
  <c r="F1216" i="3"/>
  <c r="F1385" i="3"/>
  <c r="F683" i="3"/>
  <c r="F423" i="3"/>
  <c r="F1217" i="3"/>
  <c r="F684" i="3"/>
  <c r="F1982" i="3"/>
  <c r="F424" i="3"/>
  <c r="F904" i="3"/>
  <c r="F2094" i="3"/>
  <c r="F905" i="3"/>
  <c r="F906" i="3"/>
  <c r="F907" i="3"/>
  <c r="F908" i="3"/>
  <c r="F103" i="3"/>
  <c r="F104" i="3"/>
  <c r="F909" i="3"/>
  <c r="F685" i="3"/>
  <c r="F1386" i="3"/>
  <c r="F686" i="3"/>
  <c r="F105" i="3"/>
  <c r="F2498" i="3"/>
  <c r="F910" i="3"/>
  <c r="F1218" i="3"/>
  <c r="F687" i="3"/>
  <c r="F911" i="3"/>
  <c r="F1960" i="3"/>
  <c r="F1219" i="3"/>
  <c r="F1961" i="3"/>
  <c r="F1962" i="3"/>
  <c r="F912" i="3"/>
  <c r="F913" i="3"/>
  <c r="F1963" i="3"/>
  <c r="F1964" i="3"/>
  <c r="F1965" i="3"/>
  <c r="F2095" i="3"/>
  <c r="F2096" i="3"/>
  <c r="F1966" i="3"/>
  <c r="F1967" i="3"/>
  <c r="F1968" i="3"/>
  <c r="F1969" i="3"/>
  <c r="F1970" i="3"/>
  <c r="F2499" i="3"/>
  <c r="F914" i="3"/>
  <c r="F425" i="3"/>
  <c r="F426" i="3"/>
  <c r="F427" i="3"/>
  <c r="F428" i="3"/>
  <c r="F1971" i="3"/>
  <c r="F2132" i="3"/>
  <c r="F2133" i="3"/>
  <c r="F2134" i="3"/>
  <c r="F2135" i="3"/>
  <c r="F915" i="3"/>
  <c r="F2280" i="3"/>
  <c r="F2281" i="3"/>
  <c r="F2500" i="3"/>
  <c r="F2501" i="3"/>
  <c r="F2097" i="3"/>
  <c r="F2098" i="3"/>
  <c r="F2099" i="3"/>
  <c r="F2100" i="3"/>
  <c r="F2101" i="3"/>
  <c r="F2102" i="3"/>
  <c r="F1981" i="3"/>
  <c r="F2103" i="3"/>
  <c r="F1984" i="3"/>
  <c r="F2104" i="3"/>
  <c r="F916" i="3"/>
  <c r="F106" i="3"/>
  <c r="F688" i="3"/>
  <c r="F1387" i="3"/>
  <c r="F1388" i="3"/>
  <c r="F1389" i="3"/>
  <c r="F1390" i="3"/>
  <c r="F1391" i="3"/>
  <c r="F689" i="3"/>
  <c r="F429" i="3"/>
  <c r="F1337" i="3"/>
  <c r="F1338" i="3"/>
  <c r="F1629" i="3"/>
  <c r="F1972" i="3"/>
  <c r="F690" i="3"/>
  <c r="F1973" i="3"/>
  <c r="F1974" i="3"/>
  <c r="F1975" i="3"/>
  <c r="F1976" i="3"/>
  <c r="F1977" i="3"/>
  <c r="F430" i="3"/>
  <c r="F1220" i="3"/>
  <c r="F1221" i="3"/>
  <c r="F1222" i="3"/>
  <c r="F1223" i="3"/>
  <c r="F1224" i="3"/>
  <c r="F1392" i="3"/>
  <c r="F1225" i="3"/>
  <c r="F1226" i="3"/>
  <c r="F1227" i="3"/>
  <c r="F1631" i="3"/>
  <c r="F1978" i="3"/>
  <c r="F1228" i="3"/>
  <c r="F431" i="3"/>
  <c r="F1229" i="3"/>
  <c r="F917" i="3"/>
  <c r="F107" i="3"/>
  <c r="F108" i="3"/>
  <c r="F109" i="3"/>
  <c r="F691" i="3"/>
  <c r="F692" i="3"/>
  <c r="F693" i="3"/>
  <c r="F432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<sst xmlns="http://schemas.openxmlformats.org/spreadsheetml/2006/main" count="23533" uniqueCount="2880">
  <si>
    <t>Review #</t>
  </si>
  <si>
    <t>Brand</t>
  </si>
  <si>
    <t>Variety</t>
  </si>
  <si>
    <t>Style</t>
  </si>
  <si>
    <t>Country</t>
  </si>
  <si>
    <t>Stars</t>
  </si>
  <si>
    <t>Top Ten</t>
  </si>
  <si>
    <t>New Touch</t>
  </si>
  <si>
    <t xml:space="preserve">T's Restaurant Tantanmen </t>
  </si>
  <si>
    <t>Cup</t>
  </si>
  <si>
    <t>Japan</t>
  </si>
  <si>
    <t>Just Way</t>
  </si>
  <si>
    <t>Noodles Spicy Hot Sesame Spicy Hot Sesame Guan-miao Noodles</t>
  </si>
  <si>
    <t>Pack</t>
  </si>
  <si>
    <t>Taiwan</t>
  </si>
  <si>
    <t>Nissin</t>
  </si>
  <si>
    <t>Cup Noodles Chicken Vegetable</t>
  </si>
  <si>
    <t>USA</t>
  </si>
  <si>
    <t>Wei Lih</t>
  </si>
  <si>
    <t>GGE Ramen Snack Tomato Flavor</t>
  </si>
  <si>
    <t>Ching's Secret</t>
  </si>
  <si>
    <t>Singapore Curry</t>
  </si>
  <si>
    <t>India</t>
  </si>
  <si>
    <t>Samyang Foods</t>
  </si>
  <si>
    <t>Kimchi song Song Ramen</t>
  </si>
  <si>
    <t>South Korea</t>
  </si>
  <si>
    <t>Acecook</t>
  </si>
  <si>
    <t>Spice Deli Tantan Men With Cilantro</t>
  </si>
  <si>
    <t>Ikeda Shoku</t>
  </si>
  <si>
    <t>Nabeyaki Kitsune Udon</t>
  </si>
  <si>
    <t>Tray</t>
  </si>
  <si>
    <t>Ripe'n'Dry</t>
  </si>
  <si>
    <t>Hokkaido Soy Sauce Ramen</t>
  </si>
  <si>
    <t>KOKA</t>
  </si>
  <si>
    <t>The Original Spicy Stir-Fried Noodles</t>
  </si>
  <si>
    <t>Singapore</t>
  </si>
  <si>
    <t>Tao Kae Noi</t>
  </si>
  <si>
    <t>Creamy tom Yum Kung Flavour</t>
  </si>
  <si>
    <t>Thailand</t>
  </si>
  <si>
    <t>Yamachan</t>
  </si>
  <si>
    <t>Yokohama Tonkotsu Shoyu</t>
  </si>
  <si>
    <t>Nongshim</t>
  </si>
  <si>
    <t>Mr. Bibim Stir-Fried Kimchi Flavor</t>
  </si>
  <si>
    <t>Deka Buto Kimchi Pork Flavor</t>
  </si>
  <si>
    <t>Bowl</t>
  </si>
  <si>
    <t>Demae Ramen Bar Noodle Aka Tonkotsu Flavour Instant Noodle</t>
  </si>
  <si>
    <t>Hong Kong</t>
  </si>
  <si>
    <t>Mushroom Flavour Instant Noodles</t>
  </si>
  <si>
    <t>TRDP</t>
  </si>
  <si>
    <t>Mario Masala Noodles</t>
  </si>
  <si>
    <t>Tokyo Shoyu Ramen</t>
  </si>
  <si>
    <t>Binh Tay</t>
  </si>
  <si>
    <t>Mi Hai Cua</t>
  </si>
  <si>
    <t>Vietnam</t>
  </si>
  <si>
    <t>Paldo</t>
  </si>
  <si>
    <t>Premium Gomtang</t>
  </si>
  <si>
    <t>Cup Noodles Laksa Flavour</t>
  </si>
  <si>
    <t>Jackpot Teriyaki</t>
  </si>
  <si>
    <t>Beef Ramen</t>
  </si>
  <si>
    <t>Creamy Soup With Crushed Noodles Hot &amp; Sour Fish Flavor</t>
  </si>
  <si>
    <t>Sapporo Miso Ramen</t>
  </si>
  <si>
    <t>Hot Garlic Instant Noodles</t>
  </si>
  <si>
    <t>Song Song Kimchi Big Bowl</t>
  </si>
  <si>
    <t>Yum-Mie</t>
  </si>
  <si>
    <t>Instant Noodles Beef In Light Soup Flavour</t>
  </si>
  <si>
    <t>Ghana</t>
  </si>
  <si>
    <t>Hakata Ramen Noodle White Tonkotsu</t>
  </si>
  <si>
    <t>MyKuali</t>
  </si>
  <si>
    <t>Penang White Curry Rice Vermicelli Soup</t>
  </si>
  <si>
    <t>Malaysia</t>
  </si>
  <si>
    <t>Signature Tom Yum Flavor Instant Noodles</t>
  </si>
  <si>
    <t>Paegaejang Ramen</t>
  </si>
  <si>
    <t>Gekikara Ramen Extra Hot Ramen Goreng</t>
  </si>
  <si>
    <t>Indonesia</t>
  </si>
  <si>
    <t>Ottogi</t>
  </si>
  <si>
    <t>Plain Instant Noodle No Soup Included</t>
  </si>
  <si>
    <t>Unrated</t>
  </si>
  <si>
    <t>Sichuan Guangyou</t>
  </si>
  <si>
    <t>Chongqing Spicy Hot Noodles</t>
  </si>
  <si>
    <t>China</t>
  </si>
  <si>
    <t>Sugo-Men Kyoto Backfat Shoyu Ramen</t>
  </si>
  <si>
    <t>Instant Noodles Laksa Singapura Flavour</t>
  </si>
  <si>
    <t>Lipton</t>
  </si>
  <si>
    <t>Cup-A-Soup Chicken Noodle With White Meat Instant Soup</t>
  </si>
  <si>
    <t>Box</t>
  </si>
  <si>
    <t>Curry Flavour Instant Noodles</t>
  </si>
  <si>
    <t>Super Cup Yochan Ika Yakisoba</t>
  </si>
  <si>
    <t>Cup Noodles Very Veggie Spicy Chicken Flavor Ramen Noodle Soup</t>
  </si>
  <si>
    <t>GGE Noodle Snack Wheat Crackers Mexican Spicy</t>
  </si>
  <si>
    <t>Demae Iccho Tonkotsu Flavour Instant Noodle</t>
  </si>
  <si>
    <t>Cup Noodles Very Veggie Beef Flavor Ramen Noodle Soup</t>
  </si>
  <si>
    <t>Cup NoodlesTom Yam Seafood (More Shrimptacular)</t>
  </si>
  <si>
    <t>Lele</t>
  </si>
  <si>
    <t>Instant Noodles Beef</t>
  </si>
  <si>
    <t>Cup Noodles Very Veggie Chicken Flavor Ramen Noodle Soup</t>
  </si>
  <si>
    <t>Fujiwara</t>
  </si>
  <si>
    <t>Hokkaido Hakodate Shoyu Ramen</t>
  </si>
  <si>
    <t>Shin Ramyun Black</t>
  </si>
  <si>
    <t>Nippon Onomichi Ramen</t>
  </si>
  <si>
    <t>Uni-President</t>
  </si>
  <si>
    <t>Pickled Cabbage Beef</t>
  </si>
  <si>
    <t xml:space="preserve">Ppushu Ppushu Noodle Snack Honey Butter </t>
  </si>
  <si>
    <t>Maruchan</t>
  </si>
  <si>
    <t>Gotsumori Chanpon Ramen</t>
  </si>
  <si>
    <t>Prima</t>
  </si>
  <si>
    <t>Juzz's Mee Creamy Chicken Flavour (Export Version)</t>
  </si>
  <si>
    <t>Mushroom Flavor</t>
  </si>
  <si>
    <t>Jjamppong Big Bowl</t>
  </si>
  <si>
    <t>Sokensha</t>
  </si>
  <si>
    <t>Curry Udon</t>
  </si>
  <si>
    <t>Straits Reborn Laksa</t>
  </si>
  <si>
    <t>Budae Jjigae Noodle Soup</t>
  </si>
  <si>
    <t>Takamori</t>
  </si>
  <si>
    <t>Hearty Japanese Style Curry Udon</t>
  </si>
  <si>
    <t>Cup Noodles Potato Chips Black Pepper Crab Flavour</t>
  </si>
  <si>
    <t>Cup Noodles Blacl Pepper Crab Flavour (More Angry Crab)</t>
  </si>
  <si>
    <t>Guava Story</t>
  </si>
  <si>
    <t>Anchovy Flavor Guava Rice Noodles</t>
  </si>
  <si>
    <t>Samurai Ramen</t>
  </si>
  <si>
    <t>Umami Ramen</t>
  </si>
  <si>
    <t>Nabeyaki Tempura Udoin</t>
  </si>
  <si>
    <t>Hokkaido Hakodate Miso Ramen</t>
  </si>
  <si>
    <t>Man Han Feast Spicy Beef Flavor Instant Noodles</t>
  </si>
  <si>
    <t>Ogasawara</t>
  </si>
  <si>
    <t>Kirin Giraffe Shoyu Ramen</t>
  </si>
  <si>
    <t>Pringles</t>
  </si>
  <si>
    <t xml:space="preserve">Nissin Top Ramen Chicken Flavor Potato Crisps </t>
  </si>
  <si>
    <t>Can</t>
  </si>
  <si>
    <t>Mom's Dry Noodle</t>
  </si>
  <si>
    <t>Dan Dan Noodle</t>
  </si>
  <si>
    <t>Samyang Ramen Classic Edition</t>
  </si>
  <si>
    <t>Penang Red Tom Yum Goong Noodle</t>
  </si>
  <si>
    <t>Maggi</t>
  </si>
  <si>
    <t>Hot Heads Green Chilli Noodles</t>
  </si>
  <si>
    <t>Mala Buldak Bokkeummyun</t>
  </si>
  <si>
    <t>Indomie</t>
  </si>
  <si>
    <t>RMy Noodlez Rumput Laut</t>
  </si>
  <si>
    <t>Delight Chicken Flavor Instant Non-Fried Noodles</t>
  </si>
  <si>
    <t>Super Cup Torigawa Shoyu</t>
  </si>
  <si>
    <t>Shin Ramyun</t>
  </si>
  <si>
    <t>Sweet Potato Instant Noodle Sout-Hot Flavor</t>
  </si>
  <si>
    <t>Onion Chicken Flavor</t>
  </si>
  <si>
    <t>Nigeria</t>
  </si>
  <si>
    <t>Happy Cook</t>
  </si>
  <si>
    <t>Toona Paste Noodle</t>
  </si>
  <si>
    <t>The Ramen Rater Select</t>
  </si>
  <si>
    <t>Supreme Creamy Tom Yum Noodle</t>
  </si>
  <si>
    <t>Creamy Soup With Crushed Noodles Chicken Flavor</t>
  </si>
  <si>
    <t>Demae Ramen Spicy Beef</t>
  </si>
  <si>
    <t>Germany</t>
  </si>
  <si>
    <t>Cup Noodles Spicy</t>
  </si>
  <si>
    <t>Soba Thai</t>
  </si>
  <si>
    <t>Cup Noodles Huhn (Chicken)</t>
  </si>
  <si>
    <t>Demae Ramen Korean Kimchi</t>
  </si>
  <si>
    <t>Cup Noodles Curry</t>
  </si>
  <si>
    <t>Smack Chili</t>
  </si>
  <si>
    <t>Hungary</t>
  </si>
  <si>
    <t>Soba Yakitori Chicken</t>
  </si>
  <si>
    <t>Demae Ramen Garlic Chicken</t>
  </si>
  <si>
    <t>Cup Noodles Ente (Duck)</t>
  </si>
  <si>
    <t>Demae Ramen Thai Tom Yum</t>
  </si>
  <si>
    <t>Soba Sukiyaki Beef</t>
  </si>
  <si>
    <t>Demae Ramen Spicy</t>
  </si>
  <si>
    <t>Cup Noodles Shrimps</t>
  </si>
  <si>
    <t>Demae Ramen Tokyo Soy Sauce</t>
  </si>
  <si>
    <t>Bul Jjamppong</t>
  </si>
  <si>
    <t>TTL</t>
  </si>
  <si>
    <t>Chicken With Chinese Shaoxing Wine</t>
  </si>
  <si>
    <t>Buldak Bokkeummyun</t>
  </si>
  <si>
    <t>Pork Wantan Men</t>
  </si>
  <si>
    <t>E-Zee</t>
  </si>
  <si>
    <t>Instant Noodles Chicken Flavour</t>
  </si>
  <si>
    <t>Kiki Noodle</t>
  </si>
  <si>
    <t>Scallion Oil &amp; Soy Sauce Noodle</t>
  </si>
  <si>
    <t>Sichuan Spices Flavor Noodle</t>
  </si>
  <si>
    <t>Kimchi Stew Ramyun</t>
  </si>
  <si>
    <t>Seimen Red Spicy Dandan Men</t>
  </si>
  <si>
    <t>Ppushu Ppushu Noodle Snack Chilli Cheese Flavor</t>
  </si>
  <si>
    <t>Tokyo Noodle</t>
  </si>
  <si>
    <t>Mini Instant Noodle Mild Curry Flavor</t>
  </si>
  <si>
    <t>GGE</t>
  </si>
  <si>
    <t>Noodle Snack Wheat Cracks Seaweed Flavor</t>
  </si>
  <si>
    <t>Cup Noodles Mini Seafood Flavour</t>
  </si>
  <si>
    <t>Myojo</t>
  </si>
  <si>
    <t>Udon Japanese Style Noodles With Soup Base Hot &amp; Sour Flavor</t>
  </si>
  <si>
    <t>Signature Curry Flavor Instant Noodles</t>
  </si>
  <si>
    <t>Dossari Yasai Chanpon</t>
  </si>
  <si>
    <t>Volcano Curry Kkokkomyun</t>
  </si>
  <si>
    <t>Sau Tao</t>
  </si>
  <si>
    <t>Instant Noodle King Pepper Duck Flavour Soup</t>
  </si>
  <si>
    <t>Cup Noodles XO Sauce Seafood</t>
  </si>
  <si>
    <t>Wang</t>
  </si>
  <si>
    <t>Extreme Spicy Hot Chicken Flavor Udon</t>
  </si>
  <si>
    <t>Gekikara Ramen Rasa Pedas</t>
  </si>
  <si>
    <t>Sesame Oil Chicken Noodle With Rice Wine</t>
  </si>
  <si>
    <t>Hokkaido Hakodate Shio Ramen</t>
  </si>
  <si>
    <t>Daifuku</t>
  </si>
  <si>
    <t>Katsuo Bowl Udon</t>
  </si>
  <si>
    <t>Cup Noodles MUG Shoyu &amp; Seafood</t>
  </si>
  <si>
    <t>Sari Ramen</t>
  </si>
  <si>
    <t>Instant Noodles Chicken Satay Flavour</t>
  </si>
  <si>
    <t>Signature Spicy Singapore Fried Noodles Instant Noodles</t>
  </si>
  <si>
    <t>Creamy Soup With Crushed Noodles Sweet Corn Flavor</t>
  </si>
  <si>
    <t>Silk Beef Pho Flavor Instant Rice Fettuccine</t>
  </si>
  <si>
    <t>Delight Spicy Sesame Flavor Instant Non-Fried Noodles</t>
  </si>
  <si>
    <t>Signature Laksa Singapura Instant Noodles</t>
  </si>
  <si>
    <t>Delight Spicy Black Pepper Flavor Instant Non-Fried Noodles</t>
  </si>
  <si>
    <t>Purple Wheat Noodles Chili &amp; Lime Flavor</t>
  </si>
  <si>
    <t>Delight Tomato Flavor Instant Non-Fried Noodles</t>
  </si>
  <si>
    <t>Seafood Flavor Instant Noodles</t>
  </si>
  <si>
    <t>Signature Stir-Fry Original Flavor Instant Noodles</t>
  </si>
  <si>
    <t>Creamy Soup Witrh Crushed Noodles Curry Flavor</t>
  </si>
  <si>
    <t>Delight Laksa Singapura Flavor Instant Non-Fried Noodles</t>
  </si>
  <si>
    <t>Silk Spicy Marinara Instant Rice Fettuccine</t>
  </si>
  <si>
    <t>Signature Chicken Flavor Instant Noodles</t>
  </si>
  <si>
    <t>Cup Noodles Sopa Nissin Hot Sauce Con Camaron</t>
  </si>
  <si>
    <t>Mexico</t>
  </si>
  <si>
    <t>Penang Hokkien Prawn Flavor Noodle</t>
  </si>
  <si>
    <t>Master Kong</t>
  </si>
  <si>
    <t>Roasted Pork Noodle</t>
  </si>
  <si>
    <t>Man Han Feast Super Hot Pot Beef Flavor Instant Noodles</t>
  </si>
  <si>
    <t>World O' Noodle</t>
  </si>
  <si>
    <t>Mi Goreng Original Flavour Fried Noodles</t>
  </si>
  <si>
    <t>Raoh Nojyuku Toro Tonkotsu Ramen</t>
  </si>
  <si>
    <t>Kang Shi Fu</t>
  </si>
  <si>
    <t>Artificial Dongpo's Braised Pork Flavour</t>
  </si>
  <si>
    <t>Mum Ngon</t>
  </si>
  <si>
    <t>Lau Tom Chua Cay</t>
  </si>
  <si>
    <t>Old Beijing Fried Bean Sauce Noodle</t>
  </si>
  <si>
    <t>Cup Noodles Indonesia Mie Goreng</t>
  </si>
  <si>
    <t>Fashion Food</t>
  </si>
  <si>
    <t>Yummy Spicy Rice Soup With Seafood</t>
  </si>
  <si>
    <t>Dream Kitchen</t>
  </si>
  <si>
    <t>Udon Japanese Style Fresh Noodle</t>
  </si>
  <si>
    <t>MeeKuali Bihun Sup Rempah Perisa Daging</t>
  </si>
  <si>
    <t>T's Restaurant Sura Tanmen</t>
  </si>
  <si>
    <t>Sesame Oil Chicken With Rice Wine Noodle</t>
  </si>
  <si>
    <t>Ajinatori</t>
  </si>
  <si>
    <t>HALAL Chicken Shoyu Sauce Ramen</t>
  </si>
  <si>
    <t>Dr. McDougall's</t>
  </si>
  <si>
    <t>Vegan Pad Thai Noodle Soup</t>
  </si>
  <si>
    <t>Seafood Flavour Rice Vermicelli</t>
  </si>
  <si>
    <t>Cheese Type Buldak Bokkeummyun (Black Pkg)</t>
  </si>
  <si>
    <t>Ve Wong</t>
  </si>
  <si>
    <t>Kung-Fu Instant Oriental Noodles Soup Artificial Onion Flavor</t>
  </si>
  <si>
    <t>Cup Noodles Sopa Nissin Con Camaron Picante</t>
  </si>
  <si>
    <t>Baseball Snack Noodle</t>
  </si>
  <si>
    <t>Cup Noodles Spicy Seafood Flavor</t>
  </si>
  <si>
    <t>Penang Red Tom Yum Goong</t>
  </si>
  <si>
    <t>Yomise No Yakisoba Karashi Mentaiko Flavor</t>
  </si>
  <si>
    <t>Super Bihun</t>
  </si>
  <si>
    <t>Bihun Kuah Rasa Baso Sapi</t>
  </si>
  <si>
    <t>Xiuhe</t>
  </si>
  <si>
    <t>Hot &amp; Sour Beef Noodles</t>
  </si>
  <si>
    <t>Kitsune Udon Donbei (West)</t>
  </si>
  <si>
    <t>Little Cook</t>
  </si>
  <si>
    <t>Thailand Green Curry Instant Noodle</t>
  </si>
  <si>
    <t>Cup Noodles Beef Flavour</t>
  </si>
  <si>
    <t>Shirakiku</t>
  </si>
  <si>
    <t>Sanukiya Udon Shrimp Flavor</t>
  </si>
  <si>
    <t>Mama Pat's</t>
  </si>
  <si>
    <t>Chicken Fajita Flavor Instant Ramen Noodles</t>
  </si>
  <si>
    <t>Lamb Stew Flavor Instant Ramen Noodles</t>
  </si>
  <si>
    <t>Seafood Gumbo Flavor Instant Ramen Noodles</t>
  </si>
  <si>
    <t>Chicken Taco Flavor Instant Ramen Noodles</t>
  </si>
  <si>
    <t>Chuan Wei Spicy Guan-miao Noodles</t>
  </si>
  <si>
    <t>Sweet Potato Instant Noodle Braised Spicy Chitterling Flavor</t>
  </si>
  <si>
    <t>Cup Noodles Mini Spicy Seafood</t>
  </si>
  <si>
    <t>Penang Hokkien Prawn Noodle Soup</t>
  </si>
  <si>
    <t>Goku-Uma</t>
  </si>
  <si>
    <t>Yakisoba Japanese Style Noodle</t>
  </si>
  <si>
    <t>Nutri-licious Pazzta Tomato Twist</t>
  </si>
  <si>
    <t>Sichuan Baijia</t>
  </si>
  <si>
    <t>Chongqing Noodles Burning Dry Noodles</t>
  </si>
  <si>
    <t>Cup Noodles Tom Yam Seafood Flavour</t>
  </si>
  <si>
    <t>My Noodles Mi Goreng Pizza Cheese</t>
  </si>
  <si>
    <t>Liang Cheng Mai</t>
  </si>
  <si>
    <t>Shaanxi Cold Noodle: Mustard Spicy</t>
  </si>
  <si>
    <t>Cheese Buldak Bokkeummyun (Black)</t>
  </si>
  <si>
    <t>2 Minute Noodles Chicken Flavour</t>
  </si>
  <si>
    <t>Fiji</t>
  </si>
  <si>
    <t>Chicken Flavor Instant Noolde</t>
  </si>
  <si>
    <t>Cup Noodles Prawn Flavour</t>
  </si>
  <si>
    <t>Hokkaido Miso Ramen</t>
  </si>
  <si>
    <t>Penang Red Tom Yum Goong Rice Vermicelli Soup</t>
  </si>
  <si>
    <t>Jin Jjambbong Spicy Seafood Ramyun</t>
  </si>
  <si>
    <t>Rice Vermicelli Pickled Vegetable Pork Flavour</t>
  </si>
  <si>
    <t>Gefen</t>
  </si>
  <si>
    <t>Imitation Chicken Flavor</t>
  </si>
  <si>
    <t>Hua Feng</t>
  </si>
  <si>
    <t>Three Fresh Delicacies Instant Noodle</t>
  </si>
  <si>
    <t>Demae Iccho Sesame Oil Flavour Instant Noodle</t>
  </si>
  <si>
    <t>2 Minute Noodles Curry Flavour</t>
  </si>
  <si>
    <t>Man Han Feast Chilli Beef Flavor Instant Noodles</t>
  </si>
  <si>
    <t>9999 Chongqing Artificial Beef Flavor Instant Noodle</t>
  </si>
  <si>
    <t>Cup Noodles Beef Flavor Ramen Noodle Soup (New Recipe)</t>
  </si>
  <si>
    <t>Seaweed Instant Noodle</t>
  </si>
  <si>
    <t>Demae Iccho Seafood Flavour Instant Noodle</t>
  </si>
  <si>
    <t>Pulmuone</t>
  </si>
  <si>
    <t>Non-Fried Ramyun With Spicy Beef Broth</t>
  </si>
  <si>
    <t>Cup Noodles Hot &amp; Spicy Shrimp Flavor Ramen Noodle Soup (New Recipe)</t>
  </si>
  <si>
    <t>Non-Fried Mix Noodle Black Pepper XO Sauce Flavoured</t>
  </si>
  <si>
    <t>Penang White Curry Instant Noodle (Japan Version)</t>
  </si>
  <si>
    <t>Disney Cuties Instant Chicken With Corn Flavour</t>
  </si>
  <si>
    <t>Man Han Feast Braised Pork Flavor Instant Noodles</t>
  </si>
  <si>
    <t>Mi Goreng Garlic Flavour Fried Noodles</t>
  </si>
  <si>
    <t>Top Ramen Atta Nooldes Masala</t>
  </si>
  <si>
    <t>Liu Quan</t>
  </si>
  <si>
    <t>Instant Spicy Rice Noodle</t>
  </si>
  <si>
    <t>Daikoku</t>
  </si>
  <si>
    <t>Tanuki Soba</t>
  </si>
  <si>
    <t>Zzaldduck Buldak Bokkeummyun Snack</t>
  </si>
  <si>
    <t>Curry Buldak Bokkeummyun</t>
  </si>
  <si>
    <t>Cool/Ice Buldak Bokkeummyun</t>
  </si>
  <si>
    <t>2x Spicy Haek Buldak Bokkeummyun</t>
  </si>
  <si>
    <t>Buldak Bokkeummyun Snack</t>
  </si>
  <si>
    <t>Stew Buldak Bokkeumtangmyun</t>
  </si>
  <si>
    <t>Cheese Buldak Bokkeummyun</t>
  </si>
  <si>
    <t>Buldak Bokkeummyun (New Packaging)</t>
  </si>
  <si>
    <t>Chuan Wei Wang</t>
  </si>
  <si>
    <t>Bowl Instant Noodles Artificial Spicy Beef Flavor</t>
  </si>
  <si>
    <t>Demae Iccho Chicken Flavour Instant Noodle (Bowl Noodle)</t>
  </si>
  <si>
    <t>Wai Wai</t>
  </si>
  <si>
    <t>Instant Noodles Artificial Chicken Flavoured</t>
  </si>
  <si>
    <t>Kitsune Udon</t>
  </si>
  <si>
    <t>Pickled Cabbage Flavor Instant Vermicelli</t>
  </si>
  <si>
    <t>Kamfen</t>
  </si>
  <si>
    <t>Noodle King Artificial Wonton Soup Flavored</t>
  </si>
  <si>
    <t>Spicy Shrimp Cup Noodle</t>
  </si>
  <si>
    <t>Marutai</t>
  </si>
  <si>
    <t>Nagasaki Agodashi Shoyu Ramen</t>
  </si>
  <si>
    <t>Vifon</t>
  </si>
  <si>
    <t>Viet Cuisine Bun Rieu Cua Sour Crab Soup Instant Rice Vermicelli</t>
  </si>
  <si>
    <t>Cup Noodles Rich Garlic, Egg Yolk &amp; Oxtail</t>
  </si>
  <si>
    <t>Minced Pork Flavor Instant Noodles</t>
  </si>
  <si>
    <t>1 To 3 Noodles</t>
  </si>
  <si>
    <t>Chatpat Masala</t>
  </si>
  <si>
    <t>Cup Noodles BIG XO Sauce Seafood Flavour</t>
  </si>
  <si>
    <t>Fantastic</t>
  </si>
  <si>
    <t>Noodles Chicken &amp; Corn Flavour</t>
  </si>
  <si>
    <t>Australia</t>
  </si>
  <si>
    <t>Hokkaido Salt Ramen</t>
  </si>
  <si>
    <t>Demae Iccho Tonkotsu Flavour Instant Noodle (Bowl Noodle)</t>
  </si>
  <si>
    <t>Knorr</t>
  </si>
  <si>
    <t>Chatt Patta Instant Noodles</t>
  </si>
  <si>
    <t>Pakistan</t>
  </si>
  <si>
    <t>Sempio</t>
  </si>
  <si>
    <t>Clam Flavor Soup Kal-guksu</t>
  </si>
  <si>
    <t>Cup Noodles Sopa Nissin Sabor A Pollo</t>
  </si>
  <si>
    <t>Maxi Sopa Nissin Cuchareable Sabor A Jugo De Carne</t>
  </si>
  <si>
    <t>Sopa Nissin Sabor A Camaron Sopa Instantanea Tipo Ramen</t>
  </si>
  <si>
    <t>Cup Noodles Sopa Nissin Sabor A Carne De Res</t>
  </si>
  <si>
    <t>RapiFideo Sabor A Tomate Y Pollo</t>
  </si>
  <si>
    <t>Cup Noodles Sopa Nissin Sabor Camaron, Habanero Y Limon</t>
  </si>
  <si>
    <t>Sopa Nissin Sabor A Pollo Sopa Instantanea Tipo Ramen</t>
  </si>
  <si>
    <t>Cup Noodles Sopa Nissin Con Camaron</t>
  </si>
  <si>
    <t>Maxi Sopa Nissin Cuchareable Sabor A Camaron Picante</t>
  </si>
  <si>
    <t>Cup Noodles Gourmet Sabor A Caldo De Camaron</t>
  </si>
  <si>
    <t>Sopa Nissin Sabor Mariscos, Habanero Y Limon</t>
  </si>
  <si>
    <t>Maxi Sopa Nissin Cuchareable Sabor A Pollo</t>
  </si>
  <si>
    <t>Sopa Nissin Sabor A Res Instantanea Tipo Ramen</t>
  </si>
  <si>
    <t>Cup Noodles Sopa Nissin Hot Sauce Sabor A Pollo</t>
  </si>
  <si>
    <t>Little Prince(ss) Brand Snack Noodles Artificial Mexican Pizza Flavor</t>
  </si>
  <si>
    <t>Patanjali</t>
  </si>
  <si>
    <t>Atta Noodles Jhatpat Banao Befikr Khao</t>
  </si>
  <si>
    <t>Qin Zong</t>
  </si>
  <si>
    <t>Shaanxi Cold Noot Hot &amp; Sour Flavor</t>
  </si>
  <si>
    <t>Cup Noodles Spicy Lime Flavor Ramen Noodle Soup (New Recipe)</t>
  </si>
  <si>
    <t>Demae Iccho Tokyo Shoru Tonkotsu Instant Noodle</t>
  </si>
  <si>
    <t>Pran</t>
  </si>
  <si>
    <t>Mr. Noodles Curry Flavor Instant Noodles</t>
  </si>
  <si>
    <t>Bangladesh</t>
  </si>
  <si>
    <t>Bul Jjajangmyeon</t>
  </si>
  <si>
    <t>Kirin Giraffe Shio Ramen</t>
  </si>
  <si>
    <t>Sapporo Ichiban</t>
  </si>
  <si>
    <t>Mie Kamayama Ramen Gyukotsu Misoaji</t>
  </si>
  <si>
    <t>Black Pepper XO Sauce Flavour</t>
  </si>
  <si>
    <t>Nupasta Bolognese Flavour Instant Noodle</t>
  </si>
  <si>
    <t>Saeutang Sabalmyeon</t>
  </si>
  <si>
    <t>Sichuan Spicy Flavor</t>
  </si>
  <si>
    <t>MAMA</t>
  </si>
  <si>
    <t>Instant Bowl Noodles Shrimp (Tom Yum) Flavor Base</t>
  </si>
  <si>
    <t>Cup Noodle Spicy Curry Chicken</t>
  </si>
  <si>
    <t>Ramen Noodles Miso Flavor</t>
  </si>
  <si>
    <t>Cup Noodles Spicy Beef Flavour</t>
  </si>
  <si>
    <t>Xiao Ban Mian</t>
  </si>
  <si>
    <t>Sesame Oil With Garlic Flavor Thin Noodle</t>
  </si>
  <si>
    <t>Traditional Shallot &amp; Onion Oil Noodle</t>
  </si>
  <si>
    <t>Sesame Sauce Matcha Noodle</t>
  </si>
  <si>
    <t>Mr. Noodles Instant Noodles Beef Flavour</t>
  </si>
  <si>
    <t>Cup Noodles Big Seafood Flavour</t>
  </si>
  <si>
    <t>Noodles Chicken Chow Mein Flavour</t>
  </si>
  <si>
    <t>Ramyun Sabor Pollo</t>
  </si>
  <si>
    <t>Demae Iccho Black Garlic Oil Tonkotsu Flavour Instant Noodles</t>
  </si>
  <si>
    <t>Chicken Flavor Ramen</t>
  </si>
  <si>
    <t>2 Minute Noodles Masala Spicy</t>
  </si>
  <si>
    <t>Sopa Maruchan Sobar A Camaron</t>
  </si>
  <si>
    <t>Yakisoba</t>
  </si>
  <si>
    <t>Suimin</t>
  </si>
  <si>
    <t>Noodle With Oriental Chicken Flavour</t>
  </si>
  <si>
    <t>Demae Ramen Spicy Xo Sauce Seafood Flavour Instant Noodle</t>
  </si>
  <si>
    <t>Cintan</t>
  </si>
  <si>
    <t>Mi Segera Mmm... Original</t>
  </si>
  <si>
    <t>Cup Noodles Spicy Chile Chicken (New Recipe)</t>
  </si>
  <si>
    <t>Bowl Instant Noodles Artificial Beef With Sauerkraut Flavor</t>
  </si>
  <si>
    <t>Noodles With Chicken Flavour</t>
  </si>
  <si>
    <t>Cup Noodles Seafood</t>
  </si>
  <si>
    <t>Tabimen AizuKitakata Gyokai Shoyu Ramen</t>
  </si>
  <si>
    <t>Nupasta Bacon In Carbonara Sauce Flavour Instant Noodle</t>
  </si>
  <si>
    <t>Chongqing Noodles Spicy Hot Flavor</t>
  </si>
  <si>
    <t>Buldak Bokkummyun Cheese Flavor</t>
  </si>
  <si>
    <t>Demae Ramen Straight Noodle Black Garlic Oil Tonkotsu Flavour Instant Noodle</t>
  </si>
  <si>
    <t>Shin Toyama Black Ramen</t>
  </si>
  <si>
    <t>Cup Noodles Tom Yum Goong Flavour</t>
  </si>
  <si>
    <t>Artificial Abalone Crab Flavor Instant Noodle</t>
  </si>
  <si>
    <t>Noodle King Artificial Abalone And Chicken Soup Flavored</t>
  </si>
  <si>
    <t>Noodles Beef Flavour</t>
  </si>
  <si>
    <t>Korean Kimchi Flavour Vermicelli</t>
  </si>
  <si>
    <t>Raoh Pork Bone Soy Soup Noodle</t>
  </si>
  <si>
    <t>Gold Jjamppong Fried Noodle</t>
  </si>
  <si>
    <t>Demae Iccho Red Hot Seafood Flavour Instant Noodle</t>
  </si>
  <si>
    <t>Chongqing Noodles Hot &amp; Sour Flavor</t>
  </si>
  <si>
    <t>Demae Iccho Spicy Tonkotsu Flavour Instant Noodle (Bowl Noodle)</t>
  </si>
  <si>
    <t>Raoh Tantanmen</t>
  </si>
  <si>
    <t>Ramen Noodles Soy Sauce Flavor</t>
  </si>
  <si>
    <t>Cup Noodles With Shrimp Ramen Noodle Soup (New Recipe)</t>
  </si>
  <si>
    <t>JML</t>
  </si>
  <si>
    <t>Noodles With Braised Beef Flavour</t>
  </si>
  <si>
    <t>A Q Bucket Noodle Korean Kimchi Flavor</t>
  </si>
  <si>
    <t>Demae Iccho Spicy Kimchi Pot Flavour Instant Noodle (Bowl Noodle)</t>
  </si>
  <si>
    <t>Fresh Bibimmyun Fried Noodle</t>
  </si>
  <si>
    <t>Instant Noodles Veg Masala Flavour</t>
  </si>
  <si>
    <t>Nupasta Neapolitan Flavour Instant Noodle</t>
  </si>
  <si>
    <t>Karami Ramen Spicy Chili Flavour Japanese Style Noodle With Soup Base</t>
  </si>
  <si>
    <t>Disney Cuties Instant Noodle Crab Flavour</t>
  </si>
  <si>
    <t>Cup Noodles Rich Soft Shelled Turle Soup</t>
  </si>
  <si>
    <t>Unif Tung-I</t>
  </si>
  <si>
    <t>Instant Vegetarian Beehoon Rice Vermicelli</t>
  </si>
  <si>
    <t>Broad Noodle Artificial Beef Flavor Hot Pot</t>
  </si>
  <si>
    <t>Tablemark</t>
  </si>
  <si>
    <t>Tohokuno Aji Yonezawa Ramen</t>
  </si>
  <si>
    <t>Science Noodle (X'Mas Edition)</t>
  </si>
  <si>
    <t>Farmer's Heart</t>
  </si>
  <si>
    <t>Pho Beef Flavor Vietnamese Rice Noodle Soup</t>
  </si>
  <si>
    <t>Instant Wonton Noodles Scallop Lobster Soup Flavour</t>
  </si>
  <si>
    <t>Fuku</t>
  </si>
  <si>
    <t>Tom Yam Soup Instant Noodle</t>
  </si>
  <si>
    <t>Ramen Noodles Artificially Flavored Tonkotsu</t>
  </si>
  <si>
    <t>Hiroshima Flavor Yakisoba</t>
  </si>
  <si>
    <t>Disney Cuties Instant Noodle Seaweed Flavour</t>
  </si>
  <si>
    <t>Singa-Me</t>
  </si>
  <si>
    <t>Instant Noodles Mi Goreng Flavour</t>
  </si>
  <si>
    <t>Sugomen Sano Ramen</t>
  </si>
  <si>
    <t>Ramyon Sabor Y Camaron</t>
  </si>
  <si>
    <t>Demae Iccho Spicy XO Sauce Seafood Flavour</t>
  </si>
  <si>
    <t>Love Cook</t>
  </si>
  <si>
    <t>Sun Dried Noodle - Fruity Soy Bean Paste</t>
  </si>
  <si>
    <t>Shin Noodle Soup</t>
  </si>
  <si>
    <t>Sapporo Noukou Miso Ramen</t>
  </si>
  <si>
    <t>Soy Sauce</t>
  </si>
  <si>
    <t>Vietnamese Chicken Coriander Flavour Vermicelli</t>
  </si>
  <si>
    <t>Artificial Spicy Beef Flavour</t>
  </si>
  <si>
    <t>Cup Noodles Black Pepper Crab Flavour</t>
  </si>
  <si>
    <t>Great Value</t>
  </si>
  <si>
    <t>Beef Style Noodles With Vegetables</t>
  </si>
  <si>
    <t>Canada</t>
  </si>
  <si>
    <t>Spicy Soup Instant Noodle Beef Flavour</t>
  </si>
  <si>
    <t>Rice Noodle Anchovy Flavor</t>
  </si>
  <si>
    <t>Cup Noodles Chicken Flavor Ramen Noodle Soup (New Recipe)</t>
  </si>
  <si>
    <t>Asian Thai Foods</t>
  </si>
  <si>
    <t>Rumpum Gundruk Flavour</t>
  </si>
  <si>
    <t>Nepal</t>
  </si>
  <si>
    <t>Cup Noodle Light+ Bagna Cauda</t>
  </si>
  <si>
    <t>Gotsumori Koku Tonkotsu Ramen</t>
  </si>
  <si>
    <t>Tom Yum Shrimp Creamy Flavour Instant Noodles</t>
  </si>
  <si>
    <t>Bibim Men</t>
  </si>
  <si>
    <t>Cup Noodles Milk Seafood Flavour</t>
  </si>
  <si>
    <t>Spicy Chikin Donburi</t>
  </si>
  <si>
    <t>Noodle Chicken Flavour</t>
  </si>
  <si>
    <t>Kuroma-Yu Tonkotsu Kumamoto Ramen</t>
  </si>
  <si>
    <t>Artificial Beef With Sauerkraut Flavour</t>
  </si>
  <si>
    <t>Raoh Shoyu Ramen</t>
  </si>
  <si>
    <t>Ramen Noodle Soup Sriracha Chicken Flavor</t>
  </si>
  <si>
    <t>Nagatanien</t>
  </si>
  <si>
    <t>Hiyashi Soba Taidashi Goma</t>
  </si>
  <si>
    <t>Bowl Chicken Flavour Instant Rice Vermicelli</t>
  </si>
  <si>
    <t>X-Press Flavour Of Pizza In Noodles Proprietary Food</t>
  </si>
  <si>
    <t>Rice Noodles Fragrant Chicken Pho Ga Flavour</t>
  </si>
  <si>
    <t>Nyor Nyar</t>
  </si>
  <si>
    <t>Vegetarian Penang White Curry</t>
  </si>
  <si>
    <t>Cup Noodle Seafood</t>
  </si>
  <si>
    <t>Budae Jjigae</t>
  </si>
  <si>
    <t>Noodles Crispy Bacon Flavour</t>
  </si>
  <si>
    <t>Tseng Noodles</t>
  </si>
  <si>
    <t>Spicy Braised Pork Flavor</t>
  </si>
  <si>
    <t>Demae Ramen Spicy Seafood Flavour Instant Noodle</t>
  </si>
  <si>
    <t>A-Sha Dry Noodle</t>
  </si>
  <si>
    <t>Chow Mein Spicy Flavor</t>
  </si>
  <si>
    <t>Mee Goreng Spicy Flavour</t>
  </si>
  <si>
    <t>Tabimen Nagasaki Chanpon</t>
  </si>
  <si>
    <t>Oh! Ricey Pork Flavour</t>
  </si>
  <si>
    <t>Disney Cuties Instant Noodle Roast Pork Flavour</t>
  </si>
  <si>
    <t>Morre</t>
  </si>
  <si>
    <t>Instant Noodles Masala</t>
  </si>
  <si>
    <t>Demae Ramen Spicy Hot tonkotsu Flavour Instant Noodle</t>
  </si>
  <si>
    <t>Roland</t>
  </si>
  <si>
    <t>Ramen Japanese Style Quick-Cooking Alimentary Paste With Chicken Artificially Flavored Soup Base</t>
  </si>
  <si>
    <t>Big Cup Noodles Tonkotsu Flavour</t>
  </si>
  <si>
    <t>Deka Buto Kuro M-yu Tonkotsu</t>
  </si>
  <si>
    <t>Bowl Taste Of Asia Hearty Pork Flavor Tonkotsu Ramen</t>
  </si>
  <si>
    <t>Cup Noodles Sabor Galinha Caipira</t>
  </si>
  <si>
    <t>Brazil</t>
  </si>
  <si>
    <t>Bowl Noodle Soup Independence Day Limited Edition Spicy Chicken Flavor</t>
  </si>
  <si>
    <t>Nupasta Vongole Flavour Instant Noodle</t>
  </si>
  <si>
    <t>Mr. Lee's Noodles</t>
  </si>
  <si>
    <t>Penang Chicken Curry Laksa</t>
  </si>
  <si>
    <t>UK</t>
  </si>
  <si>
    <t>Shaolin Monk Vegetables</t>
  </si>
  <si>
    <t>Tai Chi Chicken</t>
  </si>
  <si>
    <t>Dragon Fire Mushroom</t>
  </si>
  <si>
    <t>Hong Kong Street Beef</t>
  </si>
  <si>
    <t>Warrior Fighting Shrimp</t>
  </si>
  <si>
    <t>Gyorai Inaniwa Chuka Soba</t>
  </si>
  <si>
    <t>Chicken Flavour Instant Noodle</t>
  </si>
  <si>
    <t>Chicken Flavored Instant Noodles</t>
  </si>
  <si>
    <t>Penang White Curry Instant Noodle</t>
  </si>
  <si>
    <t>Choumama</t>
  </si>
  <si>
    <t>XO Scallops Sauce Dry Noodles</t>
  </si>
  <si>
    <t>Barikata Noukou Tonkotsu Shoyu</t>
  </si>
  <si>
    <t>Demae Ramen Sesame Oil Flavour Cup</t>
  </si>
  <si>
    <t>Non-Fried Ramyun Noodle (Crab Flavor)</t>
  </si>
  <si>
    <t>Assorted Seafood Noodles</t>
  </si>
  <si>
    <t>Raoh Hot &amp; Sour Ramen</t>
  </si>
  <si>
    <t>President Rice</t>
  </si>
  <si>
    <t>Coriander Instant Rice Noodles</t>
  </si>
  <si>
    <t>Instant Rice Noodles Moo Nam Tok Flavour</t>
  </si>
  <si>
    <t>Instant Rice Vermicelli Clear Soup</t>
  </si>
  <si>
    <t>Instant Rice Noodles Chicken Flavour</t>
  </si>
  <si>
    <t>Pho Ga Rice Noodles With Artificial Chicken Flavour</t>
  </si>
  <si>
    <t>Oriental Kitchen Instant Rice Vermicelli In Gravy</t>
  </si>
  <si>
    <t>Instant Tom Yam Rice Noodles</t>
  </si>
  <si>
    <t>Instant Rice Noodles Vegetable Flavour</t>
  </si>
  <si>
    <t>Instant Rice Vermicelli Yentafo Tom Yam Mohfai</t>
  </si>
  <si>
    <t>Instant Flat Noodles Clear Soup</t>
  </si>
  <si>
    <t>Cup Rice Noodles Tom Saab Flavour</t>
  </si>
  <si>
    <t>Instant Rice Noodles Stew Beef Flavour</t>
  </si>
  <si>
    <t>Instant Rice Noodles Phnom Penh Style</t>
  </si>
  <si>
    <t>Instant Flat Noodles Tom Yam Flavour</t>
  </si>
  <si>
    <t>Ramen Noodle soup Mushroom Flavor</t>
  </si>
  <si>
    <t>Happy Family</t>
  </si>
  <si>
    <t>Vegetable Flavour Instant Noodles</t>
  </si>
  <si>
    <t>Rice Noodle Shallot With Braised Pork Flavor</t>
  </si>
  <si>
    <t>Vegetable Flavour Noodles With Vegetables</t>
  </si>
  <si>
    <t>Instant Noodle Artificial Beef Flavor 7 sour Pickled Cabbage</t>
  </si>
  <si>
    <t>Noodles With Hot &amp; Spicy Flavour</t>
  </si>
  <si>
    <t>Rice Noodle Chinese Mushroom With Soybean Vegetarian Braised Pork Flavor</t>
  </si>
  <si>
    <t>Piritto Karakuchi Tantan Udon</t>
  </si>
  <si>
    <t>Rice Noodle Seafood Laksa Flavour</t>
  </si>
  <si>
    <t>Chal Bibim Myun</t>
  </si>
  <si>
    <t>Menraku</t>
  </si>
  <si>
    <t>Japanese Yakisoba Umami Sauce</t>
  </si>
  <si>
    <t>La Moderna</t>
  </si>
  <si>
    <t>Sazon Casero Sopa Con Tomate Y Sabor Pollo</t>
  </si>
  <si>
    <t>Chow Mein Original Flavor</t>
  </si>
  <si>
    <t>Artificial Mushroom Chicken Flavor Instant Noodle</t>
  </si>
  <si>
    <t>Chow Mein Oyster Sauce BBQ Flavor</t>
  </si>
  <si>
    <t>Jingqi</t>
  </si>
  <si>
    <t>Aloe Vera Guan Mian Purple Sweet Potato Noodle With Spicy Miso Sauce</t>
  </si>
  <si>
    <t>Black Eyes Bean Original Noodle With Sesame Sauce</t>
  </si>
  <si>
    <t>Aloe Vera Guan Mian Pumpkin Noodle With Basil Sauce</t>
  </si>
  <si>
    <t>Black Eyes Bean Cyanobacteria Noodle With Ginger Oil Sauce</t>
  </si>
  <si>
    <t>Aloe Vera Guan Mian Original Noodle With Sesame Sauce</t>
  </si>
  <si>
    <t>Black Eyes Bean Purple Sweet Potato Noodle With Spicy Miso Sauce</t>
  </si>
  <si>
    <t>Aloe Vera Guan Mian Cyanobacteria Noodle With Ginger Oil Sauce</t>
  </si>
  <si>
    <t>Black Eyes Bean Pumpkin Noodles With Basil Sauce</t>
  </si>
  <si>
    <t>Instant Lunch Pork Flavor Ramen Noodles With Vegetables</t>
  </si>
  <si>
    <t>Kun Ramen Sumo-kuchikin (Smoked Chicken)</t>
  </si>
  <si>
    <t>Tonkotsu</t>
  </si>
  <si>
    <t>Lamen Sabor Picanha</t>
  </si>
  <si>
    <t>Thien Houng Foods</t>
  </si>
  <si>
    <t>Lemon Chicken Flavour Instant Noodles</t>
  </si>
  <si>
    <t>Bowl Taste Of Asia Miso Chicken Flavor Spicy Miso Ramen</t>
  </si>
  <si>
    <t>Men Shokunin Kaoruyasai Shio</t>
  </si>
  <si>
    <t>Rice Noodle Seafood Flavour</t>
  </si>
  <si>
    <t>Superior Soup Instant Noodles (Mfg in Thailand)</t>
  </si>
  <si>
    <t>Superior Soup Instant Noodles (Mfg in Vietnam)</t>
  </si>
  <si>
    <t>Demae Ramen Spicy Curry Flavour Instant Noodles</t>
  </si>
  <si>
    <t>Demae Ramen Roast Beef Flavour Instant Noodles</t>
  </si>
  <si>
    <t>Doll</t>
  </si>
  <si>
    <t>Instant Noodle Supreme Abalone And Chicken Flavour</t>
  </si>
  <si>
    <t>Four Seas</t>
  </si>
  <si>
    <t>Kimchi Chikin Ramen Donburi</t>
  </si>
  <si>
    <t>Instant Lunch Chipotle Chicken Flavor Ramen Noodle Soup</t>
  </si>
  <si>
    <t>Mee Goreng Thai Tom Yum Flavour</t>
  </si>
  <si>
    <t>Artificial Salted Beef With Mushrooms Flavour</t>
  </si>
  <si>
    <t>CarJEN</t>
  </si>
  <si>
    <t>Hot &amp; Spicy Dry Curry With Chives Soup</t>
  </si>
  <si>
    <t>Taimeiken Yousyoku Yasangatsukutta Omumen</t>
  </si>
  <si>
    <t>Noodles With Chicken &amp; Sweet Corn Flavour</t>
  </si>
  <si>
    <t>Mennippon Oumi Chanpon</t>
  </si>
  <si>
    <t>7 Select</t>
  </si>
  <si>
    <t>Nissin Instant Noodles Tom Yum Seafood Creamy Flavour King Cup</t>
  </si>
  <si>
    <t>Cup Noodles Tom Yum Shrimp Sabb Flavour</t>
  </si>
  <si>
    <t>Chilli Noodles Stir Fried Holy Basil Flavour</t>
  </si>
  <si>
    <t>Instant Noodles Moo Manao Flavour</t>
  </si>
  <si>
    <t>Super Tom Yum Shrimp</t>
  </si>
  <si>
    <t>Cup Noodles Minced Pork Flavour</t>
  </si>
  <si>
    <t>Chilli Noodles Tom Yum Shrimp Creamy Soup Flavour</t>
  </si>
  <si>
    <t>Nissin Instant Noodles Shrimp Ma Nao Lui Suan Flavour King Cup</t>
  </si>
  <si>
    <t>Instant Noodles Tom Yum Shrimp Saab Flavour</t>
  </si>
  <si>
    <t>Cup Noodles Moo Manao Flavour</t>
  </si>
  <si>
    <t>Instant Noodles Minced Pork Flavour</t>
  </si>
  <si>
    <t>Cup Noodles Seafood Creamy Flavour</t>
  </si>
  <si>
    <t>Chilli Noodles Spicy Tom Yum Flavour</t>
  </si>
  <si>
    <t>Cup Noodles Chilli Crab Flavour</t>
  </si>
  <si>
    <t>Vegetarian Flavour Ramen Noodles</t>
  </si>
  <si>
    <t>Oni Hot Pot</t>
  </si>
  <si>
    <t>Tuna With Shallot Flavor Noodle</t>
  </si>
  <si>
    <t>Weh Lih</t>
  </si>
  <si>
    <t>GGE Noodle Snack Wheat Crackers Original Ramen</t>
  </si>
  <si>
    <t>Lamen Sabor Frango Assado Com Toque De Limao</t>
  </si>
  <si>
    <t>Itomen</t>
  </si>
  <si>
    <t>Onion Flavor Shoyu Ramen</t>
  </si>
  <si>
    <t>Ramen Noodle Soup Chicken Tortilla Flavor</t>
  </si>
  <si>
    <t>Rice Noodle Kimchi Flavor</t>
  </si>
  <si>
    <t>Ramen Japanese Style Quick-Cooking Alimentary Paste With Beef Artificially Flavored Soup Base</t>
  </si>
  <si>
    <t>Cup Noodles Singapore Laksa</t>
  </si>
  <si>
    <t>Pojangmacha Udon</t>
  </si>
  <si>
    <t>Mee Goreng Original Flavour</t>
  </si>
  <si>
    <t>Sanpo</t>
  </si>
  <si>
    <t>Yakibuta Ramen</t>
  </si>
  <si>
    <t>Kimchi Flavor Noodle Soup</t>
  </si>
  <si>
    <t>Otentiq Cheezy Mushroom Instant Noodles (Improved Taste)</t>
  </si>
  <si>
    <t>Seimen Noukou Toro Tonkotsu</t>
  </si>
  <si>
    <t>Straits Kitchen Laksa</t>
  </si>
  <si>
    <t>Champong Noodle Soup Spicy Seafood Flavor</t>
  </si>
  <si>
    <t>Seaweed Flavour Noodle</t>
  </si>
  <si>
    <t>Instant Noodle Preserved Vegetable Flavour</t>
  </si>
  <si>
    <t>Penang Hokkien Prawn Noodle Authentic Taste</t>
  </si>
  <si>
    <t>Nupasta Salmon In White Sauce Flavour Instant Noodle</t>
  </si>
  <si>
    <t>Big Cup Noodles Seafood Curry Flavour</t>
  </si>
  <si>
    <t>Demae Iccho Beef Flavour Instant Noodle</t>
  </si>
  <si>
    <t>Mie Goreng Indonesia Stir Noodle Original Flavour</t>
  </si>
  <si>
    <t>Demae Ramen Sesame Flavour Instant Noodles</t>
  </si>
  <si>
    <t>Superior Soup Instant Rice Vermicelli</t>
  </si>
  <si>
    <t>Demae Ramen Straight Noodle Kyushu Tonkotsu Instant Noodle</t>
  </si>
  <si>
    <t>Taisho Fried Noodle Sesame Paste Flavour Instant Noodle</t>
  </si>
  <si>
    <t>Cup Noodles Pork Chowder Flavour</t>
  </si>
  <si>
    <t>Cup Mifun Spicy Beef Flavour</t>
  </si>
  <si>
    <t>Non-Fried Superior Soup Noodle</t>
  </si>
  <si>
    <t>Nupasta Carbonara Flavour Instant Noodle</t>
  </si>
  <si>
    <t>Demae Iccho Curry Beef Flavour</t>
  </si>
  <si>
    <t>Cup Noodles Big Spicy Seafood Flavour</t>
  </si>
  <si>
    <t>Demae Iccho Black Garlic Oil Tonkotsu</t>
  </si>
  <si>
    <t>Mi Sedaap</t>
  </si>
  <si>
    <t>Mi Segera Mi Goreng Ayam Krispi</t>
  </si>
  <si>
    <t>Cup Noodles Sabor Pollo Habanero Y Limon Sopa Instantanea</t>
  </si>
  <si>
    <t>Spicy Ramen Noodles</t>
  </si>
  <si>
    <t>Bowl Taste Of Asia Beef Flavor Sukiyaki Ramen</t>
  </si>
  <si>
    <t>Tainan Noodle Original Sauce</t>
  </si>
  <si>
    <t>Tokushima Seifun</t>
  </si>
  <si>
    <t>Negi Ramen</t>
  </si>
  <si>
    <t>Instant Noodle Vegetarian Flavour</t>
  </si>
  <si>
    <t>Fusian Special Edition Ow... Ow... Spicy Cow Mi Goreng</t>
  </si>
  <si>
    <t>Fresh Jjajang</t>
  </si>
  <si>
    <t>Hakata Tonkotsu Ramen</t>
  </si>
  <si>
    <t>Kung Tak Lam Vegetarian Noodle (Mushroom)</t>
  </si>
  <si>
    <t>Arrabiata Rice Bucatini</t>
  </si>
  <si>
    <t>Mamee</t>
  </si>
  <si>
    <t>Pepper Noodles Vegetarian</t>
  </si>
  <si>
    <t>Ramyon Sabor Mariscos</t>
  </si>
  <si>
    <t>Dried Mix Noodles Scallop Seafood Flavoured</t>
  </si>
  <si>
    <t>Cup Noodle Light+ Cheese Fondue</t>
  </si>
  <si>
    <t>Beef And Radish Flavour Instant Noodle</t>
  </si>
  <si>
    <t>Zow Zow</t>
  </si>
  <si>
    <t>Instant Noodle Shrimp Tom Yam Flavoured</t>
  </si>
  <si>
    <t>RapiFideo Sabor A Chile Y Limon</t>
  </si>
  <si>
    <t>Koyo</t>
  </si>
  <si>
    <t>Garlic Pepper Reduced Sodium Ramen</t>
  </si>
  <si>
    <t>Tokyo Tokunou Gyokai Tonkotsu</t>
  </si>
  <si>
    <t>Noodles Curried Prawn Flavour</t>
  </si>
  <si>
    <t>Instant Lunch Sriracha Chicken Flavor Ramen Noodle Soup</t>
  </si>
  <si>
    <t>Pop Mie Mi Instan Cup Rasa Ayam</t>
  </si>
  <si>
    <t>Artificial Pork Ribs Flavour Instant Noodle</t>
  </si>
  <si>
    <t>Penang Red Tom Yum Goong Noodle Authentic Taste</t>
  </si>
  <si>
    <t>Ramyon Sabor A Res</t>
  </si>
  <si>
    <t>Kadomen Koikoku Tonkotsu</t>
  </si>
  <si>
    <t>XO Sauce Noodle</t>
  </si>
  <si>
    <t>Perisa Asam Pedas Mi Segera</t>
  </si>
  <si>
    <t>Chicken Style Ramen Noodles</t>
  </si>
  <si>
    <t>Hello Kitty Dim Sum Noodle Japanese Soy Sauce Flavour</t>
  </si>
  <si>
    <t>ORee Garden</t>
  </si>
  <si>
    <t>Malaysia Green Curry Noodle</t>
  </si>
  <si>
    <t>Noodles Mi Goreng</t>
  </si>
  <si>
    <t>Tomato Sauce Instant Noodle</t>
  </si>
  <si>
    <t>Cup Noodles Sabor Franhp Com Requeijao</t>
  </si>
  <si>
    <t>A1</t>
  </si>
  <si>
    <t>Vegetarian Herbal Noodle</t>
  </si>
  <si>
    <t>Migawon</t>
  </si>
  <si>
    <t>Hovenia Ramen Vegetable Flavor</t>
  </si>
  <si>
    <t>Hakka BBQ Sauce Noodle</t>
  </si>
  <si>
    <t>Maru Uma Curry Udon</t>
  </si>
  <si>
    <t>Noodles Oriental Flavour</t>
  </si>
  <si>
    <t>Chaudhary's Wai Wai</t>
  </si>
  <si>
    <t>Instant Noodles Artificial Chicken &amp; Shrimp Flavored</t>
  </si>
  <si>
    <t>Noodle King Artificial Beef Soup Flavored</t>
  </si>
  <si>
    <t>Otentiq Cheezy Curry Instant Noodles (Improved Taste)</t>
  </si>
  <si>
    <t>Charumera Atyificial Tonkotsu Shouyu Flavor</t>
  </si>
  <si>
    <t>Instant Noodles Beef Flavour</t>
  </si>
  <si>
    <t>Sopa Maruchan Sabor a Camaron, Limon y Habanero</t>
  </si>
  <si>
    <t>Shinshu Miso Ramen</t>
  </si>
  <si>
    <t>Penang White Curry Authentic Taste Cup</t>
  </si>
  <si>
    <t>Urban Noodle</t>
  </si>
  <si>
    <t>Authentic Street Food Chow Mein</t>
  </si>
  <si>
    <t>Authentic Street Food Pad Thai</t>
  </si>
  <si>
    <t>Authentic Street Food Black Bean</t>
  </si>
  <si>
    <t>Authentic Street Food Thai Red Curry</t>
  </si>
  <si>
    <t>Authentic Street Food Satay</t>
  </si>
  <si>
    <t>Artificial Roasted Beef</t>
  </si>
  <si>
    <t>Seabura Tonkotsu Ramen</t>
  </si>
  <si>
    <t>Noodle With Spicy Oyster Soup</t>
  </si>
  <si>
    <t>Honey &amp; Cheese Big Bowl</t>
  </si>
  <si>
    <t>Chicken Style Noodles With Vegetables</t>
  </si>
  <si>
    <t>Perisa Kari Mi Segera (Improved Taste)</t>
  </si>
  <si>
    <t>Ghost Pepper Noodle</t>
  </si>
  <si>
    <t>Beef Style Ramen Noodles</t>
  </si>
  <si>
    <t>Vegetarian Instant Noodles Shiitake Flavour</t>
  </si>
  <si>
    <t>Trident</t>
  </si>
  <si>
    <t>2 Minute Laksa Flavour Noodles</t>
  </si>
  <si>
    <t>Rangers Snack Noodles Popcorn Flavour</t>
  </si>
  <si>
    <t>Myanmar</t>
  </si>
  <si>
    <t>Conimex</t>
  </si>
  <si>
    <t>Oriental Noodles Soto Ajam</t>
  </si>
  <si>
    <t>Netherlands</t>
  </si>
  <si>
    <t>Hot spicy Flavor Instant Vermicelli</t>
  </si>
  <si>
    <t>Rice Fettucini Alfredo</t>
  </si>
  <si>
    <t>United States</t>
  </si>
  <si>
    <t>Wonton Noodles Beef Flavour</t>
  </si>
  <si>
    <t>Hakka Spicy Barbeque Sauce</t>
  </si>
  <si>
    <t>Donbei Dashi Shoyu Yakiudon</t>
  </si>
  <si>
    <t>Raoh Rich Miso Flavor</t>
  </si>
  <si>
    <t>Cup Noodles Tom Yum Goong</t>
  </si>
  <si>
    <t>Cup Noodle Big Seafood Clam Chowder</t>
  </si>
  <si>
    <t>Chikin Ramen Donburi</t>
  </si>
  <si>
    <t>Men Shokunin Shoyu</t>
  </si>
  <si>
    <t>Cup Noodle Vegeta Buta-kyabetsu Tonkotsu</t>
  </si>
  <si>
    <t>Cup Noodle Pasta Style Tarako Spaghetti</t>
  </si>
  <si>
    <t>Cup Noodle Big Cheese Mexican Chilli</t>
  </si>
  <si>
    <t>Gyoretsu-no-Dekiru-Mise-no-Ramen (Shrimp Tantanmen)</t>
  </si>
  <si>
    <t>Raoh Tonkotsu</t>
  </si>
  <si>
    <t>Cup Noodle Light Plus Ratatouille</t>
  </si>
  <si>
    <t>Cup Noodle Milk Chikin Ramen</t>
  </si>
  <si>
    <t>Cup Noodle</t>
  </si>
  <si>
    <t>Penang White curry Noodle Authentic Taste</t>
  </si>
  <si>
    <t>Instant Noodles Chicken Soup Flavour</t>
  </si>
  <si>
    <t>Yokohama Walker Iekei Ramen</t>
  </si>
  <si>
    <t>Quinoa Noodle With Oyster Sauce And Vegetables</t>
  </si>
  <si>
    <t>Prima Taste</t>
  </si>
  <si>
    <t>Singapore Prawn Soup La Mian</t>
  </si>
  <si>
    <t>Chinese Tan Tan Vermicelli</t>
  </si>
  <si>
    <t>Tokushima Ramen</t>
  </si>
  <si>
    <t>Assorted Pork Bone Noodle</t>
  </si>
  <si>
    <t>Penang Red tom Yum Goong Noodle Authentic Taste</t>
  </si>
  <si>
    <t>Noodles Witrh Prawn &amp; Chicken Flavour</t>
  </si>
  <si>
    <t>BIG Cup Noodle Ajillo</t>
  </si>
  <si>
    <t>Nyonya Curry Laksa (Improved Taste)</t>
  </si>
  <si>
    <t>MyOri</t>
  </si>
  <si>
    <t>Malaysia Penang Green Curry Vermicelli (New Package)</t>
  </si>
  <si>
    <t>Itsuki</t>
  </si>
  <si>
    <t>Kumamoto Spicy Ramen</t>
  </si>
  <si>
    <t>Soba Fried Noodles Classic</t>
  </si>
  <si>
    <t>Cheese Curry Ramyun</t>
  </si>
  <si>
    <t>Cup Noodles Sabor Calabresa</t>
  </si>
  <si>
    <t>Spicy Flavour Instant Mifun</t>
  </si>
  <si>
    <t>Horse Crab Flavour Ramen</t>
  </si>
  <si>
    <t>Malaysia Penang Red Curry Noodle</t>
  </si>
  <si>
    <t>Noodle Soup Seasoned With Real Kimchi</t>
  </si>
  <si>
    <t>Top Ramen Chicken Flavor Ramen Noodle Soup (New Packaging)</t>
  </si>
  <si>
    <t>Kinchan Ramen</t>
  </si>
  <si>
    <t>GGE Noodle Snack Wheat Crackers Soy Sauce Ramen</t>
  </si>
  <si>
    <t>Penang Spicy Prawn Soup Noodle Authentic Taste</t>
  </si>
  <si>
    <t>Instant Noodles Coconut Milk Flavour</t>
  </si>
  <si>
    <t>2016 #10</t>
  </si>
  <si>
    <t>Kabuto Noodles</t>
  </si>
  <si>
    <t>Rice Noodles Vegetable Laksa</t>
  </si>
  <si>
    <t>Rice Noodles Chicken Pho</t>
  </si>
  <si>
    <t>Chicken Ramen</t>
  </si>
  <si>
    <t>Chilli Chicken Ramen</t>
  </si>
  <si>
    <t>Charumera Shoyu Ramen</t>
  </si>
  <si>
    <t>IbuRamen</t>
  </si>
  <si>
    <t>Mi Goreng Bento Noodles In A Box Curry Masala Flavour</t>
  </si>
  <si>
    <t>Cup Vegetarian Instant Noodles Tom Yum Flavour</t>
  </si>
  <si>
    <t>Spicy Tomato Salsa Ramen</t>
  </si>
  <si>
    <t>Raoh Ramen Noodle Soup Umami Soy Sauce Flavor</t>
  </si>
  <si>
    <t>Koh Thai</t>
  </si>
  <si>
    <t>Island Of Flavours Spicy Thai Chicken Instant Noodles Soup</t>
  </si>
  <si>
    <t>Singapore Fish Soup La Mian</t>
  </si>
  <si>
    <t>Kung-Fu Brand Instant Oriental Noodle Soup Artificial Beef Flavor</t>
  </si>
  <si>
    <t>Cup Noodles Ramen Noodle Soup Hearty Chicken Flavor [New Package]</t>
  </si>
  <si>
    <t>Red King Crab Flavour Ramen</t>
  </si>
  <si>
    <t>Bamee</t>
  </si>
  <si>
    <t>Oriental Style Instant Noodles Shrimp Flavour (Tom Yum)</t>
  </si>
  <si>
    <t>Artificial Pickled Cabbage Fish Flavor Instant Vermicelli</t>
  </si>
  <si>
    <t>Singapore Laksa Wholegrain La Mian</t>
  </si>
  <si>
    <t>2016 #1</t>
  </si>
  <si>
    <t>Raoh Shio Ramen</t>
  </si>
  <si>
    <t>Oriental Style Instant Noodles Masala Flavour</t>
  </si>
  <si>
    <t>GGE Noodle Snack Wheat Crackers Hot Spicy</t>
  </si>
  <si>
    <t>Sugomen Niigata Seabura Shoyu Ramen</t>
  </si>
  <si>
    <t>Ibumie</t>
  </si>
  <si>
    <t>Always Mi Goreng Perisa Sambal Udang</t>
  </si>
  <si>
    <t>Unox</t>
  </si>
  <si>
    <t>Good Noodles Tandoori</t>
  </si>
  <si>
    <t>Cup Noodle Pasta Style Bolognese</t>
  </si>
  <si>
    <t>Instant Noodles Shrimp Creamy Tom Yum Flavour</t>
  </si>
  <si>
    <t>Donbei Kamodashi Soba</t>
  </si>
  <si>
    <t>Chicken Soup Flavour Cup Noodles</t>
  </si>
  <si>
    <t>Fortune</t>
  </si>
  <si>
    <t>Rice Noodle Coconut Curry</t>
  </si>
  <si>
    <t>Guanmiao Dried Noodles With Oleum Sesami</t>
  </si>
  <si>
    <t>Guanmiao Dried Noodles With Spicy Sauce</t>
  </si>
  <si>
    <t>Guanmiao Dried Noodles With Authentic Sauce</t>
  </si>
  <si>
    <t>Guanmiao Dried Noodles With Shallot Flavor</t>
  </si>
  <si>
    <t>Bonasia</t>
  </si>
  <si>
    <t>Instant Noodles chicken Flavour</t>
  </si>
  <si>
    <t>Island Of Flavours Lemongrass Instant Noodles Soup</t>
  </si>
  <si>
    <t>Cambodia</t>
  </si>
  <si>
    <t>Instant Noodles Oriental Style Chicken Flavour</t>
  </si>
  <si>
    <t>Kogashi Megiiri Tonkotsu Kagoshima Ramen</t>
  </si>
  <si>
    <t>Bowl Noodles Hot &amp; Spicy Chicken Flavor Less Sodium Ramen Noodle Soup</t>
  </si>
  <si>
    <t>Juzz's Mee Creamy Chicken Flavour</t>
  </si>
  <si>
    <t>2016 #8</t>
  </si>
  <si>
    <t>Broad Noodle Artificial Beef Flavor</t>
  </si>
  <si>
    <t>Oriental Noodles Teriyaki</t>
  </si>
  <si>
    <t>Mie Sedaap</t>
  </si>
  <si>
    <t>Instant Cup Mi Kuah Rasa Baso Spesial</t>
  </si>
  <si>
    <t>Cup Noodles Ramen Noodle Soup Chicken Flavor [New Package]</t>
  </si>
  <si>
    <t>Ramen Tonkotudou Kumamoto Noodles</t>
  </si>
  <si>
    <t>Shiroi Chikara Mochi Udon</t>
  </si>
  <si>
    <t>iMee</t>
  </si>
  <si>
    <t>Mi Goreng Bento Noodles In A Box Hot Sweet &amp; Sour Flavor</t>
  </si>
  <si>
    <t>Soba Fried Noodles Teriyaki</t>
  </si>
  <si>
    <t>Yuzu Sesame Sauce Udon</t>
  </si>
  <si>
    <t>Juzz's Mee Curry Flavour</t>
  </si>
  <si>
    <t>Thai Smile</t>
  </si>
  <si>
    <t>Mushroom Rice Noodle Soup Bowl</t>
  </si>
  <si>
    <t>Instant Noodles Chicken Sichek Flavour</t>
  </si>
  <si>
    <t>Emergency Chikin Ramen Cup Noodle</t>
  </si>
  <si>
    <t>Chow Mein Pad Thai</t>
  </si>
  <si>
    <t>Asia Gold</t>
  </si>
  <si>
    <t>Instant Noodles With Chicken Flavouring</t>
  </si>
  <si>
    <t>Kuroma-yu Tonkotsu Kumamoto Ramen</t>
  </si>
  <si>
    <t>Singapore Curry Wholegrain La Mian</t>
  </si>
  <si>
    <t>2016 #5</t>
  </si>
  <si>
    <t>Chicken Flavour Asian Style Instant Noodles</t>
  </si>
  <si>
    <t>Pirkka</t>
  </si>
  <si>
    <t>Nuudeli Kana Nudlar Kyckling</t>
  </si>
  <si>
    <t>Finland</t>
  </si>
  <si>
    <t>Instant Noodles Duck Flavour</t>
  </si>
  <si>
    <t>Higashimaru</t>
  </si>
  <si>
    <t>Tonkotsu Ramen</t>
  </si>
  <si>
    <t>Seafood Tom Yum Sichek Flavour</t>
  </si>
  <si>
    <t>Juzz's Mee Original Spicy Flavour</t>
  </si>
  <si>
    <t>Always Mi Goreng Perisa Kari Kapitan</t>
  </si>
  <si>
    <t>Island Of Flavours Thai Royal Shrimp Instant Noodles</t>
  </si>
  <si>
    <t>Spicy Fish Noodle</t>
  </si>
  <si>
    <t>Cup Noodle Massaman Curry</t>
  </si>
  <si>
    <t>Seimen Houjyun Koku Shoyu</t>
  </si>
  <si>
    <t>Rangers Snack Noodles BBQ Flavour</t>
  </si>
  <si>
    <t>Cup Noodle Sio</t>
  </si>
  <si>
    <t>Cheese Ramen</t>
  </si>
  <si>
    <t>Cup Noodles Homestyle Chicken</t>
  </si>
  <si>
    <t>Kuriki</t>
  </si>
  <si>
    <t>Beef Tongue Shio Mayo Ramen</t>
  </si>
  <si>
    <t>Rangers Snack Noodles Sour Cream Flavour</t>
  </si>
  <si>
    <t>Cup Noodles Kyushu White Flavour</t>
  </si>
  <si>
    <t>Mee Poh Dry</t>
  </si>
  <si>
    <t>Chicken Abalone Flavour</t>
  </si>
  <si>
    <t>Ramen Char Mee 100</t>
  </si>
  <si>
    <t>La Ramen Spicy Mushroom Flavour Big Bowl</t>
  </si>
  <si>
    <t>Mee Goreng</t>
  </si>
  <si>
    <t>La Ramen Spicy Lobster Hot Pot Flavour Big Bowl</t>
  </si>
  <si>
    <t>Thai Tom Yam Flavour</t>
  </si>
  <si>
    <t>Chicken Tanmen Flavour</t>
  </si>
  <si>
    <t>Extra Spicy Singapore Curry Big Bowl</t>
  </si>
  <si>
    <t>La Ramen Spicy Mushroom Flavour</t>
  </si>
  <si>
    <t>Chicken Flavour</t>
  </si>
  <si>
    <t>Tonkotsu Ramen Artificially Flavored Tonkotsu White Chicken Broth</t>
  </si>
  <si>
    <t>Always Mi Goreng Perisa Thai Tom Yam</t>
  </si>
  <si>
    <t>Vedan</t>
  </si>
  <si>
    <t>Wei Wei A Instant Noodles Chicken Flavor</t>
  </si>
  <si>
    <t>Hakata Ossyoi</t>
  </si>
  <si>
    <t>Instant Noodles With Beef Flavouring</t>
  </si>
  <si>
    <t>Soba Fried Noodles Chili</t>
  </si>
  <si>
    <t>Yum Yum</t>
  </si>
  <si>
    <t>Premier Bowl Instant Noodles Stewed Pork Flavour</t>
  </si>
  <si>
    <t>Penang Spicy Prawn Soup Noodle</t>
  </si>
  <si>
    <t>Mama</t>
  </si>
  <si>
    <t>Shrimp Tom Yum Flavour Cup Noodles</t>
  </si>
  <si>
    <t>Raoh Ramen Noodle Soup Umami Tonkotsu Flavor</t>
  </si>
  <si>
    <t>Baijia</t>
  </si>
  <si>
    <t>Broad Noodle Pickled Vegetable Artificial Beef Flavor</t>
  </si>
  <si>
    <t>Always Mi Goreng Perisa Asli</t>
  </si>
  <si>
    <t>Oriental Noodles Groene Curry</t>
  </si>
  <si>
    <t>Cupo Noodle Pasta Style Vongole</t>
  </si>
  <si>
    <t>Instant Noodles chicken Green Curry Flavour</t>
  </si>
  <si>
    <t>Wantan Men</t>
  </si>
  <si>
    <t>Mi Goreng Bento Noodles In A Box Shallot Teriyaki Flavor</t>
  </si>
  <si>
    <t>Instant Cup Noodles Mi Goreng Fried Noodles</t>
  </si>
  <si>
    <t>Daraz</t>
  </si>
  <si>
    <t>Negi Man Ramen</t>
  </si>
  <si>
    <t>Chinese Kitchen Chinese Style Instant Noodles</t>
  </si>
  <si>
    <t>Instant Noodles Shrimp Flavour</t>
  </si>
  <si>
    <t>Udon Japanese Style Precooked Noodles With Soup Hot &amp; Spicy Flavor</t>
  </si>
  <si>
    <t>Snow Crab Flavour Shio Ramen</t>
  </si>
  <si>
    <t>Raoh Ramen Noodle Soup Umami Miso Flavor</t>
  </si>
  <si>
    <t>Pama</t>
  </si>
  <si>
    <t>Instant Rice Vermicelli Clear Soup Flavour</t>
  </si>
  <si>
    <t>Penang Red tom Yum Goong Noodle (New Version)</t>
  </si>
  <si>
    <t>Oriental Noodles Hot &amp; Spicy</t>
  </si>
  <si>
    <t xml:space="preserve">Chow Mein Savory Sauce And Restayrant Quality Noodles Roast Chicken Flavor </t>
  </si>
  <si>
    <t>Oriental Style Instant Noodles Shrimp Flavour</t>
  </si>
  <si>
    <t>Seven &amp; I</t>
  </si>
  <si>
    <t>Gold Sumire Ramen</t>
  </si>
  <si>
    <t>Forest Noodles</t>
  </si>
  <si>
    <t>Sunbaked Noodles With Sesame Sauce</t>
  </si>
  <si>
    <t>Purple Sweet Potato Noodles With Taiwanese Sauce</t>
  </si>
  <si>
    <t>Sunbaked Noodles With Spicy Sauce</t>
  </si>
  <si>
    <t>Sweet Potato Noodles With Sesame Paste Sauce</t>
  </si>
  <si>
    <t>Vit's</t>
  </si>
  <si>
    <t>Taste Of Malaysia Penang White Curry Ramen</t>
  </si>
  <si>
    <t>Taste Of Malaysia Penang Asam Laksa Fried Instant Noodle</t>
  </si>
  <si>
    <t>Taste Of Malaysia Penang Hokkien Mee Ramen</t>
  </si>
  <si>
    <t>Taste Of Malaysia Penang White Curry Fried Instant Noodle</t>
  </si>
  <si>
    <t>Taste Of Malaysia Penang Asam Laksa Ramen</t>
  </si>
  <si>
    <t>Taste Of Malaysia Penang Hokkien Mee Fried Instant Noodle</t>
  </si>
  <si>
    <t>Instant Noodles With Chicken Flavour</t>
  </si>
  <si>
    <t>Instant Flat Shaped Noodles Boat Noodles Nam Tok Flavour</t>
  </si>
  <si>
    <t>Plum Mayo Ramen</t>
  </si>
  <si>
    <t>Sichuan Pepper Flavor</t>
  </si>
  <si>
    <t>Hu Sesame Flavor</t>
  </si>
  <si>
    <t>Scallion With Sichuan Pepper  Flavor</t>
  </si>
  <si>
    <t>2016 #9</t>
  </si>
  <si>
    <t>Zha Wang ((Jjawang) Noodles With Chajang Sauce</t>
  </si>
  <si>
    <t>Instant Noodles Stewed Beef Flavour</t>
  </si>
  <si>
    <t>Broad Noodle Chilli Oil Flavor</t>
  </si>
  <si>
    <t>Soon Veggie Noodle Soup</t>
  </si>
  <si>
    <t>MeeKuali spicy Fried Noodle</t>
  </si>
  <si>
    <t>Mi Kuah Rasa Baso Spesial</t>
  </si>
  <si>
    <t>Udon Japanese Style Pre-Cooked Noodles With Soup Beef Flavor</t>
  </si>
  <si>
    <t>Ten-In</t>
  </si>
  <si>
    <t>Veggie King Buddha Jump Instant Noodles</t>
  </si>
  <si>
    <t>Premier Bowl Instant Noodles Suki Flavour</t>
  </si>
  <si>
    <t>Sugakiya Foods</t>
  </si>
  <si>
    <t>Nara Tenri Shoyu Ramen</t>
  </si>
  <si>
    <t>Hao Way</t>
  </si>
  <si>
    <t>Penang Vegetarian Prawn Instant Bowl Noodles</t>
  </si>
  <si>
    <t>Asian Style Instant Noodles Artificial Beef Flavor</t>
  </si>
  <si>
    <t>Nakaya Shouten</t>
  </si>
  <si>
    <t>Hingya no Shio Ramen</t>
  </si>
  <si>
    <t>Island Of Flavours Tom Yum Instant Noodles Soup</t>
  </si>
  <si>
    <t>Soba Fried Noodles Curry</t>
  </si>
  <si>
    <t>Mushroom Instant Noodle</t>
  </si>
  <si>
    <t>Oriental Noodles Oosterse Groenten</t>
  </si>
  <si>
    <t>Penang White Curry Noodle (New Version)</t>
  </si>
  <si>
    <t>Nagahama Hakata Tonkotsu Ramen</t>
  </si>
  <si>
    <t>Vegetarian Instant Cup Noodle Tofu &amp; Shiitake Flavour</t>
  </si>
  <si>
    <t>Tom Yum Goong Flavour Instant Noodle</t>
  </si>
  <si>
    <t>Mi Segera Mmm... Perisa Goreng Ala Indonesia</t>
  </si>
  <si>
    <t>Oriental Style Instant Noodles Tandoori Flavour</t>
  </si>
  <si>
    <t>Thai Chef</t>
  </si>
  <si>
    <t>Oriental Style Instant Noodles Shrimp Creamy Tom Yum Flavour</t>
  </si>
  <si>
    <t>Vegetarian Instant Noodles Tom Yum Flavour</t>
  </si>
  <si>
    <t xml:space="preserve">Cup Noodles Ramen Noodles Ramen Noodle Soup Beef Flavor (New Package) </t>
  </si>
  <si>
    <t>Spicy Artificial Fei Chang Instant Vermicelli (New Recipe)</t>
  </si>
  <si>
    <t>Crystal Noodle</t>
  </si>
  <si>
    <t>Soup All Natural Hot &amp; Sour</t>
  </si>
  <si>
    <t>Spring Onion Rice Noodle Soup Bowl</t>
  </si>
  <si>
    <t>Instant Noodles Vegetable Flavour</t>
  </si>
  <si>
    <t>Instant Rice Vermicelli Crab Flavour</t>
  </si>
  <si>
    <t>Salty Taste Chanko Noodle</t>
  </si>
  <si>
    <t>Azami</t>
  </si>
  <si>
    <t>Kimchee Flavour Noodle Soup</t>
  </si>
  <si>
    <t>Shallot Chicken Instant Noodles</t>
  </si>
  <si>
    <t>Mi Segera Mmm... Perisa Asam Laksa</t>
  </si>
  <si>
    <t>Soup Spices Noodle Mee Rempahan Sup</t>
  </si>
  <si>
    <t>Tom Yam Instant Noodles</t>
  </si>
  <si>
    <t>Super</t>
  </si>
  <si>
    <t>Kimchi</t>
  </si>
  <si>
    <t>Mi Segera Mmm... Perisa Ayam Cendawan</t>
  </si>
  <si>
    <t>Curry Flavour Noodles</t>
  </si>
  <si>
    <t>Kua Teaw Segera</t>
  </si>
  <si>
    <t>Chow Mein Premium Savory Sauce And Restaurant Quality Noodles Sriracha Flavor</t>
  </si>
  <si>
    <t>Instant Noodles Black Pepper Crab Mi Goreng</t>
  </si>
  <si>
    <t>Torishi</t>
  </si>
  <si>
    <t>Instant Noodles Creamy Tom Yum Shrimp Flavour</t>
  </si>
  <si>
    <t>Western Family</t>
  </si>
  <si>
    <t>Beef Flavour Instant Noodles</t>
  </si>
  <si>
    <t>Penang Hokkien Prawn Soup Rice Vermicelli (Bihun)</t>
  </si>
  <si>
    <t>Non-Fried Noodle Blackbean Sauce Noodle With Squid</t>
  </si>
  <si>
    <t>Chering Chang</t>
  </si>
  <si>
    <t>Instant Non-Fried Noodles Tomato Flavour</t>
  </si>
  <si>
    <t>Spicy King Spicy Chicken</t>
  </si>
  <si>
    <t>Supereme Bowl Noodles With Stewed Egg Spicy Flavour</t>
  </si>
  <si>
    <t>Spicy King Bowl Noodle Spicy Chicken</t>
  </si>
  <si>
    <t>Spicy King Bowl Noodle Spicy Beef</t>
  </si>
  <si>
    <t>Spicy King Spicy Pork</t>
  </si>
  <si>
    <t>Supreme Bowl Noodles With Stewed Egg Sour Beans With Pork Flavour</t>
  </si>
  <si>
    <t>Spicy King Spicy Beef</t>
  </si>
  <si>
    <t>Supreme Bowl Noodles With Stewed Egg Braised Beef Flavour</t>
  </si>
  <si>
    <t>Spicy King Bowl Noodle Spicy Pork</t>
  </si>
  <si>
    <t>Chef Lontong Flavour</t>
  </si>
  <si>
    <t>Negi Miso No Ippin Ramen</t>
  </si>
  <si>
    <t>Instant Noodles Shrimp Tom Yum Flavour</t>
  </si>
  <si>
    <t>Bulnak Boeummyun King Noodle</t>
  </si>
  <si>
    <t xml:space="preserve">Cup Noodles Ramen Noodles With Shrimp (New Package) </t>
  </si>
  <si>
    <t>Nuudeli Tom Yum Katkarapu</t>
  </si>
  <si>
    <t>Ishimaru</t>
  </si>
  <si>
    <t>Tuna Flavor Ramen</t>
  </si>
  <si>
    <t>Sesame &amp; Pepper</t>
  </si>
  <si>
    <t>Authentically Asian</t>
  </si>
  <si>
    <t>Natural Quality Foods Pad Thai Noodle Bowl</t>
  </si>
  <si>
    <t>Homestyle Tonjiru</t>
  </si>
  <si>
    <t>Duck Instant Noodles</t>
  </si>
  <si>
    <t>Veggie Noodle Carrot Noodle With Original Sauce</t>
  </si>
  <si>
    <t>Oriental Style Instant Noodles Hot &amp; Spicy Flavour</t>
  </si>
  <si>
    <t>King Bowl Super Spicy Pan Stirfried Noodle</t>
  </si>
  <si>
    <t>Garlic Rice Noodle Soup Bowl</t>
  </si>
  <si>
    <t>Mayo Ramen</t>
  </si>
  <si>
    <t>Spicy &amp; Sour Flavor</t>
  </si>
  <si>
    <t>Instant Cup Mi Kuah Rasa Soto</t>
  </si>
  <si>
    <t>Jumbo Instant Noodles Tom Yum Kung Creamy Flavour</t>
  </si>
  <si>
    <t>Chili Chicken Flavour Noodle Soup</t>
  </si>
  <si>
    <t>Curry Instant Noodles</t>
  </si>
  <si>
    <t>Ramen Shoyu Taste</t>
  </si>
  <si>
    <t>Good Noodles Kerrie</t>
  </si>
  <si>
    <t>Veggie Noodle Baby Grass Noodle With Toona Sauce</t>
  </si>
  <si>
    <t>Rangers Snack Noodles Shrimp Tom Yum Flavour</t>
  </si>
  <si>
    <t>Aroi</t>
  </si>
  <si>
    <t>Curry Me! Penang White Curry Stir-fry Noodle</t>
  </si>
  <si>
    <t>Udon Japanese Style Pre-Cooked Noodles With Soup Chicken Flavor</t>
  </si>
  <si>
    <t>Braised Beef Noodle</t>
  </si>
  <si>
    <t>Raoh Tanrei Koku Shio Ramen</t>
  </si>
  <si>
    <t>Instant Cup Mi Goreng</t>
  </si>
  <si>
    <t>Monster Snek Mi Pedas</t>
  </si>
  <si>
    <t>Koka</t>
  </si>
  <si>
    <t>Laksa Singapura</t>
  </si>
  <si>
    <t>Seafood Flavour Noodles</t>
  </si>
  <si>
    <t>Instant Noodles Creamy Shrimp Tom Yum Flavour</t>
  </si>
  <si>
    <t>Wu-Mu</t>
  </si>
  <si>
    <t>BBQ Pork Flavor Chow Mein</t>
  </si>
  <si>
    <t>Zan Vegetarian Instant Noodle Series Shiitake Mushroom Flavour</t>
  </si>
  <si>
    <t>Yamadai</t>
  </si>
  <si>
    <t>Tenobe Somen</t>
  </si>
  <si>
    <t>Jah Jan Men</t>
  </si>
  <si>
    <t>Vina Acecook</t>
  </si>
  <si>
    <t>Oh! Ricey Pho Ga</t>
  </si>
  <si>
    <t>Veggie Noodle Black Sesame Noodle</t>
  </si>
  <si>
    <t>Nuudeli Liha Nudlar Kott</t>
  </si>
  <si>
    <t>Baixiang Noodles</t>
  </si>
  <si>
    <t>Artificial Beef Instant Noodles With Soup Base</t>
  </si>
  <si>
    <t>Otentiq Cheezy Curry Instant Noodles</t>
  </si>
  <si>
    <t>Salam Mie</t>
  </si>
  <si>
    <t>Mi Goreng Dengan Abon</t>
  </si>
  <si>
    <t>Grilled Pork Flavour Instant Noodles</t>
  </si>
  <si>
    <t>Hao Hao Sate Onion Flavour</t>
  </si>
  <si>
    <t>Lee Fah Mee</t>
  </si>
  <si>
    <t>Sarawak White Laksa Instant Noodle</t>
  </si>
  <si>
    <t>Sarawak</t>
  </si>
  <si>
    <t>Instant Noodles Egg Protein Noodles</t>
  </si>
  <si>
    <t>Instant Noodles Minced Pork Flavor</t>
  </si>
  <si>
    <t>Sichuan Hot Spicy Fish</t>
  </si>
  <si>
    <t>Otentiq Cheezy Mushroom Instant Noodles</t>
  </si>
  <si>
    <t>Sakurai Foods</t>
  </si>
  <si>
    <t>Organic Miso Ramen</t>
  </si>
  <si>
    <t>Vegetarian Penang Laksa</t>
  </si>
  <si>
    <t>Instant Non-Fried Noodles Vegetable Curry Flavor</t>
  </si>
  <si>
    <t>Instant Noodles With Shrimp Flavouring</t>
  </si>
  <si>
    <t>The Kitchen Food</t>
  </si>
  <si>
    <t>Sibu Instant Kampua Original</t>
  </si>
  <si>
    <t>Hot &amp; Spicy Flavour Noodle Soup</t>
  </si>
  <si>
    <t>Hot Cup Goreng Perencah Cili Fiesta</t>
  </si>
  <si>
    <t>Premiere</t>
  </si>
  <si>
    <t>Gold Bihun Kari Heritage Instant Rice Vermicelli</t>
  </si>
  <si>
    <t>Sour &amp; Spicy Flavour</t>
  </si>
  <si>
    <t>7 Select/Nissin</t>
  </si>
  <si>
    <t>Seafood Noodle</t>
  </si>
  <si>
    <t>Organic Shoyu Ramen</t>
  </si>
  <si>
    <t>Hakka Flat Noodle With Za Jiang Sauce</t>
  </si>
  <si>
    <t>Mi goreng Pedas Chewy &amp; springy</t>
  </si>
  <si>
    <t>Instant Lunch Chicken Tortilla Flavor Ramen Noodles With Vegetables</t>
  </si>
  <si>
    <t>Instant Kampua Dark Soy Sauce</t>
  </si>
  <si>
    <t>Cup Yentafo Tom Yum Mohfai</t>
  </si>
  <si>
    <t>Cup Shrimp Creamy Tom Yum</t>
  </si>
  <si>
    <t>Instant Rice Vermicelli Bihun Goreng Original Flavour</t>
  </si>
  <si>
    <t>Instant Noodles coconut Milk Flavour</t>
  </si>
  <si>
    <t>Oriental Style Instant Noodles Chicken Flavour</t>
  </si>
  <si>
    <t>Instant Cup Noodles Minced Prok Flavor</t>
  </si>
  <si>
    <t>Wugudaochang</t>
  </si>
  <si>
    <t>Sour Bamboo Shoot &amp; Beef If Hot Pot Flavor Noodles</t>
  </si>
  <si>
    <t>Tomato Beef Brisket Flavor Purple Potato Noodle</t>
  </si>
  <si>
    <t>2016 #7</t>
  </si>
  <si>
    <t>Sea Tangle &amp; Sparerins Flavor Noodles</t>
  </si>
  <si>
    <t>Chef's Grains Millet Noodle</t>
  </si>
  <si>
    <t>Chef's Grains Buckwheat Noodle</t>
  </si>
  <si>
    <t>Chef's Grains Pea Noodle</t>
  </si>
  <si>
    <t>Sichuan Pepper &amp; Chicken Flavor Noodle</t>
  </si>
  <si>
    <t>Sour Soup &amp; Minced Meat Flavor Chef's Grain Naked Oat Noodles</t>
  </si>
  <si>
    <t>Curry Me! Penang White Curry Soup Noodle</t>
  </si>
  <si>
    <t>Veggie World Vegetarian Braised Beef Instant Noodles</t>
  </si>
  <si>
    <t>Shin Black Spicy Po-Au-Feu Flavor (Mew Edition)</t>
  </si>
  <si>
    <t>Raobokki Noodle (Export Version)</t>
  </si>
  <si>
    <t>Emporer Herbs Chicken Noodle</t>
  </si>
  <si>
    <t>Sauerkraut Flavor</t>
  </si>
  <si>
    <t>Emart</t>
  </si>
  <si>
    <t>Dare You! Habanero Ramen (New Edition)</t>
  </si>
  <si>
    <t>Lishan Food Manufacturing</t>
  </si>
  <si>
    <t>Black Cock Brand Vegetarian Chicken Noodle</t>
  </si>
  <si>
    <t>Chili Seafood Flavor Noodle Soup</t>
  </si>
  <si>
    <t>Ah Lai</t>
  </si>
  <si>
    <t>Penang Favourite White Curry Rice Vermicelli</t>
  </si>
  <si>
    <t>Tropicana Slim</t>
  </si>
  <si>
    <t>Less Fat Noodles Grilled Chicken</t>
  </si>
  <si>
    <t>A-One</t>
  </si>
  <si>
    <t>Mi Ly Instant Noodles Mi Chay Vegetarian Flavor</t>
  </si>
  <si>
    <t>Cup Rice Vermicelli With Clear Soup</t>
  </si>
  <si>
    <t>Deshome</t>
  </si>
  <si>
    <t>Aloe Thin Noodles With Camelia Oil Vegetable Sauce Flavor</t>
  </si>
  <si>
    <t>Curry Instant Noodle With Chicken</t>
  </si>
  <si>
    <t>Paldo Vina</t>
  </si>
  <si>
    <t>Koreno Premium Mushroom Flavor</t>
  </si>
  <si>
    <t>Oriental Noodles Prawn Flavor</t>
  </si>
  <si>
    <t>King Chef Authentic Kimchi Flavour</t>
  </si>
  <si>
    <t>Non-Fried Instant Noodles Ramen Tonkotsu Flavor</t>
  </si>
  <si>
    <t>Chencun</t>
  </si>
  <si>
    <t>Senior Food Rice Noodle Fragrant Peppery Beef</t>
  </si>
  <si>
    <t>Ho Fan Wonton Soup Flavored</t>
  </si>
  <si>
    <t>United</t>
  </si>
  <si>
    <t>Xi Gon Satay Onion Flavor</t>
  </si>
  <si>
    <t>ChoripDong</t>
  </si>
  <si>
    <t>Hurricane Rice Cake (Topokki)</t>
  </si>
  <si>
    <t>Shan</t>
  </si>
  <si>
    <t>Shoop Instant Noodles Bombay Biryani Flavour</t>
  </si>
  <si>
    <t>JokCup Instant Porridge Soup Seafood Flavour</t>
  </si>
  <si>
    <t>Artificial Pickled Vegetable Beef Flavor</t>
  </si>
  <si>
    <t>Malaysia Penang White Curry Noodle Super Spicy</t>
  </si>
  <si>
    <t>Malaysia Penang Green Curry Rice Vermicelli</t>
  </si>
  <si>
    <t>Malaysia Penang White Curry Noodle Original</t>
  </si>
  <si>
    <t>Ruski</t>
  </si>
  <si>
    <t>Chicken Flavour Instant Noodles</t>
  </si>
  <si>
    <t>Sesame Flavor Ramen Korean Style Instant Noodle</t>
  </si>
  <si>
    <t>Seafood Flavour Instant Cooking Noodles</t>
  </si>
  <si>
    <t>Instant Noodles With Onion Flavour</t>
  </si>
  <si>
    <t>No Name</t>
  </si>
  <si>
    <t>Shrimp Flavour Oriental Noodles And Soup Mix</t>
  </si>
  <si>
    <t>New Way</t>
  </si>
  <si>
    <t>Spaghetti Instant Noodles</t>
  </si>
  <si>
    <t>Lucky Me!</t>
  </si>
  <si>
    <t>Supreme Jjamppong Korean Style Spicy Seafood Soup</t>
  </si>
  <si>
    <t>Philippines</t>
  </si>
  <si>
    <t>Vegetarian Penang Laksa Instant Bowl Noodles</t>
  </si>
  <si>
    <t>Dare You! Habanero Jjajang Ramen</t>
  </si>
  <si>
    <t>Campbell's</t>
  </si>
  <si>
    <t>Hearty Noodles Savoury Beef Flavour</t>
  </si>
  <si>
    <t>One Dish Asia</t>
  </si>
  <si>
    <t>Japanese Ramen Noodle</t>
  </si>
  <si>
    <t>Long Jun Hang</t>
  </si>
  <si>
    <t>Taiwan Dried Noodles With Onion Oil Sauce</t>
  </si>
  <si>
    <t>Bihun Creamy Tom Yam Flavour</t>
  </si>
  <si>
    <t>Veggie Noodle Tomato Noodle With Vine Ripened Tomato Sauce</t>
  </si>
  <si>
    <t>2015 #10</t>
  </si>
  <si>
    <t>Instant Nudelsuppe Huhn Geschmack</t>
  </si>
  <si>
    <t>Shoop Instant Noodles Masala Flavour</t>
  </si>
  <si>
    <t>Quick Zabb Tom Klong Flavour Instant Noodles</t>
  </si>
  <si>
    <t>Shoyu Noodle</t>
  </si>
  <si>
    <t>Mi Ly Instant Noodles Mi Bo Beef Flavor</t>
  </si>
  <si>
    <t>Mi Segera Mmm... Perisa Kari</t>
  </si>
  <si>
    <t>Donbei Tempura Soba Mini</t>
  </si>
  <si>
    <t>Korean Clay Pot Ramyun</t>
  </si>
  <si>
    <t>Penang Laksa Instant Bowl Noodles</t>
  </si>
  <si>
    <t>Kimchee Noodle Soup</t>
  </si>
  <si>
    <t>Wei Wei A Instant Noodles Hot Beef Flavour</t>
  </si>
  <si>
    <t>Gonbuto Kistune Udon</t>
  </si>
  <si>
    <t>Instant Rice Noodle Soup Spicy Shrimp Flavour</t>
  </si>
  <si>
    <t>Artificial Pork Flavour</t>
  </si>
  <si>
    <t>Penang White Curry Noodle (New Improved Tatse)</t>
  </si>
  <si>
    <t>Quick2 Hot &amp; Spicy Noodle Soup With Habanero &amp; Lime</t>
  </si>
  <si>
    <t>MenWhite Creamy Tonkotsu</t>
  </si>
  <si>
    <t>Gold Penang Asam Laksa Bihun</t>
  </si>
  <si>
    <t>Chu Qian Yi Ding Tom Yum Instant Noodles With Soup Base</t>
  </si>
  <si>
    <t>Aloe This Noodles With Camellia Oil Spicy Bean Sauce Flavor</t>
  </si>
  <si>
    <t>Penang Hokkien Prawn Noodle (New Improved Taste)</t>
  </si>
  <si>
    <t>2015 #7</t>
  </si>
  <si>
    <t>Unif-100</t>
  </si>
  <si>
    <t>Instant Noodles Artificial Spicy Beef Flavor (New Package)</t>
  </si>
  <si>
    <t>Hankow</t>
  </si>
  <si>
    <t>Shanghai Kaiyang Noodle</t>
  </si>
  <si>
    <t>The Bridge</t>
  </si>
  <si>
    <t>Penang White Curry Noodle</t>
  </si>
  <si>
    <t>Kaoru Maitake Tempura Udon</t>
  </si>
  <si>
    <t>Shoop Instant Noodles Spicy Lemon Flavour</t>
  </si>
  <si>
    <t>Supreme Seafood Flavor Big Cup</t>
  </si>
  <si>
    <t>Koreno Premium Ginseng Flavor</t>
  </si>
  <si>
    <t>Mitoku</t>
  </si>
  <si>
    <t>Brown Rice Ramen</t>
  </si>
  <si>
    <t>Penang Vegetarian Prawn Instant Noodles</t>
  </si>
  <si>
    <t>Nyumen Desse Shoyu</t>
  </si>
  <si>
    <t>Perencah Kari Letup Mi Segera</t>
  </si>
  <si>
    <t>Demae Iccho Mushroom With Vegetables Flavour Macaroni</t>
  </si>
  <si>
    <t>Unzen</t>
  </si>
  <si>
    <t>Mushroom Honpo Shiitake Nutritious Noodle</t>
  </si>
  <si>
    <t>Mi Goreng Ala Jawa Dengan Sambal Cabe Asli</t>
  </si>
  <si>
    <t>Mikochi Tom Yum Flavor Instant Noodles</t>
  </si>
  <si>
    <t>Jinjja Jinjja (New)</t>
  </si>
  <si>
    <t>Instant Non-Fried Noodles Shallot Pork Flavour</t>
  </si>
  <si>
    <t>Top Ramen Super Noodles Tomato</t>
  </si>
  <si>
    <t>Cup Rice Vermicelli Shrimp Creamy Tom Yum</t>
  </si>
  <si>
    <t>Original Chow Mein Premium Spicy Chicken Flavor</t>
  </si>
  <si>
    <t>Uncle Sun</t>
  </si>
  <si>
    <t>White Curry Noodle More Spicy</t>
  </si>
  <si>
    <t>Emporer Instant Noodles Spicy Chicken</t>
  </si>
  <si>
    <t>Jan Jan Dashi Shoyu Yakisoba</t>
  </si>
  <si>
    <t>Tteokgukmyun</t>
  </si>
  <si>
    <t>Vegan Chilli With Sesame Sauce</t>
  </si>
  <si>
    <t>Mi E-Zee</t>
  </si>
  <si>
    <t>Perisa Sayuran</t>
  </si>
  <si>
    <t>Perisa Kari Sayuran</t>
  </si>
  <si>
    <t>E-mi</t>
  </si>
  <si>
    <t>Mi Perencah Ayam Jagung</t>
  </si>
  <si>
    <t>Perisa Bayam</t>
  </si>
  <si>
    <t>Plain Noodles</t>
  </si>
  <si>
    <t>J.J.</t>
  </si>
  <si>
    <t>Snek Mi Perisa Ayam</t>
  </si>
  <si>
    <t>Nyonya Curry Laksa</t>
  </si>
  <si>
    <t>2015 #4</t>
  </si>
  <si>
    <t>Mi Perencah Asam Pedas</t>
  </si>
  <si>
    <t>Snek Mi Perisa BBQ</t>
  </si>
  <si>
    <t>Perisa Kari / Curry Flavour</t>
  </si>
  <si>
    <t>3 Con Tom Instant Noodles Thailand Sour Shrimp Flavor</t>
  </si>
  <si>
    <t>Curry Prince</t>
  </si>
  <si>
    <t>Penang Authentic White Curry Noodle</t>
  </si>
  <si>
    <t>Gonbuto Tempura Udon</t>
  </si>
  <si>
    <t>Pork Flavour Whole Wheat Noodle</t>
  </si>
  <si>
    <t>Authentic Indian Noodles Vegetable Atta Masala</t>
  </si>
  <si>
    <t>Jjajangmen Chajang Noodle King Bowl</t>
  </si>
  <si>
    <t>Steam Vegetarian Flavor Noodles</t>
  </si>
  <si>
    <t>Penang White Curry Instant Bowl Noodles</t>
  </si>
  <si>
    <t>Artificial Seafood Flavor Instant Noodle</t>
  </si>
  <si>
    <t>Econsave</t>
  </si>
  <si>
    <t>Choice Instant Noodles Curry Flavour</t>
  </si>
  <si>
    <t>Big Cup Ramen Corn, Salt &amp; Butter Flavor</t>
  </si>
  <si>
    <t>Mi Goreng Perencah Kari Ori</t>
  </si>
  <si>
    <t>Instant Noodles Cup Beef Flavour</t>
  </si>
  <si>
    <t>Emergency Cup Noodle</t>
  </si>
  <si>
    <t>Cup Noodles Tomato Enjoy Noodles With Hot Soup</t>
  </si>
  <si>
    <t>Oyatsu</t>
  </si>
  <si>
    <t>Baby Star Snack Noodle Chicken Flavour</t>
  </si>
  <si>
    <t>M√¨ Ly Instant Noodles M√¨ Th·ªãt X√†o Pork Flavor</t>
  </si>
  <si>
    <t>Shin Ramyun Noodle Soup (New Edition)</t>
  </si>
  <si>
    <t>Purple Wheat Noodles Soy &amp; Vinegar Flavor</t>
  </si>
  <si>
    <t>White Curry Noodle</t>
  </si>
  <si>
    <t>Kin-Dee</t>
  </si>
  <si>
    <t>Instant Rice Noodle Spicy Seafood</t>
  </si>
  <si>
    <t>Spicy Beef Flavor Instant Noodle</t>
  </si>
  <si>
    <t>Beef Flavour Oriental Noodles And Soup Mix</t>
  </si>
  <si>
    <t xml:space="preserve">Penang Laksa </t>
  </si>
  <si>
    <t>Ko-Lee</t>
  </si>
  <si>
    <t>Instant Noodles Taste Sensation Mixed Vegetable Flavour</t>
  </si>
  <si>
    <t>ICA</t>
  </si>
  <si>
    <t>Asia Fast Noodles Snabbnudlar R√§ksmak</t>
  </si>
  <si>
    <t>Sweden</t>
  </si>
  <si>
    <t>Mi Segera Perisa Itik</t>
  </si>
  <si>
    <t>Oriental Style Instant Noodles Pa-Lo Duck Flavour</t>
  </si>
  <si>
    <t>Men Black Seafood Tonkotsu</t>
  </si>
  <si>
    <t>Penang White CurryMee</t>
  </si>
  <si>
    <t>Chow Mein Japanese Style Noodles Yakisoba</t>
  </si>
  <si>
    <t>Curry Noodle</t>
  </si>
  <si>
    <t>Volcano Spicy Pork Noodle</t>
  </si>
  <si>
    <t>Demae Rice Vermicelli Beef Flavour</t>
  </si>
  <si>
    <t>Nanyang Chef</t>
  </si>
  <si>
    <t>Penang Asam Pedas Hot &amp; Sour Noodle</t>
  </si>
  <si>
    <t>Thai Pavilion</t>
  </si>
  <si>
    <t>Pad Thai Instant rice Noodles &amp; Sauce</t>
  </si>
  <si>
    <t>2 Minute Noodles Hungrooo Masala Spicy</t>
  </si>
  <si>
    <t>Steam Pork Flavour</t>
  </si>
  <si>
    <t>Instant Noodles Artificial Shallot Beef Flavour</t>
  </si>
  <si>
    <t>Kimchi Noodle</t>
  </si>
  <si>
    <t>Oat Noodle Tomato Soup Flavored</t>
  </si>
  <si>
    <t>Quick Zabb Chili Paste Tom Yum Flavour Instant Noodles</t>
  </si>
  <si>
    <t>Koreno Premium Shrimp Flavor</t>
  </si>
  <si>
    <t>Oat Noodle Pork Rib Flavored</t>
  </si>
  <si>
    <t>Seafood Instant Noodles</t>
  </si>
  <si>
    <t>Miliket</t>
  </si>
  <si>
    <t>Sate Flavor Instant Noodles</t>
  </si>
  <si>
    <t>Special Instant Noodles Jjamppong Flavor</t>
  </si>
  <si>
    <t>Special Instant sopas Chicken Flavor</t>
  </si>
  <si>
    <t>Spicy Beef Mami Instant Noodle Soup</t>
  </si>
  <si>
    <t>Special Instant Curly Spaghetti With Yummy Red Sauce</t>
  </si>
  <si>
    <t>Supreme Pinoy Chicken Instant Noodles</t>
  </si>
  <si>
    <t>Special Baked Mac Style Instant Macaroni</t>
  </si>
  <si>
    <t>La Paz Batchoy Instant Noodle Soup</t>
  </si>
  <si>
    <t>Instant Kua Teow Tom Yam</t>
  </si>
  <si>
    <t>Chu Qian Yi Ding Spicy Sesame Flavour Instant Noodles With Soup Base</t>
  </si>
  <si>
    <t>Jjamppong Seafood Noodle King Bowl</t>
  </si>
  <si>
    <t>Instant Porridge Seafood Flavour</t>
  </si>
  <si>
    <t>Gotsumori Sauce Yakisoba</t>
  </si>
  <si>
    <t>2015 #9</t>
  </si>
  <si>
    <t>Oriental Style Instant Noodles Wasabi Flavour</t>
  </si>
  <si>
    <t>Manchurian Instant Noodles</t>
  </si>
  <si>
    <t>Chef Gold Recipe Bihun Kari Seribu Rasa</t>
  </si>
  <si>
    <t>Katoz</t>
  </si>
  <si>
    <t>Instant Noodles Spicy Chili</t>
  </si>
  <si>
    <t>Men-Sunaoshi</t>
  </si>
  <si>
    <t>Miso Ramen</t>
  </si>
  <si>
    <t>Neoguri Udon Seafood &amp; Mild</t>
  </si>
  <si>
    <t>Royale Penang Seafood Curry</t>
  </si>
  <si>
    <t>Instant Noodles Tom Yum Pork Flavour</t>
  </si>
  <si>
    <t>Chewy</t>
  </si>
  <si>
    <t>Japanese Fried Ramen Noodles Kyoto Barbecue Sauce Flavour</t>
  </si>
  <si>
    <t>Tainan Yi Mien With Sesame Oil Sauce</t>
  </si>
  <si>
    <t>Quick Serve Macaroni Wonton Broth</t>
  </si>
  <si>
    <t>Donbei Kitsune Udon Mini</t>
  </si>
  <si>
    <t>Chef Gold Recipe Mi Kari Seribu Rasa</t>
  </si>
  <si>
    <t>2015 #6</t>
  </si>
  <si>
    <t>Chu Qian Yi Ding Prawn Flavour Instant Noodles With Soup Base</t>
  </si>
  <si>
    <t>Cup Noodles Mug Noodles Spicy Vegetable</t>
  </si>
  <si>
    <t>Shoop Instant Noodles BBQ Flavour</t>
  </si>
  <si>
    <t>Stewed Beef Flavor Cooking Noodle</t>
  </si>
  <si>
    <t>Bowl Noodle Soup Shrimp Habanero Lime Flavor</t>
  </si>
  <si>
    <t>Artificial Pork Flavor Noodles</t>
  </si>
  <si>
    <t>Ohmori Chukafu Yakisoba</t>
  </si>
  <si>
    <t>2015 #1</t>
  </si>
  <si>
    <t>Instant Noodles Xi Gon Artificial Stewed Beef Flavor</t>
  </si>
  <si>
    <t>Sogokimyun Hot Flavor Noodle Soup</t>
  </si>
  <si>
    <t>Easy Fideos Picante Lime Shrimp Flavor Ramen Noodle Soup</t>
  </si>
  <si>
    <t>Mianba Pork Ribs Flavor Instant Noodles</t>
  </si>
  <si>
    <t>Instant Noodles Mee Goreng</t>
  </si>
  <si>
    <t>Pop Mie Chicken Flavour Cup Noodles</t>
  </si>
  <si>
    <t>Magomi-an Kitsune Udon (Eastern Japan Flavor)</t>
  </si>
  <si>
    <t>Quick Zabb Tom Yum Shrimp Flavour Instant Noodles</t>
  </si>
  <si>
    <t>Potato Ramen</t>
  </si>
  <si>
    <t>Soba Chili Noodles With Japanese Yakisoba Sauce</t>
  </si>
  <si>
    <t>Multigrainz Noodles Spice Remix</t>
  </si>
  <si>
    <t>Asia Snabbnudlar Kycklingsmak</t>
  </si>
  <si>
    <t>Onion Oil &amp; Shrimp Flavor</t>
  </si>
  <si>
    <t>Spicy Tonkotsu Noodle Soup</t>
  </si>
  <si>
    <t>Mee Baa..Gus Mi Goreng Spicier Original Flavour</t>
  </si>
  <si>
    <t>Hot &amp; Spicy Instant Noodle (Mushroom &amp; Beef Flavour)</t>
  </si>
  <si>
    <t>I Want To Eat Ramen' Shoyu Flavor</t>
  </si>
  <si>
    <t>Mushroom Stew Chicken Ramen</t>
  </si>
  <si>
    <t>Jjol Bibim Men</t>
  </si>
  <si>
    <t>Cup Noodles Easy Fideos Tomato Chicken Flavor Ramen Noodle Soup</t>
  </si>
  <si>
    <t>Tom Yam Flavour Instant Noodles</t>
  </si>
  <si>
    <t>Instant Noodles Moo Nam Tok Flavour</t>
  </si>
  <si>
    <t>Instant Nudelsuppe Shrimp Flavour</t>
  </si>
  <si>
    <t>Cup Oriental Style Instant Noodles Chicken Flavour</t>
  </si>
  <si>
    <t>Instant Noodle Shrimp Tom Yum Flavour Jumbo Pack</t>
  </si>
  <si>
    <t>Instant Cup Noodles Shrimp Tom Yum Flavour (Extreme)</t>
  </si>
  <si>
    <t>Chicken Masala Flavour Instant Fried Noodles</t>
  </si>
  <si>
    <t>Instant Noodles Shrimp Creamy Tom Yum Flavour Jumbo Pack</t>
  </si>
  <si>
    <t>2013 #10</t>
  </si>
  <si>
    <t>Instant Cup Noodles Spicy Cheese Flavour</t>
  </si>
  <si>
    <t>Oriental Style Instant Noodles Beef Flavour</t>
  </si>
  <si>
    <t>Instant Cup Noodles Seafood Pad Kee Mao Flavour</t>
  </si>
  <si>
    <t>Creamy Tom Yam Instant Noodles</t>
  </si>
  <si>
    <t>Oriental Style Instant Noodles Green Curry Flavour Jumbo Pack</t>
  </si>
  <si>
    <t>2015 #8</t>
  </si>
  <si>
    <t>Shrimp "Tom Yum" Instant Nudelsuppe</t>
  </si>
  <si>
    <t>Penang White curry Noodle With Nanyang Chilli Paste</t>
  </si>
  <si>
    <t>Instant Lunch California Vegetable Ramen Noodles With Vegetables</t>
  </si>
  <si>
    <t>Steam Instant Noodles Korean Salt &amp; Rib Soup Flavour</t>
  </si>
  <si>
    <t>Premium Instant Noodles Spicy Beef Flavour</t>
  </si>
  <si>
    <t>Cup Noodles Tom Yam Veg Flavour</t>
  </si>
  <si>
    <t>Premium Instant Noodles Roasted Beef Flavour</t>
  </si>
  <si>
    <t>Chu Qian Yi Ding Sesame Oil Flavour</t>
  </si>
  <si>
    <t>Cup Noodles Chicken Flavour</t>
  </si>
  <si>
    <t>Premium Instant Noodles XO Sauce Seafood Flavour</t>
  </si>
  <si>
    <t>Japanese Ramen Kyushu Black Instant Noodles With Soup Base</t>
  </si>
  <si>
    <t>Japanese Ramen Tokyo Shoyu Instant Noodles With Soup Base</t>
  </si>
  <si>
    <t>Cup Noodles Seafood Curry Flavour</t>
  </si>
  <si>
    <t>Cup Noodles Cream Of Chicken Flavour</t>
  </si>
  <si>
    <t>Ippei-Chan Jumbo Night Market Style Yakisoba</t>
  </si>
  <si>
    <t>Penang Hokkien Prawn Noodle</t>
  </si>
  <si>
    <t>Instant Lunch Jalapeno Cheddar Flavor Ramen Noodles</t>
  </si>
  <si>
    <t>Harmony Korean Spicy Noodle Dish With Chipotle</t>
  </si>
  <si>
    <t>2 Minute Noodles Tom Yam Flavour</t>
  </si>
  <si>
    <t>Souper Meal Chili Picante Chicken With Lime Flavor Ramen Noodle Soup</t>
  </si>
  <si>
    <t>Dried Noodle With Beef Flavor Sauce</t>
  </si>
  <si>
    <t>Adabi</t>
  </si>
  <si>
    <t>Mi Segera Mi Goreng Pedas Instant Noodles</t>
  </si>
  <si>
    <t>Old Style Miso Ramen</t>
  </si>
  <si>
    <t>Quick Serve Macaroni Abalone &amp; Chicken Flavour</t>
  </si>
  <si>
    <t>Rice Noodle Beef With Brown Sauce</t>
  </si>
  <si>
    <t>2 Minute Noodles Assam Laksa Flavour</t>
  </si>
  <si>
    <t>Hot Cup Perisa Kari</t>
  </si>
  <si>
    <t>Senses Laksa Instant Noodles</t>
  </si>
  <si>
    <t>Extra Spicy Curry Instant Noodles</t>
  </si>
  <si>
    <t>Buldak Bokkummyeon</t>
  </si>
  <si>
    <t>Sabor A Gallina Fideos Con Instantanea</t>
  </si>
  <si>
    <t>Colombia</t>
  </si>
  <si>
    <t>Chukazanmai Beijing Style Salt Ramen</t>
  </si>
  <si>
    <t>Osaka Ramen</t>
  </si>
  <si>
    <t>Cheese Bokki</t>
  </si>
  <si>
    <t>Instant Penang White Curry Noodles</t>
  </si>
  <si>
    <t>Sainsbury's</t>
  </si>
  <si>
    <t>King Chef Seafood With Kimchi Flavour</t>
  </si>
  <si>
    <t>Pan Asian Kitchen Spicy Szechuan Chicken Flavor Ramen Noodles</t>
  </si>
  <si>
    <t>Korean Clay Pot Ramyun Noodle</t>
  </si>
  <si>
    <t>I Want To Eat Ramen Shio</t>
  </si>
  <si>
    <t>Ngon-Ngon Tom Yum Minced Pork Noodle</t>
  </si>
  <si>
    <t>Ppushu Ppushu Grilled Chicken Flavor</t>
  </si>
  <si>
    <t>Oat Noodle Abalone Flavored</t>
  </si>
  <si>
    <t>Chukazanmai Szechuan Style Miso</t>
  </si>
  <si>
    <t>Instant Rice Vermicelli Original Flavour</t>
  </si>
  <si>
    <t>Cheese Ramyun (for US market)</t>
  </si>
  <si>
    <t>Curry La-Men</t>
  </si>
  <si>
    <t>Non-Fried Ramen Noodles Taiwan Roast Pork Flavour</t>
  </si>
  <si>
    <t>Prince Katsu Snack Noodles</t>
  </si>
  <si>
    <t>Mi Segera Tom Yam Instant Noodles</t>
  </si>
  <si>
    <t>Spicy Artificial Beef Flavour Instant Noodles With Soup Base</t>
  </si>
  <si>
    <t>Pamana</t>
  </si>
  <si>
    <t>Chicken Sopas Creamy Macaroni Soup</t>
  </si>
  <si>
    <t>Annie Chun's</t>
  </si>
  <si>
    <t>Ramen House Thai Coconut Ramen</t>
  </si>
  <si>
    <t>La Fonte</t>
  </si>
  <si>
    <t>Spaghetti With Mushroom Sauce</t>
  </si>
  <si>
    <t>Masala Dumdaar Noodles</t>
  </si>
  <si>
    <t>Thai Choice</t>
  </si>
  <si>
    <t>Instant Noodles Seafood Flavour</t>
  </si>
  <si>
    <t>Tesco</t>
  </si>
  <si>
    <t>Everyday Value Chicken &amp; Mushroom Flavour</t>
  </si>
  <si>
    <t>Pop Bihun</t>
  </si>
  <si>
    <t>Spesial Rasa Kari Ayam Pedas</t>
  </si>
  <si>
    <t>Yomise No Yakisoba Shiodare Flavor With Black Pepper Mayonnaise</t>
  </si>
  <si>
    <t>Nature Is Delicious Non-Fried Ramyun (Spicy Flavor) (New Version)</t>
  </si>
  <si>
    <t>Oh! Ricey Pho Bo Instant Rice Noodles</t>
  </si>
  <si>
    <t>Fried Noodle Specialist Tom Yam Mee Goreng Flavour</t>
  </si>
  <si>
    <t>Steam Seafood Flavor Ramen</t>
  </si>
  <si>
    <t>Baby Star Snack Noodle Yakisoba Flavor</t>
  </si>
  <si>
    <t>Snapdragon</t>
  </si>
  <si>
    <t>Singapore Laksa Curry Soup Bowl</t>
  </si>
  <si>
    <t>Mild Kokomen (Prototype)</t>
  </si>
  <si>
    <t>Saji</t>
  </si>
  <si>
    <t>Sajimee Curry Soup Flavour</t>
  </si>
  <si>
    <t>Miracle Noodle</t>
  </si>
  <si>
    <t>Miso Marvellous Soup</t>
  </si>
  <si>
    <t>Shoop Instant Noodles Chicken Flavour</t>
  </si>
  <si>
    <t>Mi Goreng Rasa Iga Penyet</t>
  </si>
  <si>
    <t>Tiger Tiger</t>
  </si>
  <si>
    <t>Traveller's Choice Thai Red Curry Flavour Instant Noodles</t>
  </si>
  <si>
    <t>Barbecue Ramyun (Prototype)</t>
  </si>
  <si>
    <t>Takamori Kosan</t>
  </si>
  <si>
    <t>Red Pepper 7 Garlic Peperoncino</t>
  </si>
  <si>
    <t>Sukiyaki Style Noodle Stew</t>
  </si>
  <si>
    <t>Yaki-Udon Roast Soy Sauce</t>
  </si>
  <si>
    <t>Hiyashi Udon Bonito Sauce</t>
  </si>
  <si>
    <t>Futomen Yakisoba</t>
  </si>
  <si>
    <t>Hiyashi Chuka Lemon Sauce</t>
  </si>
  <si>
    <t>Chanpon</t>
  </si>
  <si>
    <t>Shio Yakisoba</t>
  </si>
  <si>
    <t>Yaki-Udon Mild Spicy Sauce</t>
  </si>
  <si>
    <t>Katsuo Dashi Udon</t>
  </si>
  <si>
    <t>Spaghetti Napolitan</t>
  </si>
  <si>
    <t>Spicy Garlic Ramen</t>
  </si>
  <si>
    <t>Everyday Value Beef &amp; Tomato Flavour Noodles</t>
  </si>
  <si>
    <t>Nagasaki Jjamppong</t>
  </si>
  <si>
    <t>Hearty Noodles Thai Flavour</t>
  </si>
  <si>
    <t>Papa</t>
  </si>
  <si>
    <t>Oriental Style Instant 'Kua-Chap'</t>
  </si>
  <si>
    <t>Hello Kitty Za Jiang (Soybean Sauce)</t>
  </si>
  <si>
    <t>Soba Teriyaki Noodles With Japanese Yakisoba Sauce</t>
  </si>
  <si>
    <t>Sawadee</t>
  </si>
  <si>
    <t>Instant Noodles Vegetable &amp; Mushroom Flavour</t>
  </si>
  <si>
    <t>Sir Long Tang Creamy Beef Noodle Soup</t>
  </si>
  <si>
    <t>Seaweed Hot &amp; Spicy Instant Noodle Mushroom &amp; Beef Flavour</t>
  </si>
  <si>
    <t>Golden Wheat</t>
  </si>
  <si>
    <t>Korean Style Stew Pork Flavour Noodle Soup</t>
  </si>
  <si>
    <t>Instant Noodle King Won Ton Flavor</t>
  </si>
  <si>
    <t>Instant Noodles Curry Flavour</t>
  </si>
  <si>
    <t>Chef Creamy Tom Yam Flavour</t>
  </si>
  <si>
    <t>Monster BBQ Flavour Snack Noodles</t>
  </si>
  <si>
    <t>Chef Curry Laksa Flavour</t>
  </si>
  <si>
    <t>SLLRRRP! Asam Laksa</t>
  </si>
  <si>
    <t>Mie Goreng Indonesia Spicy Sambal</t>
  </si>
  <si>
    <t>Chef Spicy Chicken Shiitake Flavour</t>
  </si>
  <si>
    <t>Instant Vermicelli Chicken Flavour</t>
  </si>
  <si>
    <t>Instant Noodles Vegetarian Flavour</t>
  </si>
  <si>
    <t>SLLRRRP! Kari Berapi</t>
  </si>
  <si>
    <t>Monster Chicken Flavour Snack Noodles</t>
  </si>
  <si>
    <t>2014 #7</t>
  </si>
  <si>
    <t>Mie Goreng Indonesia Original Flavour</t>
  </si>
  <si>
    <t>Instant Vermicelli Tom Yam Flavour</t>
  </si>
  <si>
    <t>Bulnak Bokkummyun Spicy Fried Octopus Ramyun</t>
  </si>
  <si>
    <t>Baby Star Ramen Round Consomme Mini</t>
  </si>
  <si>
    <t>Lotus Foods</t>
  </si>
  <si>
    <t>Forbidden Rice Ramen</t>
  </si>
  <si>
    <t>Millet &amp; Brown Rice Ramen</t>
  </si>
  <si>
    <t>Jade Pearl Rice Ramen</t>
  </si>
  <si>
    <t>Plats Du Chef</t>
  </si>
  <si>
    <t>Cuisine Adventures Chicken Pho Soup</t>
  </si>
  <si>
    <t>Taste Of Asia Mi Goreng Rasa Bulgogi Ala Korea</t>
  </si>
  <si>
    <t>Instant Rice Noodle Pad Thai</t>
  </si>
  <si>
    <t>Batchelors</t>
  </si>
  <si>
    <t>Super Noodles Peppered Steak Flavour</t>
  </si>
  <si>
    <t>Sakura Noodle</t>
  </si>
  <si>
    <t>Chikara Brand Udon Beef Flavor</t>
  </si>
  <si>
    <t>Fresh Chow Mein Noodles With Seasoning</t>
  </si>
  <si>
    <t>Chikara Brand Udon Hot &amp; Spicy Flavor</t>
  </si>
  <si>
    <t>Chikara Brand Udon Mushroom Flavor</t>
  </si>
  <si>
    <t>Chikara Brand Udon Oriental Flavor</t>
  </si>
  <si>
    <t>Chikara Brand Udon Chicken Flavor</t>
  </si>
  <si>
    <t>Taste Of Asia Mi Kuah Rasa Tom Yum Ala Thailand</t>
  </si>
  <si>
    <t>Otafuku Okonomi Sauce Yakisoba</t>
  </si>
  <si>
    <t>2014 #4</t>
  </si>
  <si>
    <t>Oriental Style Instant Noodle Mi Ga Chicken Flavor</t>
  </si>
  <si>
    <t>Hello Kitty La Wei (Spicy Flavor)</t>
  </si>
  <si>
    <t>Unif</t>
  </si>
  <si>
    <t>Unif-100 Instant Noodles Artificial Tart Beef Flavor</t>
  </si>
  <si>
    <t>Mi Segera SLLRRRP! Perencah Kari Xtra Pedas</t>
  </si>
  <si>
    <t>Spicy Shrimp Tom Yam Flavour</t>
  </si>
  <si>
    <t>Korean Style Mushroom Chicken Flavour Cooking Noodle</t>
  </si>
  <si>
    <t>Hi-Myon</t>
  </si>
  <si>
    <t>Instant Noodle Udon Hot &amp; Spicy</t>
  </si>
  <si>
    <t>Instant Noodles Cup Seafood Flavour</t>
  </si>
  <si>
    <t>Mi Segera Kari Ayam Instant Noodles</t>
  </si>
  <si>
    <t>Spa Oh Tarako Spaghetti</t>
  </si>
  <si>
    <t>Little Prince Brand Snack Noodles Original Flavor</t>
  </si>
  <si>
    <t>Japchae Vermicelli Noodle</t>
  </si>
  <si>
    <t>Korean Traditional Beef Gomtangmen</t>
  </si>
  <si>
    <t>Healtimie</t>
  </si>
  <si>
    <t>Green Barley Noodle Vegetable Soup</t>
  </si>
  <si>
    <t>I Want To Eat Ramen Miso Flavor</t>
  </si>
  <si>
    <t>Spesial Rasa Soto Ayam</t>
  </si>
  <si>
    <t>Thai Kitchen</t>
  </si>
  <si>
    <t>Rice Noodle Cart Thai Peanut</t>
  </si>
  <si>
    <t>Oriental Style Instant Noodles Seafood Flavour</t>
  </si>
  <si>
    <t>2014 #9</t>
  </si>
  <si>
    <t>Cup Noodle Cheese Curry</t>
  </si>
  <si>
    <t>Oriental Style Instant Noodles Tom Yam Flavour</t>
  </si>
  <si>
    <t>Instant Noodle Original Flavor</t>
  </si>
  <si>
    <t>Demae Ramen Shoyu Tonkotsu Artificial Pork Flavour</t>
  </si>
  <si>
    <t>Instant Noodles In A Cup Chicken Flavour</t>
  </si>
  <si>
    <t>Instant Noodles Yentafo Tom Yum Mohfai Flavour</t>
  </si>
  <si>
    <t>2014 #10</t>
  </si>
  <si>
    <t>Quick Serve Macaroni Shrimp Broth</t>
  </si>
  <si>
    <t>Red Nagasaki Jjampong</t>
  </si>
  <si>
    <t>Mr. Noodles</t>
  </si>
  <si>
    <t>Noodles In A Cup Spicy Chicken Simulated Flavour</t>
  </si>
  <si>
    <t>Good Tto Leu Foods</t>
  </si>
  <si>
    <t>Lightning Beef Bone Tteokguk Rice Cake Soup</t>
  </si>
  <si>
    <t>GaGa</t>
  </si>
  <si>
    <t>Mie Gepeng Kuah Rasa Ayam Lada Hitam</t>
  </si>
  <si>
    <t>Ramen With Pickled Mustard Flavor</t>
  </si>
  <si>
    <t>Steam Mushroom Flavor Ramen</t>
  </si>
  <si>
    <t>Prawn Noodles</t>
  </si>
  <si>
    <t>Cup Noodles Sabor A Carne Sopa Con Fideos</t>
  </si>
  <si>
    <t>M√¨ Ly Instant Noodles M√¨ T√¥m Shrimp Flavor</t>
  </si>
  <si>
    <t>Sain Sain Garlic Teriyaki Fresh Cooked Udon Pasta</t>
  </si>
  <si>
    <t>Braised Beef Noodles</t>
  </si>
  <si>
    <t>QQ Scallop Seafood Vermicelli</t>
  </si>
  <si>
    <t>Kimura</t>
  </si>
  <si>
    <t>Kumamoto Tonkotsu Ramen</t>
  </si>
  <si>
    <t>Super Noodles Roast Beef &amp; Onion Flavour</t>
  </si>
  <si>
    <t>Supreme Chow Mein Seafood Flavor Instant Stir-Fried Noodles</t>
  </si>
  <si>
    <t>Rice Noodle Cart Sweet Citrus Ginger</t>
  </si>
  <si>
    <t>Oolongmen Kimchi Cup Noodle Soup Mix</t>
  </si>
  <si>
    <t>Purple Wheat Noodles Aglio Olio</t>
  </si>
  <si>
    <t>Tokachimen Koubou</t>
  </si>
  <si>
    <t>Jet Black Sesame Oil Pork Tonkotsu</t>
  </si>
  <si>
    <t>Sun Dried Noodle Chlorella Powder Noodle With Curry Sauce</t>
  </si>
  <si>
    <t>Instant Noodles Mixed Vegetable</t>
  </si>
  <si>
    <t>Ppushu Ppushu Noodle Snack Bulgogi Flavor</t>
  </si>
  <si>
    <t>M√¨ G√† T√¨m Chua Cay Hot &amp; Sour Chicken Flavor Instant Noodles</t>
  </si>
  <si>
    <t>Mi Bandung Prawn Mee</t>
  </si>
  <si>
    <t>Ramen With Stewed Pork Flavor</t>
  </si>
  <si>
    <t>Shiitake Flavor Spinach Ramen</t>
  </si>
  <si>
    <t>Basics Instant Noodles Chicken Curry Flavour</t>
  </si>
  <si>
    <t>Baked Noodle Spicy Grilled Beef Ramyun</t>
  </si>
  <si>
    <t>Singapore Chilli Crab La Mian</t>
  </si>
  <si>
    <t>2014 #8</t>
  </si>
  <si>
    <t>Instant Noodles Taste Sensations Creamy Shrimp Tom Yum Flavour</t>
  </si>
  <si>
    <t>Rice Vermicelli Scallop With XO Sauce Flavour</t>
  </si>
  <si>
    <t>Dried Noodle With Jah Jan Sauce</t>
  </si>
  <si>
    <t>ABC</t>
  </si>
  <si>
    <t>Mi Cup Rasa Soto Ayam Chicken Soto Flavour</t>
  </si>
  <si>
    <t>Selera Pedas Mi Goreng Cup Rasa Gulai Ayam Pedas Hot Gulai Chicken</t>
  </si>
  <si>
    <t>Rasa Ayam Bawang Chicken Onion Flavour</t>
  </si>
  <si>
    <t>Selera Pedas Mi Goreng Cup Rasa Ayam Pedas Limau Hot Chicken Lemon Flavour</t>
  </si>
  <si>
    <t>Cup Noodle Curry X Gunpla RX-78-2 Gundam</t>
  </si>
  <si>
    <t>Mi Cup Rasa Kari Ayam Chicken Curry Flavour</t>
  </si>
  <si>
    <t>Eat &amp; Go</t>
  </si>
  <si>
    <t>Rasa Baso Sapi Meat Ball Mi Instan Cup</t>
  </si>
  <si>
    <t>Mi Goreng Pangsit Fried Noodle With Dumpling</t>
  </si>
  <si>
    <t>Chicken Onion Mi Instan Cup</t>
  </si>
  <si>
    <t>President</t>
  </si>
  <si>
    <t>Mi Goreng Rasa Ayam Chicken Flavoured Fried Noodle</t>
  </si>
  <si>
    <t>Mi Goreng Spesial Special Fried Noodle</t>
  </si>
  <si>
    <t>Curry Chicken Mi Instan Cup</t>
  </si>
  <si>
    <t>Sesame Oil Chicken Flavour Instant Noodle</t>
  </si>
  <si>
    <t>Chow Mein Teriyaki Chicken Flavor Chow Mein Noodles</t>
  </si>
  <si>
    <t>Instant Noodles Chow Mein Flavour</t>
  </si>
  <si>
    <t>Instant Noodles Tom Saab Flavour</t>
  </si>
  <si>
    <t>‰∏âÈ§äÎùºÎ©¥ (Samyang Ramyun) (South Korean Version)</t>
  </si>
  <si>
    <t>Sabor A Pollo Sopa Con Fideos</t>
  </si>
  <si>
    <t>Beef Flavour Tomato Ramen</t>
  </si>
  <si>
    <t>I Want To Eat Ramen Pork Tonkotsu Flavor</t>
  </si>
  <si>
    <t>Ramen House Chicken Vegetable Flavored Ramen</t>
  </si>
  <si>
    <t>Instant Noodle King Abalone &amp; Chicken Flavoured</t>
  </si>
  <si>
    <t>Unif-100 Pickled Cayenne Flavor Beef Ramen</t>
  </si>
  <si>
    <t>Demae Rice Vermicelli Chicken Flavour Instant Rice Vermicelli With Soup Base</t>
  </si>
  <si>
    <t>Garlic Chili Instant Rice Noodles &amp; Sauce</t>
  </si>
  <si>
    <t>Donbei Kansai Soy Sauce Flavor Udon</t>
  </si>
  <si>
    <t>Big Kari Perencah (Big Curry Flavor) 2 Minute Noodles</t>
  </si>
  <si>
    <t>SuperMi</t>
  </si>
  <si>
    <t>Rasa Ayam Spesial</t>
  </si>
  <si>
    <t>Sesame Ramen</t>
  </si>
  <si>
    <t>Instant Noodles Creamy Tom Yum Minced Pork Flavour</t>
  </si>
  <si>
    <t>Dare You Habanero Ramyun</t>
  </si>
  <si>
    <t>Demae Ramen Miso Tonkotsu Artificial Pork Flavor Ramen Noodle</t>
  </si>
  <si>
    <t>Barbecue Beef Flavour Instant Noodles</t>
  </si>
  <si>
    <t>Sabor A Pollo Sopa Instant√°nea Con Fideos</t>
  </si>
  <si>
    <t>Mie Gepeng Kuah Rasa Ayam Bawang Pedas</t>
  </si>
  <si>
    <t>Instant Noodle Shallot Flavor</t>
  </si>
  <si>
    <t>Sajimee Original Soto Soup Flavor</t>
  </si>
  <si>
    <t>Kumamoto</t>
  </si>
  <si>
    <t>Tonkotsu Ramen MEGA Dragon</t>
  </si>
  <si>
    <t>Seimen Japanese Instant Ramen Noodles Shio Aji</t>
  </si>
  <si>
    <t>Chicken Kimchi Oriental Style Noodles With Soup Base</t>
  </si>
  <si>
    <t>Artificial Braised Beef Flavor Instant Noodle</t>
  </si>
  <si>
    <t>Pan Asian Kitchen Sweet &amp; Sour Chicken Flavor Ramen Noodles</t>
  </si>
  <si>
    <t>HoMyeonDang</t>
  </si>
  <si>
    <t>Premium Noodle House Seafood Ramyun</t>
  </si>
  <si>
    <t>Instant Noodles Prawn Oriental Flavour</t>
  </si>
  <si>
    <t>Soba Classic Noodles With Japanese Yakisoba Sauce</t>
  </si>
  <si>
    <t>Selera Pedas Hot Semur Chicken Flavour</t>
  </si>
  <si>
    <t>Ultraman Instant Noodle Pork Flavour</t>
  </si>
  <si>
    <t>Mini Instant Noodle Spicy Flavor</t>
  </si>
  <si>
    <t>Ho Fan Beef Soup Flavored</t>
  </si>
  <si>
    <t>Hello Kitty Dim Sum Noodle Japanese Curry Flavour</t>
  </si>
  <si>
    <t>Super Low Fat Noodles Chilli Chicken Flavour</t>
  </si>
  <si>
    <t>Mi Instan Cup Milk Chicken Soup</t>
  </si>
  <si>
    <t>Rendang Beef Flavour Fried Instant Noodle</t>
  </si>
  <si>
    <t>Nan Jie Cun</t>
  </si>
  <si>
    <t>Hot -Dry Instant Noodles Chilli Flavour</t>
  </si>
  <si>
    <t>Instant Noodles Tom Yum Flavour</t>
  </si>
  <si>
    <t>Demae Iccho Instant Noodle With Soup Base Artificial Chicken Flavour</t>
  </si>
  <si>
    <t>Hell Spicy Mala</t>
  </si>
  <si>
    <t>Super Noodles Chicken Mushroom Flavour</t>
  </si>
  <si>
    <t>Korean Style Stew Prok Flavour Cooking Noodle</t>
  </si>
  <si>
    <t>UFO Yakisoba With Wasabi Mayonnaise</t>
  </si>
  <si>
    <t>China Best</t>
  </si>
  <si>
    <t>Frozen Satay Sauce Noodle</t>
  </si>
  <si>
    <t>Instant Noodles Pork Flavour With Black Pepper</t>
  </si>
  <si>
    <t>Cup Noodles Sabor A Gallina</t>
  </si>
  <si>
    <t>Mie Gepeng Kuah Rasa Soto Cabe Hijau</t>
  </si>
  <si>
    <t>Udon Miso Stew</t>
  </si>
  <si>
    <t>Instant Noodle Curry Flavour</t>
  </si>
  <si>
    <t>Instant Noodles Chicken Green Curry Flavour</t>
  </si>
  <si>
    <t>Maesaengyitangmyun Baked Noodle</t>
  </si>
  <si>
    <t>2014 #5</t>
  </si>
  <si>
    <t>Cup Noodle Chilli Tomato</t>
  </si>
  <si>
    <t>Bowl Noodles Chicken Flavor</t>
  </si>
  <si>
    <t>Instant Noodles Spicy Tomato Flavour</t>
  </si>
  <si>
    <t>Namja Ramyun (US Version)</t>
  </si>
  <si>
    <t>Soba Curry Noodles With Japanese Yakisoba Sauce</t>
  </si>
  <si>
    <t>Ramen With Simmered Pork Flavor</t>
  </si>
  <si>
    <t>Seribu 1000 Goreng Spesial</t>
  </si>
  <si>
    <t>Sanrio</t>
  </si>
  <si>
    <t>Hello Kitty Hakata Shoyutonkotsu Ramen</t>
  </si>
  <si>
    <t>Comet Mori Yukino Tan-tan men</t>
  </si>
  <si>
    <t>Braised Pork Ribs</t>
  </si>
  <si>
    <t>Shin Ramyun Cup</t>
  </si>
  <si>
    <t>Sabor A Carne Sopa Instant√°nea Con Fideos</t>
  </si>
  <si>
    <t>Basics Instant Noodles Chicken Flavour</t>
  </si>
  <si>
    <t>Pokemon Shoyu Ramen</t>
  </si>
  <si>
    <t>Cheese Noodle</t>
  </si>
  <si>
    <t>2014 #6</t>
  </si>
  <si>
    <t>Go Noodles Xtreme Hot &amp; Spicy Flavour</t>
  </si>
  <si>
    <t>Star Popeye Ramyun Snack</t>
  </si>
  <si>
    <t>What‚Äôs That? Leisure Meatballs Spicy Chicken Flavor</t>
  </si>
  <si>
    <t>Chukazanmai Guangdong Style Ramen</t>
  </si>
  <si>
    <t>Shin Black Spicy Pot-au-feu Flavor Premium Noodle Soup</t>
  </si>
  <si>
    <t>Mi ABC Rasa Ayam Bawang (Onion Chicken)</t>
  </si>
  <si>
    <t>Old Style Shio Ramen</t>
  </si>
  <si>
    <t>Green Barley Noodle Milk Chicken Soup</t>
  </si>
  <si>
    <t>Crab Flavor Instant Ramen</t>
  </si>
  <si>
    <t>Spesial Goreng Special</t>
  </si>
  <si>
    <t>Seaweed Ramen Made With Organic Noodles</t>
  </si>
  <si>
    <t>Traveller's Choice Indian Tikka Masala Flavour</t>
  </si>
  <si>
    <t>Jan Jan Yakisoba</t>
  </si>
  <si>
    <t>Noodles In A Cup Beef Simulated Flavour</t>
  </si>
  <si>
    <t>Donbei Curry Udon (West Japanese)</t>
  </si>
  <si>
    <t>Man Han Feast Sichuan Chilli Eel Flavor</t>
  </si>
  <si>
    <t>Chow Mein With Shrimp Chow Mein Noodles</t>
  </si>
  <si>
    <t>Bowl Chicken Simulated Flavour</t>
  </si>
  <si>
    <t>Rice Vermicelli Spicy Beef With Chilli Flavour</t>
  </si>
  <si>
    <t>Chanpon Ramen</t>
  </si>
  <si>
    <t>100 Green Chilli Soto Flavour</t>
  </si>
  <si>
    <t>Chacharoni</t>
  </si>
  <si>
    <t>Peyang</t>
  </si>
  <si>
    <t>Demae Iccho XO Sauce Seafood Flavour</t>
  </si>
  <si>
    <t>Golden Wonder</t>
  </si>
  <si>
    <t>The Nation's Noodle Beef &amp; Tomato Flavour</t>
  </si>
  <si>
    <t>Oriental Style Instant Vermicelli Sour Crab Flavour Soup</t>
  </si>
  <si>
    <t>Komforte Chockolates</t>
  </si>
  <si>
    <t xml:space="preserve">Savory Ramen </t>
  </si>
  <si>
    <t>Bar</t>
  </si>
  <si>
    <t>Korean Style Shrimp Flavour Cooking Noodle</t>
  </si>
  <si>
    <t>Spicy Flavor Tomato Ramen</t>
  </si>
  <si>
    <t>Tomato &amp; Basil Shio Ramen</t>
  </si>
  <si>
    <t>Fatafat Vegetable Flavor</t>
  </si>
  <si>
    <t>Krrish Instant Noodles Chicken Flavor</t>
  </si>
  <si>
    <t>Preeti Instant Noodles Chicken Soup Base</t>
  </si>
  <si>
    <t>Miteri Instant Noodles Vegetable Flavor</t>
  </si>
  <si>
    <t>Rumpum Chicken Soup Base</t>
  </si>
  <si>
    <t>2pm Precooked Noodles Chicken Curry Delight</t>
  </si>
  <si>
    <t>Fatafat Chicken Flavor</t>
  </si>
  <si>
    <t>Krrish Instant Noodles Vegetable Curry Flavor</t>
  </si>
  <si>
    <t>Rumpum Vegetable Soup Base</t>
  </si>
  <si>
    <t>Miteri Instant Noodles Chicken Flavor</t>
  </si>
  <si>
    <t>Joker Ready To Eat Noodles</t>
  </si>
  <si>
    <t>Preeti Instant Noodles Veg Soup Base</t>
  </si>
  <si>
    <t>Gaurav Chicken Seasoning</t>
  </si>
  <si>
    <t>Downtown Ramen Shop Shoyu</t>
  </si>
  <si>
    <t>Oriental Style Instant Noodles Crab Flavour</t>
  </si>
  <si>
    <t>Instant Noodle Beef &amp; Lime Flavour</t>
  </si>
  <si>
    <t>Katsuo Udon</t>
  </si>
  <si>
    <t>E-Men Noodles Abalone Soup Flavor</t>
  </si>
  <si>
    <t>Everyday Value Spicy Curry Flavour Noodles</t>
  </si>
  <si>
    <t>What‚Äôs That? Leisure Meatballs Chicken Flavor</t>
  </si>
  <si>
    <t>Big Cup Noodles Habanero Lime Shrimp Flavor Ramen Noodle Soup</t>
  </si>
  <si>
    <t>Baby Star Ramen Round Chikinmini</t>
  </si>
  <si>
    <t>Special Instant Pancit Bihon With Kalamansi</t>
  </si>
  <si>
    <t>Hearty Noodles Chicken Flavour</t>
  </si>
  <si>
    <t>Mie Jepeng Goreng Rasa Ayam Lada Hitam</t>
  </si>
  <si>
    <t>Japanese Style Noodles Shio Flavor</t>
  </si>
  <si>
    <t>Ganjjampong</t>
  </si>
  <si>
    <t>Fresh Yaki-Soba Stir Fry Noodles With Seasoning Sauce Base</t>
  </si>
  <si>
    <t>Nagao Noodle</t>
  </si>
  <si>
    <t>Ramen Kamen Thasos Galle Pork Bone</t>
  </si>
  <si>
    <t>Oat Noodle Sesame Oil Flavored</t>
  </si>
  <si>
    <t>Selera Pedas Mi Rebus Hot Gulai Flavor</t>
  </si>
  <si>
    <t>Taste Sensation Instant Noodles Curry Flavour</t>
  </si>
  <si>
    <t>Kimchi Bowl Noodles Oriental Noodle With Soup Base</t>
  </si>
  <si>
    <t>spicy Pad Thai Instant Noodles &amp; Sauce</t>
  </si>
  <si>
    <t>Mini Instant Noodles Artificial Chicken Flavor</t>
  </si>
  <si>
    <t>Pan Asian Kitchen Sukiyaki Beef Flavor Savory Soy Sauce Ramen Noodles</t>
  </si>
  <si>
    <t>Maitri</t>
  </si>
  <si>
    <t>Vegetarian Fried Noodles (Mie Goreng)</t>
  </si>
  <si>
    <t>Samyang Ramyun (SK Version)</t>
  </si>
  <si>
    <t>Oriental Style Instant Kua-Chap Clear Soup</t>
  </si>
  <si>
    <t>Korean Style Stew Beef Cooking Noodle</t>
  </si>
  <si>
    <t>GS25</t>
  </si>
  <si>
    <t>Gonghwachun Jjajangmyun</t>
  </si>
  <si>
    <t>Spaghetti With Bolognese Sauce</t>
  </si>
  <si>
    <t>Spicy Beef</t>
  </si>
  <si>
    <t>Demae Ramen Kimchi Flavour Instant Noodle With Soup Base</t>
  </si>
  <si>
    <t>Raoh Rich Soy Sauce With Roast Pork (2 Slices)</t>
  </si>
  <si>
    <t>Doong Ji Authentic Korean Cold Noodles With Chili Sauce</t>
  </si>
  <si>
    <t>Ippei-chan Yomise No Yakisoba Teriyaki Mayo Flavor</t>
  </si>
  <si>
    <t>Super Noodles Mild Mexican Chilli</t>
  </si>
  <si>
    <t>Spicy Chicken Mi Instan Cup</t>
  </si>
  <si>
    <t>Baltix</t>
  </si>
  <si>
    <t>Instant Noodles With Chicken Flavour Broth</t>
  </si>
  <si>
    <t>Estonia</t>
  </si>
  <si>
    <t>Instant Noodles With Beef Flavour Broth</t>
  </si>
  <si>
    <t>Low Fat Noodles Hainan Chicken</t>
  </si>
  <si>
    <t>Amianda</t>
  </si>
  <si>
    <t>Homely Dried Noodles - Sesame Pate</t>
  </si>
  <si>
    <t>Tachia Noodles - Hot &amp; Spicy Sauce</t>
  </si>
  <si>
    <t>Tachia Dried Noodles - Fried Shallot</t>
  </si>
  <si>
    <t>Thin Noodles - Sesame Oil</t>
  </si>
  <si>
    <t>Hakka Flat Noodles - Satay Sauce</t>
  </si>
  <si>
    <t>Tachia Dried Noodles - Rou Zhou Meat Sauce</t>
  </si>
  <si>
    <t xml:space="preserve">Homely Dried Noodles - Original Flavor </t>
  </si>
  <si>
    <t>Dried Noodles - Spicy Sauerkraut</t>
  </si>
  <si>
    <t>Hakka Flat Noodles - Fried Bean Sauce</t>
  </si>
  <si>
    <t>Tachia Dried Noodles - Peppery</t>
  </si>
  <si>
    <t>2014 #1</t>
  </si>
  <si>
    <t>Indian Curry Flavour</t>
  </si>
  <si>
    <t>Hao Hao Mi Goreng Shrimp &amp; Onion Flavour</t>
  </si>
  <si>
    <t>Noodles In A Cup Chicken Simulated Flavour</t>
  </si>
  <si>
    <t>GooTa Demi Hamburg-Men</t>
  </si>
  <si>
    <t>Mi Goreng Cabe Ijo</t>
  </si>
  <si>
    <t>Aloe Noodle Sesame Sauce</t>
  </si>
  <si>
    <t>Black Eyed Beans Noodle Basil Sauce &amp; Sesame Sauce</t>
  </si>
  <si>
    <t>Aloe Noodle Vegetable Sauce</t>
  </si>
  <si>
    <t>Black Eyed Beans Noodle Spicy Soybean Sauce &amp; Sesame Sauce</t>
  </si>
  <si>
    <t>Aloe Noodle Red Onion &amp; Sesame Sauce</t>
  </si>
  <si>
    <t>Black Eyed Beans Noodle Vegetable Sauce &amp; Sesame Sauce</t>
  </si>
  <si>
    <t>Aloe Noodle With Basil Sauce</t>
  </si>
  <si>
    <t>Pollen Noodles Sesame Sauce &amp; Soy Sauce</t>
  </si>
  <si>
    <t>Black Eyed Bean Noodle Red Onion Sauce &amp; Sesame Sauce</t>
  </si>
  <si>
    <t>Aloe Noodle With Spicy Soybean Sauce</t>
  </si>
  <si>
    <t>Raoh Soy Sauce Taste</t>
  </si>
  <si>
    <t>Premium Noodle House Pork &amp; Seafood Flavor</t>
  </si>
  <si>
    <t>Oriental Instant Noodles Stir Fried Noodles</t>
  </si>
  <si>
    <t>Cup Noodle Red Shock</t>
  </si>
  <si>
    <t>Tasty Bite</t>
  </si>
  <si>
    <t>1 Step-1 Minute Asian Noodles Pad Thai</t>
  </si>
  <si>
    <t>1 Step-1 Minute Asian Noodles Kung Pao</t>
  </si>
  <si>
    <t>1 Step-1 Minute Asian Noodles Mushroom Lo Mein</t>
  </si>
  <si>
    <t>1 Step-1 Minute Asian Noodles Thai Basil</t>
  </si>
  <si>
    <t>1 Step-1 Minute Asian Noodles Lemongrass Ginger</t>
  </si>
  <si>
    <t>1 Step-1 Minute Asian Noodles Toasted Sesame</t>
  </si>
  <si>
    <t>Star Anise Foods</t>
  </si>
  <si>
    <t>Happy Pho Vietnamese Brown Rice Noodle Soup Garlic Goodness</t>
  </si>
  <si>
    <t>Oriental Noodles Curry Flavour</t>
  </si>
  <si>
    <t>Dry Noodle Mandarin Noodle - Original Sauce</t>
  </si>
  <si>
    <t>Dry Noodle Hakka Noodle - Spicy Sesame Oil Sauce</t>
  </si>
  <si>
    <t>Dry Noodle Mandarin Noodle - Onion Oil Sauce</t>
  </si>
  <si>
    <t>Dry Noodle QQ Thin Noodle - BBQ Sauce</t>
  </si>
  <si>
    <t>No. 10 Mandarin Noodle - Black Pepper Sauce</t>
  </si>
  <si>
    <t>Dry Noodle Tainan Noodle - Sesame Sauce</t>
  </si>
  <si>
    <t>Dry Noodle Hakka Noodle - Chili Sauce</t>
  </si>
  <si>
    <t>Seimen Japanese Instant Ramen Noodles Soy Sauce Taste</t>
  </si>
  <si>
    <t>Japanese Pork Bone Flavour Quick Serve Macaroni</t>
  </si>
  <si>
    <t>Bowl Beef Simulated Flavor</t>
  </si>
  <si>
    <t>Yakisoba Noodle</t>
  </si>
  <si>
    <t>Stir Fry Noodles Japanese Style Noodles With Sauce</t>
  </si>
  <si>
    <t>Chow Mein Chicken</t>
  </si>
  <si>
    <t>Shin Ramyun Noodle Spicy Mushroom</t>
  </si>
  <si>
    <t>Rice Vermicelli Satay Chicken</t>
  </si>
  <si>
    <t>Potato Pork Ramyun</t>
  </si>
  <si>
    <t>Instant Noodles Super Chow Mein</t>
  </si>
  <si>
    <t>Bowl Hot &amp; Spicy Shrimp Flavor Ramen Noodles With Vegetables</t>
  </si>
  <si>
    <t>Chanponmen</t>
  </si>
  <si>
    <t>Dare You Habanero Jjamppong</t>
  </si>
  <si>
    <t>Korean Style Spicy Shrimp Noodle Soup</t>
  </si>
  <si>
    <t>Spicy Sichuan Flavor Instant Noodle</t>
  </si>
  <si>
    <t>Instant Noodles In A Cup Spicy Chicken</t>
  </si>
  <si>
    <t>King Cup Noodle BBQ Chicken &amp; Onion</t>
  </si>
  <si>
    <t>Authentic Thai Cuisine Pad Thai</t>
  </si>
  <si>
    <t>Premium Noodle House Don Ramyun</t>
  </si>
  <si>
    <t>60 Ingredients Assorted Vegetable SK Version</t>
  </si>
  <si>
    <t>Nagasaki Crab Jjampong</t>
  </si>
  <si>
    <t>Buldalk Bokkeummyeon (Hot Fried Chicken Ramyun)</t>
  </si>
  <si>
    <t>Yukgaejang Beef Ramyun</t>
  </si>
  <si>
    <t>Bajirak Kalgugsu</t>
  </si>
  <si>
    <t>Hot Chacharoni</t>
  </si>
  <si>
    <t>Premium Noodle House Tofu Fried Noodle</t>
  </si>
  <si>
    <t>Samyang Ramyun</t>
  </si>
  <si>
    <t>Premuim Noodle House Crab Jjampong</t>
  </si>
  <si>
    <t>Beef Flavor Ramyun (SK Version)</t>
  </si>
  <si>
    <t>Nagasaki Jjampong</t>
  </si>
  <si>
    <t>Kimchi Ramyun (SK Version)</t>
  </si>
  <si>
    <t>Sutah (SK Version)</t>
  </si>
  <si>
    <t>Big Cup Noodles Habanero Lime Chicken Flavor Ramen Noodle Soup</t>
  </si>
  <si>
    <t>Tradition</t>
  </si>
  <si>
    <t>Oriental Style Ramen Noodle Soup</t>
  </si>
  <si>
    <t>King Spa Oh Peperoncino Spaghetti (Êó•Ê∏ÖÁîü„Çø„Ç§„ÉóSpaÁéã „Éö„Éö„É≠„É≥„ÉÅ„Éº„Éé)</t>
  </si>
  <si>
    <t>Oh! Ricey H·ªß Ti·∫øu S∆∞·ªùn Heo (Pork Spareribs Flavour)</t>
  </si>
  <si>
    <t>Good Noodles Oosterse Kip (Oriental Chicken)</t>
  </si>
  <si>
    <t>Holland</t>
  </si>
  <si>
    <t>Bowl Hot &amp; Spicy Chicken Flavor Ramen Noodles With Vegetables</t>
  </si>
  <si>
    <t>Korean Style Spicy Beef Noodle Soup</t>
  </si>
  <si>
    <t>Instant Noodles In A Cup Oriental</t>
  </si>
  <si>
    <t>Sesame Flavor Noodle Bowl</t>
  </si>
  <si>
    <t>Demae Ramen Sesame Oil Flavour Noodles With Soup Base</t>
  </si>
  <si>
    <t>Amino</t>
  </si>
  <si>
    <t>Barszcz czerwony (Borscht)</t>
  </si>
  <si>
    <t>Poland</t>
  </si>
  <si>
    <t>Chow Mein Spicy Teriyaki Beef</t>
  </si>
  <si>
    <t>Bowl Spicy Chicken Simulated Flavour</t>
  </si>
  <si>
    <t>–î–û–®–ò–†–ê–ö (Dosirac) Beef Flavor</t>
  </si>
  <si>
    <t>Yakisoba Beef Taco Flavor</t>
  </si>
  <si>
    <t>Pot Noodle</t>
  </si>
  <si>
    <t>Tony's Doner Kebab</t>
  </si>
  <si>
    <t>Shin Ramyun Black Spicy Beef</t>
  </si>
  <si>
    <t>Miso Stew Instant Udon (Winter)</t>
  </si>
  <si>
    <t>Bowl Chicken Flavor</t>
  </si>
  <si>
    <t>Tom Yum Shrimp Flavour</t>
  </si>
  <si>
    <t>Sate</t>
  </si>
  <si>
    <t>Singapore Laksa La Mian</t>
  </si>
  <si>
    <t>2013 #1</t>
  </si>
  <si>
    <t>Singapore Curry La Mian</t>
  </si>
  <si>
    <t>2013 #2</t>
  </si>
  <si>
    <t>Pan Asian Kitchen Spicy Pad Thai</t>
  </si>
  <si>
    <t>Gonghwachun Jjamppong</t>
  </si>
  <si>
    <t>Ogorkowa</t>
  </si>
  <si>
    <t>Singapore Soft Noodles</t>
  </si>
  <si>
    <t>Jong-Gah-Jip Kimchi Ramen</t>
  </si>
  <si>
    <t>Go Noodles Thai Hot &amp; Spicy Tom Yum</t>
  </si>
  <si>
    <t>Sun Noodle</t>
  </si>
  <si>
    <t>Ramen Shoyu Flavor</t>
  </si>
  <si>
    <t>Tantanmen Spicy Sesame (Mild)</t>
  </si>
  <si>
    <t>Ramen Miso Flavor</t>
  </si>
  <si>
    <t>S&amp;S</t>
  </si>
  <si>
    <t>Saimin</t>
  </si>
  <si>
    <t>Cold Ramen Soy Sauce Vinaigrette</t>
  </si>
  <si>
    <t>Nama Soba Buckwheat Noodle</t>
  </si>
  <si>
    <t>Ramen Pork Flavor</t>
  </si>
  <si>
    <t>Donbei Tensoba</t>
  </si>
  <si>
    <t>Spaghetti Ramen</t>
  </si>
  <si>
    <t>Chilli Beef Flavour</t>
  </si>
  <si>
    <t>Ramen House Spicy Chicken Ramen</t>
  </si>
  <si>
    <t>Springlife</t>
  </si>
  <si>
    <t>Spinach With Organic Noodles</t>
  </si>
  <si>
    <t>Soup Bowl Chinese Chicken</t>
  </si>
  <si>
    <t>Noodle Express Spicy Szechuan</t>
  </si>
  <si>
    <t>Soup Bowl Vietnamese Pho</t>
  </si>
  <si>
    <t>Noodle Express Teriyaki</t>
  </si>
  <si>
    <t>Soup Bowl South Korean Kimchi</t>
  </si>
  <si>
    <t>Ramen House Spring Vegetable Ramen</t>
  </si>
  <si>
    <t>Noodle Express Chinese Chow Mein</t>
  </si>
  <si>
    <t>Raoh Backfat Rich Soy Sauce Flavor</t>
  </si>
  <si>
    <t>Mr. Chu‚Äôs Golden Noodle No. 7 Sticky Rib</t>
  </si>
  <si>
    <t>Bowl Noodle Soup Spicy Seafood Flavor (New Version)</t>
  </si>
  <si>
    <t>Chow Mein Soft Noodles</t>
  </si>
  <si>
    <t>Bowl Noodles Hot &amp; Spicy Super Picante</t>
  </si>
  <si>
    <t>ARCHE Naturk√ºche Ramen Mit Ingwer</t>
  </si>
  <si>
    <t>Soy Sauce Ramen</t>
  </si>
  <si>
    <t>100% Vegetarian Soy Sauce Flavor</t>
  </si>
  <si>
    <t>Sesame Noodles</t>
  </si>
  <si>
    <t>ARCHE Naturk√ºche Japanische Nudelsuppe</t>
  </si>
  <si>
    <t>Sweet &amp; Spicy</t>
  </si>
  <si>
    <t>Pomidorowa (Mild Tomato)</t>
  </si>
  <si>
    <t>Kiss Myon</t>
  </si>
  <si>
    <t xml:space="preserve">Instant Noodles Chicken </t>
  </si>
  <si>
    <t>Hot &amp; Spicy 2 Minute Noodles</t>
  </si>
  <si>
    <t>Yakisoba Jalapeno Cheddar</t>
  </si>
  <si>
    <t>Right Foods</t>
  </si>
  <si>
    <t>Dr. McDougall's Vegan Chicken Ramen</t>
  </si>
  <si>
    <t>Jamaican Jerk!</t>
  </si>
  <si>
    <t>Oriental Style Instant Noodles (Dry method)</t>
  </si>
  <si>
    <t>Zurek</t>
  </si>
  <si>
    <t>E-men Lobster Soup</t>
  </si>
  <si>
    <t>Go Noodles Chicken Special</t>
  </si>
  <si>
    <t>Sour Soup Flavor</t>
  </si>
  <si>
    <t>Sweet &amp; Sour</t>
  </si>
  <si>
    <t>Yakisoba Four Cheese</t>
  </si>
  <si>
    <t>Shrimp (TOM YUM)</t>
  </si>
  <si>
    <t>Mild Tonkotsu</t>
  </si>
  <si>
    <t>Beef</t>
  </si>
  <si>
    <t>Jinjja Jinjja Flamin' Hot &amp; Nutty</t>
  </si>
  <si>
    <t>2013 #4</t>
  </si>
  <si>
    <t>Kokomen Spicy Chicken</t>
  </si>
  <si>
    <t>Namja Ramen (USA version)</t>
  </si>
  <si>
    <t>dried Mix Noodles Soya Bean Paste</t>
  </si>
  <si>
    <t>35% Less Sodium Beef</t>
  </si>
  <si>
    <t>Good Artificial Minced Pork Bean Vermicelli</t>
  </si>
  <si>
    <t>Dried Mix Noodles Artificial Spicy Pork</t>
  </si>
  <si>
    <t>VegeMee Vegetarian Flavour</t>
  </si>
  <si>
    <t>Dare You! Habanero Ramen</t>
  </si>
  <si>
    <t>35% Less Sodium Chicken</t>
  </si>
  <si>
    <t>LadMee Hot Pepper</t>
  </si>
  <si>
    <t>Sunlee</t>
  </si>
  <si>
    <t>Shitake Mushroom Vernicalli</t>
  </si>
  <si>
    <t>Jjajang Bokki</t>
  </si>
  <si>
    <t>Hot &amp; Spicy Udon</t>
  </si>
  <si>
    <t>Tempura Udon Flavor Cup Ramyun</t>
  </si>
  <si>
    <t>Good Chicken Abalone Bean Vermicelli</t>
  </si>
  <si>
    <t>Goku Uma</t>
  </si>
  <si>
    <t>Seafood Flavor Japanese Noodles</t>
  </si>
  <si>
    <t>Casserole Beef Flavour</t>
  </si>
  <si>
    <t>Ramen Shop Sapporo Miso</t>
  </si>
  <si>
    <t>Spicy Shrimp Cup Ramyun</t>
  </si>
  <si>
    <t>Instant Lunch Shrimp</t>
  </si>
  <si>
    <t>Top Ramen Cucharealo Habanero Shrimp</t>
  </si>
  <si>
    <t>Namja Ramyun</t>
  </si>
  <si>
    <t xml:space="preserve">
</t>
  </si>
  <si>
    <t>Kriuuk Bawang</t>
  </si>
  <si>
    <t>Original Flavor</t>
  </si>
  <si>
    <t>Neoguri Spicy Seafood</t>
  </si>
  <si>
    <t>Daddy</t>
  </si>
  <si>
    <t>Kari 365 Curry Flavour</t>
  </si>
  <si>
    <t>Vegetable Instant Noodle soup</t>
  </si>
  <si>
    <t>Ippei-chan Yomise-No Yakisoba Oriental</t>
  </si>
  <si>
    <t>Han's South Korea</t>
  </si>
  <si>
    <t>Rice Noodle With Seafood Flavored Soup</t>
  </si>
  <si>
    <t>Pho Bo Beef Flavour Rice Stick</t>
  </si>
  <si>
    <t>Sarimi</t>
  </si>
  <si>
    <t>Rasa Ayam Bawang</t>
  </si>
  <si>
    <t>Instant Lunch Chicken</t>
  </si>
  <si>
    <t>FMF</t>
  </si>
  <si>
    <t xml:space="preserve">Chow Tomato </t>
  </si>
  <si>
    <t>Long Kow</t>
  </si>
  <si>
    <t>Crystal Noodles Savory Shoyu</t>
  </si>
  <si>
    <t>Chow Masala</t>
  </si>
  <si>
    <t>Good Tomyum Kung Bean Vermicelli</t>
  </si>
  <si>
    <t>Sedaaap Mi Goreng</t>
  </si>
  <si>
    <t>Rice Noodle With Kimchi Flavored Soup</t>
  </si>
  <si>
    <t>Bowl Noodle Shrimp Flavor</t>
  </si>
  <si>
    <t>Selera Pedas Hot Tomato Soup Flavor</t>
  </si>
  <si>
    <t>Hao Hao Mushroom</t>
  </si>
  <si>
    <t>Unif / Tung-I</t>
  </si>
  <si>
    <t>Mushroom Flavor Ramen Noodles</t>
  </si>
  <si>
    <t>Rich Shoyu Ramen</t>
  </si>
  <si>
    <t xml:space="preserve">Nagasaki Sara Udon Chicken </t>
  </si>
  <si>
    <t>Cold Noodles With Lemon Soy¬†Dressing</t>
  </si>
  <si>
    <t>Tonkotsu-Shoyu Rich Pork Flavor¬†Ramen</t>
  </si>
  <si>
    <t>Miso Ramen Rich Sapporo Miso</t>
  </si>
  <si>
    <t>Miso Ramen - Mild</t>
  </si>
  <si>
    <t>Shio Ramen Seafood Mild</t>
  </si>
  <si>
    <t>GoBang</t>
  </si>
  <si>
    <t>Rice Noodle With Hot &amp; Spicy</t>
  </si>
  <si>
    <t>South Korean Style Seafood</t>
  </si>
  <si>
    <t>Song Hak</t>
  </si>
  <si>
    <t>Rice Topokki</t>
  </si>
  <si>
    <t>Top Ramen Short Cuts Lime Chili</t>
  </si>
  <si>
    <t>Shin Bowl (New)</t>
  </si>
  <si>
    <t>Soto Koya Pedasss</t>
  </si>
  <si>
    <t>Artificial Chicken Rice Vermicelli</t>
  </si>
  <si>
    <t>Fuji Mengyo</t>
  </si>
  <si>
    <t>Nabeyaki Udon</t>
  </si>
  <si>
    <t>Viet Rice Noodles Chicken</t>
  </si>
  <si>
    <t>Chapagetti</t>
  </si>
  <si>
    <t>Dragonfly</t>
  </si>
  <si>
    <t>Artificial Hot &amp; Sour Shrimp</t>
  </si>
  <si>
    <t>Mi Keriting Rasa Ayam Bawang</t>
  </si>
  <si>
    <t>Good Chicken Bean Vermicelli</t>
  </si>
  <si>
    <t>CJ CheilJedang</t>
  </si>
  <si>
    <t>Katsuobushi Udon</t>
  </si>
  <si>
    <t>Rasa Coto Makassar</t>
  </si>
  <si>
    <t>Mianba</t>
  </si>
  <si>
    <t>Stewed Duck</t>
  </si>
  <si>
    <t>Chinese Spices Tong Tsai Bean Vermicelli</t>
  </si>
  <si>
    <t>Special Fried Curly Noodle (Local)</t>
  </si>
  <si>
    <t>Top Ramen Short Cuts Roast Chicken</t>
  </si>
  <si>
    <t>Hao Hao Mi Chay Vegetarian</t>
  </si>
  <si>
    <t>Artificial Pickled Cabbage Fish</t>
  </si>
  <si>
    <t>Imitation Chicken Vegetarian</t>
  </si>
  <si>
    <t>Rasa Mi Cakalang</t>
  </si>
  <si>
    <t>Seafood Vermicelli Anchovy</t>
  </si>
  <si>
    <t>Mushroom Vegetarian</t>
  </si>
  <si>
    <t>Bestcook Hot &amp; Sour Shrimp</t>
  </si>
  <si>
    <t>Crystal Noodles Hot &amp; Sour</t>
  </si>
  <si>
    <t>Dongwon</t>
  </si>
  <si>
    <t>RaUdong Unfried Noodle With Kimchi</t>
  </si>
  <si>
    <t>Sedaaap Mi Kuah Rasa Kari Ayam</t>
  </si>
  <si>
    <t>Artificial Pork Ribs</t>
  </si>
  <si>
    <t>Top Ramen Short Cuts Chicken</t>
  </si>
  <si>
    <t>Top Ramen Cucharealo Tomato Chicken</t>
  </si>
  <si>
    <t>South Korean Style Spicy Pork</t>
  </si>
  <si>
    <t>Sansai Soba Edible Wld Plant</t>
  </si>
  <si>
    <t>Mi Kim Chee</t>
  </si>
  <si>
    <t>Doong Ji Cold Noodle Chilled Broth</t>
  </si>
  <si>
    <t>2 Minute Noodles Perencah Asam Laksa</t>
  </si>
  <si>
    <t>Top Ramen Short Cuts Beef</t>
  </si>
  <si>
    <t>Artificial Stew Beef</t>
  </si>
  <si>
    <t>Chapagetti (South Korean)</t>
  </si>
  <si>
    <t>Stir Rice Vermicelli Singaporean Laksa</t>
  </si>
  <si>
    <t>Mild Bean Curd Stew</t>
  </si>
  <si>
    <t>Soto Koya Gurih</t>
  </si>
  <si>
    <t>Top Ramen Cucharealo Picante Chicken</t>
  </si>
  <si>
    <t>Mi Chay Vegetarian</t>
  </si>
  <si>
    <t>Shrimp</t>
  </si>
  <si>
    <t>Mi Goreng Kriuuk Pedas</t>
  </si>
  <si>
    <t>Vegetarian</t>
  </si>
  <si>
    <t>Mee Goreng Dry Ramen Noodles</t>
  </si>
  <si>
    <t>Instant Porridge Chicken</t>
  </si>
  <si>
    <t>Seven-Eleven</t>
  </si>
  <si>
    <t>Seven &amp; I Shoyu</t>
  </si>
  <si>
    <t>Kko Kko Myun King Cup</t>
  </si>
  <si>
    <t>Seolleongtangmyeon</t>
  </si>
  <si>
    <t>Rabokki</t>
  </si>
  <si>
    <t>Namja</t>
  </si>
  <si>
    <t>Shoyu</t>
  </si>
  <si>
    <t>Bibim Men Cucumber</t>
  </si>
  <si>
    <t>2013 #9</t>
  </si>
  <si>
    <t>Speed King Bowl (Prototype)</t>
  </si>
  <si>
    <t>Potatoes &amp; Stewed Beef</t>
  </si>
  <si>
    <t>Tom Yum Shrimp Rice Stick</t>
  </si>
  <si>
    <t>Tempura Soba</t>
  </si>
  <si>
    <t>Sedaaap Mi Kuah Rasa Soto</t>
  </si>
  <si>
    <t>Souper</t>
  </si>
  <si>
    <t>Bowl Ramen Shrimp</t>
  </si>
  <si>
    <t>Oh! Ricey Phnom Penh Rice Noodle</t>
  </si>
  <si>
    <t>Stewde Chicken Of Mushroom</t>
  </si>
  <si>
    <t>Spicy Chicken</t>
  </si>
  <si>
    <t>Vegetable</t>
  </si>
  <si>
    <t>Selera Pedas Mi Goreng Hot Chicken Lemon</t>
  </si>
  <si>
    <t>Neoguri Mild (South Korea)</t>
  </si>
  <si>
    <t>Kim's Bowl</t>
  </si>
  <si>
    <t>Vegetarian Tom Yum</t>
  </si>
  <si>
    <t>Super Rasa Ayam Bawang</t>
  </si>
  <si>
    <t>Ohsung</t>
  </si>
  <si>
    <t>Hot Spicy Bowl With Soy Peptide</t>
  </si>
  <si>
    <t>Super Big Ramen Soy Sauce</t>
  </si>
  <si>
    <t>Abalone Chicken</t>
  </si>
  <si>
    <t>Premium Taste Roasted Beef</t>
  </si>
  <si>
    <t>Isi 2 Mi Goreng Rasa Ayam Kecap</t>
  </si>
  <si>
    <t>Gau Do</t>
  </si>
  <si>
    <t>Hot Sour Shrimp</t>
  </si>
  <si>
    <t>Chicken</t>
  </si>
  <si>
    <t>Bowl Noodle Savory Chicken (New)</t>
  </si>
  <si>
    <t>South Korean Style Pork</t>
  </si>
  <si>
    <t>Golden Mie</t>
  </si>
  <si>
    <t>Dubai</t>
  </si>
  <si>
    <t>Kingcook Vegetable</t>
  </si>
  <si>
    <t>Red Oil Dan Dan</t>
  </si>
  <si>
    <t>Soto Koya Jeruk Nipis</t>
  </si>
  <si>
    <t>Bowl Noodle Spicy Chicken (New)</t>
  </si>
  <si>
    <t>Super Big Ramen Tonkotsu</t>
  </si>
  <si>
    <t>GreeNoodle</t>
  </si>
  <si>
    <t>Shiitake &amp; Soy Sauce</t>
  </si>
  <si>
    <t>GoKar</t>
  </si>
  <si>
    <t>100 Beef With Sauerkraut</t>
  </si>
  <si>
    <t>Ramen E Ramen White Broth</t>
  </si>
  <si>
    <t>Isi 2 Rasa Soto</t>
  </si>
  <si>
    <t>Cai Lin Ji Dry Noodles</t>
  </si>
  <si>
    <t>Cup Noodles Salsa Picante Chicken</t>
  </si>
  <si>
    <t>Bowl Noodle Savory Shrimp (New)</t>
  </si>
  <si>
    <t>Kingcook Beef</t>
  </si>
  <si>
    <t>Jin Ramen (Mild) (Import)</t>
  </si>
  <si>
    <t>Mi Goreng Kriuuk Ayam</t>
  </si>
  <si>
    <t>Express Cup Curry</t>
  </si>
  <si>
    <t>Oriental</t>
  </si>
  <si>
    <t>Isi 2 Rasa Kari spesial</t>
  </si>
  <si>
    <t>Seafood</t>
  </si>
  <si>
    <t>Rasa Sup Sayuran Vegan</t>
  </si>
  <si>
    <t>TVP Stewed Pork</t>
  </si>
  <si>
    <t>Bowl Noodle Hot &amp; Spicy Beef (New)</t>
  </si>
  <si>
    <t>Mi Kuah Rasa Ayam Bawang</t>
  </si>
  <si>
    <t>Kailo</t>
  </si>
  <si>
    <t>Cup Noodles Shrimp Picante Style</t>
  </si>
  <si>
    <t>Fashion Foods</t>
  </si>
  <si>
    <t>Beef Pho</t>
  </si>
  <si>
    <t>Kuah Rice Noodles</t>
  </si>
  <si>
    <t>Seafood Noodle Cup</t>
  </si>
  <si>
    <t>2 Minute Noodles Tricky Tomato</t>
  </si>
  <si>
    <t>Kimchi Pickle Bean Vermicelli</t>
  </si>
  <si>
    <t>Garlic Vegetable Rice Noodle</t>
  </si>
  <si>
    <t>Big Cup Noodles Roast Chicken</t>
  </si>
  <si>
    <t>Bowl Noodle Savory Lobster (New)</t>
  </si>
  <si>
    <t>Artificial Stew Pork</t>
  </si>
  <si>
    <t>Mi Goreng Vegan</t>
  </si>
  <si>
    <t>Bikkuchigekara Big Chige</t>
  </si>
  <si>
    <t xml:space="preserve">Udon </t>
  </si>
  <si>
    <t>Ansungtangmyun (US Version)</t>
  </si>
  <si>
    <t>Soba</t>
  </si>
  <si>
    <t>Bowl Noodle Savory Tempura Udon</t>
  </si>
  <si>
    <t>Shin Ramyun Black Onion</t>
  </si>
  <si>
    <t>Bowl Noodle Spicy Kimchi (New)</t>
  </si>
  <si>
    <t>Chow Mein (New)</t>
  </si>
  <si>
    <t>Hosoonyi</t>
  </si>
  <si>
    <t>Naengmyeon Combo</t>
  </si>
  <si>
    <t>Spoon-it Chicken</t>
  </si>
  <si>
    <t>Artificial Mushroom Chicken</t>
  </si>
  <si>
    <t>Jinjja Jinjja</t>
  </si>
  <si>
    <t>Payless</t>
  </si>
  <si>
    <t>Instant Mami Beef</t>
  </si>
  <si>
    <t>Express Cup Tom Yum</t>
  </si>
  <si>
    <t>chicken</t>
  </si>
  <si>
    <t>Good Good Eat Super Ramen Vegetable</t>
  </si>
  <si>
    <t>Mi Goreng Sate (Local)</t>
  </si>
  <si>
    <t>Artificial Spicy Beef</t>
  </si>
  <si>
    <t>U.F.O. Yakiosoba</t>
  </si>
  <si>
    <t>Chicken Shrimp</t>
  </si>
  <si>
    <t>Yakisoba Spicy Vegetable</t>
  </si>
  <si>
    <t>Odongtong Myon Seafood</t>
  </si>
  <si>
    <t>Mi Goreng Rasa Ayam Panggang Jumbo (Local)</t>
  </si>
  <si>
    <t>Rasa Soto Betawi</t>
  </si>
  <si>
    <t>Curly Noodle With Chicken Chilli Paddi</t>
  </si>
  <si>
    <t>Rasa Mi Kocok Bandung</t>
  </si>
  <si>
    <t>Rasa Soto Banjar Limau Kulit</t>
  </si>
  <si>
    <t>Mi Goreng Jumbo Beef</t>
  </si>
  <si>
    <t>Rasa Kari Ayam Medan</t>
  </si>
  <si>
    <t>Rasa Empal Gentong</t>
  </si>
  <si>
    <t>Mi Goreng Cakalang</t>
  </si>
  <si>
    <t>Mi Goreng Instant Cup Noodles</t>
  </si>
  <si>
    <t>Curly Noodle With Laksa Chilli</t>
  </si>
  <si>
    <t>Mi Goreng Barbecue Chicken</t>
  </si>
  <si>
    <t>Yamamoto</t>
  </si>
  <si>
    <t>Seafood Ramen</t>
  </si>
  <si>
    <t>Bowl Noodle Savory Beef</t>
  </si>
  <si>
    <t>Chicken Curry</t>
  </si>
  <si>
    <t>Spoon-it Beef</t>
  </si>
  <si>
    <t>Ramen Bowl Spicy Chicken</t>
  </si>
  <si>
    <t>Hu Tieu Ca Stewed Fish</t>
  </si>
  <si>
    <t>Mi Goreng Rendang (Import)</t>
  </si>
  <si>
    <t>2013 #3</t>
  </si>
  <si>
    <t>Nature Is Delicious Spicy</t>
  </si>
  <si>
    <t>Spoon-it Creamy Chicken</t>
  </si>
  <si>
    <t>Seaweed</t>
  </si>
  <si>
    <t>Hearty Rice Noodle Beef</t>
  </si>
  <si>
    <t>Saigon Ve Wong</t>
  </si>
  <si>
    <t>Kung Fu Mixed Foods</t>
  </si>
  <si>
    <t>Chow Mein Spicy Chicken</t>
  </si>
  <si>
    <t>Wu Mu</t>
  </si>
  <si>
    <t>Pork Flavor Ramen</t>
  </si>
  <si>
    <t>Mee Jang</t>
  </si>
  <si>
    <t>Noodle Soup Spicy Beef Garlic Onion</t>
  </si>
  <si>
    <t>Man Han Feast Spring Onion Eel</t>
  </si>
  <si>
    <t>South Korean Style Beef</t>
  </si>
  <si>
    <t>Chow Mein Chinese Chicken Vegetable</t>
  </si>
  <si>
    <t>Spoon-it Rich Hearty Beef Stew</t>
  </si>
  <si>
    <t>Demae Ramen Black Garlic Oil Tonkotsu</t>
  </si>
  <si>
    <t>Big Cup Noodles Lime Chili Shrimp</t>
  </si>
  <si>
    <t>Chikin Ramen (Local)</t>
  </si>
  <si>
    <t>Cup Noodles Salsa Picante Shrimp</t>
  </si>
  <si>
    <t>Chow Mein Orange Chicken</t>
  </si>
  <si>
    <t>Spoon-it Rich Hearty Savory Chicken</t>
  </si>
  <si>
    <t>Big Cup Noodles Spicy Chicken</t>
  </si>
  <si>
    <t>JFC</t>
  </si>
  <si>
    <t>Japanese Style Noodle Curry</t>
  </si>
  <si>
    <t>Kingcook Chicken</t>
  </si>
  <si>
    <t>Stir Rice Vermicelli Indonesian Gado Gado</t>
  </si>
  <si>
    <t>Samyang</t>
  </si>
  <si>
    <t>Assorted Vegetable Ramen</t>
  </si>
  <si>
    <t>Express Cup Vegetarian</t>
  </si>
  <si>
    <t>Yakisoba Savory Soy Sauce</t>
  </si>
  <si>
    <t>Noodle Soup Sour Spicy Shrimp Tom Yum</t>
  </si>
  <si>
    <t>Hong Ramyun Soy Peptide Hot Spicy</t>
  </si>
  <si>
    <t>Cup Noodles Xo Sauce Seafood</t>
  </si>
  <si>
    <t>Mi Segera Mi Goreng Perisa Sambal Goreng</t>
  </si>
  <si>
    <t>Rasa Sup Buntut Oxtail Soup</t>
  </si>
  <si>
    <t>Artificial Seafood</t>
  </si>
  <si>
    <t>Udon Garlic Teriyaki</t>
  </si>
  <si>
    <t>Instant Cup Noodles Mi Goreng Satay</t>
  </si>
  <si>
    <t>Hearty Rice Noodle Black Bean Vegetable</t>
  </si>
  <si>
    <t>Kingcook Shrimp</t>
  </si>
  <si>
    <t>Express Cup Fried Onion Chicken</t>
  </si>
  <si>
    <t>Shin Ramyun Shrimp</t>
  </si>
  <si>
    <t>Spicy Coconut Shrimp</t>
  </si>
  <si>
    <t>Kko Kko Myun</t>
  </si>
  <si>
    <t>Hong Ramyun Soup Soy Peptide Mild</t>
  </si>
  <si>
    <t>Mug Shot</t>
  </si>
  <si>
    <t>Spicy Sweet &amp; Sour</t>
  </si>
  <si>
    <t>Kung Fu Artificial Chicken Rice Noodle</t>
  </si>
  <si>
    <t>Gozen Tempura</t>
  </si>
  <si>
    <t>Kung Fu Vegetarian</t>
  </si>
  <si>
    <t>Ramen Bowl Kimchi</t>
  </si>
  <si>
    <t>Lishan</t>
  </si>
  <si>
    <t>Black Rooster Chicken</t>
  </si>
  <si>
    <t>Moo Nam Tok Rice Vermicelli</t>
  </si>
  <si>
    <t>Bangkok Curry Rice Noodle</t>
  </si>
  <si>
    <t>Jjajangmen Black Bean</t>
  </si>
  <si>
    <t>Shokuh Kitsune Udon</t>
  </si>
  <si>
    <t>Ponpoko Tempura Soba</t>
  </si>
  <si>
    <t>Beef Na Beef</t>
  </si>
  <si>
    <t>Ramen Bowl Spicy Shrimp</t>
  </si>
  <si>
    <t>Hwa King Cup</t>
  </si>
  <si>
    <t>Onion</t>
  </si>
  <si>
    <t>Ramen Bowl Hot &amp; Spicy</t>
  </si>
  <si>
    <t>Cap Atoom Bulan</t>
  </si>
  <si>
    <t>Mie Telor Asli</t>
  </si>
  <si>
    <t>Sour Spicy Chicken Tom Yum</t>
  </si>
  <si>
    <t>Shio</t>
  </si>
  <si>
    <t>Mi Segera Mi Sup Perisa Kari Ayam</t>
  </si>
  <si>
    <t>Artificial Chicken</t>
  </si>
  <si>
    <t>Chicken &amp; Mushroom</t>
  </si>
  <si>
    <t>Seafood Ramyun</t>
  </si>
  <si>
    <t>Tom Yum Shrimp Noodle</t>
  </si>
  <si>
    <t>Oolongmen Artificial Chicken</t>
  </si>
  <si>
    <t>Sura</t>
  </si>
  <si>
    <t>Knife Cut Rice Noodle</t>
  </si>
  <si>
    <t>Wei Chuan</t>
  </si>
  <si>
    <t>Miso Vegetables</t>
  </si>
  <si>
    <t>Hao Hao Shrimp Onion</t>
  </si>
  <si>
    <t>Gozen Kitsune Udon</t>
  </si>
  <si>
    <t>Chinese Mushroom Rice Noodle</t>
  </si>
  <si>
    <t>Yamamori</t>
  </si>
  <si>
    <t>Tom Yam Ramen Pork</t>
  </si>
  <si>
    <t>Buckwheat Bibim Ramyon</t>
  </si>
  <si>
    <t>Sichuan Hot Pot Sweet Potato Thread</t>
  </si>
  <si>
    <t>Mr. Udon</t>
  </si>
  <si>
    <t>Seafood Selection</t>
  </si>
  <si>
    <t>Japanese Miso</t>
  </si>
  <si>
    <t>XO Sauce</t>
  </si>
  <si>
    <t>Kung Fu Artificial Mushroom Pork</t>
  </si>
  <si>
    <t>Artificial Braised Beef</t>
  </si>
  <si>
    <t>Supreme La Paz Batchoy Beef Garlic</t>
  </si>
  <si>
    <t>Omachi</t>
  </si>
  <si>
    <t>Spaghetti</t>
  </si>
  <si>
    <t>Yeul Hot Taste</t>
  </si>
  <si>
    <t>Bombay Bad Boy</t>
  </si>
  <si>
    <t>Artificial Pork</t>
  </si>
  <si>
    <t>Wei Wei</t>
  </si>
  <si>
    <t>"A" Series Vegetarian</t>
  </si>
  <si>
    <t>My Friend Vic Tanuki Udon</t>
  </si>
  <si>
    <t>Jin Ramen Big Bowl (Hot)</t>
  </si>
  <si>
    <t>Phu Gia Bamboo Shoot Artificial Pork Bean Thread</t>
  </si>
  <si>
    <t>Ponpoko Tempura Udon</t>
  </si>
  <si>
    <t>Cold Noodles By Dad</t>
  </si>
  <si>
    <t>Demae Iccho Sesame Oil Chicken Macaroni</t>
  </si>
  <si>
    <t>2 Minute Noodles Thrillin' Curry</t>
  </si>
  <si>
    <t>Tom Yam Prawn</t>
  </si>
  <si>
    <t>Superior Soup Rice Noodle</t>
  </si>
  <si>
    <t>Kung Fu Artificial Pork Flavor</t>
  </si>
  <si>
    <t>Yakisoba Spicy Chicken</t>
  </si>
  <si>
    <t>Super Noodles Low Fat Sweet Thai Chilli</t>
  </si>
  <si>
    <t>"A" Series Artificial Chicken</t>
  </si>
  <si>
    <t>"A" Series Artificial Hot Beef</t>
  </si>
  <si>
    <t>Spicy Black Pepper</t>
  </si>
  <si>
    <t>2012 #10</t>
  </si>
  <si>
    <t>Beef Tomato</t>
  </si>
  <si>
    <t>Six Fortune</t>
  </si>
  <si>
    <t>U-Dong</t>
  </si>
  <si>
    <t>Artificial Onion</t>
  </si>
  <si>
    <t>Super Noodles Low Fat Chicken Herb</t>
  </si>
  <si>
    <t>Goog Good Eat Super Ramen Hot Chili</t>
  </si>
  <si>
    <t>Oolongmen Artificial Seafood</t>
  </si>
  <si>
    <t>Tomato Vegetables</t>
  </si>
  <si>
    <t>Ramen Noodle Soup Beef</t>
  </si>
  <si>
    <t>Pancit Canton Extra Hot Chili</t>
  </si>
  <si>
    <t>Super Noodles Sweet &amp; sour</t>
  </si>
  <si>
    <t>Lemongrass Chili Rice Noodle</t>
  </si>
  <si>
    <t>Spring Onion Rice Noodle</t>
  </si>
  <si>
    <t>Haioreum</t>
  </si>
  <si>
    <t>Asian Style Noodles Seafood</t>
  </si>
  <si>
    <t>Chapagetti Chajang</t>
  </si>
  <si>
    <t>Super Noodles Mild Curry</t>
  </si>
  <si>
    <t>Super Noodles To Go Chinese Space Rib</t>
  </si>
  <si>
    <t>Chand Clear Soup</t>
  </si>
  <si>
    <t>South Korean Style Kim Chee</t>
  </si>
  <si>
    <t>Tu Quy Pork</t>
  </si>
  <si>
    <t>Sunlight</t>
  </si>
  <si>
    <t>Steam Vermicelli</t>
  </si>
  <si>
    <t>Bah Kut Tea Noodle For Vegetarians</t>
  </si>
  <si>
    <t>Artificial Onion Flavor Bean Thread</t>
  </si>
  <si>
    <t>Single Noble Black Bone Chicken Sweet Potato Thread</t>
  </si>
  <si>
    <t>Phu Gia Cua Crab Bean Thread</t>
  </si>
  <si>
    <t>Tofu &amp; Miso</t>
  </si>
  <si>
    <t>Mushroom</t>
  </si>
  <si>
    <t>Hot &amp; Sour Casserole Stewed Rice Noodle</t>
  </si>
  <si>
    <t>Sichuan Pickled Sweet Potato Thread</t>
  </si>
  <si>
    <t>2012 #7</t>
  </si>
  <si>
    <t>Chinese Chow Mein</t>
  </si>
  <si>
    <t>Super Noodles Barbecue Beef</t>
  </si>
  <si>
    <t>Noah Foods</t>
  </si>
  <si>
    <t>Phoya Chicken</t>
  </si>
  <si>
    <t>Yakisoba Tomato Basil</t>
  </si>
  <si>
    <t>Japanese Style Tokusen Sio</t>
  </si>
  <si>
    <t>O Sung</t>
  </si>
  <si>
    <t>Keopnurungji Rice Snack</t>
  </si>
  <si>
    <t>Kung Fu Suc Song Artificial Pork</t>
  </si>
  <si>
    <t>Gomtang</t>
  </si>
  <si>
    <t>Foodmon</t>
  </si>
  <si>
    <t>DJ DOC Jjolmyeon</t>
  </si>
  <si>
    <t>Super Noodles To Go Curry</t>
  </si>
  <si>
    <t>One More Cup Kimchi</t>
  </si>
  <si>
    <t>Duck</t>
  </si>
  <si>
    <t>Super Noodles Bacon</t>
  </si>
  <si>
    <t>Sahmyook</t>
  </si>
  <si>
    <t>Ippeichan Soy Sauce</t>
  </si>
  <si>
    <t>Quick Tom Yum Shrimp</t>
  </si>
  <si>
    <t>Crystal Noodles Vegetables</t>
  </si>
  <si>
    <t>Super Noodles Souther Fried Chicken</t>
  </si>
  <si>
    <t>Mi Goreng Perisa Asli</t>
  </si>
  <si>
    <t>Super Noodles Chinese Chow Mein</t>
  </si>
  <si>
    <t>Shrimp Tom Yum Flavor</t>
  </si>
  <si>
    <t>60 Ingredients</t>
  </si>
  <si>
    <t>Kuah Rasa Baso Sapi Rice Noodles</t>
  </si>
  <si>
    <t>Super Noodles Chicken</t>
  </si>
  <si>
    <t>Taisho Fried Noodle Yakisoba</t>
  </si>
  <si>
    <t>Supreme Soto</t>
  </si>
  <si>
    <t>Original Curry</t>
  </si>
  <si>
    <t>Pancit Canton Sweet Spicy</t>
  </si>
  <si>
    <t>South Korean Style Spicy Beef</t>
  </si>
  <si>
    <t>Good Noodles Chicken</t>
  </si>
  <si>
    <t>Mi SupArtificial Chicken Special</t>
  </si>
  <si>
    <t>Top Ramen Chicken</t>
  </si>
  <si>
    <t>Demae Ramen Chicken</t>
  </si>
  <si>
    <t>Lomi Seafood Vegetable</t>
  </si>
  <si>
    <t>Pad Kee Mao Drunken</t>
  </si>
  <si>
    <t>Yeul Ramyun</t>
  </si>
  <si>
    <t>Chicken Flavor</t>
  </si>
  <si>
    <t>Pho Ga</t>
  </si>
  <si>
    <t>Spicy Tomkotsu</t>
  </si>
  <si>
    <t>Artificial Shrimp Tom yum</t>
  </si>
  <si>
    <t>Hot Spicy Chicken</t>
  </si>
  <si>
    <t>Good Noodles Vegetable</t>
  </si>
  <si>
    <t>Wheat Gluten Stewed Duck Flavoured</t>
  </si>
  <si>
    <t>Soy Ginger Ramen</t>
  </si>
  <si>
    <t>Artificial Spicy Hot Beef</t>
  </si>
  <si>
    <t>Cup Noodles Spicy Seafood</t>
  </si>
  <si>
    <t>Hot Beef</t>
  </si>
  <si>
    <t>Nan Hsing</t>
  </si>
  <si>
    <t>Vegetarian Rice Noodles</t>
  </si>
  <si>
    <t>Beijing Vegetable Rice Noodle</t>
  </si>
  <si>
    <t>Thai Ginger Rice Noodle</t>
  </si>
  <si>
    <t>Champong Spicy Seafood</t>
  </si>
  <si>
    <t>Imitation Beef</t>
  </si>
  <si>
    <t>Sanukiya Fresh Spicy Ramen</t>
  </si>
  <si>
    <t>Big Bowl Noodle</t>
  </si>
  <si>
    <t>Miso</t>
  </si>
  <si>
    <t>South Korean Kimchi Rice Noodle</t>
  </si>
  <si>
    <t>Kung Fu Shrimp</t>
  </si>
  <si>
    <t>Oolongmen Beef</t>
  </si>
  <si>
    <t>Pizza</t>
  </si>
  <si>
    <t>Beef Rice Stick</t>
  </si>
  <si>
    <t>Neoguri Mild</t>
  </si>
  <si>
    <t>Mexi-Ramen</t>
  </si>
  <si>
    <t>Soupless Ramen Shallot Teriyaki</t>
  </si>
  <si>
    <t>Artificial Beef</t>
  </si>
  <si>
    <t>Hsin Tung Yang</t>
  </si>
  <si>
    <t>Tiny Noodle With Oyster Flavor</t>
  </si>
  <si>
    <t>Demae Iccho Seafood &amp; Abalone Macaroni</t>
  </si>
  <si>
    <t>Yakisoba Shrimp</t>
  </si>
  <si>
    <t>Jin Ramen (Mild)</t>
  </si>
  <si>
    <t>Tomato Seafood Rice Noodle</t>
  </si>
  <si>
    <t>Fresh Ramen Spicy</t>
  </si>
  <si>
    <t>Phoya Rice Noodles Beef</t>
  </si>
  <si>
    <t>DJ DOC Instant rice Ramen Topokki</t>
  </si>
  <si>
    <t>Stew Pork</t>
  </si>
  <si>
    <t xml:space="preserve">Big Bowl Crab </t>
  </si>
  <si>
    <t>Big Bowl Artificial Chicken</t>
  </si>
  <si>
    <t>Japanese U-Don Lobster Scallop</t>
  </si>
  <si>
    <t>Hot &amp; Spicy Ramen</t>
  </si>
  <si>
    <t>Bekse Curry Myon</t>
  </si>
  <si>
    <t>Yellow Buckwheat</t>
  </si>
  <si>
    <t>Roasted Garlic Rice Noodle</t>
  </si>
  <si>
    <t>Mushroom Rice Noodle</t>
  </si>
  <si>
    <t>Potato Noodle Soup</t>
  </si>
  <si>
    <t>Mushroom &amp; Artificial Cuttlefish</t>
  </si>
  <si>
    <t>Malaysian Beef Udon</t>
  </si>
  <si>
    <t>Teriyaki Noodle</t>
  </si>
  <si>
    <t xml:space="preserve">Kung Fu Rice Noodle Shrimp Crab </t>
  </si>
  <si>
    <t>Ramen-Desse Miso Soybean Paste</t>
  </si>
  <si>
    <t>Lemongrass ginger</t>
  </si>
  <si>
    <t>Ramen Noodle Soup Chicken Mushroom</t>
  </si>
  <si>
    <t>Snack Noodle slightly Hot</t>
  </si>
  <si>
    <t>Tu Quy Sour Spicy Shrimp</t>
  </si>
  <si>
    <t>Kung Fu Rice Noodle Artificial Beef</t>
  </si>
  <si>
    <t>Souper Meal Picante Shrimp Hot Spicy</t>
  </si>
  <si>
    <t>Ppushu Ppushu Barbecue</t>
  </si>
  <si>
    <t>Top Ramen Shrimp</t>
  </si>
  <si>
    <t>Sutah Hot Spicy Beef</t>
  </si>
  <si>
    <t>Tempura Udon</t>
  </si>
  <si>
    <t>Kung Fu Artificial Beef Rice Noodle</t>
  </si>
  <si>
    <t>Harmee Mee goreng Prawn</t>
  </si>
  <si>
    <t>Kung Fu Artificial Szechuan Pork</t>
  </si>
  <si>
    <t>Single Noble Pickled Radish &amp; Duck</t>
  </si>
  <si>
    <t>Asian Vegetable</t>
  </si>
  <si>
    <t>Bowl Noodle Savory Chicken</t>
  </si>
  <si>
    <t>Hyoubanya No Chukasoba Soy Sauce</t>
  </si>
  <si>
    <t>Ippeichan Soybean Paste</t>
  </si>
  <si>
    <t>Ppushu Ppushu Tteobokki</t>
  </si>
  <si>
    <t>Beef Flavor Ramen</t>
  </si>
  <si>
    <t>Kung Fu Artificial Sesame Chicken</t>
  </si>
  <si>
    <t>Little Prince Bacon</t>
  </si>
  <si>
    <t>Sao Tao</t>
  </si>
  <si>
    <t>Noodle King Hong Koing Style Wonton</t>
  </si>
  <si>
    <t>iNoodle</t>
  </si>
  <si>
    <t>Taiwan Style Chow Mein</t>
  </si>
  <si>
    <t>N-Rich Chicken Tinola</t>
  </si>
  <si>
    <t>Kalguksoo</t>
  </si>
  <si>
    <t>Spice Seafood</t>
  </si>
  <si>
    <t>Instant Lunch Hot spicy Beef</t>
  </si>
  <si>
    <t>Tom Yum Seafood Creamy</t>
  </si>
  <si>
    <t>Big Bowl Spicy Kimchi</t>
  </si>
  <si>
    <t>Artificial Beef With Sauerkraut</t>
  </si>
  <si>
    <t>Mie Sambal Goreng</t>
  </si>
  <si>
    <t>Kari Spesial</t>
  </si>
  <si>
    <t>2012 #5</t>
  </si>
  <si>
    <t>Supreme Bulalo</t>
  </si>
  <si>
    <t>Instant Bean Thread Seafood</t>
  </si>
  <si>
    <t>Chinese Onion Rice Noodle</t>
  </si>
  <si>
    <t>Quickchow</t>
  </si>
  <si>
    <t>Pancit Canton toyo Mansi</t>
  </si>
  <si>
    <t>Chicken Mami</t>
  </si>
  <si>
    <t>E Menm Chicken</t>
  </si>
  <si>
    <t>Mi Hai Cua Crab Flavor</t>
  </si>
  <si>
    <t>Tu quy Chicken</t>
  </si>
  <si>
    <t>Chikara</t>
  </si>
  <si>
    <t>Shrimp Udon</t>
  </si>
  <si>
    <t>Q</t>
  </si>
  <si>
    <t>Noodle With Sesame Sauce</t>
  </si>
  <si>
    <t>Noodle Time</t>
  </si>
  <si>
    <t>Shin Cup</t>
  </si>
  <si>
    <t>Mi Lau Thai Thai Stle</t>
  </si>
  <si>
    <t>Kakesoba Desse Soy Sauce</t>
  </si>
  <si>
    <t>Beef Flavorc</t>
  </si>
  <si>
    <t>Ramen Desse Shio</t>
  </si>
  <si>
    <t>Udon Noodle Soup Oriental</t>
  </si>
  <si>
    <t>Tu Quy Spicy Beef</t>
  </si>
  <si>
    <t>Artificial Classic Beef</t>
  </si>
  <si>
    <t>Artificial Beef Flavor</t>
  </si>
  <si>
    <t>Alimentary Paste Chow Mein</t>
  </si>
  <si>
    <t>Midori No Tanuki</t>
  </si>
  <si>
    <t>Crab Vermicelli</t>
  </si>
  <si>
    <t>Instant Bulalo Bone Marrow</t>
  </si>
  <si>
    <t>Instant Mami Chicken</t>
  </si>
  <si>
    <t>Gomex</t>
  </si>
  <si>
    <t>3 Mien Mi Tom Chua Cay Hot sour Shrimp</t>
  </si>
  <si>
    <t>Snack Ramyon</t>
  </si>
  <si>
    <t>Asian Style Instant Noodles Beef</t>
  </si>
  <si>
    <t>Harmee Prawn</t>
  </si>
  <si>
    <t>Hao Hao Sate Onion</t>
  </si>
  <si>
    <t>Instant Lunch Lime Flavor with Shrimp</t>
  </si>
  <si>
    <t>Noodle King Scallop Thick</t>
  </si>
  <si>
    <t>Suudon Desse Soy Sauce</t>
  </si>
  <si>
    <t>Cup Noodles Seafood Curry</t>
  </si>
  <si>
    <t>Spicy Seafood</t>
  </si>
  <si>
    <t>Bowl Noodle Beef With Vegetables</t>
  </si>
  <si>
    <t>Quickie Mami La Paz Batchoy</t>
  </si>
  <si>
    <t>Bestcook Hot spicy Tom Yum Shrimp</t>
  </si>
  <si>
    <t>Hwa Cup Hot Spicy</t>
  </si>
  <si>
    <t>Dried Mix Noodles XO Sauce</t>
  </si>
  <si>
    <t>Yakisoba Noodles Karashi</t>
  </si>
  <si>
    <t>2012 #3</t>
  </si>
  <si>
    <t>Hyoubanya No Chukasoba Oriental</t>
  </si>
  <si>
    <t>2012 #6</t>
  </si>
  <si>
    <t>Curry Soba</t>
  </si>
  <si>
    <t>Instant Lunch Cheddar Cheese</t>
  </si>
  <si>
    <t>Bowl Noodles Rich &amp; Savory Beef</t>
  </si>
  <si>
    <t>US Canning</t>
  </si>
  <si>
    <t>Fu Chang Chinese Noodle Company Pork Seafood</t>
  </si>
  <si>
    <t>Hot Of Hots Artificial Black Peppered Beef</t>
  </si>
  <si>
    <t>Demae Iccho Tom Yam Goong Macaroni</t>
  </si>
  <si>
    <t>Chicken Na Chicken</t>
  </si>
  <si>
    <t>N-Rich Artificial Chicken With Ginger</t>
  </si>
  <si>
    <t>Rhee Bros Assi</t>
  </si>
  <si>
    <t>Pho Vietnamese Noodle Soup</t>
  </si>
  <si>
    <t>Chow Mein Thai Peanut</t>
  </si>
  <si>
    <t>Hot Of Hots Artificial Satay Beef</t>
  </si>
  <si>
    <t>Ho Fan Abalone Chicken</t>
  </si>
  <si>
    <t>Noodle King Lobster Thick</t>
  </si>
  <si>
    <t>Pho Bo Beef Rice Noodle</t>
  </si>
  <si>
    <t>Asian Style Instant Noodles Shrimp</t>
  </si>
  <si>
    <t>Spicy Thai</t>
  </si>
  <si>
    <t>Chow Noodles Alfredo</t>
  </si>
  <si>
    <t>Superior Soup</t>
  </si>
  <si>
    <t>Bon Go Jang</t>
  </si>
  <si>
    <t>Tofu Udon Dosirak</t>
  </si>
  <si>
    <t>Chili Pork</t>
  </si>
  <si>
    <t>Kung Fu Artificial Chicken</t>
  </si>
  <si>
    <t>Pancit Shanghai</t>
  </si>
  <si>
    <t>Cup Noodles Prawn</t>
  </si>
  <si>
    <t>Noodle King Beef Hong Kong Style</t>
  </si>
  <si>
    <t>Demae Iccho Tonkotsu Macaroni</t>
  </si>
  <si>
    <t>Daily Hot &amp; Sour With Shrimp</t>
  </si>
  <si>
    <t>Tayho</t>
  </si>
  <si>
    <t>Vermicelli With Pork</t>
  </si>
  <si>
    <t>Cup Noodles Hearty Chicken</t>
  </si>
  <si>
    <t>Bowl Noodles Hot &amp; Spicy Beef</t>
  </si>
  <si>
    <t>Spicy Artificial Pork</t>
  </si>
  <si>
    <t>Xtra Big Kalamansi Pancit Canton</t>
  </si>
  <si>
    <t>Ramen Noodle Soup Roast Beef</t>
  </si>
  <si>
    <t>Noodle Lite 275 Udon Mushroom</t>
  </si>
  <si>
    <t>Instant Lunch Chicken 35% Less Sodium</t>
  </si>
  <si>
    <t>Top Ramen Chili</t>
  </si>
  <si>
    <t>Ramen Noodle Soup Chili</t>
  </si>
  <si>
    <t>Top Ramen Picante Beef</t>
  </si>
  <si>
    <t>Souper Meal Tomato Garlic Shrimp</t>
  </si>
  <si>
    <t>Ramen Bokki</t>
  </si>
  <si>
    <t>Bowl Noodle Kimchi</t>
  </si>
  <si>
    <t>Sunny Maid</t>
  </si>
  <si>
    <t>Bowl Noodle Spicy Artificial Chicken</t>
  </si>
  <si>
    <t>Charumera Shoyu</t>
  </si>
  <si>
    <t>Stirfried Kimchi</t>
  </si>
  <si>
    <t>Goreng Rice Noodles</t>
  </si>
  <si>
    <t>Shin Big Bowl</t>
  </si>
  <si>
    <t>Daily Vegetarian</t>
  </si>
  <si>
    <t>Japanese Style Tokusen Shoyu</t>
  </si>
  <si>
    <t>Xtra Big Chilimansi Pancit Canton</t>
  </si>
  <si>
    <t>Big Cup Noodles Chicken</t>
  </si>
  <si>
    <t>Ramen Noodle Soup Creamy Chicken</t>
  </si>
  <si>
    <t>Instant Noodles With Soup</t>
  </si>
  <si>
    <t>Hot &amp; Spicy Beef</t>
  </si>
  <si>
    <t>Big Cup Noodles Beef</t>
  </si>
  <si>
    <t>Big Cup Noodles Shrimp</t>
  </si>
  <si>
    <t>Champong Oriental Noodles</t>
  </si>
  <si>
    <t>Crab Noodle</t>
  </si>
  <si>
    <t>Phu Gia Instant Bean Thread Chicken</t>
  </si>
  <si>
    <t>Big Bowl Udon</t>
  </si>
  <si>
    <t>3 Mien Mi Tom Hum Lobster</t>
  </si>
  <si>
    <t>TVP Curry Chicken</t>
  </si>
  <si>
    <t>Big Bowl Spicy Shrimp</t>
  </si>
  <si>
    <t>Jin Ramen (Hot)</t>
  </si>
  <si>
    <t>Shrimp Fish</t>
  </si>
  <si>
    <t>TVP Spicy Beef</t>
  </si>
  <si>
    <t>Ramen Noodle Soup Spicy Picante Chicken</t>
  </si>
  <si>
    <t>Ramen Noodle Soup Oriental</t>
  </si>
  <si>
    <t>Super Bowl Artificial Pickled Chilli Beef</t>
  </si>
  <si>
    <t>Yakisoba Cheddar Cheese</t>
  </si>
  <si>
    <t>Super Bowl Artificial Stewed Pork Chop</t>
  </si>
  <si>
    <t>Super Bowl Artificial Spicy Beef</t>
  </si>
  <si>
    <t>Dosirac Mushroom</t>
  </si>
  <si>
    <t>Dosirac Shrimp</t>
  </si>
  <si>
    <t>Supreme Bulalo Artificial Bone Marrow</t>
  </si>
  <si>
    <t>Tasty Mushroom</t>
  </si>
  <si>
    <t>La Paz Batchoy Beef</t>
  </si>
  <si>
    <t>Dosirac Beef</t>
  </si>
  <si>
    <t>Royal Umbrella</t>
  </si>
  <si>
    <t>Supreme Special Beef Carne De Vaca</t>
  </si>
  <si>
    <t>Pho Bo Rice Noodle Artificial Beef</t>
  </si>
  <si>
    <t>Dosirac Artificial Chicken</t>
  </si>
  <si>
    <t>Bowl Noodle Picante Beef</t>
  </si>
  <si>
    <t>Guilin Style Rice Vermicelli</t>
  </si>
  <si>
    <t>Steam Spinach Ramen With Onion</t>
  </si>
  <si>
    <t xml:space="preserve">Supreme Sotanghon Artificial Chicken Vermicelli </t>
  </si>
  <si>
    <t>Hearty Rice Noodle Spicy Veggie Consomme</t>
  </si>
  <si>
    <t>Rice Noodle Hot &amp; Spicy Kimchi</t>
  </si>
  <si>
    <t>Cup Noodles Crab</t>
  </si>
  <si>
    <t>Soybean Paste</t>
  </si>
  <si>
    <t>South Korean Seafood</t>
  </si>
  <si>
    <t>Tiger</t>
  </si>
  <si>
    <t>Onion Flaver Rice Noodle</t>
  </si>
  <si>
    <t>South Korean U Dong</t>
  </si>
  <si>
    <t>Shin Bowl</t>
  </si>
  <si>
    <t>Spicy Artificial Beef</t>
  </si>
  <si>
    <t>South Korean Broad Noodle</t>
  </si>
  <si>
    <t>King Cup Lobster</t>
  </si>
  <si>
    <t>Hyoubanya No Yakisoba Oriental</t>
  </si>
  <si>
    <t>2012 #9</t>
  </si>
  <si>
    <t>King Cup Kimchi Pot Stew</t>
  </si>
  <si>
    <t>Pickled Vegetable</t>
  </si>
  <si>
    <t>Oriental Kitchen Hot Spicy</t>
  </si>
  <si>
    <t>Rice Noodle Katsuo</t>
  </si>
  <si>
    <t>Rice Noodles Seafood</t>
  </si>
  <si>
    <t>Udon Mushroom</t>
  </si>
  <si>
    <t>Oh! Ricey Beef Rice Noodles</t>
  </si>
  <si>
    <t>Chili Paste Tom Yum</t>
  </si>
  <si>
    <t>Cup Shrimp Tom Yum Flavor</t>
  </si>
  <si>
    <t>Kung Fu Artificial Soybean Paste</t>
  </si>
  <si>
    <t>Minced Pork Tom Yum</t>
  </si>
  <si>
    <t>Mi Lau Thai Artificial Chicken</t>
  </si>
  <si>
    <t>South Korean Noodle Kimchi Flavor</t>
  </si>
  <si>
    <t>Dried Noodle With BBQ Pork</t>
  </si>
  <si>
    <t>Spicy Shrimp Bowl</t>
  </si>
  <si>
    <t>Cup Noodles Spicy Chile Chicken</t>
  </si>
  <si>
    <t>Pork</t>
  </si>
  <si>
    <t>Mi Lau Thai Shrimp</t>
  </si>
  <si>
    <t>Cup Noodles Chicken</t>
  </si>
  <si>
    <t>Hao Hao Sour Hot Shrimp</t>
  </si>
  <si>
    <t>Chow Mein Kung Pao Chicken</t>
  </si>
  <si>
    <t>Daily Beef Ball</t>
  </si>
  <si>
    <t>Oh! Ricey Chicken</t>
  </si>
  <si>
    <t>Bowl Noodles Hot &amp; Spicy Shrimp</t>
  </si>
  <si>
    <t>Mi Lau Thai Seafood</t>
  </si>
  <si>
    <t>Tom Yum Shrimp</t>
  </si>
  <si>
    <t>Cup Noodles Beef</t>
  </si>
  <si>
    <t>Cup Noodles Shrimp</t>
  </si>
  <si>
    <t>Oriental Kitchen Spicy Seafood</t>
  </si>
  <si>
    <t>Daily Hot &amp; Spicy Tom Yun</t>
  </si>
  <si>
    <t>Bowl Noodle Spicy Seafood</t>
  </si>
  <si>
    <t>Udon Chicken</t>
  </si>
  <si>
    <t>Udon Beef</t>
  </si>
  <si>
    <t>Steamed Noodle Sesame Oil</t>
  </si>
  <si>
    <t>100 Artificial Spicy Beef</t>
  </si>
  <si>
    <t>Tomato</t>
  </si>
  <si>
    <t>Artificial Pork Jumbo</t>
  </si>
  <si>
    <t>Broad Noodles</t>
  </si>
  <si>
    <t>Karashi Mayo Yakisoba</t>
  </si>
  <si>
    <t>Udon Hot &amp; Spicy</t>
  </si>
  <si>
    <t>Tom Klong</t>
  </si>
  <si>
    <t>Fu Chang Chinese Noodle Company</t>
  </si>
  <si>
    <t>Sanyo Foods</t>
  </si>
  <si>
    <t>Aunt Mentaiko Durum Spaghetti</t>
  </si>
  <si>
    <t>Ppushu Ppushu Sweet &amp; Sour</t>
  </si>
  <si>
    <t>Chow Noodles Tomato Basil</t>
  </si>
  <si>
    <t>Spicy Seafood Marinara</t>
  </si>
  <si>
    <t>Spicy Sesame</t>
  </si>
  <si>
    <t>Curry</t>
  </si>
  <si>
    <t>Udon Shrimp</t>
  </si>
  <si>
    <t>Tom Yum Rice Noodles</t>
  </si>
  <si>
    <t>Onion Chicken</t>
  </si>
  <si>
    <t>Supreme Instant Mami Noodles With Free Crackers</t>
  </si>
  <si>
    <t>Pho Ga Instant rice Noodle</t>
  </si>
  <si>
    <t>Bihon Guisado Rice Noodle</t>
  </si>
  <si>
    <t>Chow Noodles Cheddar Cheese</t>
  </si>
  <si>
    <t>Instant Bowl Noodles Artificial Pork</t>
  </si>
  <si>
    <t>Udon Crab</t>
  </si>
  <si>
    <t>Top Ramen Beef</t>
  </si>
  <si>
    <t>Good Good Eat Super Ramen Original</t>
  </si>
  <si>
    <t>Tom Yam Instant soup Noodle</t>
  </si>
  <si>
    <t>Yakisoba Sweet &amp; Sour Chicken</t>
  </si>
  <si>
    <t>Instant Lunch Roast Chicken Flavor</t>
  </si>
  <si>
    <t>Yakisoba Chicken</t>
  </si>
  <si>
    <t>Yakisoba Teriyaki Beef</t>
  </si>
  <si>
    <t>Bowl Noodle Spicy Artificial Lobster</t>
  </si>
  <si>
    <t>Yakisoba Roast chicken</t>
  </si>
  <si>
    <t>Kingcook Tomato Sauce Pork</t>
  </si>
  <si>
    <t>Rocket Brand</t>
  </si>
  <si>
    <t>Satoimo Noodles</t>
  </si>
  <si>
    <t>Souper Meal Beef Flavor Minestrone</t>
  </si>
  <si>
    <t>Ramen King Scallop Seafood</t>
  </si>
  <si>
    <t>Deuchi Udon</t>
  </si>
  <si>
    <t>Beef Flavor</t>
  </si>
  <si>
    <t>Bowl Noodle Spicy Shrimp</t>
  </si>
  <si>
    <t>Bowl Noodle Hot &amp; Spicy</t>
  </si>
  <si>
    <t>Bowl Noodle Cabbage Kimchi</t>
  </si>
  <si>
    <t>Bowl Noodle Beef Ginger</t>
  </si>
  <si>
    <t>Bowl Noodle Spicy Chicken</t>
  </si>
  <si>
    <t>Chinese Soybean Paste</t>
  </si>
  <si>
    <t>Sanukiya Somen</t>
  </si>
  <si>
    <t>Rice Noodle With Spicy Flavored Soup</t>
  </si>
  <si>
    <t>Cup Noodles Pani Puri</t>
  </si>
  <si>
    <t>Chukazanmai Served Cool Sesame Flavored Rice Vinegar Sesame</t>
  </si>
  <si>
    <t>Kung Fu Instant Rice Noodles Artificial Chicken</t>
  </si>
  <si>
    <t>Boss</t>
  </si>
  <si>
    <t>Soy Flavor Noodle</t>
  </si>
  <si>
    <t>Steamed Noodle Chinese Herbs</t>
  </si>
  <si>
    <t>Perencah Tom Yam</t>
  </si>
  <si>
    <t>Cup Noodles Manchurian</t>
  </si>
  <si>
    <t>Udon</t>
  </si>
  <si>
    <t>Hwa Ramyun Soy Peptide</t>
  </si>
  <si>
    <t>Teumsae Ramyun</t>
  </si>
  <si>
    <t>Sanukiya Udon</t>
  </si>
  <si>
    <t>Chukazanmai Soy Sauce</t>
  </si>
  <si>
    <t>Bowl Noodles Hot &amp; Spicy Chicken</t>
  </si>
  <si>
    <t>Chukazanmai Soy Sauce chili Oil</t>
  </si>
  <si>
    <t>Noodle King Thin Wonton</t>
  </si>
  <si>
    <t>Hyobanya No Yakisoba Sauce Flavor</t>
  </si>
  <si>
    <t>Oriental Style Clear Soup</t>
  </si>
  <si>
    <t>Hu Tieu Bo Kho An Lien Beef</t>
  </si>
  <si>
    <t>Dosirac Pork</t>
  </si>
  <si>
    <t>Cold Ramen With Ponytail Radish</t>
  </si>
  <si>
    <t>Sotanghon Artificial Chicken</t>
  </si>
  <si>
    <t>Instant Bean Vermicelli Shrimp</t>
  </si>
  <si>
    <t>Flat Noodle Tom Yum</t>
  </si>
  <si>
    <t>Japanese Seafood Flavor Udon</t>
  </si>
  <si>
    <t>Chukazanmai Soybean Paste</t>
  </si>
  <si>
    <t>Seafood Party</t>
  </si>
  <si>
    <t>Japanese Style Noodle Fresh Udon</t>
  </si>
  <si>
    <t>Crab Instant Rice Vermicelli</t>
  </si>
  <si>
    <t>Garlic Pepper</t>
  </si>
  <si>
    <t>Sesame Oil</t>
  </si>
  <si>
    <t>Asian Style Instant Noodles Chicken</t>
  </si>
  <si>
    <t>Chukazanmai Oriental</t>
  </si>
  <si>
    <t>Green Tea Chlorella</t>
  </si>
  <si>
    <t>Ramen Desse Soy Sauce</t>
  </si>
  <si>
    <t>Hot &amp; Spicy</t>
  </si>
  <si>
    <t>Jok Cup Porridge Artificial Pork</t>
  </si>
  <si>
    <t>Sotanghon</t>
  </si>
  <si>
    <t>Instant Lunch Cajun Style With chili Piquin Shrimp</t>
  </si>
  <si>
    <t>Pancit Canton</t>
  </si>
  <si>
    <t>Creamy Chicken</t>
  </si>
  <si>
    <t>Shrimp Flavor</t>
  </si>
  <si>
    <t>Steamed Noodle Garlic &amp; Sesame Oil</t>
  </si>
  <si>
    <t>Japanese Style Tokusen Miso</t>
  </si>
  <si>
    <t>Chorip Dong</t>
  </si>
  <si>
    <t>Jjambbong Hot Spicy Seafood</t>
  </si>
  <si>
    <t>Akai Kitsune Udon</t>
  </si>
  <si>
    <t>Okinawa Soba</t>
  </si>
  <si>
    <t>Higashi</t>
  </si>
  <si>
    <t>Nagasaki Sara Udon</t>
  </si>
  <si>
    <t>Pho Bo</t>
  </si>
  <si>
    <t>Sakurai</t>
  </si>
  <si>
    <t>Vegetarian Flavor</t>
  </si>
  <si>
    <t>Kimchi Ramyun</t>
  </si>
  <si>
    <t>Mamy Chand Clear Soup</t>
  </si>
  <si>
    <t>Chow Mein Teriyaki Beef</t>
  </si>
  <si>
    <t>Seafood Flavor</t>
  </si>
  <si>
    <t>Mi Goreng</t>
  </si>
  <si>
    <t>Noodle King Beef</t>
  </si>
  <si>
    <t>100 Furong Shrimp</t>
  </si>
  <si>
    <t>Bowl Noodles Rich &amp; Savory Chicken</t>
  </si>
  <si>
    <t>Shrimp Creamy Tom Yum</t>
  </si>
  <si>
    <t>Fresh Shrimp</t>
  </si>
  <si>
    <t>Global Inspiration</t>
  </si>
  <si>
    <t>Gyeong-Gi-Do Rice</t>
  </si>
  <si>
    <t>Hot &amp; Sour Rice Noodle</t>
  </si>
  <si>
    <t>Artificial Peppered Beef</t>
  </si>
  <si>
    <t>100 Artificial Shallot Chicken</t>
  </si>
  <si>
    <t>Miso Soybean Paste</t>
  </si>
  <si>
    <t>Mupama Tang Myun</t>
  </si>
  <si>
    <t>Artificial PA-LO Duck</t>
  </si>
  <si>
    <t>Tom Yam Koong Rice Vermicelli</t>
  </si>
  <si>
    <t>Japanese Style Tokusen Karami</t>
  </si>
  <si>
    <t>Yakisoba With Mayonnaise/Mustard Packet</t>
  </si>
  <si>
    <t>Minced Pork Soeng Kreung</t>
  </si>
  <si>
    <t>Shrimp Wonton</t>
  </si>
  <si>
    <t>Bekse Curry</t>
  </si>
  <si>
    <t>Artificial Pork &amp; Chicken</t>
  </si>
  <si>
    <t>Ramyonsari</t>
  </si>
  <si>
    <t>Nam Vang</t>
  </si>
  <si>
    <t>Miso Ramyun</t>
  </si>
  <si>
    <t xml:space="preserve">Hooroorook </t>
  </si>
  <si>
    <t>Jiajang Noodle</t>
  </si>
  <si>
    <t>Odongtongmyon Seafood Spicy</t>
  </si>
  <si>
    <t>Pad Thai</t>
  </si>
  <si>
    <t>Teriyaki Time</t>
  </si>
  <si>
    <t>Ramen</t>
  </si>
  <si>
    <t>Pow Crunch Teriyaki</t>
  </si>
  <si>
    <t>Tom Yum</t>
  </si>
  <si>
    <t>Special Fried Curly Noodle</t>
  </si>
  <si>
    <t>2012 #1</t>
  </si>
  <si>
    <t>Ramen Noodle Soup Chicken</t>
  </si>
  <si>
    <t>Soto Mie</t>
  </si>
  <si>
    <t>Artificial Sesame Chicken</t>
  </si>
  <si>
    <t>Artificial Chinese Beef</t>
  </si>
  <si>
    <t>Kung Fu Artificial Onion</t>
  </si>
  <si>
    <t>Chah Chiang</t>
  </si>
  <si>
    <t>Kung Fu Mi Tom Chua Sour Shrimp</t>
  </si>
  <si>
    <t>Xtra Big Original Pancit Canton</t>
  </si>
  <si>
    <t>Mi Chay Mushroom</t>
  </si>
  <si>
    <t>Crystal Noodle Six Kinds Of Mushrooms</t>
  </si>
  <si>
    <t>100 Artificial Stewed Pork Chop</t>
  </si>
  <si>
    <t>South Korean Noodle Chicken</t>
  </si>
  <si>
    <t>Tom Yum Shrimp Cream Soup</t>
  </si>
  <si>
    <t>Onion Flavor</t>
  </si>
  <si>
    <t>Demae Ramen Sesame</t>
  </si>
  <si>
    <t>Kalgug-Su Assorted Clam</t>
  </si>
  <si>
    <t>Demae Ramen Spicy Flavor</t>
  </si>
  <si>
    <t>Demae Ramen Miso</t>
  </si>
  <si>
    <t>Demae Ramen Seafood</t>
  </si>
  <si>
    <t>Demae Ramen Prawn</t>
  </si>
  <si>
    <t>Meatball Flavor</t>
  </si>
  <si>
    <t>Mi Goreng Rendang</t>
  </si>
  <si>
    <t>Demae Ramen Shoyu</t>
  </si>
  <si>
    <t>Demae Ramen Five Spices Artificial Beef</t>
  </si>
  <si>
    <t>Demae Ramen Tonkatsu Artificial Pork</t>
  </si>
  <si>
    <t>Demae Ramen Satay</t>
  </si>
  <si>
    <t>Demae Ramen XO Sauce Seafood</t>
  </si>
  <si>
    <t>Spicy Fei- Chang Sweet Potato Noodle</t>
  </si>
  <si>
    <t>Jah Jan Mien Instant Noodle With Fried Soybean Paste</t>
  </si>
  <si>
    <t>Ramen Noodle Soup Lime Chili Shrimp</t>
  </si>
  <si>
    <t>Ramen Noodle Soup Pork</t>
  </si>
  <si>
    <t>Top Ramen Oriental</t>
  </si>
  <si>
    <t>Souper Meal Chicken Flavor With Vegetable Medley</t>
  </si>
  <si>
    <t>Rice Noodle Mania Lemon Masala</t>
  </si>
  <si>
    <t>2 Minute Noodles Curry</t>
  </si>
  <si>
    <t>Vegetable Atta Noodles Masala</t>
  </si>
  <si>
    <t>Chinese Noodles Lemon Chicken Flavor</t>
  </si>
  <si>
    <t>A-One Bun Tom Shrimp</t>
  </si>
  <si>
    <t>Instant Fried Noodles With Chili Sauce</t>
  </si>
  <si>
    <t>Instant Noodles With Sesame Oil &amp; Soup Base</t>
  </si>
  <si>
    <t>Hua Feng Noodle Expert</t>
  </si>
  <si>
    <t>Favoury Pork Flavor</t>
  </si>
  <si>
    <t>Spicy Seafood Flavor</t>
  </si>
  <si>
    <t>Curly Noodles With Grilled Chicken</t>
  </si>
  <si>
    <t>Mi Goreng Pedas Hot</t>
  </si>
  <si>
    <t>Mi Goreng Jumbo Barbecue Chicken</t>
  </si>
  <si>
    <t>2012 #2</t>
  </si>
  <si>
    <t>Mi Goreng Jumbo Meatball</t>
  </si>
  <si>
    <t>Mi Goreng Sate</t>
  </si>
  <si>
    <t>Special Chicken</t>
  </si>
  <si>
    <t>Kim Ve Wong</t>
  </si>
  <si>
    <t>Jaopai Series: Vegetarian Instant Noodles</t>
  </si>
  <si>
    <t>Kung-Fu Chicken Flavor</t>
  </si>
  <si>
    <t>Pork Mustard Stem</t>
  </si>
  <si>
    <t>Pancit Canton Chili Mansi</t>
  </si>
  <si>
    <t>Supreme Bulalo Flavor</t>
  </si>
  <si>
    <t>Pancit Canton Citrus Flavor</t>
  </si>
  <si>
    <t>Pancit Canton Hot Chili Flavor</t>
  </si>
  <si>
    <t>Itnok</t>
  </si>
  <si>
    <t>Ramen Noodle Soup Shrimp</t>
  </si>
  <si>
    <t>Mi Hai Tom Prawn</t>
  </si>
  <si>
    <t>Ippeichan Yakisoba</t>
  </si>
  <si>
    <t>2013 #6</t>
  </si>
  <si>
    <t>Special Duck</t>
  </si>
  <si>
    <t>Chikin Ramen</t>
  </si>
  <si>
    <t>Demae Ramen Curry Flavor</t>
  </si>
  <si>
    <t>Soba Noodles With Mayo Mustard Squirt</t>
  </si>
  <si>
    <t>Demae Ramen Spicy Seafood With Chili Pepper</t>
  </si>
  <si>
    <t>Top Ramen Creamy Chicken</t>
  </si>
  <si>
    <t>Ansungtangmyun Noodle Soup</t>
  </si>
  <si>
    <t>Neoguri (Seafood'n'Spicy)</t>
  </si>
  <si>
    <t>Jin Ramen (Hot Taste)</t>
  </si>
  <si>
    <t>Pancit Palabok</t>
  </si>
  <si>
    <t>Kalgug-Su (Spicy)</t>
  </si>
  <si>
    <t>Pojangmacha U-dong</t>
  </si>
  <si>
    <t>Hot</t>
  </si>
  <si>
    <t>Chow Mein</t>
  </si>
  <si>
    <t>2012 #4</t>
  </si>
  <si>
    <t>Chicken Flavor Instant Soup Noodle</t>
  </si>
  <si>
    <t>Smack</t>
  </si>
  <si>
    <t>Vegetable Beef</t>
  </si>
  <si>
    <t>Sutah</t>
  </si>
  <si>
    <t>Tung-I</t>
  </si>
  <si>
    <t>Chinese Beef Instant Rice Noodle</t>
  </si>
  <si>
    <t>Mushroom Pork</t>
  </si>
  <si>
    <t>Hu Tiu Nam Vang ["Phnom Penh" style] Asian Style Instant¬†Rice¬†Noodles</t>
  </si>
  <si>
    <t>Oriental Style Instant Noodles</t>
  </si>
  <si>
    <t>Tom Yum Chili Flavor</t>
  </si>
  <si>
    <t>Westbrae</t>
  </si>
  <si>
    <t>Asia</t>
  </si>
  <si>
    <t>North America</t>
  </si>
  <si>
    <t>Africa</t>
  </si>
  <si>
    <t>Europe</t>
  </si>
  <si>
    <t>Oceania</t>
  </si>
  <si>
    <t>Middle East</t>
  </si>
  <si>
    <t>South America</t>
  </si>
  <si>
    <t>Region</t>
  </si>
  <si>
    <t>Quality</t>
  </si>
  <si>
    <t>Top Ten Year</t>
  </si>
  <si>
    <t>Top Ten Rank</t>
  </si>
  <si>
    <t>Unique Brands</t>
  </si>
  <si>
    <t>Unique Varieties</t>
  </si>
  <si>
    <t>Unique Countries</t>
  </si>
  <si>
    <t>Unique Styles</t>
  </si>
  <si>
    <t>Grand Total</t>
  </si>
  <si>
    <t>Count of Country</t>
  </si>
  <si>
    <t>Average of Stars</t>
  </si>
  <si>
    <t>Row Labels</t>
  </si>
  <si>
    <t>Count of Style</t>
  </si>
  <si>
    <t>Bad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</si>
</sst>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0" fontId="0" fillId="33" borderId="10" xfId="0" applyFont="1" applyFill="1" applyBorder="1"/>
    <xf numFmtId="0" fontId="0" fillId="0" borderId="10" xfId="0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17/06/relationships/rdRichValue" Target="richData/rdrichvalu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[ramen-ratings.xlsm]Explor_Analysis!PivotTable2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</a:t>
            </a:r>
            <a:r>
              <a:rPr lang="en-US" baseline="0"/>
              <a:t> of Ratings Per 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Explor_Analysis!$B$6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1FC-4E8E-8A48-0D2A85C5D22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1FC-4E8E-8A48-0D2A85C5D22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1FC-4E8E-8A48-0D2A85C5D22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1FC-4E8E-8A48-0D2A85C5D22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1FC-4E8E-8A48-0D2A85C5D22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1FC-4E8E-8A48-0D2A85C5D22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1FC-4E8E-8A48-0D2A85C5D223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01FC-4E8E-8A48-0D2A85C5D223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1FC-4E8E-8A48-0D2A85C5D223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1FC-4E8E-8A48-0D2A85C5D223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01FC-4E8E-8A48-0D2A85C5D223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01FC-4E8E-8A48-0D2A85C5D223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01FC-4E8E-8A48-0D2A85C5D223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01FC-4E8E-8A48-0D2A85C5D223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01FC-4E8E-8A48-0D2A85C5D22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01FC-4E8E-8A48-0D2A85C5D22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01FC-4E8E-8A48-0D2A85C5D22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01FC-4E8E-8A48-0D2A85C5D223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01FC-4E8E-8A48-0D2A85C5D223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01FC-4E8E-8A48-0D2A85C5D223}"/>
              </c:ext>
            </c:extLst>
          </c:dPt>
          <c:dPt>
            <c:idx val="20"/>
            <c:invertIfNegative val="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01FC-4E8E-8A48-0D2A85C5D223}"/>
              </c:ext>
            </c:extLst>
          </c:dPt>
          <c:dPt>
            <c:idx val="21"/>
            <c:invertIfNegative val="0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01FC-4E8E-8A48-0D2A85C5D223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01FC-4E8E-8A48-0D2A85C5D223}"/>
              </c:ext>
            </c:extLst>
          </c:dPt>
          <c:dPt>
            <c:idx val="23"/>
            <c:invertIfNegative val="0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01FC-4E8E-8A48-0D2A85C5D223}"/>
              </c:ext>
            </c:extLst>
          </c:dPt>
          <c:dPt>
            <c:idx val="24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01FC-4E8E-8A48-0D2A85C5D223}"/>
              </c:ext>
            </c:extLst>
          </c:dPt>
          <c:dPt>
            <c:idx val="25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01FC-4E8E-8A48-0D2A85C5D223}"/>
              </c:ext>
            </c:extLst>
          </c:dPt>
          <c:dPt>
            <c:idx val="26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01FC-4E8E-8A48-0D2A85C5D223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7-01FC-4E8E-8A48-0D2A85C5D223}"/>
              </c:ext>
            </c:extLst>
          </c:dPt>
          <c:dPt>
            <c:idx val="28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9-01FC-4E8E-8A48-0D2A85C5D223}"/>
              </c:ext>
            </c:extLst>
          </c:dPt>
          <c:dPt>
            <c:idx val="29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B-01FC-4E8E-8A48-0D2A85C5D223}"/>
              </c:ext>
            </c:extLst>
          </c:dPt>
          <c:dPt>
            <c:idx val="30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D-01FC-4E8E-8A48-0D2A85C5D223}"/>
              </c:ext>
            </c:extLst>
          </c:dPt>
          <c:dPt>
            <c:idx val="31"/>
            <c:invertIfNegative val="0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F-01FC-4E8E-8A48-0D2A85C5D223}"/>
              </c:ext>
            </c:extLst>
          </c:dPt>
          <c:dPt>
            <c:idx val="32"/>
            <c:invertIfNegative val="0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1-01FC-4E8E-8A48-0D2A85C5D223}"/>
              </c:ext>
            </c:extLst>
          </c:dPt>
          <c:dPt>
            <c:idx val="33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3-01FC-4E8E-8A48-0D2A85C5D223}"/>
              </c:ext>
            </c:extLst>
          </c:dPt>
          <c:dPt>
            <c:idx val="34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5-01FC-4E8E-8A48-0D2A85C5D223}"/>
              </c:ext>
            </c:extLst>
          </c:dPt>
          <c:dPt>
            <c:idx val="35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7-01FC-4E8E-8A48-0D2A85C5D223}"/>
              </c:ext>
            </c:extLst>
          </c:dPt>
          <c:dPt>
            <c:idx val="36"/>
            <c:invertIfNegative val="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9-01FC-4E8E-8A48-0D2A85C5D223}"/>
              </c:ext>
            </c:extLst>
          </c:dPt>
          <c:cat>
            <c:strRef>
              <c:f>Explor_Analysis!$A$7:$A$44</c:f>
              <c:strCache>
                <c:ptCount val="37"/>
                <c:pt idx="0">
                  <c:v>Nigeria</c:v>
                </c:pt>
                <c:pt idx="1">
                  <c:v>Estonia</c:v>
                </c:pt>
                <c:pt idx="2">
                  <c:v>Ghana</c:v>
                </c:pt>
                <c:pt idx="3">
                  <c:v>Sweden</c:v>
                </c:pt>
                <c:pt idx="4">
                  <c:v>Finland</c:v>
                </c:pt>
                <c:pt idx="5">
                  <c:v>Sarawak</c:v>
                </c:pt>
                <c:pt idx="6">
                  <c:v>Dubai</c:v>
                </c:pt>
                <c:pt idx="7">
                  <c:v>Fiji</c:v>
                </c:pt>
                <c:pt idx="8">
                  <c:v>Holland</c:v>
                </c:pt>
                <c:pt idx="9">
                  <c:v>Poland</c:v>
                </c:pt>
                <c:pt idx="10">
                  <c:v>Cambodia</c:v>
                </c:pt>
                <c:pt idx="11">
                  <c:v>Brazil</c:v>
                </c:pt>
                <c:pt idx="12">
                  <c:v>Colombia</c:v>
                </c:pt>
                <c:pt idx="13">
                  <c:v>Bangladesh</c:v>
                </c:pt>
                <c:pt idx="14">
                  <c:v>Hungary</c:v>
                </c:pt>
                <c:pt idx="15">
                  <c:v>Pakistan</c:v>
                </c:pt>
                <c:pt idx="16">
                  <c:v>Myanmar</c:v>
                </c:pt>
                <c:pt idx="17">
                  <c:v>Nepal</c:v>
                </c:pt>
                <c:pt idx="18">
                  <c:v>Netherlands</c:v>
                </c:pt>
                <c:pt idx="19">
                  <c:v>Australia</c:v>
                </c:pt>
                <c:pt idx="20">
                  <c:v>Mexico</c:v>
                </c:pt>
                <c:pt idx="21">
                  <c:v>Germany</c:v>
                </c:pt>
                <c:pt idx="22">
                  <c:v>India</c:v>
                </c:pt>
                <c:pt idx="23">
                  <c:v>Canada</c:v>
                </c:pt>
                <c:pt idx="24">
                  <c:v>Philippines</c:v>
                </c:pt>
                <c:pt idx="25">
                  <c:v>UK</c:v>
                </c:pt>
                <c:pt idx="26">
                  <c:v>Vietnam</c:v>
                </c:pt>
                <c:pt idx="27">
                  <c:v>Singapore</c:v>
                </c:pt>
                <c:pt idx="28">
                  <c:v>Indonesia</c:v>
                </c:pt>
                <c:pt idx="29">
                  <c:v>Hong Kong</c:v>
                </c:pt>
                <c:pt idx="30">
                  <c:v>Malaysia</c:v>
                </c:pt>
                <c:pt idx="31">
                  <c:v>China</c:v>
                </c:pt>
                <c:pt idx="32">
                  <c:v>Thailand</c:v>
                </c:pt>
                <c:pt idx="33">
                  <c:v>Taiwan</c:v>
                </c:pt>
                <c:pt idx="34">
                  <c:v>South Korea</c:v>
                </c:pt>
                <c:pt idx="35">
                  <c:v>USA</c:v>
                </c:pt>
                <c:pt idx="36">
                  <c:v>Japan</c:v>
                </c:pt>
              </c:strCache>
            </c:strRef>
          </c:cat>
          <c:val>
            <c:numRef>
              <c:f>Explor_Analysis!$B$7:$B$44</c:f>
              <c:numCache>
                <c:formatCode>General</c:formatCode>
                <c:ptCount val="37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9</c:v>
                </c:pt>
                <c:pt idx="15">
                  <c:v>9</c:v>
                </c:pt>
                <c:pt idx="16">
                  <c:v>14</c:v>
                </c:pt>
                <c:pt idx="17">
                  <c:v>14</c:v>
                </c:pt>
                <c:pt idx="18">
                  <c:v>15</c:v>
                </c:pt>
                <c:pt idx="19">
                  <c:v>22</c:v>
                </c:pt>
                <c:pt idx="20">
                  <c:v>25</c:v>
                </c:pt>
                <c:pt idx="21">
                  <c:v>27</c:v>
                </c:pt>
                <c:pt idx="22">
                  <c:v>31</c:v>
                </c:pt>
                <c:pt idx="23">
                  <c:v>41</c:v>
                </c:pt>
                <c:pt idx="24">
                  <c:v>47</c:v>
                </c:pt>
                <c:pt idx="25">
                  <c:v>69</c:v>
                </c:pt>
                <c:pt idx="26">
                  <c:v>108</c:v>
                </c:pt>
                <c:pt idx="27">
                  <c:v>109</c:v>
                </c:pt>
                <c:pt idx="28">
                  <c:v>126</c:v>
                </c:pt>
                <c:pt idx="29">
                  <c:v>137</c:v>
                </c:pt>
                <c:pt idx="30">
                  <c:v>156</c:v>
                </c:pt>
                <c:pt idx="31">
                  <c:v>169</c:v>
                </c:pt>
                <c:pt idx="32">
                  <c:v>191</c:v>
                </c:pt>
                <c:pt idx="33">
                  <c:v>224</c:v>
                </c:pt>
                <c:pt idx="34">
                  <c:v>309</c:v>
                </c:pt>
                <c:pt idx="35">
                  <c:v>324</c:v>
                </c:pt>
                <c:pt idx="36">
                  <c:v>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29-4542-BB1A-557C13892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16320904"/>
        <c:axId val="516314344"/>
      </c:barChart>
      <c:catAx>
        <c:axId val="5163209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314344"/>
        <c:crosses val="autoZero"/>
        <c:auto val="1"/>
        <c:lblAlgn val="ctr"/>
        <c:lblOffset val="100"/>
        <c:noMultiLvlLbl val="0"/>
      </c:catAx>
      <c:valAx>
        <c:axId val="516314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320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[ramen-ratings.xlsm]CountryAvgRating!PivotTable2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Star Rating By</a:t>
            </a:r>
            <a:r>
              <a:rPr lang="en-US" baseline="0"/>
              <a:t> 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CountryAvgRating!$B$1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27F-4158-A4CF-0EC6AD96F97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7F-4158-A4CF-0EC6AD96F97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27F-4158-A4CF-0EC6AD96F97A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27F-4158-A4CF-0EC6AD96F97A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27F-4158-A4CF-0EC6AD96F97A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27F-4158-A4CF-0EC6AD96F97A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27F-4158-A4CF-0EC6AD96F97A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27F-4158-A4CF-0EC6AD96F97A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727F-4158-A4CF-0EC6AD96F97A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727F-4158-A4CF-0EC6AD96F97A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727F-4158-A4CF-0EC6AD96F97A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727F-4158-A4CF-0EC6AD96F97A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727F-4158-A4CF-0EC6AD96F97A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727F-4158-A4CF-0EC6AD96F97A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727F-4158-A4CF-0EC6AD96F97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727F-4158-A4CF-0EC6AD96F97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727F-4158-A4CF-0EC6AD96F97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727F-4158-A4CF-0EC6AD96F97A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727F-4158-A4CF-0EC6AD96F97A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727F-4158-A4CF-0EC6AD96F97A}"/>
              </c:ext>
            </c:extLst>
          </c:dPt>
          <c:dPt>
            <c:idx val="20"/>
            <c:invertIfNegative val="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727F-4158-A4CF-0EC6AD96F97A}"/>
              </c:ext>
            </c:extLst>
          </c:dPt>
          <c:dPt>
            <c:idx val="21"/>
            <c:invertIfNegative val="0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727F-4158-A4CF-0EC6AD96F97A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727F-4158-A4CF-0EC6AD96F97A}"/>
              </c:ext>
            </c:extLst>
          </c:dPt>
          <c:dPt>
            <c:idx val="23"/>
            <c:invertIfNegative val="0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727F-4158-A4CF-0EC6AD96F97A}"/>
              </c:ext>
            </c:extLst>
          </c:dPt>
          <c:dPt>
            <c:idx val="24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727F-4158-A4CF-0EC6AD96F97A}"/>
              </c:ext>
            </c:extLst>
          </c:dPt>
          <c:dPt>
            <c:idx val="25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727F-4158-A4CF-0EC6AD96F97A}"/>
              </c:ext>
            </c:extLst>
          </c:dPt>
          <c:dPt>
            <c:idx val="26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727F-4158-A4CF-0EC6AD96F97A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7-727F-4158-A4CF-0EC6AD96F97A}"/>
              </c:ext>
            </c:extLst>
          </c:dPt>
          <c:dPt>
            <c:idx val="28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9-727F-4158-A4CF-0EC6AD96F97A}"/>
              </c:ext>
            </c:extLst>
          </c:dPt>
          <c:dPt>
            <c:idx val="29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B-727F-4158-A4CF-0EC6AD96F97A}"/>
              </c:ext>
            </c:extLst>
          </c:dPt>
          <c:dPt>
            <c:idx val="30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D-727F-4158-A4CF-0EC6AD96F97A}"/>
              </c:ext>
            </c:extLst>
          </c:dPt>
          <c:dPt>
            <c:idx val="31"/>
            <c:invertIfNegative val="0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F-727F-4158-A4CF-0EC6AD96F97A}"/>
              </c:ext>
            </c:extLst>
          </c:dPt>
          <c:dPt>
            <c:idx val="32"/>
            <c:invertIfNegative val="0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1-727F-4158-A4CF-0EC6AD96F97A}"/>
              </c:ext>
            </c:extLst>
          </c:dPt>
          <c:dPt>
            <c:idx val="33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3-727F-4158-A4CF-0EC6AD96F97A}"/>
              </c:ext>
            </c:extLst>
          </c:dPt>
          <c:dPt>
            <c:idx val="34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5-727F-4158-A4CF-0EC6AD96F97A}"/>
              </c:ext>
            </c:extLst>
          </c:dPt>
          <c:dPt>
            <c:idx val="35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7-727F-4158-A4CF-0EC6AD96F97A}"/>
              </c:ext>
            </c:extLst>
          </c:dPt>
          <c:dPt>
            <c:idx val="36"/>
            <c:invertIfNegative val="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9-727F-4158-A4CF-0EC6AD96F97A}"/>
              </c:ext>
            </c:extLst>
          </c:dPt>
          <c:cat>
            <c:strRef>
              <c:f>CountryAvgRating!$A$2:$A$39</c:f>
              <c:strCache>
                <c:ptCount val="37"/>
                <c:pt idx="0">
                  <c:v>Nigeria</c:v>
                </c:pt>
                <c:pt idx="1">
                  <c:v>Canada</c:v>
                </c:pt>
                <c:pt idx="2">
                  <c:v>Netherlands</c:v>
                </c:pt>
                <c:pt idx="3">
                  <c:v>UK</c:v>
                </c:pt>
                <c:pt idx="4">
                  <c:v>Pakistan</c:v>
                </c:pt>
                <c:pt idx="5">
                  <c:v>Australia</c:v>
                </c:pt>
                <c:pt idx="6">
                  <c:v>Vietnam</c:v>
                </c:pt>
                <c:pt idx="7">
                  <c:v>Sweden</c:v>
                </c:pt>
                <c:pt idx="8">
                  <c:v>Colombia</c:v>
                </c:pt>
                <c:pt idx="9">
                  <c:v>Philippines</c:v>
                </c:pt>
                <c:pt idx="10">
                  <c:v>Thailand</c:v>
                </c:pt>
                <c:pt idx="11">
                  <c:v>India</c:v>
                </c:pt>
                <c:pt idx="12">
                  <c:v>China</c:v>
                </c:pt>
                <c:pt idx="13">
                  <c:v>USA</c:v>
                </c:pt>
                <c:pt idx="14">
                  <c:v>Estonia</c:v>
                </c:pt>
                <c:pt idx="15">
                  <c:v>Ghana</c:v>
                </c:pt>
                <c:pt idx="16">
                  <c:v>Nepal</c:v>
                </c:pt>
                <c:pt idx="17">
                  <c:v>Holland</c:v>
                </c:pt>
                <c:pt idx="18">
                  <c:v>Finland</c:v>
                </c:pt>
                <c:pt idx="19">
                  <c:v>Dubai</c:v>
                </c:pt>
                <c:pt idx="20">
                  <c:v>Hungary</c:v>
                </c:pt>
                <c:pt idx="21">
                  <c:v>Poland</c:v>
                </c:pt>
                <c:pt idx="22">
                  <c:v>Germany</c:v>
                </c:pt>
                <c:pt idx="23">
                  <c:v>Taiwan</c:v>
                </c:pt>
                <c:pt idx="24">
                  <c:v>Bangladesh</c:v>
                </c:pt>
                <c:pt idx="25">
                  <c:v>Mexico</c:v>
                </c:pt>
                <c:pt idx="26">
                  <c:v>South Korea</c:v>
                </c:pt>
                <c:pt idx="27">
                  <c:v>Hong Kong</c:v>
                </c:pt>
                <c:pt idx="28">
                  <c:v>Fiji</c:v>
                </c:pt>
                <c:pt idx="29">
                  <c:v>Myanmar</c:v>
                </c:pt>
                <c:pt idx="30">
                  <c:v>Japan</c:v>
                </c:pt>
                <c:pt idx="31">
                  <c:v>Indonesia</c:v>
                </c:pt>
                <c:pt idx="32">
                  <c:v>Singapore</c:v>
                </c:pt>
                <c:pt idx="33">
                  <c:v>Malaysia</c:v>
                </c:pt>
                <c:pt idx="34">
                  <c:v>Cambodia</c:v>
                </c:pt>
                <c:pt idx="35">
                  <c:v>Sarawak</c:v>
                </c:pt>
                <c:pt idx="36">
                  <c:v>Brazil</c:v>
                </c:pt>
              </c:strCache>
            </c:strRef>
          </c:cat>
          <c:val>
            <c:numRef>
              <c:f>CountryAvgRating!$B$2:$B$39</c:f>
              <c:numCache>
                <c:formatCode>0.00</c:formatCode>
                <c:ptCount val="37"/>
                <c:pt idx="0">
                  <c:v>1.5</c:v>
                </c:pt>
                <c:pt idx="1">
                  <c:v>2.2439024390243905</c:v>
                </c:pt>
                <c:pt idx="2">
                  <c:v>2.4833333333333334</c:v>
                </c:pt>
                <c:pt idx="3">
                  <c:v>2.9971014492753625</c:v>
                </c:pt>
                <c:pt idx="4">
                  <c:v>3</c:v>
                </c:pt>
                <c:pt idx="5">
                  <c:v>3.1386363636363637</c:v>
                </c:pt>
                <c:pt idx="6">
                  <c:v>3.1879629629629629</c:v>
                </c:pt>
                <c:pt idx="7">
                  <c:v>3.25</c:v>
                </c:pt>
                <c:pt idx="8">
                  <c:v>3.2916666666666665</c:v>
                </c:pt>
                <c:pt idx="9">
                  <c:v>3.3297872340425534</c:v>
                </c:pt>
                <c:pt idx="10">
                  <c:v>3.3848167539267022</c:v>
                </c:pt>
                <c:pt idx="11">
                  <c:v>3.3951612903225805</c:v>
                </c:pt>
                <c:pt idx="12">
                  <c:v>3.4218934911242602</c:v>
                </c:pt>
                <c:pt idx="13">
                  <c:v>3.4579475308641974</c:v>
                </c:pt>
                <c:pt idx="14">
                  <c:v>3.5</c:v>
                </c:pt>
                <c:pt idx="15">
                  <c:v>3.5</c:v>
                </c:pt>
                <c:pt idx="16">
                  <c:v>3.5535714285714284</c:v>
                </c:pt>
                <c:pt idx="17">
                  <c:v>3.5625</c:v>
                </c:pt>
                <c:pt idx="18">
                  <c:v>3.5833333333333335</c:v>
                </c:pt>
                <c:pt idx="19">
                  <c:v>3.5833333333333335</c:v>
                </c:pt>
                <c:pt idx="20">
                  <c:v>3.6111111111111112</c:v>
                </c:pt>
                <c:pt idx="21">
                  <c:v>3.625</c:v>
                </c:pt>
                <c:pt idx="22">
                  <c:v>3.6388888888888888</c:v>
                </c:pt>
                <c:pt idx="23">
                  <c:v>3.6654017857142862</c:v>
                </c:pt>
                <c:pt idx="24">
                  <c:v>3.7142857142857144</c:v>
                </c:pt>
                <c:pt idx="25">
                  <c:v>3.73</c:v>
                </c:pt>
                <c:pt idx="26">
                  <c:v>3.7905537459283383</c:v>
                </c:pt>
                <c:pt idx="27">
                  <c:v>3.8018248175182485</c:v>
                </c:pt>
                <c:pt idx="28">
                  <c:v>3.875</c:v>
                </c:pt>
                <c:pt idx="29">
                  <c:v>3.9464285714285716</c:v>
                </c:pt>
                <c:pt idx="30">
                  <c:v>3.9816051136363639</c:v>
                </c:pt>
                <c:pt idx="31">
                  <c:v>4.0674603174603172</c:v>
                </c:pt>
                <c:pt idx="32">
                  <c:v>4.1261467889908259</c:v>
                </c:pt>
                <c:pt idx="33">
                  <c:v>4.1541935483870969</c:v>
                </c:pt>
                <c:pt idx="34">
                  <c:v>4.2</c:v>
                </c:pt>
                <c:pt idx="35">
                  <c:v>4.333333333333333</c:v>
                </c:pt>
                <c:pt idx="36">
                  <c:v>4.3499999999999996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0A-4748-AFAF-18AB502F1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26372088"/>
        <c:axId val="526367496"/>
      </c:barChart>
      <c:catAx>
        <c:axId val="5263720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67496"/>
        <c:crosses val="autoZero"/>
        <c:auto val="1"/>
        <c:lblAlgn val="ctr"/>
        <c:lblOffset val="100"/>
        <c:noMultiLvlLbl val="0"/>
      </c:catAx>
      <c:valAx>
        <c:axId val="526367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72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[ramen-ratings.xlsm]QualityStyle!PivotTable6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Style of Ramen by Quality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FF00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QualityStyle!$B$3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970C-4CE4-A8F4-B1B69E8C2474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70C-4CE4-A8F4-B1B69E8C2474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970C-4CE4-A8F4-B1B69E8C2474}"/>
              </c:ext>
            </c:extLst>
          </c:dPt>
          <c:dPt>
            <c:idx val="3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70C-4CE4-A8F4-B1B69E8C2474}"/>
              </c:ext>
            </c:extLst>
          </c:dPt>
          <c:dPt>
            <c:idx val="4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970C-4CE4-A8F4-B1B69E8C2474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7-970C-4CE4-A8F4-B1B69E8C2474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970C-4CE4-A8F4-B1B69E8C247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970C-4CE4-A8F4-B1B69E8C2474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970C-4CE4-A8F4-B1B69E8C2474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970C-4CE4-A8F4-B1B69E8C2474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6-970C-4CE4-A8F4-B1B69E8C24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QualityStyle!$A$4:$A$9</c:f>
              <c:strCache>
                <c:ptCount val="5"/>
                <c:pt idx="0">
                  <c:v>Bowl</c:v>
                </c:pt>
                <c:pt idx="1">
                  <c:v>Box</c:v>
                </c:pt>
                <c:pt idx="2">
                  <c:v>Cup</c:v>
                </c:pt>
                <c:pt idx="3">
                  <c:v>Pack</c:v>
                </c:pt>
                <c:pt idx="4">
                  <c:v>Tray</c:v>
                </c:pt>
              </c:strCache>
            </c:strRef>
          </c:cat>
          <c:val>
            <c:numRef>
              <c:f>QualityStyle!$B$4:$B$9</c:f>
              <c:numCache>
                <c:formatCode>General</c:formatCode>
                <c:ptCount val="5"/>
                <c:pt idx="0">
                  <c:v>63</c:v>
                </c:pt>
                <c:pt idx="1">
                  <c:v>1</c:v>
                </c:pt>
                <c:pt idx="2">
                  <c:v>67</c:v>
                </c:pt>
                <c:pt idx="3">
                  <c:v>168</c:v>
                </c:pt>
                <c:pt idx="4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0C-4CE4-A8F4-B1B69E8C2474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3</xdr:row>
      <xdr:rowOff>152399</xdr:rowOff>
    </xdr:from>
    <xdr:to>
      <xdr:col>16</xdr:col>
      <xdr:colOff>371475</xdr:colOff>
      <xdr:row>43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68A6E2-1BEC-4537-B85E-E561705E47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0</xdr:row>
      <xdr:rowOff>152400</xdr:rowOff>
    </xdr:from>
    <xdr:to>
      <xdr:col>13</xdr:col>
      <xdr:colOff>523875</xdr:colOff>
      <xdr:row>29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8A80E6F-D5FB-4D54-A4A7-1D9D06DD16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276226</xdr:colOff>
      <xdr:row>0</xdr:row>
      <xdr:rowOff>190500</xdr:rowOff>
    </xdr:from>
    <xdr:to>
      <xdr:col>11</xdr:col>
      <xdr:colOff>0</xdr:colOff>
      <xdr:row>24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0E0DCD-1F2D-4D67-8A24-4C99DD07DE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xwellgriffith" refreshedDate="44385.75392476852" createdVersion="7" refreshedVersion="7" minRefreshableVersion="3" recordCount="2582" xr:uid="{7ADAD161-2BDF-4364-8662-2FCE6C5A0549}">
  <cacheSource type="worksheet">
    <worksheetSource ref="E1:E1048576" sheet="ramen-ratings"/>
  </cacheSource>
  <cacheFields count="1">
    <cacheField name="Country" numFmtId="0">
      <sharedItems containsBlank="1" count="39">
        <s v="Vietnam"/>
        <s v="USA"/>
        <s v="UK"/>
        <s v="Thailand"/>
        <s v="Taiwan"/>
        <s v="Sweden"/>
        <s v="South Korea"/>
        <s v="Singapore"/>
        <s v="Sarawak"/>
        <s v="Poland"/>
        <s v="Philippines"/>
        <s v="Pakistan"/>
        <s v="Nigeria"/>
        <s v="Netherlands"/>
        <s v="Nepal"/>
        <s v="Myanmar"/>
        <s v="Mexico"/>
        <s v="Malaysia"/>
        <s v="Japan"/>
        <s v="Indonesia"/>
        <s v="India"/>
        <s v="Hungary"/>
        <s v="Hong Kong"/>
        <s v="Holland"/>
        <s v="Ghana"/>
        <s v="Germany"/>
        <s v="Finland"/>
        <s v="Fiji"/>
        <s v="Estonia"/>
        <s v="Dubai"/>
        <s v="Colombia"/>
        <s v="China"/>
        <s v="Canada"/>
        <s v="Cambodia"/>
        <s v="Brazil"/>
        <s v="Bangladesh"/>
        <s v="Australia"/>
        <m/>
        <s v="United State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xwellgriffith" refreshedDate="44385.761339236109" createdVersion="7" refreshedVersion="7" minRefreshableVersion="3" recordCount="2580" xr:uid="{276973F9-A7A8-4AF2-85E4-F63356D08B2C}">
  <cacheSource type="worksheet">
    <worksheetSource name="Ramen_Ratings"/>
  </cacheSource>
  <cacheFields count="11">
    <cacheField name="Review #" numFmtId="0">
      <sharedItems containsSemiMixedTypes="0" containsString="0" containsNumber="1" containsInteger="1" minValue="1" maxValue="2580"/>
    </cacheField>
    <cacheField name="Brand" numFmtId="0">
      <sharedItems count="353">
        <s v="Binh Tay"/>
        <s v="Uni-President"/>
        <s v="Mum Ngon"/>
        <s v="Vifon"/>
        <s v="Acecook"/>
        <s v="Thien Houng Foods"/>
        <s v="Vina Acecook"/>
        <s v="A-One"/>
        <s v="Paldo Vina"/>
        <s v="United"/>
        <s v="New Way"/>
        <s v="Miliket"/>
        <s v="Unif / Tung-I"/>
        <s v="Gau Do"/>
        <s v="Saigon Ve Wong"/>
        <s v="Omachi"/>
        <s v="Noah Foods"/>
        <s v="Ve Wong"/>
        <s v="Gomex"/>
        <s v="Nongshim"/>
        <s v="Nissin"/>
        <s v="Yamachan"/>
        <s v="Jackpot Teriyaki"/>
        <s v="Lipton"/>
        <s v="Pringles"/>
        <s v="Myojo"/>
        <s v="Daifuku"/>
        <s v="Dream Kitchen"/>
        <s v="Dr. McDougall's"/>
        <s v="Shirakiku"/>
        <s v="Mama Pat's"/>
        <s v="Goku-Uma"/>
        <s v="Gefen"/>
        <s v="Farmer's Heart"/>
        <s v="Maruchan"/>
        <s v="Roland"/>
        <s v="Koyo"/>
        <s v="IbuRamen"/>
        <s v="Fortune"/>
        <s v="Thai Smile"/>
        <s v="Sapporo Ichiban"/>
        <s v="Crystal Noodle"/>
        <s v="Authentically Asian"/>
        <s v="One Dish Asia"/>
        <s v="Thai Pavilion"/>
        <s v="Osaka Ramen"/>
        <s v="Annie Chun's"/>
        <s v="Snapdragon"/>
        <s v="Miracle Noodle"/>
        <s v="Lotus Foods"/>
        <s v="Sakura Noodle"/>
        <s v="Thai Kitchen"/>
        <s v="Komforte Chockolates"/>
        <s v="Tasty Bite"/>
        <s v="Star Anise Foods"/>
        <s v="Tradition"/>
        <s v="Sun Noodle"/>
        <s v="S&amp;S"/>
        <s v="Right Foods"/>
        <s v="Hosoonyi"/>
        <s v="Mexi-Ramen"/>
        <s v="Chikara"/>
        <s v="US Canning"/>
        <s v="Tayho"/>
        <s v="Fu Chang Chinese Noodle Company"/>
        <s v="Teriyaki Time"/>
        <s v="Smack"/>
        <s v="Westbrae"/>
        <s v="Mr. Lee's Noodles"/>
        <s v="Urban Noodle"/>
        <s v="Kabuto Noodles"/>
        <s v="Ko-Lee"/>
        <s v="Sainsbury's"/>
        <s v="Tesco"/>
        <s v="Tiger Tiger"/>
        <s v="Sawadee"/>
        <s v="Batchelors"/>
        <s v="Golden Wonder"/>
        <s v="Pot Noodle"/>
        <s v="Mug Shot"/>
        <s v="Mama"/>
        <s v="Tao Kae Noi"/>
        <s v="Fashion Food"/>
        <s v="President Rice"/>
        <s v="7 Select"/>
        <s v="Zow Zow"/>
        <s v="Bamee"/>
        <s v="Yum Yum"/>
        <s v="Wai Wai"/>
        <s v="Little Cook"/>
        <s v="7 Select/Nissin"/>
        <s v="Kin-Dee"/>
        <s v="Ruski"/>
        <s v="Thai Choice"/>
        <s v="Papa"/>
        <s v="Sunlee"/>
        <s v="Kim's Bowl"/>
        <s v="GreeNoodle"/>
        <s v="Fashion Foods"/>
        <s v="Mee Jang"/>
        <s v="Knorr"/>
        <s v="Royal Umbrella"/>
        <s v="Boss"/>
        <s v="Tseng Noodles"/>
        <s v="A-Sha Dry Noodle"/>
        <s v="Just Way"/>
        <s v="Wei Lih"/>
        <s v="Mom's Dry Noodle"/>
        <s v="Happy Cook"/>
        <s v="TTL"/>
        <s v="Kiki Noodle"/>
        <s v="GGE"/>
        <s v="Xiao Ban Mian"/>
        <s v="Unif Tung-I"/>
        <s v="Love Cook"/>
        <s v="Choumama"/>
        <s v="Jingqi"/>
        <s v="Oni Hot Pot"/>
        <s v="Weh Lih"/>
        <s v="Vedan"/>
        <s v="Forest Noodles"/>
        <s v="Ten-In"/>
        <s v="Chering Chang"/>
        <s v="Wu-Mu"/>
        <s v="Lishan Food Manufacturing"/>
        <s v="Deshome"/>
        <s v="Long Jun Hang"/>
        <s v="Sau Tao"/>
        <s v="China Best"/>
        <s v="Unif"/>
        <s v="Amianda"/>
        <s v="Souper"/>
        <s v="Long Kow"/>
        <s v="Wu Mu"/>
        <s v="Lishan"/>
        <s v="Wei Chuan"/>
        <s v="Wei Wei"/>
        <s v="Sunlight"/>
        <s v="Nan Hsing"/>
        <s v="Hsin Tung Yang"/>
        <s v="iNoodle"/>
        <s v="Q"/>
        <s v="Sunny Maid"/>
        <s v="Tiger"/>
        <s v="Kim Ve Wong"/>
        <s v="Tung-I"/>
        <s v="ICA"/>
        <s v="Katoz"/>
        <s v="Paldo"/>
        <s v="Samyang Foods"/>
        <s v="Ottogi"/>
        <s v="Guava Story"/>
        <s v="Wang"/>
        <s v="Pulmuone"/>
        <s v="Sempio"/>
        <s v="Migawon"/>
        <s v="Emart"/>
        <s v="ChoripDong"/>
        <s v="Hi-Myon"/>
        <s v="Good Tto Leu Foods"/>
        <s v="HoMyeonDang"/>
        <s v="GS25"/>
        <s v="Han's South Korea"/>
        <s v="Song Hak"/>
        <s v="CJ CheilJedang"/>
        <s v="Dongwon"/>
        <s v="Ohsung"/>
        <s v="Samyang"/>
        <s v="Sura"/>
        <s v="Mr. Udon"/>
        <s v="Six Fortune"/>
        <s v="Haioreum"/>
        <s v="O Sung"/>
        <s v="Foodmon"/>
        <s v="Sahmyook"/>
        <s v="Noodle Time"/>
        <s v="Rhee Bros Assi"/>
        <s v="Bon Go Jang"/>
        <s v="Chorip Dong"/>
        <s v="Global Inspiration"/>
        <s v="Sutah"/>
        <s v="Prima"/>
        <s v="Prima Taste"/>
        <s v="Koka"/>
        <s v="MyKuali"/>
        <s v="Happy Family"/>
        <s v="Maggi"/>
        <s v="Lee Fah Mee"/>
        <s v="The Kitchen Food"/>
        <s v="Amino"/>
        <s v="Lucky Me!"/>
        <s v="Pamana"/>
        <s v="Payless"/>
        <s v="Quickchow"/>
        <s v="Morre"/>
        <s v="Shan"/>
        <s v="Indomie"/>
        <s v="Conimex"/>
        <s v="Koh Thai"/>
        <s v="Unox"/>
        <s v="iMee"/>
        <s v="Asian Thai Foods"/>
        <s v="La Moderna"/>
        <s v="Mamee"/>
        <s v="CarJEN"/>
        <s v="The Ramen Rater Select"/>
        <s v="E-Zee"/>
        <s v="Cintan"/>
        <s v="Nyor Nyar"/>
        <s v="ORee Garden"/>
        <s v="A1"/>
        <s v="MyOri"/>
        <s v="Ibumie"/>
        <s v="Pama"/>
        <s v="Vit's"/>
        <s v="Hao Way"/>
        <s v="Super"/>
        <s v="Aroi"/>
        <s v="Premiere"/>
        <s v="Ah Lai"/>
        <s v="The Bridge"/>
        <s v="Uncle Sun"/>
        <s v="Mi E-Zee"/>
        <s v="E-mi"/>
        <s v="J.J."/>
        <s v="Curry Prince"/>
        <s v="Econsave"/>
        <s v="Nanyang Chef"/>
        <s v="Adabi"/>
        <s v="Saji"/>
        <s v="Daddy"/>
        <s v="New Touch"/>
        <s v="Ikeda Shoku"/>
        <s v="Ripe'n'Dry"/>
        <s v="Fujiwara"/>
        <s v="Sokensha"/>
        <s v="Takamori"/>
        <s v="Samurai Ramen"/>
        <s v="Ogasawara"/>
        <s v="Tokyo Noodle"/>
        <s v="Ajinatori"/>
        <s v="Daikoku"/>
        <s v="Marutai"/>
        <s v="Tablemark"/>
        <s v="Nagatanien"/>
        <s v="Menraku"/>
        <s v="Itomen"/>
        <s v="Sanpo"/>
        <s v="Tokushima Seifun"/>
        <s v="Itsuki"/>
        <s v="Higashimaru"/>
        <s v="Kuriki"/>
        <s v="Daraz"/>
        <s v="Seven &amp; I"/>
        <s v="Sugakiya Foods"/>
        <s v="Nakaya Shouten"/>
        <s v="Torishi"/>
        <s v="Ishimaru"/>
        <s v="Yamadai"/>
        <s v="Sakurai Foods"/>
        <s v="Mitoku"/>
        <s v="Unzen"/>
        <s v="Oyatsu"/>
        <s v="Men-Sunaoshi"/>
        <s v="Takamori Kosan"/>
        <s v="Kimura"/>
        <s v="Tokachimen Koubou"/>
        <s v="Kumamoto"/>
        <s v="Sanrio"/>
        <s v="Peyang"/>
        <s v="Nagao Noodle"/>
        <s v="Goku Uma"/>
        <s v="Fuji Mengyo"/>
        <s v="Seven-Eleven"/>
        <s v="Yamamoto"/>
        <s v="JFC"/>
        <s v="Yamamori"/>
        <s v="Sanyo Foods"/>
        <s v="Higashi"/>
        <s v="Sakurai"/>
        <s v="Mi Sedaap"/>
        <s v="World O' Noodle"/>
        <s v="Super Bihun"/>
        <s v="Mie Sedaap"/>
        <s v="Salam Mie"/>
        <s v="Tropicana Slim"/>
        <s v="La Fonte"/>
        <s v="Pop Bihun"/>
        <s v="Healtimie"/>
        <s v="GaGa"/>
        <s v="ABC"/>
        <s v="Eat &amp; Go"/>
        <s v="President"/>
        <s v="SuperMi"/>
        <s v="Maitri"/>
        <s v="Sarimi"/>
        <s v="Cap Atoom Bulan"/>
        <s v="Ching's Secret"/>
        <s v="TRDP"/>
        <s v="1 To 3 Noodles"/>
        <s v="Patanjali"/>
        <s v="Chaudhary's Wai Wai"/>
        <s v="Bonasia"/>
        <s v="Asia Gold"/>
        <s v="Thai Chef"/>
        <s v="Doll"/>
        <s v="Kang Shi Fu"/>
        <s v="Kamfen"/>
        <s v="Fuku"/>
        <s v="Four Seas"/>
        <s v="Chewy"/>
        <s v="Kailo"/>
        <s v="Sao Tao"/>
        <s v="Yum-Mie"/>
        <s v="Lele"/>
        <s v="Pirkka"/>
        <s v="FMF"/>
        <s v="Baltix"/>
        <s v="Golden Mie"/>
        <s v="Wugudaochang"/>
        <s v="Sichuan Guangyou"/>
        <s v="Master Kong"/>
        <s v="Xiuhe"/>
        <s v="Sichuan Baijia"/>
        <s v="Liang Cheng Mai"/>
        <s v="Hua Feng"/>
        <s v="Liu Quan"/>
        <s v="Chuan Wei Wang"/>
        <s v="Qin Zong"/>
        <s v="JML"/>
        <s v="Baijia"/>
        <s v="Baixiang Noodles"/>
        <s v="Chencun"/>
        <s v="Unif-100"/>
        <s v="Hankow"/>
        <s v="Golden Wheat"/>
        <s v="Nan Jie Cun"/>
        <s v="Springlife"/>
        <s v="Dragonfly"/>
        <s v="Rocket Brand"/>
        <s v="Hua Feng Noodle Expert"/>
        <s v="Great Value"/>
        <s v="Azami"/>
        <s v="Western Family"/>
        <s v="No Name"/>
        <s v="Campbell's"/>
        <s v="Plats Du Chef"/>
        <s v="Mr. Noodles"/>
        <s v="Pran"/>
        <s v="Fantastic"/>
        <s v="Suimin"/>
        <s v="Singa-Me"/>
        <s v="Trident"/>
      </sharedItems>
    </cacheField>
    <cacheField name="Variety" numFmtId="0">
      <sharedItems/>
    </cacheField>
    <cacheField name="Style" numFmtId="0">
      <sharedItems containsBlank="1" count="8">
        <s v="Pack"/>
        <s v="Bowl"/>
        <s v="Cup"/>
        <s v="Tray"/>
        <s v="Box"/>
        <s v="Can"/>
        <s v="Bar"/>
        <m/>
      </sharedItems>
    </cacheField>
    <cacheField name="Country" numFmtId="0">
      <sharedItems count="37">
        <s v="Vietnam"/>
        <s v="USA"/>
        <s v="UK"/>
        <s v="Thailand"/>
        <s v="Taiwan"/>
        <s v="Sweden"/>
        <s v="South Korea"/>
        <s v="Singapore"/>
        <s v="Sarawak"/>
        <s v="Poland"/>
        <s v="Philippines"/>
        <s v="Pakistan"/>
        <s v="Nigeria"/>
        <s v="Netherlands"/>
        <s v="Nepal"/>
        <s v="Myanmar"/>
        <s v="Mexico"/>
        <s v="Malaysia"/>
        <s v="Japan"/>
        <s v="Indonesia"/>
        <s v="India"/>
        <s v="Hungary"/>
        <s v="Hong Kong"/>
        <s v="Holland"/>
        <s v="Ghana"/>
        <s v="Germany"/>
        <s v="Finland"/>
        <s v="Fiji"/>
        <s v="Estonia"/>
        <s v="Dubai"/>
        <s v="Colombia"/>
        <s v="China"/>
        <s v="Canada"/>
        <s v="Cambodia"/>
        <s v="Brazil"/>
        <s v="Bangladesh"/>
        <s v="Australia"/>
      </sharedItems>
    </cacheField>
    <cacheField name="Region" numFmtId="0">
      <sharedItems/>
    </cacheField>
    <cacheField name="Stars" numFmtId="0">
      <sharedItems containsMixedTypes="1" containsNumber="1" minValue="0" maxValue="5" count="43">
        <n v="4"/>
        <n v="0"/>
        <n v="3.5"/>
        <n v="5"/>
        <n v="3"/>
        <n v="3.25"/>
        <n v="2.5"/>
        <n v="1.25"/>
        <n v="1.5"/>
        <n v="2.75"/>
        <n v="3.75"/>
        <n v="2"/>
        <n v="4.25"/>
        <n v="2.25"/>
        <n v="1.75"/>
        <n v="4.75"/>
        <n v="0.5"/>
        <n v="4.5"/>
        <n v="2.8"/>
        <n v="1"/>
        <n v="0.25"/>
        <n v="2.125"/>
        <n v="3.3"/>
        <n v="0.9"/>
        <n v="3.1"/>
        <n v="0.1"/>
        <n v="3.7"/>
        <n v="3.6"/>
        <n v="3.8"/>
        <n v="4.3"/>
        <n v="2.1"/>
        <n v="3.4"/>
        <n v="2.85"/>
        <n v="3.2"/>
        <n v="3.65"/>
        <s v="Unrated"/>
        <n v="1.1000000000000001"/>
        <n v="3.125"/>
        <n v="4.125"/>
        <n v="2.9"/>
        <n v="1.8"/>
        <n v="0.75"/>
        <n v="2.2999999999999998"/>
      </sharedItems>
    </cacheField>
    <cacheField name="Quality" numFmtId="0">
      <sharedItems count="4">
        <s v="Good"/>
        <s v="Bad"/>
        <s v="Fair"/>
        <s v="NA"/>
      </sharedItems>
    </cacheField>
    <cacheField name="Top Ten" numFmtId="0">
      <sharedItems containsBlank="1"/>
    </cacheField>
    <cacheField name="Top Ten Year" numFmtId="0">
      <sharedItems/>
    </cacheField>
    <cacheField name="Top Ten 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82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5"/>
  </r>
  <r>
    <x v="5"/>
  </r>
  <r>
    <x v="5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8"/>
  </r>
  <r>
    <x v="8"/>
  </r>
  <r>
    <x v="8"/>
  </r>
  <r>
    <x v="9"/>
  </r>
  <r>
    <x v="9"/>
  </r>
  <r>
    <x v="9"/>
  </r>
  <r>
    <x v="9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2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3"/>
  </r>
  <r>
    <x v="23"/>
  </r>
  <r>
    <x v="23"/>
  </r>
  <r>
    <x v="23"/>
  </r>
  <r>
    <x v="24"/>
  </r>
  <r>
    <x v="24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6"/>
  </r>
  <r>
    <x v="26"/>
  </r>
  <r>
    <x v="26"/>
  </r>
  <r>
    <x v="27"/>
  </r>
  <r>
    <x v="27"/>
  </r>
  <r>
    <x v="27"/>
  </r>
  <r>
    <x v="27"/>
  </r>
  <r>
    <x v="28"/>
  </r>
  <r>
    <x v="28"/>
  </r>
  <r>
    <x v="29"/>
  </r>
  <r>
    <x v="29"/>
  </r>
  <r>
    <x v="29"/>
  </r>
  <r>
    <x v="30"/>
  </r>
  <r>
    <x v="30"/>
  </r>
  <r>
    <x v="30"/>
  </r>
  <r>
    <x v="30"/>
  </r>
  <r>
    <x v="30"/>
  </r>
  <r>
    <x v="30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3"/>
  </r>
  <r>
    <x v="33"/>
  </r>
  <r>
    <x v="33"/>
  </r>
  <r>
    <x v="33"/>
  </r>
  <r>
    <x v="33"/>
  </r>
  <r>
    <x v="34"/>
  </r>
  <r>
    <x v="34"/>
  </r>
  <r>
    <x v="34"/>
  </r>
  <r>
    <x v="34"/>
  </r>
  <r>
    <x v="34"/>
  </r>
  <r>
    <x v="35"/>
  </r>
  <r>
    <x v="35"/>
  </r>
  <r>
    <x v="35"/>
  </r>
  <r>
    <x v="35"/>
  </r>
  <r>
    <x v="35"/>
  </r>
  <r>
    <x v="35"/>
  </r>
  <r>
    <x v="35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7"/>
  </r>
  <r>
    <x v="3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80">
  <r>
    <n v="2562"/>
    <x v="0"/>
    <s v="Mi Hai Cua"/>
    <x v="0"/>
    <x v="0"/>
    <s v="Asia"/>
    <x v="0"/>
    <x v="0"/>
    <m/>
    <s v=""/>
    <s v=""/>
  </r>
  <r>
    <n v="2527"/>
    <x v="1"/>
    <s v="Mushroom Flavor"/>
    <x v="0"/>
    <x v="0"/>
    <s v="Asia"/>
    <x v="1"/>
    <x v="1"/>
    <m/>
    <s v=""/>
    <s v=""/>
  </r>
  <r>
    <n v="2435"/>
    <x v="2"/>
    <s v="Lau Tom Chua Cay"/>
    <x v="0"/>
    <x v="0"/>
    <s v="Asia"/>
    <x v="2"/>
    <x v="2"/>
    <m/>
    <s v=""/>
    <s v=""/>
  </r>
  <r>
    <n v="2354"/>
    <x v="3"/>
    <s v="Viet Cuisine Bun Rieu Cua Sour Crab Soup Instant Rice Vermicelli"/>
    <x v="1"/>
    <x v="0"/>
    <s v="Asia"/>
    <x v="3"/>
    <x v="0"/>
    <m/>
    <s v=""/>
    <s v=""/>
  </r>
  <r>
    <n v="2213"/>
    <x v="4"/>
    <s v="Oh! Ricey Pork Flavour"/>
    <x v="0"/>
    <x v="0"/>
    <s v="Asia"/>
    <x v="0"/>
    <x v="0"/>
    <m/>
    <s v=""/>
    <s v=""/>
  </r>
  <r>
    <n v="2143"/>
    <x v="5"/>
    <s v="Lemon Chicken Flavour Instant Noodles"/>
    <x v="0"/>
    <x v="0"/>
    <s v="Asia"/>
    <x v="4"/>
    <x v="2"/>
    <m/>
    <s v=""/>
    <s v=""/>
  </r>
  <r>
    <n v="1906"/>
    <x v="3"/>
    <s v="Chicken Flavour Asian Style Instant Noodles"/>
    <x v="0"/>
    <x v="0"/>
    <s v="Asia"/>
    <x v="2"/>
    <x v="2"/>
    <m/>
    <s v=""/>
    <s v=""/>
  </r>
  <r>
    <n v="1816"/>
    <x v="3"/>
    <s v="Asian Style Instant Noodles Artificial Beef Flavor"/>
    <x v="1"/>
    <x v="0"/>
    <s v="Asia"/>
    <x v="5"/>
    <x v="2"/>
    <m/>
    <s v=""/>
    <s v=""/>
  </r>
  <r>
    <n v="1726"/>
    <x v="6"/>
    <s v="Oh! Ricey Pho Ga"/>
    <x v="1"/>
    <x v="0"/>
    <s v="Asia"/>
    <x v="4"/>
    <x v="2"/>
    <m/>
    <s v=""/>
    <s v=""/>
  </r>
  <r>
    <n v="1718"/>
    <x v="6"/>
    <s v="Hao Hao Sate Onion Flavour"/>
    <x v="2"/>
    <x v="0"/>
    <s v="Asia"/>
    <x v="6"/>
    <x v="1"/>
    <m/>
    <s v=""/>
    <s v=""/>
  </r>
  <r>
    <n v="1669"/>
    <x v="7"/>
    <s v="Mi Ly Instant Noodles Mi Chay Vegetarian Flavor"/>
    <x v="2"/>
    <x v="0"/>
    <s v="Asia"/>
    <x v="7"/>
    <x v="1"/>
    <m/>
    <s v=""/>
    <s v=""/>
  </r>
  <r>
    <n v="1666"/>
    <x v="3"/>
    <s v="Curry Instant Noodle With Chicken"/>
    <x v="2"/>
    <x v="0"/>
    <s v="Asia"/>
    <x v="4"/>
    <x v="2"/>
    <m/>
    <s v=""/>
    <s v=""/>
  </r>
  <r>
    <n v="1665"/>
    <x v="8"/>
    <s v="Koreno Premium Mushroom Flavor"/>
    <x v="0"/>
    <x v="0"/>
    <s v="Asia"/>
    <x v="8"/>
    <x v="1"/>
    <m/>
    <s v=""/>
    <s v=""/>
  </r>
  <r>
    <n v="1663"/>
    <x v="6"/>
    <s v="King Chef Authentic Kimchi Flavour"/>
    <x v="0"/>
    <x v="0"/>
    <s v="Asia"/>
    <x v="0"/>
    <x v="0"/>
    <m/>
    <s v=""/>
    <s v=""/>
  </r>
  <r>
    <n v="1659"/>
    <x v="9"/>
    <s v="Xi Gon Satay Onion Flavor"/>
    <x v="0"/>
    <x v="0"/>
    <s v="Asia"/>
    <x v="9"/>
    <x v="2"/>
    <m/>
    <s v=""/>
    <s v=""/>
  </r>
  <r>
    <n v="1646"/>
    <x v="10"/>
    <s v="Spaghetti Instant Noodles"/>
    <x v="3"/>
    <x v="0"/>
    <s v="Asia"/>
    <x v="0"/>
    <x v="0"/>
    <m/>
    <s v=""/>
    <s v=""/>
  </r>
  <r>
    <n v="1633"/>
    <x v="7"/>
    <s v="Mi Ly Instant Noodles Mi Bo Beef Flavor"/>
    <x v="2"/>
    <x v="0"/>
    <s v="Asia"/>
    <x v="2"/>
    <x v="2"/>
    <m/>
    <s v=""/>
    <s v=""/>
  </r>
  <r>
    <n v="1610"/>
    <x v="8"/>
    <s v="Koreno Premium Ginseng Flavor"/>
    <x v="0"/>
    <x v="0"/>
    <s v="Asia"/>
    <x v="4"/>
    <x v="2"/>
    <m/>
    <s v=""/>
    <s v=""/>
  </r>
  <r>
    <n v="1602"/>
    <x v="6"/>
    <s v="Mikochi Tom Yum Flavor Instant Noodles"/>
    <x v="0"/>
    <x v="0"/>
    <s v="Asia"/>
    <x v="2"/>
    <x v="2"/>
    <m/>
    <s v=""/>
    <s v=""/>
  </r>
  <r>
    <n v="1581"/>
    <x v="9"/>
    <s v="3 Con Tom Instant Noodles Thailand Sour Shrimp Flavor"/>
    <x v="0"/>
    <x v="0"/>
    <s v="Asia"/>
    <x v="9"/>
    <x v="2"/>
    <m/>
    <s v=""/>
    <s v=""/>
  </r>
  <r>
    <n v="1564"/>
    <x v="7"/>
    <s v="M√¨ Ly Instant Noodles M√¨ Th·ªãt X√†o Pork Flavor"/>
    <x v="2"/>
    <x v="0"/>
    <s v="Asia"/>
    <x v="4"/>
    <x v="2"/>
    <m/>
    <s v=""/>
    <s v=""/>
  </r>
  <r>
    <n v="1536"/>
    <x v="8"/>
    <s v="Koreno Premium Shrimp Flavor"/>
    <x v="0"/>
    <x v="0"/>
    <s v="Asia"/>
    <x v="5"/>
    <x v="2"/>
    <m/>
    <s v=""/>
    <s v=""/>
  </r>
  <r>
    <n v="1533"/>
    <x v="11"/>
    <s v="Sate Flavor Instant Noodles"/>
    <x v="0"/>
    <x v="0"/>
    <s v="Asia"/>
    <x v="10"/>
    <x v="2"/>
    <m/>
    <s v=""/>
    <s v=""/>
  </r>
  <r>
    <n v="1522"/>
    <x v="3"/>
    <s v="Instant Porridge Seafood Flavour"/>
    <x v="0"/>
    <x v="0"/>
    <s v="Asia"/>
    <x v="5"/>
    <x v="2"/>
    <m/>
    <s v=""/>
    <s v=""/>
  </r>
  <r>
    <n v="1499"/>
    <x v="9"/>
    <s v="Instant Noodles Xi Gon Artificial Stewed Beef Flavor"/>
    <x v="0"/>
    <x v="0"/>
    <s v="Asia"/>
    <x v="5"/>
    <x v="2"/>
    <m/>
    <s v=""/>
    <s v=""/>
  </r>
  <r>
    <n v="1423"/>
    <x v="6"/>
    <s v="King Chef Seafood With Kimchi Flavour"/>
    <x v="0"/>
    <x v="0"/>
    <s v="Asia"/>
    <x v="4"/>
    <x v="2"/>
    <m/>
    <s v=""/>
    <s v=""/>
  </r>
  <r>
    <n v="1419"/>
    <x v="3"/>
    <s v="Ngon-Ngon Tom Yum Minced Pork Noodle"/>
    <x v="2"/>
    <x v="0"/>
    <s v="Asia"/>
    <x v="2"/>
    <x v="2"/>
    <m/>
    <s v=""/>
    <s v=""/>
  </r>
  <r>
    <n v="1399"/>
    <x v="6"/>
    <s v="Oh! Ricey Pho Bo Instant Rice Noodles"/>
    <x v="1"/>
    <x v="0"/>
    <s v="Asia"/>
    <x v="10"/>
    <x v="2"/>
    <m/>
    <s v=""/>
    <s v=""/>
  </r>
  <r>
    <n v="1329"/>
    <x v="3"/>
    <s v="Oriental Style Instant Noodle Mi Ga Chicken Flavor"/>
    <x v="2"/>
    <x v="0"/>
    <s v="Asia"/>
    <x v="7"/>
    <x v="1"/>
    <m/>
    <s v=""/>
    <s v=""/>
  </r>
  <r>
    <n v="1291"/>
    <x v="7"/>
    <s v="M√¨ Ly Instant Noodles M√¨ T√¥m Shrimp Flavor"/>
    <x v="2"/>
    <x v="0"/>
    <s v="Asia"/>
    <x v="5"/>
    <x v="2"/>
    <m/>
    <s v=""/>
    <s v=""/>
  </r>
  <r>
    <n v="1277"/>
    <x v="3"/>
    <s v="M√¨ G√† T√¨m Chua Cay Hot &amp; Sour Chicken Flavor Instant Noodles"/>
    <x v="0"/>
    <x v="0"/>
    <s v="Asia"/>
    <x v="11"/>
    <x v="1"/>
    <m/>
    <s v=""/>
    <s v=""/>
  </r>
  <r>
    <n v="1156"/>
    <x v="3"/>
    <s v="Oriental Style Instant Vermicelli Sour Crab Flavour Soup"/>
    <x v="0"/>
    <x v="0"/>
    <s v="Asia"/>
    <x v="10"/>
    <x v="2"/>
    <m/>
    <s v=""/>
    <s v=""/>
  </r>
  <r>
    <n v="1085"/>
    <x v="6"/>
    <s v="Hao Hao Mi Goreng Shrimp &amp; Onion Flavour"/>
    <x v="0"/>
    <x v="0"/>
    <s v="Asia"/>
    <x v="2"/>
    <x v="2"/>
    <m/>
    <s v=""/>
    <s v=""/>
  </r>
  <r>
    <n v="1013"/>
    <x v="6"/>
    <s v="Oh! Ricey H·ªß Ti·∫øu S∆∞·ªùn Heo (Pork Spareribs Flavour)"/>
    <x v="0"/>
    <x v="0"/>
    <s v="Asia"/>
    <x v="2"/>
    <x v="2"/>
    <m/>
    <s v=""/>
    <s v=""/>
  </r>
  <r>
    <n v="929"/>
    <x v="6"/>
    <s v="Good Artificial Minced Pork Bean Vermicelli"/>
    <x v="0"/>
    <x v="0"/>
    <s v="Asia"/>
    <x v="10"/>
    <x v="2"/>
    <m/>
    <s v=""/>
    <s v=""/>
  </r>
  <r>
    <n v="917"/>
    <x v="6"/>
    <s v="Good Chicken Abalone Bean Vermicelli"/>
    <x v="0"/>
    <x v="0"/>
    <s v="Asia"/>
    <x v="5"/>
    <x v="2"/>
    <m/>
    <s v=""/>
    <s v=""/>
  </r>
  <r>
    <n v="896"/>
    <x v="6"/>
    <s v="Good Tomyum Kung Bean Vermicelli"/>
    <x v="0"/>
    <x v="0"/>
    <s v="Asia"/>
    <x v="2"/>
    <x v="2"/>
    <m/>
    <s v=""/>
    <s v=""/>
  </r>
  <r>
    <n v="891"/>
    <x v="6"/>
    <s v="Hao Hao Mushroom"/>
    <x v="0"/>
    <x v="0"/>
    <s v="Asia"/>
    <x v="9"/>
    <x v="2"/>
    <m/>
    <s v=""/>
    <s v=""/>
  </r>
  <r>
    <n v="890"/>
    <x v="12"/>
    <s v="Mushroom Flavor Ramen Noodles"/>
    <x v="0"/>
    <x v="0"/>
    <s v="Asia"/>
    <x v="2"/>
    <x v="2"/>
    <m/>
    <s v=""/>
    <s v=""/>
  </r>
  <r>
    <n v="873"/>
    <x v="3"/>
    <s v="Viet Rice Noodles Chicken"/>
    <x v="0"/>
    <x v="0"/>
    <s v="Asia"/>
    <x v="2"/>
    <x v="2"/>
    <m/>
    <s v=""/>
    <s v=""/>
  </r>
  <r>
    <n v="869"/>
    <x v="6"/>
    <s v="Good Chicken Bean Vermicelli"/>
    <x v="0"/>
    <x v="0"/>
    <s v="Asia"/>
    <x v="5"/>
    <x v="2"/>
    <m/>
    <s v=""/>
    <s v=""/>
  </r>
  <r>
    <n v="861"/>
    <x v="6"/>
    <s v="Hao Hao Mi Chay Vegetarian"/>
    <x v="0"/>
    <x v="0"/>
    <s v="Asia"/>
    <x v="5"/>
    <x v="2"/>
    <m/>
    <s v=""/>
    <s v=""/>
  </r>
  <r>
    <n v="855"/>
    <x v="6"/>
    <s v="Bestcook Hot &amp; Sour Shrimp"/>
    <x v="1"/>
    <x v="0"/>
    <s v="Asia"/>
    <x v="12"/>
    <x v="0"/>
    <m/>
    <s v=""/>
    <s v=""/>
  </r>
  <r>
    <n v="846"/>
    <x v="3"/>
    <s v="Mi Kim Chee"/>
    <x v="0"/>
    <x v="0"/>
    <s v="Asia"/>
    <x v="10"/>
    <x v="2"/>
    <m/>
    <s v=""/>
    <s v=""/>
  </r>
  <r>
    <n v="836"/>
    <x v="0"/>
    <s v="Mi Chay Vegetarian"/>
    <x v="0"/>
    <x v="0"/>
    <s v="Asia"/>
    <x v="2"/>
    <x v="2"/>
    <m/>
    <s v=""/>
    <s v=""/>
  </r>
  <r>
    <n v="831"/>
    <x v="3"/>
    <s v="Instant Porridge Chicken"/>
    <x v="0"/>
    <x v="0"/>
    <s v="Asia"/>
    <x v="5"/>
    <x v="2"/>
    <m/>
    <s v=""/>
    <s v=""/>
  </r>
  <r>
    <n v="816"/>
    <x v="6"/>
    <s v="Oh! Ricey Phnom Penh Rice Noodle"/>
    <x v="0"/>
    <x v="0"/>
    <s v="Asia"/>
    <x v="10"/>
    <x v="2"/>
    <m/>
    <s v=""/>
    <s v=""/>
  </r>
  <r>
    <n v="801"/>
    <x v="13"/>
    <s v="Hot Sour Shrimp"/>
    <x v="0"/>
    <x v="0"/>
    <s v="Asia"/>
    <x v="10"/>
    <x v="2"/>
    <m/>
    <s v=""/>
    <s v=""/>
  </r>
  <r>
    <n v="796"/>
    <x v="6"/>
    <s v="Kingcook Vegetable"/>
    <x v="0"/>
    <x v="0"/>
    <s v="Asia"/>
    <x v="4"/>
    <x v="2"/>
    <m/>
    <s v=""/>
    <s v=""/>
  </r>
  <r>
    <n v="781"/>
    <x v="6"/>
    <s v="Kingcook Beef"/>
    <x v="0"/>
    <x v="0"/>
    <s v="Asia"/>
    <x v="4"/>
    <x v="2"/>
    <m/>
    <s v=""/>
    <s v=""/>
  </r>
  <r>
    <n v="737"/>
    <x v="13"/>
    <s v="Chicken Shrimp"/>
    <x v="0"/>
    <x v="0"/>
    <s v="Asia"/>
    <x v="6"/>
    <x v="1"/>
    <m/>
    <s v=""/>
    <s v=""/>
  </r>
  <r>
    <n v="716"/>
    <x v="3"/>
    <s v="Hu Tieu Ca Stewed Fish"/>
    <x v="1"/>
    <x v="0"/>
    <s v="Asia"/>
    <x v="10"/>
    <x v="2"/>
    <m/>
    <s v=""/>
    <s v=""/>
  </r>
  <r>
    <n v="710"/>
    <x v="14"/>
    <s v="Kung Fu Mixed Foods"/>
    <x v="1"/>
    <x v="0"/>
    <s v="Asia"/>
    <x v="9"/>
    <x v="2"/>
    <m/>
    <s v=""/>
    <s v=""/>
  </r>
  <r>
    <n v="694"/>
    <x v="6"/>
    <s v="Kingcook Chicken"/>
    <x v="0"/>
    <x v="0"/>
    <s v="Asia"/>
    <x v="2"/>
    <x v="2"/>
    <m/>
    <s v=""/>
    <s v=""/>
  </r>
  <r>
    <n v="680"/>
    <x v="6"/>
    <s v="Kingcook Shrimp"/>
    <x v="0"/>
    <x v="0"/>
    <s v="Asia"/>
    <x v="9"/>
    <x v="2"/>
    <m/>
    <s v=""/>
    <s v=""/>
  </r>
  <r>
    <n v="670"/>
    <x v="14"/>
    <s v="Kung Fu Artificial Chicken Rice Noodle"/>
    <x v="1"/>
    <x v="0"/>
    <s v="Asia"/>
    <x v="2"/>
    <x v="2"/>
    <m/>
    <s v=""/>
    <s v=""/>
  </r>
  <r>
    <n v="668"/>
    <x v="14"/>
    <s v="Kung Fu Vegetarian"/>
    <x v="1"/>
    <x v="0"/>
    <s v="Asia"/>
    <x v="11"/>
    <x v="1"/>
    <m/>
    <s v=""/>
    <s v=""/>
  </r>
  <r>
    <n v="641"/>
    <x v="6"/>
    <s v="Hao Hao Shrimp Onion"/>
    <x v="0"/>
    <x v="0"/>
    <s v="Asia"/>
    <x v="4"/>
    <x v="2"/>
    <m/>
    <s v=""/>
    <s v=""/>
  </r>
  <r>
    <n v="627"/>
    <x v="15"/>
    <s v="Spaghetti"/>
    <x v="0"/>
    <x v="0"/>
    <s v="Asia"/>
    <x v="10"/>
    <x v="2"/>
    <m/>
    <s v=""/>
    <s v=""/>
  </r>
  <r>
    <n v="620"/>
    <x v="3"/>
    <s v="Phu Gia Bamboo Shoot Artificial Pork Bean Thread"/>
    <x v="0"/>
    <x v="0"/>
    <s v="Asia"/>
    <x v="7"/>
    <x v="1"/>
    <m/>
    <s v=""/>
    <s v=""/>
  </r>
  <r>
    <n v="613"/>
    <x v="14"/>
    <s v="Kung Fu Artificial Pork Flavor"/>
    <x v="1"/>
    <x v="0"/>
    <s v="Asia"/>
    <x v="4"/>
    <x v="2"/>
    <m/>
    <s v=""/>
    <s v=""/>
  </r>
  <r>
    <n v="589"/>
    <x v="3"/>
    <s v="South Korean Style Kim Chee"/>
    <x v="1"/>
    <x v="0"/>
    <s v="Asia"/>
    <x v="12"/>
    <x v="0"/>
    <m/>
    <s v=""/>
    <s v=""/>
  </r>
  <r>
    <n v="588"/>
    <x v="3"/>
    <s v="Tu Quy Pork"/>
    <x v="0"/>
    <x v="0"/>
    <s v="Asia"/>
    <x v="9"/>
    <x v="2"/>
    <m/>
    <s v=""/>
    <s v=""/>
  </r>
  <r>
    <n v="583"/>
    <x v="3"/>
    <s v="Phu Gia Cua Crab Bean Thread"/>
    <x v="0"/>
    <x v="0"/>
    <s v="Asia"/>
    <x v="13"/>
    <x v="1"/>
    <m/>
    <s v=""/>
    <s v=""/>
  </r>
  <r>
    <n v="573"/>
    <x v="16"/>
    <s v="Phoya Chicken"/>
    <x v="1"/>
    <x v="0"/>
    <s v="Asia"/>
    <x v="11"/>
    <x v="1"/>
    <m/>
    <s v=""/>
    <s v=""/>
  </r>
  <r>
    <n v="569"/>
    <x v="14"/>
    <s v="Kung Fu Suc Song Artificial Pork"/>
    <x v="1"/>
    <x v="0"/>
    <s v="Asia"/>
    <x v="4"/>
    <x v="2"/>
    <m/>
    <s v=""/>
    <s v=""/>
  </r>
  <r>
    <n v="492"/>
    <x v="16"/>
    <s v="Phoya Rice Noodles Beef"/>
    <x v="1"/>
    <x v="0"/>
    <s v="Asia"/>
    <x v="9"/>
    <x v="2"/>
    <m/>
    <s v=""/>
    <s v=""/>
  </r>
  <r>
    <n v="474"/>
    <x v="14"/>
    <s v="Kung Fu Rice Noodle Shrimp Crab "/>
    <x v="1"/>
    <x v="0"/>
    <s v="Asia"/>
    <x v="10"/>
    <x v="2"/>
    <m/>
    <s v=""/>
    <s v=""/>
  </r>
  <r>
    <n v="467"/>
    <x v="3"/>
    <s v="Tu Quy Sour Spicy Shrimp"/>
    <x v="0"/>
    <x v="0"/>
    <s v="Asia"/>
    <x v="14"/>
    <x v="1"/>
    <m/>
    <s v=""/>
    <s v=""/>
  </r>
  <r>
    <n v="466"/>
    <x v="14"/>
    <s v="Kung Fu Rice Noodle Artificial Beef"/>
    <x v="1"/>
    <x v="0"/>
    <s v="Asia"/>
    <x v="2"/>
    <x v="2"/>
    <m/>
    <s v=""/>
    <s v=""/>
  </r>
  <r>
    <n v="447"/>
    <x v="17"/>
    <s v="Little Prince Bacon"/>
    <x v="0"/>
    <x v="0"/>
    <s v="Asia"/>
    <x v="15"/>
    <x v="0"/>
    <m/>
    <s v=""/>
    <s v=""/>
  </r>
  <r>
    <n v="426"/>
    <x v="3"/>
    <s v="Tu quy Chicken"/>
    <x v="0"/>
    <x v="0"/>
    <s v="Asia"/>
    <x v="4"/>
    <x v="2"/>
    <m/>
    <s v=""/>
    <s v=""/>
  </r>
  <r>
    <n v="422"/>
    <x v="3"/>
    <s v="Mi Lau Thai Thai Stle"/>
    <x v="1"/>
    <x v="0"/>
    <s v="Asia"/>
    <x v="0"/>
    <x v="0"/>
    <m/>
    <s v=""/>
    <s v=""/>
  </r>
  <r>
    <n v="417"/>
    <x v="3"/>
    <s v="Tu Quy Spicy Beef"/>
    <x v="0"/>
    <x v="0"/>
    <s v="Asia"/>
    <x v="2"/>
    <x v="2"/>
    <m/>
    <s v=""/>
    <s v=""/>
  </r>
  <r>
    <n v="408"/>
    <x v="18"/>
    <s v="3 Mien Mi Tom Chua Cay Hot sour Shrimp"/>
    <x v="0"/>
    <x v="0"/>
    <s v="Asia"/>
    <x v="13"/>
    <x v="1"/>
    <m/>
    <s v=""/>
    <s v=""/>
  </r>
  <r>
    <n v="406"/>
    <x v="3"/>
    <s v="Asian Style Instant Noodles Beef"/>
    <x v="0"/>
    <x v="0"/>
    <s v="Asia"/>
    <x v="10"/>
    <x v="2"/>
    <m/>
    <s v=""/>
    <s v=""/>
  </r>
  <r>
    <n v="404"/>
    <x v="6"/>
    <s v="Hao Hao Sate Onion"/>
    <x v="0"/>
    <x v="0"/>
    <s v="Asia"/>
    <x v="10"/>
    <x v="2"/>
    <m/>
    <s v=""/>
    <s v=""/>
  </r>
  <r>
    <n v="396"/>
    <x v="6"/>
    <s v="Bestcook Hot spicy Tom Yum Shrimp"/>
    <x v="1"/>
    <x v="0"/>
    <s v="Asia"/>
    <x v="12"/>
    <x v="0"/>
    <m/>
    <s v=""/>
    <s v=""/>
  </r>
  <r>
    <n v="381"/>
    <x v="14"/>
    <s v="Kung Fu Artificial Beef Rice Noodle"/>
    <x v="0"/>
    <x v="0"/>
    <s v="Asia"/>
    <x v="12"/>
    <x v="0"/>
    <m/>
    <s v=""/>
    <s v=""/>
  </r>
  <r>
    <n v="375"/>
    <x v="3"/>
    <s v="Pho Bo Beef Rice Noodle"/>
    <x v="0"/>
    <x v="0"/>
    <s v="Asia"/>
    <x v="16"/>
    <x v="1"/>
    <m/>
    <s v=""/>
    <s v=""/>
  </r>
  <r>
    <n v="374"/>
    <x v="3"/>
    <s v="Asian Style Instant Noodles Shrimp"/>
    <x v="0"/>
    <x v="0"/>
    <s v="Asia"/>
    <x v="10"/>
    <x v="2"/>
    <m/>
    <s v=""/>
    <s v=""/>
  </r>
  <r>
    <n v="367"/>
    <x v="14"/>
    <s v="Kung Fu Artificial Chicken"/>
    <x v="0"/>
    <x v="0"/>
    <s v="Asia"/>
    <x v="5"/>
    <x v="2"/>
    <m/>
    <s v=""/>
    <s v=""/>
  </r>
  <r>
    <n v="362"/>
    <x v="6"/>
    <s v="Daily Hot &amp; Sour With Shrimp"/>
    <x v="0"/>
    <x v="0"/>
    <s v="Asia"/>
    <x v="17"/>
    <x v="0"/>
    <m/>
    <s v=""/>
    <s v=""/>
  </r>
  <r>
    <n v="341"/>
    <x v="6"/>
    <s v="Daily Vegetarian"/>
    <x v="0"/>
    <x v="0"/>
    <s v="Asia"/>
    <x v="10"/>
    <x v="2"/>
    <m/>
    <s v=""/>
    <s v=""/>
  </r>
  <r>
    <n v="330"/>
    <x v="3"/>
    <s v="Phu Gia Instant Bean Thread Chicken"/>
    <x v="0"/>
    <x v="0"/>
    <s v="Asia"/>
    <x v="5"/>
    <x v="2"/>
    <m/>
    <s v=""/>
    <s v=""/>
  </r>
  <r>
    <n v="327"/>
    <x v="18"/>
    <s v="3 Mien Mi Tom Hum Lobster"/>
    <x v="0"/>
    <x v="0"/>
    <s v="Asia"/>
    <x v="2"/>
    <x v="2"/>
    <m/>
    <s v=""/>
    <s v=""/>
  </r>
  <r>
    <n v="311"/>
    <x v="3"/>
    <s v="Tasty Mushroom"/>
    <x v="0"/>
    <x v="0"/>
    <s v="Asia"/>
    <x v="11"/>
    <x v="1"/>
    <m/>
    <s v=""/>
    <s v=""/>
  </r>
  <r>
    <n v="277"/>
    <x v="6"/>
    <s v="Oh! Ricey Beef Rice Noodles"/>
    <x v="0"/>
    <x v="0"/>
    <s v="Asia"/>
    <x v="0"/>
    <x v="0"/>
    <m/>
    <s v=""/>
    <s v=""/>
  </r>
  <r>
    <n v="272"/>
    <x v="6"/>
    <s v="Mi Lau Thai Artificial Chicken"/>
    <x v="0"/>
    <x v="0"/>
    <s v="Asia"/>
    <x v="2"/>
    <x v="2"/>
    <m/>
    <s v=""/>
    <s v=""/>
  </r>
  <r>
    <n v="266"/>
    <x v="6"/>
    <s v="Mi Lau Thai Shrimp"/>
    <x v="0"/>
    <x v="0"/>
    <s v="Asia"/>
    <x v="0"/>
    <x v="0"/>
    <m/>
    <s v=""/>
    <s v=""/>
  </r>
  <r>
    <n v="264"/>
    <x v="6"/>
    <s v="Hao Hao Sour Hot Shrimp"/>
    <x v="0"/>
    <x v="0"/>
    <s v="Asia"/>
    <x v="10"/>
    <x v="2"/>
    <m/>
    <s v=""/>
    <s v=""/>
  </r>
  <r>
    <n v="262"/>
    <x v="6"/>
    <s v="Daily Beef Ball"/>
    <x v="0"/>
    <x v="0"/>
    <s v="Asia"/>
    <x v="10"/>
    <x v="2"/>
    <m/>
    <s v=""/>
    <s v=""/>
  </r>
  <r>
    <n v="261"/>
    <x v="6"/>
    <s v="Oh! Ricey Chicken"/>
    <x v="0"/>
    <x v="0"/>
    <s v="Asia"/>
    <x v="10"/>
    <x v="2"/>
    <m/>
    <s v=""/>
    <s v=""/>
  </r>
  <r>
    <n v="259"/>
    <x v="6"/>
    <s v="Mi Lau Thai Seafood"/>
    <x v="0"/>
    <x v="0"/>
    <s v="Asia"/>
    <x v="0"/>
    <x v="0"/>
    <m/>
    <s v=""/>
    <s v=""/>
  </r>
  <r>
    <n v="254"/>
    <x v="6"/>
    <s v="Daily Hot &amp; Spicy Tom Yun"/>
    <x v="0"/>
    <x v="0"/>
    <s v="Asia"/>
    <x v="0"/>
    <x v="0"/>
    <m/>
    <s v=""/>
    <s v=""/>
  </r>
  <r>
    <n v="228"/>
    <x v="3"/>
    <s v="Pho Ga Instant rice Noodle"/>
    <x v="1"/>
    <x v="0"/>
    <s v="Asia"/>
    <x v="11"/>
    <x v="1"/>
    <m/>
    <s v=""/>
    <s v=""/>
  </r>
  <r>
    <n v="211"/>
    <x v="6"/>
    <s v="Kingcook Tomato Sauce Pork"/>
    <x v="3"/>
    <x v="0"/>
    <s v="Asia"/>
    <x v="2"/>
    <x v="2"/>
    <m/>
    <s v=""/>
    <s v=""/>
  </r>
  <r>
    <n v="194"/>
    <x v="14"/>
    <s v="Kung Fu Instant Rice Noodles Artificial Chicken"/>
    <x v="0"/>
    <x v="0"/>
    <s v="Asia"/>
    <x v="2"/>
    <x v="2"/>
    <m/>
    <s v=""/>
    <s v=""/>
  </r>
  <r>
    <n v="177"/>
    <x v="3"/>
    <s v="Hu Tieu Bo Kho An Lien Beef"/>
    <x v="0"/>
    <x v="0"/>
    <s v="Asia"/>
    <x v="10"/>
    <x v="2"/>
    <m/>
    <s v=""/>
    <s v=""/>
  </r>
  <r>
    <n v="163"/>
    <x v="3"/>
    <s v="Asian Style Instant Noodles Chicken"/>
    <x v="0"/>
    <x v="0"/>
    <s v="Asia"/>
    <x v="2"/>
    <x v="2"/>
    <m/>
    <s v=""/>
    <s v=""/>
  </r>
  <r>
    <n v="127"/>
    <x v="3"/>
    <s v="Mi Chay Vegetarian"/>
    <x v="0"/>
    <x v="0"/>
    <s v="Asia"/>
    <x v="18"/>
    <x v="2"/>
    <m/>
    <s v=""/>
    <s v=""/>
  </r>
  <r>
    <n v="97"/>
    <x v="14"/>
    <s v="Kung Fu Mi Tom Chua Sour Shrimp"/>
    <x v="0"/>
    <x v="0"/>
    <s v="Asia"/>
    <x v="6"/>
    <x v="1"/>
    <m/>
    <s v=""/>
    <s v=""/>
  </r>
  <r>
    <n v="96"/>
    <x v="14"/>
    <s v="Kung Fu Artificial Pork Flavor"/>
    <x v="0"/>
    <x v="0"/>
    <s v="Asia"/>
    <x v="10"/>
    <x v="2"/>
    <m/>
    <s v=""/>
    <s v=""/>
  </r>
  <r>
    <n v="91"/>
    <x v="0"/>
    <s v="Mi Chay Mushroom"/>
    <x v="0"/>
    <x v="0"/>
    <s v="Asia"/>
    <x v="9"/>
    <x v="2"/>
    <m/>
    <s v=""/>
    <s v=""/>
  </r>
  <r>
    <n v="42"/>
    <x v="17"/>
    <s v="Kung-Fu Chicken Flavor"/>
    <x v="0"/>
    <x v="0"/>
    <s v="Asia"/>
    <x v="9"/>
    <x v="2"/>
    <m/>
    <s v=""/>
    <s v=""/>
  </r>
  <r>
    <n v="7"/>
    <x v="17"/>
    <s v="Mushroom Pork"/>
    <x v="0"/>
    <x v="0"/>
    <s v="Asia"/>
    <x v="19"/>
    <x v="1"/>
    <m/>
    <s v=""/>
    <s v=""/>
  </r>
  <r>
    <n v="6"/>
    <x v="3"/>
    <s v="Nam Vang"/>
    <x v="0"/>
    <x v="0"/>
    <s v="Asia"/>
    <x v="6"/>
    <x v="1"/>
    <m/>
    <s v=""/>
    <s v=""/>
  </r>
  <r>
    <n v="5"/>
    <x v="3"/>
    <s v="Hu Tiu Nam Vang [&quot;Phnom Penh&quot; style] Asian Style Instant¬†Rice¬†Noodles"/>
    <x v="1"/>
    <x v="0"/>
    <s v="Asia"/>
    <x v="2"/>
    <x v="2"/>
    <m/>
    <s v=""/>
    <s v=""/>
  </r>
  <r>
    <n v="934"/>
    <x v="19"/>
    <s v="Jinjja Jinjja Flamin' Hot &amp; Nutty"/>
    <x v="0"/>
    <x v="1"/>
    <s v="North America"/>
    <x v="3"/>
    <x v="0"/>
    <s v="2013 #4"/>
    <s v="2013"/>
    <s v="4"/>
  </r>
  <r>
    <n v="2578"/>
    <x v="20"/>
    <s v="Cup Noodles Chicken Vegetable"/>
    <x v="2"/>
    <x v="1"/>
    <s v="North America"/>
    <x v="13"/>
    <x v="1"/>
    <m/>
    <s v=""/>
    <s v=""/>
  </r>
  <r>
    <n v="2569"/>
    <x v="21"/>
    <s v="Yokohama Tonkotsu Shoyu"/>
    <x v="0"/>
    <x v="1"/>
    <s v="North America"/>
    <x v="3"/>
    <x v="0"/>
    <m/>
    <s v=""/>
    <s v=""/>
  </r>
  <r>
    <n v="2563"/>
    <x v="21"/>
    <s v="Tokyo Shoyu Ramen"/>
    <x v="0"/>
    <x v="1"/>
    <s v="North America"/>
    <x v="3"/>
    <x v="0"/>
    <m/>
    <s v=""/>
    <s v=""/>
  </r>
  <r>
    <n v="2559"/>
    <x v="22"/>
    <s v="Beef Ramen"/>
    <x v="0"/>
    <x v="1"/>
    <s v="North America"/>
    <x v="3"/>
    <x v="0"/>
    <m/>
    <s v=""/>
    <s v=""/>
  </r>
  <r>
    <n v="2557"/>
    <x v="21"/>
    <s v="Sapporo Miso Ramen"/>
    <x v="0"/>
    <x v="1"/>
    <s v="North America"/>
    <x v="15"/>
    <x v="0"/>
    <m/>
    <s v=""/>
    <s v=""/>
  </r>
  <r>
    <n v="2544"/>
    <x v="23"/>
    <s v="Cup-A-Soup Chicken Noodle With White Meat Instant Soup"/>
    <x v="4"/>
    <x v="1"/>
    <s v="North America"/>
    <x v="8"/>
    <x v="1"/>
    <m/>
    <s v=""/>
    <s v=""/>
  </r>
  <r>
    <n v="2541"/>
    <x v="20"/>
    <s v="Cup Noodles Very Veggie Spicy Chicken Flavor Ramen Noodle Soup"/>
    <x v="2"/>
    <x v="1"/>
    <s v="North America"/>
    <x v="3"/>
    <x v="0"/>
    <m/>
    <s v=""/>
    <s v=""/>
  </r>
  <r>
    <n v="2538"/>
    <x v="20"/>
    <s v="Cup Noodles Very Veggie Beef Flavor Ramen Noodle Soup"/>
    <x v="2"/>
    <x v="1"/>
    <s v="North America"/>
    <x v="3"/>
    <x v="0"/>
    <m/>
    <s v=""/>
    <s v=""/>
  </r>
  <r>
    <n v="2535"/>
    <x v="20"/>
    <s v="Cup Noodles Very Veggie Chicken Flavor Ramen Noodle Soup"/>
    <x v="2"/>
    <x v="1"/>
    <s v="North America"/>
    <x v="3"/>
    <x v="0"/>
    <m/>
    <s v=""/>
    <s v=""/>
  </r>
  <r>
    <n v="2513"/>
    <x v="24"/>
    <s v="Nissin Top Ramen Chicken Flavor Potato Crisps "/>
    <x v="5"/>
    <x v="1"/>
    <s v="North America"/>
    <x v="2"/>
    <x v="2"/>
    <m/>
    <s v=""/>
    <s v=""/>
  </r>
  <r>
    <n v="2470"/>
    <x v="25"/>
    <s v="Udon Japanese Style Noodles With Soup Base Hot &amp; Sour Flavor"/>
    <x v="0"/>
    <x v="1"/>
    <s v="North America"/>
    <x v="10"/>
    <x v="2"/>
    <m/>
    <s v=""/>
    <s v=""/>
  </r>
  <r>
    <n v="2460"/>
    <x v="26"/>
    <s v="Katsuo Bowl Udon"/>
    <x v="1"/>
    <x v="1"/>
    <s v="North America"/>
    <x v="3"/>
    <x v="0"/>
    <m/>
    <s v=""/>
    <s v=""/>
  </r>
  <r>
    <n v="2431"/>
    <x v="27"/>
    <s v="Udon Japanese Style Fresh Noodle"/>
    <x v="1"/>
    <x v="1"/>
    <s v="North America"/>
    <x v="10"/>
    <x v="2"/>
    <m/>
    <s v=""/>
    <s v=""/>
  </r>
  <r>
    <n v="2426"/>
    <x v="28"/>
    <s v="Vegan Pad Thai Noodle Soup"/>
    <x v="2"/>
    <x v="1"/>
    <s v="North America"/>
    <x v="1"/>
    <x v="1"/>
    <m/>
    <s v=""/>
    <s v=""/>
  </r>
  <r>
    <n v="2412"/>
    <x v="29"/>
    <s v="Sanukiya Udon Shrimp Flavor"/>
    <x v="0"/>
    <x v="1"/>
    <s v="North America"/>
    <x v="5"/>
    <x v="2"/>
    <m/>
    <s v=""/>
    <s v=""/>
  </r>
  <r>
    <n v="2411"/>
    <x v="30"/>
    <s v="Chicken Fajita Flavor Instant Ramen Noodles"/>
    <x v="0"/>
    <x v="1"/>
    <s v="North America"/>
    <x v="10"/>
    <x v="2"/>
    <m/>
    <s v=""/>
    <s v=""/>
  </r>
  <r>
    <n v="2410"/>
    <x v="30"/>
    <s v="Lamb Stew Flavor Instant Ramen Noodles"/>
    <x v="0"/>
    <x v="1"/>
    <s v="North America"/>
    <x v="10"/>
    <x v="2"/>
    <m/>
    <s v=""/>
    <s v=""/>
  </r>
  <r>
    <n v="2409"/>
    <x v="30"/>
    <s v="Seafood Gumbo Flavor Instant Ramen Noodles"/>
    <x v="0"/>
    <x v="1"/>
    <s v="North America"/>
    <x v="2"/>
    <x v="2"/>
    <m/>
    <s v=""/>
    <s v=""/>
  </r>
  <r>
    <n v="2408"/>
    <x v="30"/>
    <s v="Chicken Taco Flavor Instant Ramen Noodles"/>
    <x v="0"/>
    <x v="1"/>
    <s v="North America"/>
    <x v="10"/>
    <x v="2"/>
    <m/>
    <s v=""/>
    <s v=""/>
  </r>
  <r>
    <n v="2403"/>
    <x v="31"/>
    <s v="Yakisoba Japanese Style Noodle"/>
    <x v="1"/>
    <x v="1"/>
    <s v="North America"/>
    <x v="15"/>
    <x v="0"/>
    <m/>
    <s v=""/>
    <s v=""/>
  </r>
  <r>
    <n v="2389"/>
    <x v="32"/>
    <s v="Imitation Chicken Flavor"/>
    <x v="2"/>
    <x v="1"/>
    <s v="North America"/>
    <x v="0"/>
    <x v="0"/>
    <m/>
    <s v=""/>
    <s v=""/>
  </r>
  <r>
    <n v="2383"/>
    <x v="20"/>
    <s v="Cup Noodles Beef Flavor Ramen Noodle Soup (New Recipe)"/>
    <x v="2"/>
    <x v="1"/>
    <s v="North America"/>
    <x v="2"/>
    <x v="2"/>
    <m/>
    <s v=""/>
    <s v=""/>
  </r>
  <r>
    <n v="2379"/>
    <x v="20"/>
    <s v="Cup Noodles Hot &amp; Spicy Shrimp Flavor Ramen Noodle Soup (New Recipe)"/>
    <x v="2"/>
    <x v="1"/>
    <s v="North America"/>
    <x v="6"/>
    <x v="1"/>
    <m/>
    <s v=""/>
    <s v=""/>
  </r>
  <r>
    <n v="2327"/>
    <x v="20"/>
    <s v="Cup Noodles Spicy Lime Flavor Ramen Noodle Soup (New Recipe)"/>
    <x v="2"/>
    <x v="1"/>
    <s v="North America"/>
    <x v="0"/>
    <x v="0"/>
    <m/>
    <s v=""/>
    <s v=""/>
  </r>
  <r>
    <n v="2315"/>
    <x v="31"/>
    <s v="Ramen Noodles Miso Flavor"/>
    <x v="1"/>
    <x v="1"/>
    <s v="North America"/>
    <x v="4"/>
    <x v="2"/>
    <m/>
    <s v=""/>
    <s v=""/>
  </r>
  <r>
    <n v="2298"/>
    <x v="20"/>
    <s v="Cup Noodles Spicy Chile Chicken (New Recipe)"/>
    <x v="2"/>
    <x v="1"/>
    <s v="North America"/>
    <x v="0"/>
    <x v="0"/>
    <m/>
    <s v=""/>
    <s v=""/>
  </r>
  <r>
    <n v="2277"/>
    <x v="31"/>
    <s v="Ramen Noodles Soy Sauce Flavor"/>
    <x v="1"/>
    <x v="1"/>
    <s v="North America"/>
    <x v="4"/>
    <x v="2"/>
    <m/>
    <s v=""/>
    <s v=""/>
  </r>
  <r>
    <n v="2276"/>
    <x v="20"/>
    <s v="Cup Noodles With Shrimp Ramen Noodle Soup (New Recipe)"/>
    <x v="2"/>
    <x v="1"/>
    <s v="North America"/>
    <x v="4"/>
    <x v="2"/>
    <m/>
    <s v=""/>
    <s v=""/>
  </r>
  <r>
    <n v="2267"/>
    <x v="29"/>
    <s v="Karami Ramen Spicy Chili Flavour Japanese Style Noodle With Soup Base"/>
    <x v="0"/>
    <x v="1"/>
    <s v="North America"/>
    <x v="11"/>
    <x v="1"/>
    <m/>
    <s v=""/>
    <s v=""/>
  </r>
  <r>
    <n v="2262"/>
    <x v="27"/>
    <s v="Curry Flavour Instant Noodles"/>
    <x v="2"/>
    <x v="1"/>
    <s v="North America"/>
    <x v="3"/>
    <x v="0"/>
    <m/>
    <s v=""/>
    <s v=""/>
  </r>
  <r>
    <n v="2259"/>
    <x v="33"/>
    <s v="Pho Beef Flavor Vietnamese Rice Noodle Soup"/>
    <x v="1"/>
    <x v="1"/>
    <s v="North America"/>
    <x v="10"/>
    <x v="2"/>
    <m/>
    <s v=""/>
    <s v=""/>
  </r>
  <r>
    <n v="2256"/>
    <x v="31"/>
    <s v="Ramen Noodles Artificially Flavored Tonkotsu"/>
    <x v="1"/>
    <x v="1"/>
    <s v="North America"/>
    <x v="4"/>
    <x v="2"/>
    <m/>
    <s v=""/>
    <s v=""/>
  </r>
  <r>
    <n v="2248"/>
    <x v="19"/>
    <s v="Shin Noodle Soup"/>
    <x v="2"/>
    <x v="1"/>
    <s v="North America"/>
    <x v="3"/>
    <x v="0"/>
    <m/>
    <s v=""/>
    <s v=""/>
  </r>
  <r>
    <n v="2246"/>
    <x v="27"/>
    <s v="Soy Sauce"/>
    <x v="2"/>
    <x v="1"/>
    <s v="North America"/>
    <x v="0"/>
    <x v="0"/>
    <m/>
    <s v=""/>
    <s v=""/>
  </r>
  <r>
    <n v="2239"/>
    <x v="20"/>
    <s v="Cup Noodles Chicken Flavor Ramen Noodle Soup (New Recipe)"/>
    <x v="2"/>
    <x v="1"/>
    <s v="North America"/>
    <x v="0"/>
    <x v="0"/>
    <m/>
    <s v=""/>
    <s v=""/>
  </r>
  <r>
    <n v="2227"/>
    <x v="34"/>
    <s v="Ramen Noodle Soup Sriracha Chicken Flavor"/>
    <x v="0"/>
    <x v="1"/>
    <s v="North America"/>
    <x v="0"/>
    <x v="0"/>
    <m/>
    <s v=""/>
    <s v=""/>
  </r>
  <r>
    <n v="2208"/>
    <x v="35"/>
    <s v="Ramen Japanese Style Quick-Cooking Alimentary Paste With Chicken Artificially Flavored Soup Base"/>
    <x v="0"/>
    <x v="1"/>
    <s v="North America"/>
    <x v="1"/>
    <x v="1"/>
    <m/>
    <s v=""/>
    <s v=""/>
  </r>
  <r>
    <n v="2205"/>
    <x v="34"/>
    <s v="Bowl Taste Of Asia Hearty Pork Flavor Tonkotsu Ramen"/>
    <x v="1"/>
    <x v="1"/>
    <s v="North America"/>
    <x v="0"/>
    <x v="0"/>
    <m/>
    <s v=""/>
    <s v=""/>
  </r>
  <r>
    <n v="2203"/>
    <x v="19"/>
    <s v="Bowl Noodle Soup Independence Day Limited Edition Spicy Chicken Flavor"/>
    <x v="1"/>
    <x v="1"/>
    <s v="North America"/>
    <x v="0"/>
    <x v="0"/>
    <m/>
    <s v=""/>
    <s v=""/>
  </r>
  <r>
    <n v="2170"/>
    <x v="34"/>
    <s v="Ramen Noodle soup Mushroom Flavor"/>
    <x v="0"/>
    <x v="1"/>
    <s v="North America"/>
    <x v="0"/>
    <x v="0"/>
    <m/>
    <s v=""/>
    <s v=""/>
  </r>
  <r>
    <n v="2147"/>
    <x v="34"/>
    <s v="Instant Lunch Pork Flavor Ramen Noodles With Vegetables"/>
    <x v="2"/>
    <x v="1"/>
    <s v="North America"/>
    <x v="4"/>
    <x v="2"/>
    <m/>
    <s v=""/>
    <s v=""/>
  </r>
  <r>
    <n v="2145"/>
    <x v="27"/>
    <s v="Tonkotsu"/>
    <x v="2"/>
    <x v="1"/>
    <s v="North America"/>
    <x v="4"/>
    <x v="2"/>
    <m/>
    <s v=""/>
    <s v=""/>
  </r>
  <r>
    <n v="2142"/>
    <x v="34"/>
    <s v="Bowl Taste Of Asia Miso Chicken Flavor Spicy Miso Ramen"/>
    <x v="1"/>
    <x v="1"/>
    <s v="North America"/>
    <x v="0"/>
    <x v="0"/>
    <m/>
    <s v=""/>
    <s v=""/>
  </r>
  <r>
    <n v="2132"/>
    <x v="34"/>
    <s v="Instant Lunch Chipotle Chicken Flavor Ramen Noodle Soup"/>
    <x v="2"/>
    <x v="1"/>
    <s v="North America"/>
    <x v="3"/>
    <x v="0"/>
    <m/>
    <s v=""/>
    <s v=""/>
  </r>
  <r>
    <n v="2105"/>
    <x v="34"/>
    <s v="Ramen Noodle Soup Chicken Tortilla Flavor"/>
    <x v="0"/>
    <x v="1"/>
    <s v="North America"/>
    <x v="4"/>
    <x v="2"/>
    <m/>
    <s v=""/>
    <s v=""/>
  </r>
  <r>
    <n v="2103"/>
    <x v="35"/>
    <s v="Ramen Japanese Style Quick-Cooking Alimentary Paste With Beef Artificially Flavored Soup Base"/>
    <x v="0"/>
    <x v="1"/>
    <s v="North America"/>
    <x v="1"/>
    <x v="1"/>
    <m/>
    <s v=""/>
    <s v=""/>
  </r>
  <r>
    <n v="2098"/>
    <x v="19"/>
    <s v="Kimchi Flavor Noodle Soup"/>
    <x v="2"/>
    <x v="1"/>
    <s v="North America"/>
    <x v="3"/>
    <x v="0"/>
    <m/>
    <s v=""/>
    <s v=""/>
  </r>
  <r>
    <n v="2072"/>
    <x v="34"/>
    <s v="Bowl Taste Of Asia Beef Flavor Sukiyaki Ramen"/>
    <x v="1"/>
    <x v="1"/>
    <s v="North America"/>
    <x v="3"/>
    <x v="0"/>
    <m/>
    <s v=""/>
    <s v=""/>
  </r>
  <r>
    <n v="2064"/>
    <x v="19"/>
    <s v="Arrabiata Rice Bucatini"/>
    <x v="0"/>
    <x v="1"/>
    <s v="North America"/>
    <x v="3"/>
    <x v="0"/>
    <m/>
    <s v=""/>
    <s v=""/>
  </r>
  <r>
    <n v="2056"/>
    <x v="36"/>
    <s v="Garlic Pepper Reduced Sodium Ramen"/>
    <x v="0"/>
    <x v="1"/>
    <s v="North America"/>
    <x v="1"/>
    <x v="1"/>
    <m/>
    <s v=""/>
    <s v=""/>
  </r>
  <r>
    <n v="2053"/>
    <x v="34"/>
    <s v="Instant Lunch Sriracha Chicken Flavor Ramen Noodle Soup"/>
    <x v="2"/>
    <x v="1"/>
    <s v="North America"/>
    <x v="10"/>
    <x v="2"/>
    <m/>
    <s v=""/>
    <s v=""/>
  </r>
  <r>
    <n v="1969"/>
    <x v="19"/>
    <s v="Noodle Soup Seasoned With Real Kimchi"/>
    <x v="0"/>
    <x v="1"/>
    <s v="North America"/>
    <x v="15"/>
    <x v="0"/>
    <m/>
    <s v=""/>
    <s v=""/>
  </r>
  <r>
    <n v="1968"/>
    <x v="20"/>
    <s v="Top Ramen Chicken Flavor Ramen Noodle Soup (New Packaging)"/>
    <x v="0"/>
    <x v="1"/>
    <s v="North America"/>
    <x v="2"/>
    <x v="2"/>
    <m/>
    <s v=""/>
    <s v=""/>
  </r>
  <r>
    <n v="1958"/>
    <x v="37"/>
    <s v="Mi Goreng Bento Noodles In A Box Curry Masala Flavour"/>
    <x v="3"/>
    <x v="1"/>
    <s v="North America"/>
    <x v="0"/>
    <x v="0"/>
    <m/>
    <s v=""/>
    <s v=""/>
  </r>
  <r>
    <n v="1955"/>
    <x v="20"/>
    <s v="Raoh Ramen Noodle Soup Umami Soy Sauce Flavor"/>
    <x v="0"/>
    <x v="1"/>
    <s v="North America"/>
    <x v="15"/>
    <x v="0"/>
    <m/>
    <s v=""/>
    <s v=""/>
  </r>
  <r>
    <n v="1951"/>
    <x v="20"/>
    <s v="Cup Noodles Ramen Noodle Soup Hearty Chicken Flavor [New Package]"/>
    <x v="2"/>
    <x v="1"/>
    <s v="North America"/>
    <x v="12"/>
    <x v="0"/>
    <m/>
    <s v=""/>
    <s v=""/>
  </r>
  <r>
    <n v="1936"/>
    <x v="38"/>
    <s v="Rice Noodle Coconut Curry"/>
    <x v="0"/>
    <x v="1"/>
    <s v="North America"/>
    <x v="19"/>
    <x v="1"/>
    <m/>
    <s v=""/>
    <s v=""/>
  </r>
  <r>
    <n v="1926"/>
    <x v="20"/>
    <s v="Bowl Noodles Hot &amp; Spicy Chicken Flavor Less Sodium Ramen Noodle Soup"/>
    <x v="1"/>
    <x v="1"/>
    <s v="North America"/>
    <x v="0"/>
    <x v="0"/>
    <m/>
    <s v=""/>
    <s v=""/>
  </r>
  <r>
    <n v="1921"/>
    <x v="20"/>
    <s v="Cup Noodles Ramen Noodle Soup Chicken Flavor [New Package]"/>
    <x v="2"/>
    <x v="1"/>
    <s v="North America"/>
    <x v="2"/>
    <x v="2"/>
    <m/>
    <s v=""/>
    <s v=""/>
  </r>
  <r>
    <n v="1917"/>
    <x v="37"/>
    <s v="Mi Goreng Bento Noodles In A Box Hot Sweet &amp; Sour Flavor"/>
    <x v="3"/>
    <x v="1"/>
    <s v="North America"/>
    <x v="20"/>
    <x v="1"/>
    <m/>
    <s v=""/>
    <s v=""/>
  </r>
  <r>
    <n v="1913"/>
    <x v="39"/>
    <s v="Mushroom Rice Noodle Soup Bowl"/>
    <x v="1"/>
    <x v="1"/>
    <s v="North America"/>
    <x v="1"/>
    <x v="1"/>
    <m/>
    <s v=""/>
    <s v=""/>
  </r>
  <r>
    <n v="1910"/>
    <x v="20"/>
    <s v="Chow Mein Pad Thai"/>
    <x v="3"/>
    <x v="1"/>
    <s v="North America"/>
    <x v="4"/>
    <x v="2"/>
    <m/>
    <s v=""/>
    <s v=""/>
  </r>
  <r>
    <n v="1891"/>
    <x v="20"/>
    <s v="Cup Noodles Homestyle Chicken"/>
    <x v="2"/>
    <x v="1"/>
    <s v="North America"/>
    <x v="2"/>
    <x v="2"/>
    <m/>
    <s v=""/>
    <s v=""/>
  </r>
  <r>
    <n v="1875"/>
    <x v="40"/>
    <s v="Tonkotsu Ramen Artificially Flavored Tonkotsu White Chicken Broth"/>
    <x v="0"/>
    <x v="1"/>
    <s v="North America"/>
    <x v="3"/>
    <x v="0"/>
    <m/>
    <s v=""/>
    <s v=""/>
  </r>
  <r>
    <n v="1864"/>
    <x v="20"/>
    <s v="Raoh Ramen Noodle Soup Umami Tonkotsu Flavor"/>
    <x v="0"/>
    <x v="1"/>
    <s v="North America"/>
    <x v="3"/>
    <x v="0"/>
    <m/>
    <s v=""/>
    <s v=""/>
  </r>
  <r>
    <n v="1857"/>
    <x v="37"/>
    <s v="Mi Goreng Bento Noodles In A Box Shallot Teriyaki Flavor"/>
    <x v="3"/>
    <x v="1"/>
    <s v="North America"/>
    <x v="5"/>
    <x v="2"/>
    <m/>
    <s v=""/>
    <s v=""/>
  </r>
  <r>
    <n v="1852"/>
    <x v="25"/>
    <s v="Udon Japanese Style Precooked Noodles With Soup Hot &amp; Spicy Flavor"/>
    <x v="1"/>
    <x v="1"/>
    <s v="North America"/>
    <x v="5"/>
    <x v="2"/>
    <m/>
    <s v=""/>
    <s v=""/>
  </r>
  <r>
    <n v="1850"/>
    <x v="20"/>
    <s v="Raoh Ramen Noodle Soup Umami Miso Flavor"/>
    <x v="0"/>
    <x v="1"/>
    <s v="North America"/>
    <x v="17"/>
    <x v="0"/>
    <m/>
    <s v=""/>
    <s v=""/>
  </r>
  <r>
    <n v="1846"/>
    <x v="20"/>
    <s v="Chow Mein Savory Sauce And Restayrant Quality Noodles Roast Chicken Flavor "/>
    <x v="3"/>
    <x v="1"/>
    <s v="North America"/>
    <x v="17"/>
    <x v="0"/>
    <m/>
    <s v=""/>
    <s v=""/>
  </r>
  <r>
    <n v="1824"/>
    <x v="19"/>
    <s v="Soon Veggie Noodle Soup"/>
    <x v="2"/>
    <x v="1"/>
    <s v="North America"/>
    <x v="3"/>
    <x v="0"/>
    <m/>
    <s v=""/>
    <s v=""/>
  </r>
  <r>
    <n v="1821"/>
    <x v="25"/>
    <s v="Udon Japanese Style Pre-Cooked Noodles With Soup Beef Flavor"/>
    <x v="1"/>
    <x v="1"/>
    <s v="North America"/>
    <x v="5"/>
    <x v="2"/>
    <m/>
    <s v=""/>
    <s v=""/>
  </r>
  <r>
    <n v="1802"/>
    <x v="20"/>
    <s v="Cup Noodles Ramen Noodles Ramen Noodle Soup Beef Flavor (New Package) "/>
    <x v="2"/>
    <x v="1"/>
    <s v="North America"/>
    <x v="2"/>
    <x v="2"/>
    <m/>
    <s v=""/>
    <s v=""/>
  </r>
  <r>
    <n v="1800"/>
    <x v="41"/>
    <s v="Soup All Natural Hot &amp; Sour"/>
    <x v="2"/>
    <x v="1"/>
    <s v="North America"/>
    <x v="20"/>
    <x v="1"/>
    <m/>
    <s v=""/>
    <s v=""/>
  </r>
  <r>
    <n v="1799"/>
    <x v="39"/>
    <s v="Spring Onion Rice Noodle Soup Bowl"/>
    <x v="1"/>
    <x v="1"/>
    <s v="North America"/>
    <x v="6"/>
    <x v="1"/>
    <m/>
    <s v=""/>
    <s v=""/>
  </r>
  <r>
    <n v="1786"/>
    <x v="20"/>
    <s v="Chow Mein Premium Savory Sauce And Restaurant Quality Noodles Sriracha Flavor"/>
    <x v="3"/>
    <x v="1"/>
    <s v="North America"/>
    <x v="12"/>
    <x v="0"/>
    <m/>
    <s v=""/>
    <s v=""/>
  </r>
  <r>
    <n v="1765"/>
    <x v="20"/>
    <s v="Cup Noodles Ramen Noodles With Shrimp (New Package) "/>
    <x v="2"/>
    <x v="1"/>
    <s v="North America"/>
    <x v="2"/>
    <x v="2"/>
    <m/>
    <s v=""/>
    <s v=""/>
  </r>
  <r>
    <n v="1761"/>
    <x v="42"/>
    <s v="Natural Quality Foods Pad Thai Noodle Bowl"/>
    <x v="1"/>
    <x v="1"/>
    <s v="North America"/>
    <x v="19"/>
    <x v="1"/>
    <m/>
    <s v=""/>
    <s v=""/>
  </r>
  <r>
    <n v="1753"/>
    <x v="39"/>
    <s v="Garlic Rice Noodle Soup Bowl"/>
    <x v="1"/>
    <x v="1"/>
    <s v="North America"/>
    <x v="2"/>
    <x v="2"/>
    <m/>
    <s v=""/>
    <s v=""/>
  </r>
  <r>
    <n v="1741"/>
    <x v="25"/>
    <s v="Udon Japanese Style Pre-Cooked Noodles With Soup Chicken Flavor"/>
    <x v="1"/>
    <x v="1"/>
    <s v="North America"/>
    <x v="6"/>
    <x v="1"/>
    <m/>
    <s v=""/>
    <s v=""/>
  </r>
  <r>
    <n v="1698"/>
    <x v="34"/>
    <s v="Instant Lunch Chicken Tortilla Flavor Ramen Noodles With Vegetables"/>
    <x v="2"/>
    <x v="1"/>
    <s v="North America"/>
    <x v="0"/>
    <x v="0"/>
    <m/>
    <s v=""/>
    <s v=""/>
  </r>
  <r>
    <n v="1678"/>
    <x v="19"/>
    <s v="Shin Black Spicy Po-Au-Feu Flavor (Mew Edition)"/>
    <x v="0"/>
    <x v="1"/>
    <s v="North America"/>
    <x v="3"/>
    <x v="0"/>
    <m/>
    <s v=""/>
    <s v=""/>
  </r>
  <r>
    <n v="1641"/>
    <x v="43"/>
    <s v="Japanese Ramen Noodle"/>
    <x v="1"/>
    <x v="1"/>
    <s v="North America"/>
    <x v="1"/>
    <x v="1"/>
    <m/>
    <s v=""/>
    <s v=""/>
  </r>
  <r>
    <n v="1622"/>
    <x v="19"/>
    <s v="Quick2 Hot &amp; Spicy Noodle Soup With Habanero &amp; Lime"/>
    <x v="0"/>
    <x v="1"/>
    <s v="North America"/>
    <x v="0"/>
    <x v="0"/>
    <m/>
    <s v=""/>
    <s v=""/>
  </r>
  <r>
    <n v="1597"/>
    <x v="20"/>
    <s v="Original Chow Mein Premium Spicy Chicken Flavor"/>
    <x v="3"/>
    <x v="1"/>
    <s v="North America"/>
    <x v="0"/>
    <x v="0"/>
    <m/>
    <s v=""/>
    <s v=""/>
  </r>
  <r>
    <n v="1563"/>
    <x v="19"/>
    <s v="Shin Ramyun Noodle Soup (New Edition)"/>
    <x v="0"/>
    <x v="1"/>
    <s v="North America"/>
    <x v="12"/>
    <x v="0"/>
    <m/>
    <s v=""/>
    <s v=""/>
  </r>
  <r>
    <n v="1544"/>
    <x v="44"/>
    <s v="Pad Thai Instant rice Noodles &amp; Sauce"/>
    <x v="3"/>
    <x v="1"/>
    <s v="North America"/>
    <x v="8"/>
    <x v="1"/>
    <m/>
    <s v=""/>
    <s v=""/>
  </r>
  <r>
    <n v="1503"/>
    <x v="19"/>
    <s v="Bowl Noodle Soup Shrimp Habanero Lime Flavor"/>
    <x v="1"/>
    <x v="1"/>
    <s v="North America"/>
    <x v="5"/>
    <x v="2"/>
    <m/>
    <s v=""/>
    <s v=""/>
  </r>
  <r>
    <n v="1497"/>
    <x v="20"/>
    <s v="Easy Fideos Picante Lime Shrimp Flavor Ramen Noodle Soup"/>
    <x v="2"/>
    <x v="1"/>
    <s v="North America"/>
    <x v="2"/>
    <x v="2"/>
    <m/>
    <s v=""/>
    <s v=""/>
  </r>
  <r>
    <n v="1485"/>
    <x v="19"/>
    <s v="Spicy Tonkotsu Noodle Soup"/>
    <x v="0"/>
    <x v="1"/>
    <s v="North America"/>
    <x v="3"/>
    <x v="0"/>
    <m/>
    <s v=""/>
    <s v=""/>
  </r>
  <r>
    <n v="1479"/>
    <x v="20"/>
    <s v="Cup Noodles Easy Fideos Tomato Chicken Flavor Ramen Noodle Soup"/>
    <x v="2"/>
    <x v="1"/>
    <s v="North America"/>
    <x v="2"/>
    <x v="2"/>
    <m/>
    <s v=""/>
    <s v=""/>
  </r>
  <r>
    <n v="1463"/>
    <x v="34"/>
    <s v="Instant Lunch California Vegetable Ramen Noodles With Vegetables"/>
    <x v="2"/>
    <x v="1"/>
    <s v="North America"/>
    <x v="2"/>
    <x v="2"/>
    <m/>
    <s v=""/>
    <s v=""/>
  </r>
  <r>
    <n v="1444"/>
    <x v="34"/>
    <s v="Instant Lunch Jalapeno Cheddar Flavor Ramen Noodles"/>
    <x v="2"/>
    <x v="1"/>
    <s v="North America"/>
    <x v="2"/>
    <x v="2"/>
    <m/>
    <s v=""/>
    <s v=""/>
  </r>
  <r>
    <n v="1443"/>
    <x v="19"/>
    <s v="Harmony Korean Spicy Noodle Dish With Chipotle"/>
    <x v="0"/>
    <x v="1"/>
    <s v="North America"/>
    <x v="12"/>
    <x v="0"/>
    <m/>
    <s v=""/>
    <s v=""/>
  </r>
  <r>
    <n v="1441"/>
    <x v="20"/>
    <s v="Souper Meal Chili Picante Chicken With Lime Flavor Ramen Noodle Soup"/>
    <x v="1"/>
    <x v="1"/>
    <s v="North America"/>
    <x v="2"/>
    <x v="2"/>
    <m/>
    <s v=""/>
    <s v=""/>
  </r>
  <r>
    <n v="1427"/>
    <x v="45"/>
    <s v="Miso Ramen"/>
    <x v="1"/>
    <x v="1"/>
    <s v="North America"/>
    <x v="10"/>
    <x v="2"/>
    <m/>
    <s v=""/>
    <s v=""/>
  </r>
  <r>
    <n v="1422"/>
    <x v="20"/>
    <s v="Pan Asian Kitchen Spicy Szechuan Chicken Flavor Ramen Noodles"/>
    <x v="3"/>
    <x v="1"/>
    <s v="North America"/>
    <x v="4"/>
    <x v="2"/>
    <m/>
    <s v=""/>
    <s v=""/>
  </r>
  <r>
    <n v="1407"/>
    <x v="46"/>
    <s v="Ramen House Thai Coconut Ramen"/>
    <x v="0"/>
    <x v="1"/>
    <s v="North America"/>
    <x v="3"/>
    <x v="0"/>
    <m/>
    <s v=""/>
    <s v=""/>
  </r>
  <r>
    <n v="1395"/>
    <x v="47"/>
    <s v="Singapore Laksa Curry Soup Bowl"/>
    <x v="1"/>
    <x v="1"/>
    <s v="North America"/>
    <x v="12"/>
    <x v="0"/>
    <m/>
    <s v=""/>
    <s v=""/>
  </r>
  <r>
    <n v="1392"/>
    <x v="48"/>
    <s v="Miso Marvellous Soup"/>
    <x v="0"/>
    <x v="1"/>
    <s v="North America"/>
    <x v="0"/>
    <x v="0"/>
    <m/>
    <s v=""/>
    <s v=""/>
  </r>
  <r>
    <n v="1366"/>
    <x v="19"/>
    <s v="Sir Long Tang Creamy Beef Noodle Soup"/>
    <x v="2"/>
    <x v="1"/>
    <s v="North America"/>
    <x v="12"/>
    <x v="0"/>
    <m/>
    <s v=""/>
    <s v=""/>
  </r>
  <r>
    <n v="1345"/>
    <x v="49"/>
    <s v="Forbidden Rice Ramen"/>
    <x v="0"/>
    <x v="1"/>
    <s v="North America"/>
    <x v="13"/>
    <x v="1"/>
    <m/>
    <s v=""/>
    <s v=""/>
  </r>
  <r>
    <n v="1344"/>
    <x v="49"/>
    <s v="Millet &amp; Brown Rice Ramen"/>
    <x v="0"/>
    <x v="1"/>
    <s v="North America"/>
    <x v="0"/>
    <x v="0"/>
    <m/>
    <s v=""/>
    <s v=""/>
  </r>
  <r>
    <n v="1343"/>
    <x v="49"/>
    <s v="Jade Pearl Rice Ramen"/>
    <x v="0"/>
    <x v="1"/>
    <s v="North America"/>
    <x v="5"/>
    <x v="2"/>
    <m/>
    <s v=""/>
    <s v=""/>
  </r>
  <r>
    <n v="1337"/>
    <x v="50"/>
    <s v="Chikara Brand Udon Beef Flavor"/>
    <x v="0"/>
    <x v="1"/>
    <s v="North America"/>
    <x v="12"/>
    <x v="0"/>
    <m/>
    <s v=""/>
    <s v=""/>
  </r>
  <r>
    <n v="1336"/>
    <x v="29"/>
    <s v="Fresh Chow Mein Noodles With Seasoning"/>
    <x v="0"/>
    <x v="1"/>
    <s v="North America"/>
    <x v="10"/>
    <x v="2"/>
    <m/>
    <s v=""/>
    <s v=""/>
  </r>
  <r>
    <n v="1335"/>
    <x v="50"/>
    <s v="Chikara Brand Udon Hot &amp; Spicy Flavor"/>
    <x v="0"/>
    <x v="1"/>
    <s v="North America"/>
    <x v="0"/>
    <x v="0"/>
    <m/>
    <s v=""/>
    <s v=""/>
  </r>
  <r>
    <n v="1334"/>
    <x v="50"/>
    <s v="Chikara Brand Udon Mushroom Flavor"/>
    <x v="0"/>
    <x v="1"/>
    <s v="North America"/>
    <x v="10"/>
    <x v="2"/>
    <m/>
    <s v=""/>
    <s v=""/>
  </r>
  <r>
    <n v="1333"/>
    <x v="50"/>
    <s v="Chikara Brand Udon Oriental Flavor"/>
    <x v="0"/>
    <x v="1"/>
    <s v="North America"/>
    <x v="10"/>
    <x v="2"/>
    <m/>
    <s v=""/>
    <s v=""/>
  </r>
  <r>
    <n v="1332"/>
    <x v="50"/>
    <s v="Chikara Brand Udon Chicken Flavor"/>
    <x v="0"/>
    <x v="1"/>
    <s v="North America"/>
    <x v="10"/>
    <x v="2"/>
    <m/>
    <s v=""/>
    <s v=""/>
  </r>
  <r>
    <n v="1310"/>
    <x v="51"/>
    <s v="Rice Noodle Cart Thai Peanut"/>
    <x v="3"/>
    <x v="1"/>
    <s v="North America"/>
    <x v="4"/>
    <x v="2"/>
    <m/>
    <s v=""/>
    <s v=""/>
  </r>
  <r>
    <n v="1284"/>
    <x v="51"/>
    <s v="Rice Noodle Cart Sweet Citrus Ginger"/>
    <x v="3"/>
    <x v="1"/>
    <s v="North America"/>
    <x v="12"/>
    <x v="0"/>
    <m/>
    <s v=""/>
    <s v=""/>
  </r>
  <r>
    <n v="1253"/>
    <x v="20"/>
    <s v="Chow Mein Teriyaki Chicken Flavor Chow Mein Noodles"/>
    <x v="3"/>
    <x v="1"/>
    <s v="North America"/>
    <x v="10"/>
    <x v="2"/>
    <m/>
    <s v=""/>
    <s v=""/>
  </r>
  <r>
    <n v="1246"/>
    <x v="46"/>
    <s v="Ramen House Chicken Vegetable Flavored Ramen"/>
    <x v="0"/>
    <x v="1"/>
    <s v="North America"/>
    <x v="0"/>
    <x v="0"/>
    <m/>
    <s v=""/>
    <s v=""/>
  </r>
  <r>
    <n v="1242"/>
    <x v="44"/>
    <s v="Garlic Chili Instant Rice Noodles &amp; Sauce"/>
    <x v="3"/>
    <x v="1"/>
    <s v="North America"/>
    <x v="0"/>
    <x v="0"/>
    <m/>
    <s v=""/>
    <s v=""/>
  </r>
  <r>
    <n v="1225"/>
    <x v="20"/>
    <s v="Pan Asian Kitchen Sweet &amp; Sour Chicken Flavor Ramen Noodles"/>
    <x v="3"/>
    <x v="1"/>
    <s v="North America"/>
    <x v="10"/>
    <x v="2"/>
    <m/>
    <s v=""/>
    <s v=""/>
  </r>
  <r>
    <n v="1196"/>
    <x v="20"/>
    <s v="Bowl Noodles Chicken Flavor"/>
    <x v="1"/>
    <x v="1"/>
    <s v="North America"/>
    <x v="2"/>
    <x v="2"/>
    <m/>
    <s v=""/>
    <s v=""/>
  </r>
  <r>
    <n v="1178"/>
    <x v="19"/>
    <s v="Shin Black Spicy Pot-au-feu Flavor Premium Noodle Soup"/>
    <x v="2"/>
    <x v="1"/>
    <s v="North America"/>
    <x v="3"/>
    <x v="0"/>
    <m/>
    <s v=""/>
    <s v=""/>
  </r>
  <r>
    <n v="1172"/>
    <x v="36"/>
    <s v="Seaweed Ramen Made With Organic Noodles"/>
    <x v="0"/>
    <x v="1"/>
    <s v="North America"/>
    <x v="9"/>
    <x v="2"/>
    <m/>
    <s v=""/>
    <s v=""/>
  </r>
  <r>
    <n v="1165"/>
    <x v="20"/>
    <s v="Chow Mein With Shrimp Chow Mein Noodles"/>
    <x v="3"/>
    <x v="1"/>
    <s v="North America"/>
    <x v="10"/>
    <x v="2"/>
    <m/>
    <s v=""/>
    <s v=""/>
  </r>
  <r>
    <n v="1155"/>
    <x v="52"/>
    <s v="Savory Ramen "/>
    <x v="6"/>
    <x v="1"/>
    <s v="North America"/>
    <x v="3"/>
    <x v="0"/>
    <m/>
    <s v=""/>
    <s v=""/>
  </r>
  <r>
    <n v="1130"/>
    <x v="20"/>
    <s v="Big Cup Noodles Habanero Lime Shrimp Flavor Ramen Noodle Soup"/>
    <x v="2"/>
    <x v="1"/>
    <s v="North America"/>
    <x v="2"/>
    <x v="2"/>
    <m/>
    <s v=""/>
    <s v=""/>
  </r>
  <r>
    <n v="1125"/>
    <x v="25"/>
    <s v="Japanese Style Noodles Shio Flavor"/>
    <x v="0"/>
    <x v="1"/>
    <s v="North America"/>
    <x v="3"/>
    <x v="0"/>
    <m/>
    <s v=""/>
    <s v=""/>
  </r>
  <r>
    <n v="1117"/>
    <x v="44"/>
    <s v="spicy Pad Thai Instant Noodles &amp; Sauce"/>
    <x v="3"/>
    <x v="1"/>
    <s v="North America"/>
    <x v="12"/>
    <x v="0"/>
    <m/>
    <s v=""/>
    <s v=""/>
  </r>
  <r>
    <n v="1115"/>
    <x v="20"/>
    <s v="Pan Asian Kitchen Sukiyaki Beef Flavor Savory Soy Sauce Ramen Noodles"/>
    <x v="3"/>
    <x v="1"/>
    <s v="North America"/>
    <x v="10"/>
    <x v="2"/>
    <m/>
    <s v=""/>
    <s v=""/>
  </r>
  <r>
    <n v="1066"/>
    <x v="53"/>
    <s v="1 Step-1 Minute Asian Noodles Pad Thai"/>
    <x v="0"/>
    <x v="1"/>
    <s v="North America"/>
    <x v="2"/>
    <x v="2"/>
    <m/>
    <s v=""/>
    <s v=""/>
  </r>
  <r>
    <n v="1065"/>
    <x v="53"/>
    <s v="1 Step-1 Minute Asian Noodles Kung Pao"/>
    <x v="0"/>
    <x v="1"/>
    <s v="North America"/>
    <x v="12"/>
    <x v="0"/>
    <m/>
    <s v=""/>
    <s v=""/>
  </r>
  <r>
    <n v="1064"/>
    <x v="53"/>
    <s v="1 Step-1 Minute Asian Noodles Mushroom Lo Mein"/>
    <x v="0"/>
    <x v="1"/>
    <s v="North America"/>
    <x v="0"/>
    <x v="0"/>
    <m/>
    <s v=""/>
    <s v=""/>
  </r>
  <r>
    <n v="1063"/>
    <x v="53"/>
    <s v="1 Step-1 Minute Asian Noodles Thai Basil"/>
    <x v="0"/>
    <x v="1"/>
    <s v="North America"/>
    <x v="10"/>
    <x v="2"/>
    <m/>
    <s v=""/>
    <s v=""/>
  </r>
  <r>
    <n v="1062"/>
    <x v="53"/>
    <s v="1 Step-1 Minute Asian Noodles Lemongrass Ginger"/>
    <x v="0"/>
    <x v="1"/>
    <s v="North America"/>
    <x v="10"/>
    <x v="2"/>
    <m/>
    <s v=""/>
    <s v=""/>
  </r>
  <r>
    <n v="1061"/>
    <x v="53"/>
    <s v="1 Step-1 Minute Asian Noodles Toasted Sesame"/>
    <x v="0"/>
    <x v="1"/>
    <s v="North America"/>
    <x v="0"/>
    <x v="0"/>
    <m/>
    <s v=""/>
    <s v=""/>
  </r>
  <r>
    <n v="1060"/>
    <x v="54"/>
    <s v="Happy Pho Vietnamese Brown Rice Noodle Soup Garlic Goodness"/>
    <x v="0"/>
    <x v="1"/>
    <s v="North America"/>
    <x v="10"/>
    <x v="2"/>
    <m/>
    <s v=""/>
    <s v=""/>
  </r>
  <r>
    <n v="1046"/>
    <x v="25"/>
    <s v="Stir Fry Noodles Japanese Style Noodles With Sauce"/>
    <x v="0"/>
    <x v="1"/>
    <s v="North America"/>
    <x v="0"/>
    <x v="0"/>
    <m/>
    <s v=""/>
    <s v=""/>
  </r>
  <r>
    <n v="1045"/>
    <x v="20"/>
    <s v="Chow Mein Chicken"/>
    <x v="3"/>
    <x v="1"/>
    <s v="North America"/>
    <x v="2"/>
    <x v="2"/>
    <m/>
    <s v=""/>
    <s v=""/>
  </r>
  <r>
    <n v="1039"/>
    <x v="34"/>
    <s v="Bowl Hot &amp; Spicy Shrimp Flavor Ramen Noodles With Vegetables"/>
    <x v="1"/>
    <x v="1"/>
    <s v="North America"/>
    <x v="12"/>
    <x v="0"/>
    <m/>
    <s v=""/>
    <s v=""/>
  </r>
  <r>
    <n v="1016"/>
    <x v="20"/>
    <s v="Big Cup Noodles Habanero Lime Chicken Flavor Ramen Noodle Soup"/>
    <x v="2"/>
    <x v="1"/>
    <s v="North America"/>
    <x v="2"/>
    <x v="2"/>
    <m/>
    <s v=""/>
    <s v=""/>
  </r>
  <r>
    <n v="1015"/>
    <x v="55"/>
    <s v="Oriental Style Ramen Noodle Soup"/>
    <x v="0"/>
    <x v="1"/>
    <s v="North America"/>
    <x v="9"/>
    <x v="2"/>
    <m/>
    <s v=""/>
    <s v=""/>
  </r>
  <r>
    <n v="1011"/>
    <x v="34"/>
    <s v="Bowl Hot &amp; Spicy Chicken Flavor Ramen Noodles With Vegetables"/>
    <x v="1"/>
    <x v="1"/>
    <s v="North America"/>
    <x v="0"/>
    <x v="0"/>
    <m/>
    <s v=""/>
    <s v=""/>
  </r>
  <r>
    <n v="1003"/>
    <x v="20"/>
    <s v="Chow Mein Spicy Teriyaki Beef"/>
    <x v="3"/>
    <x v="1"/>
    <s v="North America"/>
    <x v="17"/>
    <x v="0"/>
    <m/>
    <s v=""/>
    <s v=""/>
  </r>
  <r>
    <n v="1000"/>
    <x v="34"/>
    <s v="Yakisoba Beef Taco Flavor"/>
    <x v="3"/>
    <x v="1"/>
    <s v="North America"/>
    <x v="12"/>
    <x v="0"/>
    <m/>
    <s v=""/>
    <s v=""/>
  </r>
  <r>
    <n v="996"/>
    <x v="34"/>
    <s v="Bowl Chicken Flavor"/>
    <x v="1"/>
    <x v="1"/>
    <s v="North America"/>
    <x v="0"/>
    <x v="0"/>
    <m/>
    <s v=""/>
    <s v=""/>
  </r>
  <r>
    <n v="990"/>
    <x v="20"/>
    <s v="Pan Asian Kitchen Spicy Pad Thai"/>
    <x v="3"/>
    <x v="1"/>
    <s v="North America"/>
    <x v="9"/>
    <x v="2"/>
    <m/>
    <s v=""/>
    <s v=""/>
  </r>
  <r>
    <n v="984"/>
    <x v="56"/>
    <s v="Ramen Shoyu Flavor"/>
    <x v="3"/>
    <x v="1"/>
    <s v="North America"/>
    <x v="3"/>
    <x v="0"/>
    <m/>
    <s v=""/>
    <s v=""/>
  </r>
  <r>
    <n v="983"/>
    <x v="56"/>
    <s v="Tantanmen Spicy Sesame (Mild)"/>
    <x v="3"/>
    <x v="1"/>
    <s v="North America"/>
    <x v="10"/>
    <x v="2"/>
    <m/>
    <s v=""/>
    <s v=""/>
  </r>
  <r>
    <n v="982"/>
    <x v="56"/>
    <s v="Ramen Miso Flavor"/>
    <x v="3"/>
    <x v="1"/>
    <s v="North America"/>
    <x v="3"/>
    <x v="0"/>
    <m/>
    <s v=""/>
    <s v=""/>
  </r>
  <r>
    <n v="981"/>
    <x v="57"/>
    <s v="Saimin"/>
    <x v="0"/>
    <x v="1"/>
    <s v="North America"/>
    <x v="0"/>
    <x v="0"/>
    <m/>
    <s v=""/>
    <s v=""/>
  </r>
  <r>
    <n v="980"/>
    <x v="56"/>
    <s v="Cold Ramen Soy Sauce Vinaigrette"/>
    <x v="3"/>
    <x v="1"/>
    <s v="North America"/>
    <x v="0"/>
    <x v="0"/>
    <m/>
    <s v=""/>
    <s v=""/>
  </r>
  <r>
    <n v="979"/>
    <x v="56"/>
    <s v="Nama Soba Buckwheat Noodle"/>
    <x v="3"/>
    <x v="1"/>
    <s v="North America"/>
    <x v="0"/>
    <x v="0"/>
    <m/>
    <s v=""/>
    <s v=""/>
  </r>
  <r>
    <n v="978"/>
    <x v="56"/>
    <s v="Ramen Pork Flavor"/>
    <x v="3"/>
    <x v="1"/>
    <s v="North America"/>
    <x v="3"/>
    <x v="0"/>
    <m/>
    <s v=""/>
    <s v=""/>
  </r>
  <r>
    <n v="977"/>
    <x v="56"/>
    <s v="Yakisoba"/>
    <x v="0"/>
    <x v="1"/>
    <s v="North America"/>
    <x v="17"/>
    <x v="0"/>
    <m/>
    <s v=""/>
    <s v=""/>
  </r>
  <r>
    <n v="973"/>
    <x v="46"/>
    <s v="Ramen House Spicy Chicken Ramen"/>
    <x v="0"/>
    <x v="1"/>
    <s v="North America"/>
    <x v="0"/>
    <x v="0"/>
    <m/>
    <s v=""/>
    <s v=""/>
  </r>
  <r>
    <n v="971"/>
    <x v="46"/>
    <s v="Soup Bowl Chinese Chicken"/>
    <x v="1"/>
    <x v="1"/>
    <s v="North America"/>
    <x v="12"/>
    <x v="0"/>
    <m/>
    <s v=""/>
    <s v=""/>
  </r>
  <r>
    <n v="970"/>
    <x v="46"/>
    <s v="Noodle Express Spicy Szechuan"/>
    <x v="3"/>
    <x v="1"/>
    <s v="North America"/>
    <x v="11"/>
    <x v="1"/>
    <m/>
    <s v=""/>
    <s v=""/>
  </r>
  <r>
    <n v="969"/>
    <x v="46"/>
    <s v="Soup Bowl Vietnamese Pho"/>
    <x v="1"/>
    <x v="1"/>
    <s v="North America"/>
    <x v="0"/>
    <x v="0"/>
    <m/>
    <s v=""/>
    <s v=""/>
  </r>
  <r>
    <n v="968"/>
    <x v="46"/>
    <s v="Noodle Express Teriyaki"/>
    <x v="3"/>
    <x v="1"/>
    <s v="North America"/>
    <x v="4"/>
    <x v="2"/>
    <m/>
    <s v=""/>
    <s v=""/>
  </r>
  <r>
    <n v="967"/>
    <x v="46"/>
    <s v="Soup Bowl South Korean Kimchi"/>
    <x v="1"/>
    <x v="1"/>
    <s v="North America"/>
    <x v="17"/>
    <x v="0"/>
    <m/>
    <s v=""/>
    <s v=""/>
  </r>
  <r>
    <n v="966"/>
    <x v="46"/>
    <s v="Ramen House Spring Vegetable Ramen"/>
    <x v="0"/>
    <x v="1"/>
    <s v="North America"/>
    <x v="0"/>
    <x v="0"/>
    <m/>
    <s v=""/>
    <s v=""/>
  </r>
  <r>
    <n v="965"/>
    <x v="46"/>
    <s v="Noodle Express Chinese Chow Mein"/>
    <x v="3"/>
    <x v="1"/>
    <s v="North America"/>
    <x v="10"/>
    <x v="2"/>
    <m/>
    <s v=""/>
    <s v=""/>
  </r>
  <r>
    <n v="962"/>
    <x v="19"/>
    <s v="Bowl Noodle Soup Spicy Seafood Flavor (New Version)"/>
    <x v="1"/>
    <x v="1"/>
    <s v="North America"/>
    <x v="12"/>
    <x v="0"/>
    <m/>
    <s v=""/>
    <s v=""/>
  </r>
  <r>
    <n v="960"/>
    <x v="20"/>
    <s v="Bowl Noodles Hot &amp; Spicy Super Picante"/>
    <x v="1"/>
    <x v="1"/>
    <s v="North America"/>
    <x v="5"/>
    <x v="2"/>
    <m/>
    <s v=""/>
    <s v=""/>
  </r>
  <r>
    <n v="947"/>
    <x v="34"/>
    <s v="Yakisoba Jalapeno Cheddar"/>
    <x v="3"/>
    <x v="1"/>
    <s v="North America"/>
    <x v="0"/>
    <x v="0"/>
    <m/>
    <s v=""/>
    <s v=""/>
  </r>
  <r>
    <n v="946"/>
    <x v="58"/>
    <s v="Dr. McDougall's Vegan Chicken Ramen"/>
    <x v="2"/>
    <x v="1"/>
    <s v="North America"/>
    <x v="14"/>
    <x v="1"/>
    <m/>
    <s v=""/>
    <s v=""/>
  </r>
  <r>
    <n v="938"/>
    <x v="34"/>
    <s v="Yakisoba Four Cheese"/>
    <x v="3"/>
    <x v="1"/>
    <s v="North America"/>
    <x v="10"/>
    <x v="2"/>
    <m/>
    <s v=""/>
    <s v=""/>
  </r>
  <r>
    <n v="936"/>
    <x v="21"/>
    <s v="Mild Tonkotsu"/>
    <x v="0"/>
    <x v="1"/>
    <s v="North America"/>
    <x v="3"/>
    <x v="0"/>
    <m/>
    <s v=""/>
    <s v=""/>
  </r>
  <r>
    <n v="935"/>
    <x v="34"/>
    <s v="Beef"/>
    <x v="2"/>
    <x v="1"/>
    <s v="North America"/>
    <x v="2"/>
    <x v="2"/>
    <m/>
    <s v=""/>
    <s v=""/>
  </r>
  <r>
    <n v="930"/>
    <x v="34"/>
    <s v="35% Less Sodium Beef"/>
    <x v="2"/>
    <x v="1"/>
    <s v="North America"/>
    <x v="2"/>
    <x v="2"/>
    <m/>
    <s v=""/>
    <s v=""/>
  </r>
  <r>
    <n v="924"/>
    <x v="34"/>
    <s v="35% Less Sodium Chicken"/>
    <x v="0"/>
    <x v="1"/>
    <s v="North America"/>
    <x v="10"/>
    <x v="2"/>
    <m/>
    <s v=""/>
    <s v=""/>
  </r>
  <r>
    <n v="920"/>
    <x v="29"/>
    <s v="Hot &amp; Spicy Udon"/>
    <x v="0"/>
    <x v="1"/>
    <s v="North America"/>
    <x v="4"/>
    <x v="2"/>
    <m/>
    <s v=""/>
    <s v=""/>
  </r>
  <r>
    <n v="919"/>
    <x v="34"/>
    <s v="35% Less Sodium Beef"/>
    <x v="0"/>
    <x v="1"/>
    <s v="North America"/>
    <x v="2"/>
    <x v="2"/>
    <m/>
    <s v=""/>
    <s v=""/>
  </r>
  <r>
    <n v="912"/>
    <x v="34"/>
    <s v="Instant Lunch Shrimp"/>
    <x v="2"/>
    <x v="1"/>
    <s v="North America"/>
    <x v="10"/>
    <x v="2"/>
    <m/>
    <s v=""/>
    <s v=""/>
  </r>
  <r>
    <n v="911"/>
    <x v="20"/>
    <s v="Top Ramen Cucharealo Habanero Shrimp"/>
    <x v="0"/>
    <x v="1"/>
    <s v="North America"/>
    <x v="10"/>
    <x v="2"/>
    <m/>
    <s v=""/>
    <s v=""/>
  </r>
  <r>
    <n v="908"/>
    <x v="40"/>
    <s v="Original Flavor"/>
    <x v="2"/>
    <x v="1"/>
    <s v="North America"/>
    <x v="2"/>
    <x v="2"/>
    <m/>
    <s v=""/>
    <s v=""/>
  </r>
  <r>
    <n v="905"/>
    <x v="55"/>
    <s v="Vegetable Instant Noodle soup"/>
    <x v="2"/>
    <x v="1"/>
    <s v="North America"/>
    <x v="5"/>
    <x v="2"/>
    <m/>
    <s v=""/>
    <s v=""/>
  </r>
  <r>
    <n v="900"/>
    <x v="34"/>
    <s v="Instant Lunch Chicken"/>
    <x v="2"/>
    <x v="1"/>
    <s v="North America"/>
    <x v="2"/>
    <x v="2"/>
    <m/>
    <s v=""/>
    <s v=""/>
  </r>
  <r>
    <n v="889"/>
    <x v="21"/>
    <s v="Rich Shoyu Ramen"/>
    <x v="0"/>
    <x v="1"/>
    <s v="North America"/>
    <x v="0"/>
    <x v="0"/>
    <m/>
    <s v=""/>
    <s v=""/>
  </r>
  <r>
    <n v="888"/>
    <x v="21"/>
    <s v="Nagasaki Sara Udon Chicken "/>
    <x v="0"/>
    <x v="1"/>
    <s v="North America"/>
    <x v="12"/>
    <x v="0"/>
    <m/>
    <s v=""/>
    <s v=""/>
  </r>
  <r>
    <n v="887"/>
    <x v="21"/>
    <s v="Cold Noodles With Lemon Soy¬†Dressing"/>
    <x v="0"/>
    <x v="1"/>
    <s v="North America"/>
    <x v="0"/>
    <x v="0"/>
    <m/>
    <s v=""/>
    <s v=""/>
  </r>
  <r>
    <n v="886"/>
    <x v="21"/>
    <s v="Tonkotsu-Shoyu Rich Pork Flavor¬†Ramen"/>
    <x v="0"/>
    <x v="1"/>
    <s v="North America"/>
    <x v="15"/>
    <x v="0"/>
    <m/>
    <s v=""/>
    <s v=""/>
  </r>
  <r>
    <n v="885"/>
    <x v="21"/>
    <s v="Miso Ramen Rich Sapporo Miso"/>
    <x v="0"/>
    <x v="1"/>
    <s v="North America"/>
    <x v="3"/>
    <x v="0"/>
    <m/>
    <s v=""/>
    <s v=""/>
  </r>
  <r>
    <n v="884"/>
    <x v="21"/>
    <s v="Miso Ramen - Mild"/>
    <x v="0"/>
    <x v="1"/>
    <s v="North America"/>
    <x v="0"/>
    <x v="0"/>
    <m/>
    <s v=""/>
    <s v=""/>
  </r>
  <r>
    <n v="883"/>
    <x v="21"/>
    <s v="Shio Ramen Seafood Mild"/>
    <x v="0"/>
    <x v="1"/>
    <s v="North America"/>
    <x v="17"/>
    <x v="0"/>
    <m/>
    <s v=""/>
    <s v=""/>
  </r>
  <r>
    <n v="878"/>
    <x v="20"/>
    <s v="Top Ramen Short Cuts Lime Chili"/>
    <x v="0"/>
    <x v="1"/>
    <s v="North America"/>
    <x v="10"/>
    <x v="2"/>
    <m/>
    <s v=""/>
    <s v=""/>
  </r>
  <r>
    <n v="877"/>
    <x v="19"/>
    <s v="Shin Bowl (New)"/>
    <x v="1"/>
    <x v="1"/>
    <s v="North America"/>
    <x v="12"/>
    <x v="0"/>
    <m/>
    <s v=""/>
    <s v=""/>
  </r>
  <r>
    <n v="872"/>
    <x v="19"/>
    <s v="Chapagetti"/>
    <x v="1"/>
    <x v="1"/>
    <s v="North America"/>
    <x v="3"/>
    <x v="0"/>
    <m/>
    <s v=""/>
    <s v=""/>
  </r>
  <r>
    <n v="862"/>
    <x v="20"/>
    <s v="Top Ramen Short Cuts Roast Chicken"/>
    <x v="0"/>
    <x v="1"/>
    <s v="North America"/>
    <x v="12"/>
    <x v="0"/>
    <m/>
    <s v=""/>
    <s v=""/>
  </r>
  <r>
    <n v="859"/>
    <x v="55"/>
    <s v="Imitation Chicken Vegetarian"/>
    <x v="2"/>
    <x v="1"/>
    <s v="North America"/>
    <x v="10"/>
    <x v="2"/>
    <m/>
    <s v=""/>
    <s v=""/>
  </r>
  <r>
    <n v="850"/>
    <x v="20"/>
    <s v="Top Ramen Short Cuts Chicken"/>
    <x v="0"/>
    <x v="1"/>
    <s v="North America"/>
    <x v="0"/>
    <x v="0"/>
    <m/>
    <s v=""/>
    <s v=""/>
  </r>
  <r>
    <n v="849"/>
    <x v="20"/>
    <s v="Top Ramen Cucharealo Tomato Chicken"/>
    <x v="0"/>
    <x v="1"/>
    <s v="North America"/>
    <x v="2"/>
    <x v="2"/>
    <m/>
    <s v=""/>
    <s v=""/>
  </r>
  <r>
    <n v="843"/>
    <x v="20"/>
    <s v="Top Ramen Short Cuts Beef"/>
    <x v="0"/>
    <x v="1"/>
    <s v="North America"/>
    <x v="2"/>
    <x v="2"/>
    <m/>
    <s v=""/>
    <s v=""/>
  </r>
  <r>
    <n v="837"/>
    <x v="20"/>
    <s v="Top Ramen Cucharealo Picante Chicken"/>
    <x v="0"/>
    <x v="1"/>
    <s v="North America"/>
    <x v="17"/>
    <x v="0"/>
    <m/>
    <s v=""/>
    <s v=""/>
  </r>
  <r>
    <n v="799"/>
    <x v="19"/>
    <s v="Bowl Noodle Savory Chicken (New)"/>
    <x v="1"/>
    <x v="1"/>
    <s v="North America"/>
    <x v="12"/>
    <x v="0"/>
    <m/>
    <s v=""/>
    <s v=""/>
  </r>
  <r>
    <n v="792"/>
    <x v="19"/>
    <s v="Bowl Noodle Spicy Chicken (New)"/>
    <x v="1"/>
    <x v="1"/>
    <s v="North America"/>
    <x v="17"/>
    <x v="0"/>
    <m/>
    <s v=""/>
    <s v=""/>
  </r>
  <r>
    <n v="783"/>
    <x v="20"/>
    <s v="Cup Noodles Salsa Picante Chicken"/>
    <x v="2"/>
    <x v="1"/>
    <s v="North America"/>
    <x v="4"/>
    <x v="2"/>
    <m/>
    <s v=""/>
    <s v=""/>
  </r>
  <r>
    <n v="782"/>
    <x v="19"/>
    <s v="Bowl Noodle Savory Shrimp (New)"/>
    <x v="1"/>
    <x v="1"/>
    <s v="North America"/>
    <x v="5"/>
    <x v="2"/>
    <m/>
    <s v=""/>
    <s v=""/>
  </r>
  <r>
    <n v="772"/>
    <x v="19"/>
    <s v="Bowl Noodle Hot &amp; Spicy Beef (New)"/>
    <x v="0"/>
    <x v="1"/>
    <s v="North America"/>
    <x v="2"/>
    <x v="2"/>
    <m/>
    <s v=""/>
    <s v=""/>
  </r>
  <r>
    <n v="769"/>
    <x v="20"/>
    <s v="Cup Noodles Shrimp Picante Style"/>
    <x v="2"/>
    <x v="1"/>
    <s v="North America"/>
    <x v="5"/>
    <x v="2"/>
    <m/>
    <s v=""/>
    <s v=""/>
  </r>
  <r>
    <n v="761"/>
    <x v="51"/>
    <s v="Garlic Vegetable Rice Noodle"/>
    <x v="0"/>
    <x v="1"/>
    <s v="North America"/>
    <x v="2"/>
    <x v="2"/>
    <m/>
    <s v=""/>
    <s v=""/>
  </r>
  <r>
    <n v="760"/>
    <x v="20"/>
    <s v="Big Cup Noodles Roast Chicken"/>
    <x v="2"/>
    <x v="1"/>
    <s v="North America"/>
    <x v="5"/>
    <x v="2"/>
    <m/>
    <s v=""/>
    <s v=""/>
  </r>
  <r>
    <n v="759"/>
    <x v="19"/>
    <s v="Bowl Noodle Savory Lobster (New)"/>
    <x v="1"/>
    <x v="1"/>
    <s v="North America"/>
    <x v="10"/>
    <x v="2"/>
    <m/>
    <s v=""/>
    <s v=""/>
  </r>
  <r>
    <n v="754"/>
    <x v="19"/>
    <s v="Ansungtangmyun (US Version)"/>
    <x v="0"/>
    <x v="1"/>
    <s v="North America"/>
    <x v="10"/>
    <x v="2"/>
    <m/>
    <s v=""/>
    <s v=""/>
  </r>
  <r>
    <n v="752"/>
    <x v="19"/>
    <s v="Bowl Noodle Savory Tempura Udon"/>
    <x v="1"/>
    <x v="1"/>
    <s v="North America"/>
    <x v="2"/>
    <x v="2"/>
    <m/>
    <s v=""/>
    <s v=""/>
  </r>
  <r>
    <n v="750"/>
    <x v="19"/>
    <s v="Bowl Noodle Spicy Kimchi (New)"/>
    <x v="1"/>
    <x v="1"/>
    <s v="North America"/>
    <x v="10"/>
    <x v="2"/>
    <m/>
    <s v=""/>
    <s v=""/>
  </r>
  <r>
    <n v="749"/>
    <x v="40"/>
    <s v="Chow Mein (New)"/>
    <x v="0"/>
    <x v="1"/>
    <s v="North America"/>
    <x v="3"/>
    <x v="0"/>
    <m/>
    <s v=""/>
    <s v=""/>
  </r>
  <r>
    <n v="748"/>
    <x v="59"/>
    <s v="Naengmyeon Combo"/>
    <x v="1"/>
    <x v="1"/>
    <s v="North America"/>
    <x v="10"/>
    <x v="2"/>
    <m/>
    <s v=""/>
    <s v=""/>
  </r>
  <r>
    <n v="747"/>
    <x v="20"/>
    <s v="Spoon-it Chicken"/>
    <x v="0"/>
    <x v="1"/>
    <s v="North America"/>
    <x v="2"/>
    <x v="2"/>
    <m/>
    <s v=""/>
    <s v=""/>
  </r>
  <r>
    <n v="736"/>
    <x v="34"/>
    <s v="Yakisoba Spicy Vegetable"/>
    <x v="3"/>
    <x v="1"/>
    <s v="North America"/>
    <x v="5"/>
    <x v="2"/>
    <m/>
    <s v=""/>
    <s v=""/>
  </r>
  <r>
    <n v="721"/>
    <x v="19"/>
    <s v="Bowl Noodle Savory Beef"/>
    <x v="1"/>
    <x v="1"/>
    <s v="North America"/>
    <x v="0"/>
    <x v="0"/>
    <m/>
    <s v=""/>
    <s v=""/>
  </r>
  <r>
    <n v="719"/>
    <x v="20"/>
    <s v="Spoon-it Beef"/>
    <x v="0"/>
    <x v="1"/>
    <s v="North America"/>
    <x v="5"/>
    <x v="2"/>
    <m/>
    <s v=""/>
    <s v=""/>
  </r>
  <r>
    <n v="717"/>
    <x v="20"/>
    <s v="Ramen Bowl Spicy Chicken"/>
    <x v="1"/>
    <x v="1"/>
    <s v="North America"/>
    <x v="5"/>
    <x v="2"/>
    <m/>
    <s v=""/>
    <s v=""/>
  </r>
  <r>
    <n v="713"/>
    <x v="20"/>
    <s v="Spoon-it Creamy Chicken"/>
    <x v="0"/>
    <x v="1"/>
    <s v="North America"/>
    <x v="0"/>
    <x v="0"/>
    <m/>
    <s v=""/>
    <s v=""/>
  </r>
  <r>
    <n v="709"/>
    <x v="20"/>
    <s v="Chow Mein Spicy Chicken"/>
    <x v="3"/>
    <x v="1"/>
    <s v="North America"/>
    <x v="5"/>
    <x v="2"/>
    <m/>
    <s v=""/>
    <s v=""/>
  </r>
  <r>
    <n v="704"/>
    <x v="20"/>
    <s v="Chow Mein Chinese Chicken Vegetable"/>
    <x v="3"/>
    <x v="1"/>
    <s v="North America"/>
    <x v="0"/>
    <x v="0"/>
    <m/>
    <s v=""/>
    <s v=""/>
  </r>
  <r>
    <n v="703"/>
    <x v="20"/>
    <s v="Spoon-it Rich Hearty Beef Stew"/>
    <x v="0"/>
    <x v="1"/>
    <s v="North America"/>
    <x v="2"/>
    <x v="2"/>
    <m/>
    <s v=""/>
    <s v=""/>
  </r>
  <r>
    <n v="701"/>
    <x v="20"/>
    <s v="Big Cup Noodles Lime Chili Shrimp"/>
    <x v="2"/>
    <x v="1"/>
    <s v="North America"/>
    <x v="0"/>
    <x v="0"/>
    <m/>
    <s v=""/>
    <s v=""/>
  </r>
  <r>
    <n v="699"/>
    <x v="20"/>
    <s v="Cup Noodles Salsa Picante Shrimp"/>
    <x v="2"/>
    <x v="1"/>
    <s v="North America"/>
    <x v="2"/>
    <x v="2"/>
    <m/>
    <s v=""/>
    <s v=""/>
  </r>
  <r>
    <n v="698"/>
    <x v="20"/>
    <s v="Chow Mein Orange Chicken"/>
    <x v="3"/>
    <x v="1"/>
    <s v="North America"/>
    <x v="0"/>
    <x v="0"/>
    <m/>
    <s v=""/>
    <s v=""/>
  </r>
  <r>
    <n v="697"/>
    <x v="20"/>
    <s v="Spoon-it Rich Hearty Savory Chicken"/>
    <x v="0"/>
    <x v="1"/>
    <s v="North America"/>
    <x v="5"/>
    <x v="2"/>
    <m/>
    <s v=""/>
    <s v=""/>
  </r>
  <r>
    <n v="696"/>
    <x v="20"/>
    <s v="Big Cup Noodles Spicy Chicken"/>
    <x v="2"/>
    <x v="1"/>
    <s v="North America"/>
    <x v="2"/>
    <x v="2"/>
    <m/>
    <s v=""/>
    <s v=""/>
  </r>
  <r>
    <n v="690"/>
    <x v="34"/>
    <s v="Yakisoba Savory Soy Sauce"/>
    <x v="3"/>
    <x v="1"/>
    <s v="North America"/>
    <x v="10"/>
    <x v="2"/>
    <m/>
    <s v=""/>
    <s v=""/>
  </r>
  <r>
    <n v="667"/>
    <x v="20"/>
    <s v="Ramen Bowl Kimchi"/>
    <x v="1"/>
    <x v="1"/>
    <s v="North America"/>
    <x v="4"/>
    <x v="2"/>
    <m/>
    <s v=""/>
    <s v=""/>
  </r>
  <r>
    <n v="664"/>
    <x v="51"/>
    <s v="Bangkok Curry Rice Noodle"/>
    <x v="0"/>
    <x v="1"/>
    <s v="North America"/>
    <x v="9"/>
    <x v="2"/>
    <m/>
    <s v=""/>
    <s v=""/>
  </r>
  <r>
    <n v="659"/>
    <x v="20"/>
    <s v="Ramen Bowl Spicy Shrimp"/>
    <x v="1"/>
    <x v="1"/>
    <s v="North America"/>
    <x v="4"/>
    <x v="2"/>
    <m/>
    <s v=""/>
    <s v=""/>
  </r>
  <r>
    <n v="656"/>
    <x v="20"/>
    <s v="Ramen Bowl Hot &amp; Spicy"/>
    <x v="1"/>
    <x v="1"/>
    <s v="North America"/>
    <x v="10"/>
    <x v="2"/>
    <m/>
    <s v=""/>
    <s v=""/>
  </r>
  <r>
    <n v="612"/>
    <x v="34"/>
    <s v="Yakisoba Spicy Chicken"/>
    <x v="3"/>
    <x v="1"/>
    <s v="North America"/>
    <x v="14"/>
    <x v="1"/>
    <m/>
    <s v=""/>
    <s v=""/>
  </r>
  <r>
    <n v="600"/>
    <x v="34"/>
    <s v="Ramen Noodle Soup Beef"/>
    <x v="0"/>
    <x v="1"/>
    <s v="North America"/>
    <x v="5"/>
    <x v="2"/>
    <m/>
    <s v=""/>
    <s v=""/>
  </r>
  <r>
    <n v="596"/>
    <x v="51"/>
    <s v="Lemongrass Chili Rice Noodle"/>
    <x v="0"/>
    <x v="1"/>
    <s v="North America"/>
    <x v="8"/>
    <x v="1"/>
    <m/>
    <s v=""/>
    <s v=""/>
  </r>
  <r>
    <n v="595"/>
    <x v="51"/>
    <s v="Spring Onion Rice Noodle"/>
    <x v="0"/>
    <x v="1"/>
    <s v="North America"/>
    <x v="10"/>
    <x v="2"/>
    <m/>
    <s v=""/>
    <s v=""/>
  </r>
  <r>
    <n v="582"/>
    <x v="36"/>
    <s v="Tofu &amp; Miso"/>
    <x v="0"/>
    <x v="1"/>
    <s v="North America"/>
    <x v="6"/>
    <x v="1"/>
    <m/>
    <s v=""/>
    <s v=""/>
  </r>
  <r>
    <n v="581"/>
    <x v="36"/>
    <s v="Mushroom"/>
    <x v="0"/>
    <x v="1"/>
    <s v="North America"/>
    <x v="9"/>
    <x v="2"/>
    <m/>
    <s v=""/>
    <s v=""/>
  </r>
  <r>
    <n v="572"/>
    <x v="34"/>
    <s v="Yakisoba Tomato Basil"/>
    <x v="3"/>
    <x v="1"/>
    <s v="North America"/>
    <x v="4"/>
    <x v="2"/>
    <m/>
    <s v=""/>
    <s v=""/>
  </r>
  <r>
    <n v="540"/>
    <x v="20"/>
    <s v="Top Ramen Chicken"/>
    <x v="0"/>
    <x v="1"/>
    <s v="North America"/>
    <x v="5"/>
    <x v="2"/>
    <m/>
    <s v=""/>
    <s v=""/>
  </r>
  <r>
    <n v="529"/>
    <x v="40"/>
    <s v="Hot Spicy Chicken"/>
    <x v="0"/>
    <x v="1"/>
    <s v="North America"/>
    <x v="11"/>
    <x v="1"/>
    <m/>
    <s v=""/>
    <s v=""/>
  </r>
  <r>
    <n v="526"/>
    <x v="46"/>
    <s v="Soy Ginger Ramen"/>
    <x v="0"/>
    <x v="1"/>
    <s v="North America"/>
    <x v="8"/>
    <x v="1"/>
    <m/>
    <s v=""/>
    <s v=""/>
  </r>
  <r>
    <n v="517"/>
    <x v="51"/>
    <s v="Thai Ginger Rice Noodle"/>
    <x v="0"/>
    <x v="1"/>
    <s v="North America"/>
    <x v="12"/>
    <x v="0"/>
    <m/>
    <s v=""/>
    <s v=""/>
  </r>
  <r>
    <n v="515"/>
    <x v="55"/>
    <s v="Imitation Beef"/>
    <x v="2"/>
    <x v="1"/>
    <s v="North America"/>
    <x v="6"/>
    <x v="1"/>
    <m/>
    <s v=""/>
    <s v=""/>
  </r>
  <r>
    <n v="500"/>
    <x v="60"/>
    <s v="Soupless Ramen Shallot Teriyaki"/>
    <x v="0"/>
    <x v="1"/>
    <s v="North America"/>
    <x v="6"/>
    <x v="1"/>
    <m/>
    <s v=""/>
    <s v=""/>
  </r>
  <r>
    <n v="496"/>
    <x v="34"/>
    <s v="Yakisoba Shrimp"/>
    <x v="3"/>
    <x v="1"/>
    <s v="North America"/>
    <x v="9"/>
    <x v="2"/>
    <m/>
    <s v=""/>
    <s v=""/>
  </r>
  <r>
    <n v="481"/>
    <x v="51"/>
    <s v="Roasted Garlic Rice Noodle"/>
    <x v="1"/>
    <x v="1"/>
    <s v="North America"/>
    <x v="10"/>
    <x v="2"/>
    <m/>
    <s v=""/>
    <s v=""/>
  </r>
  <r>
    <n v="480"/>
    <x v="51"/>
    <s v="Mushroom Rice Noodle"/>
    <x v="1"/>
    <x v="1"/>
    <s v="North America"/>
    <x v="5"/>
    <x v="2"/>
    <m/>
    <s v=""/>
    <s v=""/>
  </r>
  <r>
    <n v="476"/>
    <x v="46"/>
    <s v="Teriyaki Noodle"/>
    <x v="1"/>
    <x v="1"/>
    <s v="North America"/>
    <x v="14"/>
    <x v="1"/>
    <m/>
    <s v=""/>
    <s v=""/>
  </r>
  <r>
    <n v="475"/>
    <x v="32"/>
    <s v="Vegetable"/>
    <x v="0"/>
    <x v="1"/>
    <s v="North America"/>
    <x v="5"/>
    <x v="2"/>
    <m/>
    <s v=""/>
    <s v=""/>
  </r>
  <r>
    <n v="472"/>
    <x v="51"/>
    <s v="Spring Onion Rice Noodle"/>
    <x v="1"/>
    <x v="1"/>
    <s v="North America"/>
    <x v="10"/>
    <x v="2"/>
    <m/>
    <s v=""/>
    <s v=""/>
  </r>
  <r>
    <n v="471"/>
    <x v="36"/>
    <s v="Lemongrass ginger"/>
    <x v="0"/>
    <x v="1"/>
    <s v="North America"/>
    <x v="8"/>
    <x v="1"/>
    <m/>
    <s v=""/>
    <s v=""/>
  </r>
  <r>
    <n v="470"/>
    <x v="34"/>
    <s v="Ramen Noodle Soup Chicken Mushroom"/>
    <x v="0"/>
    <x v="1"/>
    <s v="North America"/>
    <x v="5"/>
    <x v="2"/>
    <m/>
    <s v=""/>
    <s v=""/>
  </r>
  <r>
    <n v="469"/>
    <x v="32"/>
    <s v="Chicken"/>
    <x v="0"/>
    <x v="1"/>
    <s v="North America"/>
    <x v="2"/>
    <x v="2"/>
    <m/>
    <s v=""/>
    <s v=""/>
  </r>
  <r>
    <n v="465"/>
    <x v="20"/>
    <s v="Souper Meal Picante Shrimp Hot Spicy"/>
    <x v="1"/>
    <x v="1"/>
    <s v="North America"/>
    <x v="9"/>
    <x v="2"/>
    <m/>
    <s v=""/>
    <s v=""/>
  </r>
  <r>
    <n v="462"/>
    <x v="20"/>
    <s v="Top Ramen Shrimp"/>
    <x v="0"/>
    <x v="1"/>
    <s v="North America"/>
    <x v="2"/>
    <x v="2"/>
    <m/>
    <s v=""/>
    <s v=""/>
  </r>
  <r>
    <n v="459"/>
    <x v="32"/>
    <s v="Imitation Chicken Vegetarian"/>
    <x v="0"/>
    <x v="1"/>
    <s v="North America"/>
    <x v="4"/>
    <x v="2"/>
    <m/>
    <s v=""/>
    <s v=""/>
  </r>
  <r>
    <n v="454"/>
    <x v="36"/>
    <s v="Asian Vegetable"/>
    <x v="0"/>
    <x v="1"/>
    <s v="North America"/>
    <x v="8"/>
    <x v="1"/>
    <m/>
    <s v=""/>
    <s v=""/>
  </r>
  <r>
    <n v="453"/>
    <x v="19"/>
    <s v="Bowl Noodle Savory Chicken"/>
    <x v="1"/>
    <x v="1"/>
    <s v="North America"/>
    <x v="5"/>
    <x v="2"/>
    <m/>
    <s v=""/>
    <s v=""/>
  </r>
  <r>
    <n v="440"/>
    <x v="34"/>
    <s v="Instant Lunch Hot spicy Beef"/>
    <x v="2"/>
    <x v="1"/>
    <s v="North America"/>
    <x v="9"/>
    <x v="2"/>
    <m/>
    <s v=""/>
    <s v=""/>
  </r>
  <r>
    <n v="425"/>
    <x v="61"/>
    <s v="Shrimp Udon"/>
    <x v="0"/>
    <x v="1"/>
    <s v="North America"/>
    <x v="17"/>
    <x v="0"/>
    <m/>
    <s v=""/>
    <s v=""/>
  </r>
  <r>
    <n v="420"/>
    <x v="40"/>
    <s v="Beef Flavorc"/>
    <x v="2"/>
    <x v="1"/>
    <s v="North America"/>
    <x v="2"/>
    <x v="2"/>
    <m/>
    <s v=""/>
    <s v=""/>
  </r>
  <r>
    <n v="416"/>
    <x v="40"/>
    <s v="Chicken Flavor"/>
    <x v="2"/>
    <x v="1"/>
    <s v="North America"/>
    <x v="10"/>
    <x v="2"/>
    <m/>
    <s v=""/>
    <s v=""/>
  </r>
  <r>
    <n v="403"/>
    <x v="34"/>
    <s v="Instant Lunch Lime Flavor with Shrimp"/>
    <x v="2"/>
    <x v="1"/>
    <s v="North America"/>
    <x v="13"/>
    <x v="1"/>
    <m/>
    <s v=""/>
    <s v=""/>
  </r>
  <r>
    <n v="388"/>
    <x v="34"/>
    <s v="Instant Lunch Cheddar Cheese"/>
    <x v="2"/>
    <x v="1"/>
    <s v="North America"/>
    <x v="9"/>
    <x v="2"/>
    <m/>
    <s v=""/>
    <s v=""/>
  </r>
  <r>
    <n v="387"/>
    <x v="20"/>
    <s v="Bowl Noodles Rich &amp; Savory Beef"/>
    <x v="1"/>
    <x v="1"/>
    <s v="North America"/>
    <x v="10"/>
    <x v="2"/>
    <m/>
    <s v=""/>
    <s v=""/>
  </r>
  <r>
    <n v="386"/>
    <x v="62"/>
    <s v="Fu Chang Chinese Noodle Company Pork Seafood"/>
    <x v="3"/>
    <x v="1"/>
    <s v="North America"/>
    <x v="1"/>
    <x v="1"/>
    <m/>
    <s v=""/>
    <s v=""/>
  </r>
  <r>
    <n v="379"/>
    <x v="20"/>
    <s v="Chow Mein Thai Peanut"/>
    <x v="3"/>
    <x v="1"/>
    <s v="North America"/>
    <x v="6"/>
    <x v="1"/>
    <m/>
    <s v=""/>
    <s v=""/>
  </r>
  <r>
    <n v="373"/>
    <x v="20"/>
    <s v="Cup Noodles Chicken Vegetable"/>
    <x v="2"/>
    <x v="1"/>
    <s v="North America"/>
    <x v="9"/>
    <x v="2"/>
    <m/>
    <s v=""/>
    <s v=""/>
  </r>
  <r>
    <n v="371"/>
    <x v="20"/>
    <s v="Chow Noodles Alfredo"/>
    <x v="3"/>
    <x v="1"/>
    <s v="North America"/>
    <x v="10"/>
    <x v="2"/>
    <m/>
    <s v=""/>
    <s v=""/>
  </r>
  <r>
    <n v="361"/>
    <x v="63"/>
    <s v="Vermicelli With Pork"/>
    <x v="1"/>
    <x v="1"/>
    <s v="North America"/>
    <x v="7"/>
    <x v="1"/>
    <m/>
    <s v=""/>
    <s v=""/>
  </r>
  <r>
    <n v="360"/>
    <x v="20"/>
    <s v="Cup Noodles Hearty Chicken"/>
    <x v="2"/>
    <x v="1"/>
    <s v="North America"/>
    <x v="6"/>
    <x v="1"/>
    <m/>
    <s v=""/>
    <s v=""/>
  </r>
  <r>
    <n v="359"/>
    <x v="20"/>
    <s v="Bowl Noodles Hot &amp; Spicy Beef"/>
    <x v="1"/>
    <x v="1"/>
    <s v="North America"/>
    <x v="10"/>
    <x v="2"/>
    <m/>
    <s v=""/>
    <s v=""/>
  </r>
  <r>
    <n v="356"/>
    <x v="34"/>
    <s v="Ramen Noodle Soup Roast Beef"/>
    <x v="0"/>
    <x v="1"/>
    <s v="North America"/>
    <x v="9"/>
    <x v="2"/>
    <m/>
    <s v=""/>
    <s v=""/>
  </r>
  <r>
    <n v="354"/>
    <x v="34"/>
    <s v="Instant Lunch Chicken 35% Less Sodium"/>
    <x v="2"/>
    <x v="1"/>
    <s v="North America"/>
    <x v="4"/>
    <x v="2"/>
    <m/>
    <s v=""/>
    <s v=""/>
  </r>
  <r>
    <n v="353"/>
    <x v="20"/>
    <s v="Top Ramen Chili"/>
    <x v="0"/>
    <x v="1"/>
    <s v="North America"/>
    <x v="5"/>
    <x v="2"/>
    <m/>
    <s v=""/>
    <s v=""/>
  </r>
  <r>
    <n v="352"/>
    <x v="34"/>
    <s v="Ramen Noodle Soup Chili"/>
    <x v="0"/>
    <x v="1"/>
    <s v="North America"/>
    <x v="9"/>
    <x v="2"/>
    <m/>
    <s v=""/>
    <s v=""/>
  </r>
  <r>
    <n v="351"/>
    <x v="20"/>
    <s v="Top Ramen Picante Beef"/>
    <x v="0"/>
    <x v="1"/>
    <s v="North America"/>
    <x v="4"/>
    <x v="2"/>
    <m/>
    <s v=""/>
    <s v=""/>
  </r>
  <r>
    <n v="350"/>
    <x v="20"/>
    <s v="Souper Meal Tomato Garlic Shrimp"/>
    <x v="1"/>
    <x v="1"/>
    <s v="North America"/>
    <x v="2"/>
    <x v="2"/>
    <m/>
    <s v=""/>
    <s v=""/>
  </r>
  <r>
    <n v="338"/>
    <x v="20"/>
    <s v="Big Cup Noodles Chicken"/>
    <x v="2"/>
    <x v="1"/>
    <s v="North America"/>
    <x v="13"/>
    <x v="1"/>
    <m/>
    <s v=""/>
    <s v=""/>
  </r>
  <r>
    <n v="337"/>
    <x v="34"/>
    <s v="Ramen Noodle Soup Creamy Chicken"/>
    <x v="0"/>
    <x v="1"/>
    <s v="North America"/>
    <x v="3"/>
    <x v="0"/>
    <m/>
    <s v=""/>
    <s v=""/>
  </r>
  <r>
    <n v="334"/>
    <x v="20"/>
    <s v="Big Cup Noodles Beef"/>
    <x v="2"/>
    <x v="1"/>
    <s v="North America"/>
    <x v="21"/>
    <x v="1"/>
    <m/>
    <s v=""/>
    <s v=""/>
  </r>
  <r>
    <n v="333"/>
    <x v="20"/>
    <s v="Big Cup Noodles Shrimp"/>
    <x v="2"/>
    <x v="1"/>
    <s v="North America"/>
    <x v="13"/>
    <x v="1"/>
    <m/>
    <s v=""/>
    <s v=""/>
  </r>
  <r>
    <n v="320"/>
    <x v="34"/>
    <s v="Ramen Noodle Soup Spicy Picante Chicken"/>
    <x v="0"/>
    <x v="1"/>
    <s v="North America"/>
    <x v="0"/>
    <x v="0"/>
    <m/>
    <s v=""/>
    <s v=""/>
  </r>
  <r>
    <n v="319"/>
    <x v="34"/>
    <s v="Ramen Noodle Soup Oriental"/>
    <x v="0"/>
    <x v="1"/>
    <s v="North America"/>
    <x v="10"/>
    <x v="2"/>
    <m/>
    <s v=""/>
    <s v=""/>
  </r>
  <r>
    <n v="317"/>
    <x v="34"/>
    <s v="Yakisoba Cheddar Cheese"/>
    <x v="3"/>
    <x v="1"/>
    <s v="North America"/>
    <x v="0"/>
    <x v="0"/>
    <m/>
    <s v=""/>
    <s v=""/>
  </r>
  <r>
    <n v="308"/>
    <x v="55"/>
    <s v="Imitation Chicken Vegetarian"/>
    <x v="0"/>
    <x v="1"/>
    <s v="North America"/>
    <x v="10"/>
    <x v="2"/>
    <m/>
    <s v=""/>
    <s v=""/>
  </r>
  <r>
    <n v="278"/>
    <x v="38"/>
    <s v="Udon Mushroom"/>
    <x v="0"/>
    <x v="1"/>
    <s v="North America"/>
    <x v="4"/>
    <x v="2"/>
    <m/>
    <s v=""/>
    <s v=""/>
  </r>
  <r>
    <n v="268"/>
    <x v="20"/>
    <s v="Cup Noodles Spicy Chile Chicken"/>
    <x v="2"/>
    <x v="1"/>
    <s v="North America"/>
    <x v="2"/>
    <x v="2"/>
    <m/>
    <s v=""/>
    <s v=""/>
  </r>
  <r>
    <n v="265"/>
    <x v="20"/>
    <s v="Cup Noodles Chicken"/>
    <x v="2"/>
    <x v="1"/>
    <s v="North America"/>
    <x v="2"/>
    <x v="2"/>
    <m/>
    <s v=""/>
    <s v=""/>
  </r>
  <r>
    <n v="263"/>
    <x v="20"/>
    <s v="Chow Mein Kung Pao Chicken"/>
    <x v="3"/>
    <x v="1"/>
    <s v="North America"/>
    <x v="8"/>
    <x v="1"/>
    <m/>
    <s v=""/>
    <s v=""/>
  </r>
  <r>
    <n v="260"/>
    <x v="20"/>
    <s v="Bowl Noodles Hot &amp; Spicy Shrimp"/>
    <x v="1"/>
    <x v="1"/>
    <s v="North America"/>
    <x v="2"/>
    <x v="2"/>
    <m/>
    <s v=""/>
    <s v=""/>
  </r>
  <r>
    <n v="257"/>
    <x v="20"/>
    <s v="Cup Noodles Beef"/>
    <x v="2"/>
    <x v="1"/>
    <s v="North America"/>
    <x v="2"/>
    <x v="2"/>
    <m/>
    <s v=""/>
    <s v=""/>
  </r>
  <r>
    <n v="256"/>
    <x v="20"/>
    <s v="Cup Noodles Shrimp"/>
    <x v="2"/>
    <x v="1"/>
    <s v="North America"/>
    <x v="2"/>
    <x v="2"/>
    <m/>
    <s v=""/>
    <s v=""/>
  </r>
  <r>
    <n v="253"/>
    <x v="19"/>
    <s v="Bowl Noodle Spicy Seafood"/>
    <x v="1"/>
    <x v="1"/>
    <s v="North America"/>
    <x v="12"/>
    <x v="0"/>
    <m/>
    <s v=""/>
    <s v=""/>
  </r>
  <r>
    <n v="252"/>
    <x v="38"/>
    <s v="Udon Chicken"/>
    <x v="0"/>
    <x v="1"/>
    <s v="North America"/>
    <x v="5"/>
    <x v="2"/>
    <m/>
    <s v=""/>
    <s v=""/>
  </r>
  <r>
    <n v="251"/>
    <x v="38"/>
    <s v="Udon Beef"/>
    <x v="0"/>
    <x v="1"/>
    <s v="North America"/>
    <x v="2"/>
    <x v="2"/>
    <m/>
    <s v=""/>
    <s v=""/>
  </r>
  <r>
    <n v="241"/>
    <x v="64"/>
    <s v="Hot &amp; Spicy Beef"/>
    <x v="3"/>
    <x v="1"/>
    <s v="North America"/>
    <x v="0"/>
    <x v="0"/>
    <m/>
    <s v=""/>
    <s v=""/>
  </r>
  <r>
    <n v="238"/>
    <x v="20"/>
    <s v="Chow Noodles Tomato Basil"/>
    <x v="1"/>
    <x v="1"/>
    <s v="North America"/>
    <x v="0"/>
    <x v="0"/>
    <m/>
    <s v=""/>
    <s v=""/>
  </r>
  <r>
    <n v="226"/>
    <x v="20"/>
    <s v="Chow Noodles Cheddar Cheese"/>
    <x v="3"/>
    <x v="1"/>
    <s v="North America"/>
    <x v="0"/>
    <x v="0"/>
    <m/>
    <s v=""/>
    <s v=""/>
  </r>
  <r>
    <n v="221"/>
    <x v="20"/>
    <s v="Top Ramen Beef"/>
    <x v="0"/>
    <x v="1"/>
    <s v="North America"/>
    <x v="10"/>
    <x v="2"/>
    <m/>
    <s v=""/>
    <s v=""/>
  </r>
  <r>
    <n v="218"/>
    <x v="34"/>
    <s v="Yakisoba Sweet &amp; Sour Chicken"/>
    <x v="3"/>
    <x v="1"/>
    <s v="North America"/>
    <x v="4"/>
    <x v="2"/>
    <m/>
    <s v=""/>
    <s v=""/>
  </r>
  <r>
    <n v="216"/>
    <x v="34"/>
    <s v="Instant Lunch Roast Chicken Flavor"/>
    <x v="2"/>
    <x v="1"/>
    <s v="North America"/>
    <x v="9"/>
    <x v="2"/>
    <m/>
    <s v=""/>
    <s v=""/>
  </r>
  <r>
    <n v="215"/>
    <x v="34"/>
    <s v="Yakisoba Chicken"/>
    <x v="3"/>
    <x v="1"/>
    <s v="North America"/>
    <x v="11"/>
    <x v="1"/>
    <m/>
    <s v=""/>
    <s v=""/>
  </r>
  <r>
    <n v="214"/>
    <x v="34"/>
    <s v="Yakisoba Teriyaki Beef"/>
    <x v="3"/>
    <x v="1"/>
    <s v="North America"/>
    <x v="11"/>
    <x v="1"/>
    <m/>
    <s v=""/>
    <s v=""/>
  </r>
  <r>
    <n v="213"/>
    <x v="19"/>
    <s v="Bowl Noodle Spicy Artificial Lobster"/>
    <x v="1"/>
    <x v="1"/>
    <s v="North America"/>
    <x v="0"/>
    <x v="0"/>
    <m/>
    <s v=""/>
    <s v=""/>
  </r>
  <r>
    <n v="212"/>
    <x v="34"/>
    <s v="Yakisoba Roast chicken"/>
    <x v="3"/>
    <x v="1"/>
    <s v="North America"/>
    <x v="10"/>
    <x v="2"/>
    <m/>
    <s v=""/>
    <s v=""/>
  </r>
  <r>
    <n v="209"/>
    <x v="20"/>
    <s v="Souper Meal Beef Flavor Minestrone"/>
    <x v="1"/>
    <x v="1"/>
    <s v="North America"/>
    <x v="4"/>
    <x v="2"/>
    <m/>
    <s v=""/>
    <s v=""/>
  </r>
  <r>
    <n v="207"/>
    <x v="40"/>
    <s v="Original Flavor"/>
    <x v="0"/>
    <x v="1"/>
    <s v="North America"/>
    <x v="2"/>
    <x v="2"/>
    <m/>
    <s v=""/>
    <s v=""/>
  </r>
  <r>
    <n v="205"/>
    <x v="40"/>
    <s v="Beef Flavor"/>
    <x v="0"/>
    <x v="1"/>
    <s v="North America"/>
    <x v="17"/>
    <x v="0"/>
    <m/>
    <s v=""/>
    <s v=""/>
  </r>
  <r>
    <n v="204"/>
    <x v="19"/>
    <s v="Bowl Noodle Spicy Shrimp"/>
    <x v="1"/>
    <x v="1"/>
    <s v="North America"/>
    <x v="6"/>
    <x v="1"/>
    <m/>
    <s v=""/>
    <s v=""/>
  </r>
  <r>
    <n v="203"/>
    <x v="19"/>
    <s v="Bowl Noodle Hot &amp; Spicy"/>
    <x v="1"/>
    <x v="1"/>
    <s v="North America"/>
    <x v="11"/>
    <x v="1"/>
    <m/>
    <s v=""/>
    <s v=""/>
  </r>
  <r>
    <n v="202"/>
    <x v="19"/>
    <s v="Bowl Noodle Cabbage Kimchi"/>
    <x v="1"/>
    <x v="1"/>
    <s v="North America"/>
    <x v="5"/>
    <x v="2"/>
    <m/>
    <s v=""/>
    <s v=""/>
  </r>
  <r>
    <n v="201"/>
    <x v="19"/>
    <s v="Bowl Noodle Beef Ginger"/>
    <x v="1"/>
    <x v="1"/>
    <s v="North America"/>
    <x v="2"/>
    <x v="2"/>
    <m/>
    <s v=""/>
    <s v=""/>
  </r>
  <r>
    <n v="200"/>
    <x v="19"/>
    <s v="Bowl Noodle Spicy Chicken"/>
    <x v="1"/>
    <x v="1"/>
    <s v="North America"/>
    <x v="17"/>
    <x v="0"/>
    <m/>
    <s v=""/>
    <s v=""/>
  </r>
  <r>
    <n v="183"/>
    <x v="20"/>
    <s v="Bowl Noodles Hot &amp; Spicy Chicken"/>
    <x v="1"/>
    <x v="1"/>
    <s v="North America"/>
    <x v="11"/>
    <x v="1"/>
    <m/>
    <s v=""/>
    <s v=""/>
  </r>
  <r>
    <n v="166"/>
    <x v="36"/>
    <s v="Garlic Pepper"/>
    <x v="0"/>
    <x v="1"/>
    <s v="North America"/>
    <x v="5"/>
    <x v="2"/>
    <m/>
    <s v=""/>
    <s v=""/>
  </r>
  <r>
    <n v="156"/>
    <x v="34"/>
    <s v="Instant Lunch Cajun Style With chili Piquin Shrimp"/>
    <x v="2"/>
    <x v="1"/>
    <s v="North America"/>
    <x v="4"/>
    <x v="2"/>
    <m/>
    <s v=""/>
    <s v=""/>
  </r>
  <r>
    <n v="154"/>
    <x v="20"/>
    <s v="Creamy Chicken"/>
    <x v="2"/>
    <x v="1"/>
    <s v="North America"/>
    <x v="14"/>
    <x v="1"/>
    <m/>
    <s v=""/>
    <s v=""/>
  </r>
  <r>
    <n v="153"/>
    <x v="40"/>
    <s v="Shrimp Flavor"/>
    <x v="2"/>
    <x v="1"/>
    <s v="North America"/>
    <x v="14"/>
    <x v="1"/>
    <m/>
    <s v=""/>
    <s v=""/>
  </r>
  <r>
    <n v="142"/>
    <x v="20"/>
    <s v="Chow Mein Teriyaki Beef"/>
    <x v="3"/>
    <x v="1"/>
    <s v="North America"/>
    <x v="17"/>
    <x v="0"/>
    <m/>
    <s v=""/>
    <s v=""/>
  </r>
  <r>
    <n v="137"/>
    <x v="20"/>
    <s v="Bowl Noodles Rich &amp; Savory Chicken"/>
    <x v="1"/>
    <x v="1"/>
    <s v="North America"/>
    <x v="14"/>
    <x v="1"/>
    <m/>
    <s v=""/>
    <s v=""/>
  </r>
  <r>
    <n v="108"/>
    <x v="65"/>
    <s v="Ramen"/>
    <x v="1"/>
    <x v="1"/>
    <s v="North America"/>
    <x v="11"/>
    <x v="1"/>
    <m/>
    <s v=""/>
    <s v=""/>
  </r>
  <r>
    <n v="104"/>
    <x v="34"/>
    <s v="Ramen Noodle Soup Chicken"/>
    <x v="0"/>
    <x v="1"/>
    <s v="North America"/>
    <x v="11"/>
    <x v="1"/>
    <m/>
    <s v=""/>
    <s v=""/>
  </r>
  <r>
    <n v="67"/>
    <x v="34"/>
    <s v="Ramen Noodle Soup Lime Chili Shrimp"/>
    <x v="0"/>
    <x v="1"/>
    <s v="North America"/>
    <x v="11"/>
    <x v="1"/>
    <m/>
    <s v=""/>
    <s v=""/>
  </r>
  <r>
    <n v="66"/>
    <x v="34"/>
    <s v="Ramen Noodle Soup Pork"/>
    <x v="0"/>
    <x v="1"/>
    <s v="North America"/>
    <x v="0"/>
    <x v="0"/>
    <m/>
    <s v=""/>
    <s v=""/>
  </r>
  <r>
    <n v="65"/>
    <x v="20"/>
    <s v="Top Ramen Oriental"/>
    <x v="0"/>
    <x v="1"/>
    <s v="North America"/>
    <x v="6"/>
    <x v="1"/>
    <m/>
    <s v=""/>
    <s v=""/>
  </r>
  <r>
    <n v="64"/>
    <x v="40"/>
    <s v="Chicken Flavor"/>
    <x v="0"/>
    <x v="1"/>
    <s v="North America"/>
    <x v="2"/>
    <x v="2"/>
    <m/>
    <s v=""/>
    <s v=""/>
  </r>
  <r>
    <n v="34"/>
    <x v="34"/>
    <s v="Ramen Noodle Soup Shrimp"/>
    <x v="0"/>
    <x v="1"/>
    <s v="North America"/>
    <x v="11"/>
    <x v="1"/>
    <m/>
    <s v=""/>
    <s v=""/>
  </r>
  <r>
    <n v="23"/>
    <x v="20"/>
    <s v="Top Ramen Creamy Chicken"/>
    <x v="0"/>
    <x v="1"/>
    <s v="North America"/>
    <x v="17"/>
    <x v="0"/>
    <m/>
    <s v=""/>
    <s v=""/>
  </r>
  <r>
    <n v="10"/>
    <x v="66"/>
    <s v="Vegetable Beef"/>
    <x v="0"/>
    <x v="1"/>
    <s v="North America"/>
    <x v="8"/>
    <x v="1"/>
    <m/>
    <s v=""/>
    <s v=""/>
  </r>
  <r>
    <n v="1"/>
    <x v="67"/>
    <s v="Miso Ramen"/>
    <x v="0"/>
    <x v="1"/>
    <s v="North America"/>
    <x v="16"/>
    <x v="1"/>
    <m/>
    <s v=""/>
    <s v=""/>
  </r>
  <r>
    <n v="2007"/>
    <x v="19"/>
    <s v="Rice Fettucini Alfredo"/>
    <x v="0"/>
    <x v="1"/>
    <s v="North America"/>
    <x v="10"/>
    <x v="2"/>
    <m/>
    <s v=""/>
    <s v=""/>
  </r>
  <r>
    <n v="2201"/>
    <x v="68"/>
    <s v="Penang Chicken Curry Laksa"/>
    <x v="2"/>
    <x v="2"/>
    <s v="Europe"/>
    <x v="11"/>
    <x v="1"/>
    <m/>
    <s v=""/>
    <s v=""/>
  </r>
  <r>
    <n v="2200"/>
    <x v="68"/>
    <s v="Shaolin Monk Vegetables"/>
    <x v="2"/>
    <x v="2"/>
    <s v="Europe"/>
    <x v="3"/>
    <x v="0"/>
    <m/>
    <s v=""/>
    <s v=""/>
  </r>
  <r>
    <n v="2199"/>
    <x v="68"/>
    <s v="Tai Chi Chicken"/>
    <x v="2"/>
    <x v="2"/>
    <s v="Europe"/>
    <x v="4"/>
    <x v="2"/>
    <m/>
    <s v=""/>
    <s v=""/>
  </r>
  <r>
    <n v="2198"/>
    <x v="68"/>
    <s v="Dragon Fire Mushroom"/>
    <x v="2"/>
    <x v="2"/>
    <s v="Europe"/>
    <x v="4"/>
    <x v="2"/>
    <m/>
    <s v=""/>
    <s v=""/>
  </r>
  <r>
    <n v="2197"/>
    <x v="68"/>
    <s v="Hong Kong Street Beef"/>
    <x v="2"/>
    <x v="2"/>
    <s v="Europe"/>
    <x v="3"/>
    <x v="0"/>
    <m/>
    <s v=""/>
    <s v=""/>
  </r>
  <r>
    <n v="2196"/>
    <x v="68"/>
    <s v="Warrior Fighting Shrimp"/>
    <x v="2"/>
    <x v="2"/>
    <s v="Europe"/>
    <x v="22"/>
    <x v="2"/>
    <m/>
    <s v=""/>
    <s v=""/>
  </r>
  <r>
    <n v="2025"/>
    <x v="69"/>
    <s v="Authentic Street Food Chow Mein"/>
    <x v="2"/>
    <x v="2"/>
    <s v="Europe"/>
    <x v="11"/>
    <x v="1"/>
    <m/>
    <s v=""/>
    <s v=""/>
  </r>
  <r>
    <n v="2024"/>
    <x v="69"/>
    <s v="Authentic Street Food Pad Thai"/>
    <x v="2"/>
    <x v="2"/>
    <s v="Europe"/>
    <x v="6"/>
    <x v="1"/>
    <m/>
    <s v=""/>
    <s v=""/>
  </r>
  <r>
    <n v="2023"/>
    <x v="69"/>
    <s v="Authentic Street Food Black Bean"/>
    <x v="2"/>
    <x v="2"/>
    <s v="Europe"/>
    <x v="1"/>
    <x v="1"/>
    <m/>
    <s v=""/>
    <s v=""/>
  </r>
  <r>
    <n v="2022"/>
    <x v="69"/>
    <s v="Authentic Street Food Thai Red Curry"/>
    <x v="2"/>
    <x v="2"/>
    <s v="Europe"/>
    <x v="4"/>
    <x v="2"/>
    <m/>
    <s v=""/>
    <s v=""/>
  </r>
  <r>
    <n v="2021"/>
    <x v="69"/>
    <s v="Authentic Street Food Satay"/>
    <x v="2"/>
    <x v="2"/>
    <s v="Europe"/>
    <x v="3"/>
    <x v="0"/>
    <m/>
    <s v=""/>
    <s v=""/>
  </r>
  <r>
    <n v="1963"/>
    <x v="70"/>
    <s v="Rice Noodles Vegetable Laksa"/>
    <x v="2"/>
    <x v="2"/>
    <s v="Europe"/>
    <x v="10"/>
    <x v="2"/>
    <m/>
    <s v=""/>
    <s v=""/>
  </r>
  <r>
    <n v="1962"/>
    <x v="70"/>
    <s v="Rice Noodles Chicken Pho"/>
    <x v="2"/>
    <x v="2"/>
    <s v="Europe"/>
    <x v="2"/>
    <x v="2"/>
    <m/>
    <s v=""/>
    <s v=""/>
  </r>
  <r>
    <n v="1961"/>
    <x v="70"/>
    <s v="Chicken Ramen"/>
    <x v="2"/>
    <x v="2"/>
    <s v="Europe"/>
    <x v="12"/>
    <x v="0"/>
    <m/>
    <s v=""/>
    <s v=""/>
  </r>
  <r>
    <n v="1960"/>
    <x v="70"/>
    <s v="Chilli Chicken Ramen"/>
    <x v="2"/>
    <x v="2"/>
    <s v="Europe"/>
    <x v="0"/>
    <x v="0"/>
    <m/>
    <s v=""/>
    <s v=""/>
  </r>
  <r>
    <n v="1555"/>
    <x v="71"/>
    <s v="Instant Noodles Taste Sensation Mixed Vegetable Flavour"/>
    <x v="0"/>
    <x v="2"/>
    <s v="Europe"/>
    <x v="2"/>
    <x v="2"/>
    <m/>
    <s v=""/>
    <s v=""/>
  </r>
  <r>
    <n v="1424"/>
    <x v="72"/>
    <s v="Curry Flavour Instant Noodles"/>
    <x v="0"/>
    <x v="2"/>
    <s v="Europe"/>
    <x v="8"/>
    <x v="1"/>
    <m/>
    <s v=""/>
    <s v=""/>
  </r>
  <r>
    <n v="1403"/>
    <x v="73"/>
    <s v="Everyday Value Chicken &amp; Mushroom Flavour"/>
    <x v="2"/>
    <x v="2"/>
    <s v="Europe"/>
    <x v="16"/>
    <x v="1"/>
    <m/>
    <s v=""/>
    <s v=""/>
  </r>
  <r>
    <n v="1389"/>
    <x v="74"/>
    <s v="Traveller's Choice Thai Red Curry Flavour Instant Noodles"/>
    <x v="0"/>
    <x v="2"/>
    <s v="Europe"/>
    <x v="14"/>
    <x v="1"/>
    <m/>
    <s v=""/>
    <s v=""/>
  </r>
  <r>
    <n v="1373"/>
    <x v="73"/>
    <s v="Everyday Value Beef &amp; Tomato Flavour Noodles"/>
    <x v="2"/>
    <x v="2"/>
    <s v="Europe"/>
    <x v="11"/>
    <x v="1"/>
    <m/>
    <s v=""/>
    <s v=""/>
  </r>
  <r>
    <n v="1367"/>
    <x v="75"/>
    <s v="Instant Noodles Vegetable &amp; Mushroom Flavour"/>
    <x v="0"/>
    <x v="2"/>
    <s v="Europe"/>
    <x v="8"/>
    <x v="1"/>
    <m/>
    <s v=""/>
    <s v=""/>
  </r>
  <r>
    <n v="1338"/>
    <x v="76"/>
    <s v="Super Noodles Peppered Steak Flavour"/>
    <x v="0"/>
    <x v="2"/>
    <s v="Europe"/>
    <x v="8"/>
    <x v="1"/>
    <m/>
    <s v=""/>
    <s v=""/>
  </r>
  <r>
    <n v="1315"/>
    <x v="72"/>
    <s v="Chicken Flavour Instant Noodles"/>
    <x v="0"/>
    <x v="2"/>
    <s v="Europe"/>
    <x v="9"/>
    <x v="2"/>
    <m/>
    <s v=""/>
    <s v=""/>
  </r>
  <r>
    <n v="1286"/>
    <x v="76"/>
    <s v="Super Noodles Roast Beef &amp; Onion Flavour"/>
    <x v="0"/>
    <x v="2"/>
    <s v="Europe"/>
    <x v="5"/>
    <x v="2"/>
    <m/>
    <s v=""/>
    <s v=""/>
  </r>
  <r>
    <n v="1279"/>
    <x v="71"/>
    <s v="Instant Noodles Mixed Vegetable"/>
    <x v="0"/>
    <x v="2"/>
    <s v="Europe"/>
    <x v="2"/>
    <x v="2"/>
    <m/>
    <s v=""/>
    <s v=""/>
  </r>
  <r>
    <n v="1273"/>
    <x v="72"/>
    <s v="Basics Instant Noodles Chicken Curry Flavour"/>
    <x v="0"/>
    <x v="2"/>
    <s v="Europe"/>
    <x v="5"/>
    <x v="2"/>
    <m/>
    <s v=""/>
    <s v=""/>
  </r>
  <r>
    <n v="1270"/>
    <x v="71"/>
    <s v="Instant Noodles Taste Sensations Creamy Shrimp Tom Yum Flavour"/>
    <x v="0"/>
    <x v="2"/>
    <s v="Europe"/>
    <x v="3"/>
    <x v="0"/>
    <m/>
    <s v=""/>
    <s v=""/>
  </r>
  <r>
    <n v="1252"/>
    <x v="73"/>
    <s v="Instant Noodles Chow Mein Flavour"/>
    <x v="0"/>
    <x v="2"/>
    <s v="Europe"/>
    <x v="13"/>
    <x v="1"/>
    <m/>
    <s v=""/>
    <s v=""/>
  </r>
  <r>
    <n v="1234"/>
    <x v="72"/>
    <s v="Barbecue Beef Flavour Instant Noodles"/>
    <x v="0"/>
    <x v="2"/>
    <s v="Europe"/>
    <x v="9"/>
    <x v="2"/>
    <m/>
    <s v=""/>
    <s v=""/>
  </r>
  <r>
    <n v="1216"/>
    <x v="76"/>
    <s v="Super Low Fat Noodles Chilli Chicken Flavour"/>
    <x v="0"/>
    <x v="2"/>
    <s v="Europe"/>
    <x v="19"/>
    <x v="1"/>
    <m/>
    <s v=""/>
    <s v=""/>
  </r>
  <r>
    <n v="1209"/>
    <x v="76"/>
    <s v="Super Noodles Chicken Mushroom Flavour"/>
    <x v="0"/>
    <x v="2"/>
    <s v="Europe"/>
    <x v="5"/>
    <x v="2"/>
    <m/>
    <s v=""/>
    <s v=""/>
  </r>
  <r>
    <n v="1185"/>
    <x v="72"/>
    <s v="Basics Instant Noodles Chicken Flavour"/>
    <x v="0"/>
    <x v="2"/>
    <s v="Europe"/>
    <x v="5"/>
    <x v="2"/>
    <m/>
    <s v=""/>
    <s v=""/>
  </r>
  <r>
    <n v="1182"/>
    <x v="71"/>
    <s v="Go Noodles Xtreme Hot &amp; Spicy Flavour"/>
    <x v="0"/>
    <x v="2"/>
    <s v="Europe"/>
    <x v="10"/>
    <x v="2"/>
    <m/>
    <s v=""/>
    <s v=""/>
  </r>
  <r>
    <n v="1171"/>
    <x v="74"/>
    <s v="Traveller's Choice Indian Tikka Masala Flavour"/>
    <x v="0"/>
    <x v="2"/>
    <s v="Europe"/>
    <x v="4"/>
    <x v="2"/>
    <m/>
    <s v=""/>
    <s v=""/>
  </r>
  <r>
    <n v="1167"/>
    <x v="70"/>
    <s v="Miso Ramen"/>
    <x v="2"/>
    <x v="2"/>
    <s v="Europe"/>
    <x v="10"/>
    <x v="2"/>
    <m/>
    <s v=""/>
    <s v=""/>
  </r>
  <r>
    <n v="1157"/>
    <x v="77"/>
    <s v="The Nation's Noodle Beef &amp; Tomato Flavour"/>
    <x v="2"/>
    <x v="2"/>
    <s v="Europe"/>
    <x v="12"/>
    <x v="0"/>
    <m/>
    <s v=""/>
    <s v=""/>
  </r>
  <r>
    <n v="1132"/>
    <x v="73"/>
    <s v="Everyday Value Spicy Curry Flavour Noodles"/>
    <x v="2"/>
    <x v="2"/>
    <s v="Europe"/>
    <x v="8"/>
    <x v="1"/>
    <m/>
    <s v=""/>
    <s v=""/>
  </r>
  <r>
    <n v="1119"/>
    <x v="71"/>
    <s v="Taste Sensation Instant Noodles Curry Flavour"/>
    <x v="0"/>
    <x v="2"/>
    <s v="Europe"/>
    <x v="10"/>
    <x v="2"/>
    <m/>
    <s v=""/>
    <s v=""/>
  </r>
  <r>
    <n v="1102"/>
    <x v="76"/>
    <s v="Super Noodles Mild Mexican Chilli"/>
    <x v="0"/>
    <x v="2"/>
    <s v="Europe"/>
    <x v="4"/>
    <x v="2"/>
    <m/>
    <s v=""/>
    <s v=""/>
  </r>
  <r>
    <n v="1086"/>
    <x v="75"/>
    <s v="Indian Curry Flavour"/>
    <x v="0"/>
    <x v="2"/>
    <s v="Europe"/>
    <x v="4"/>
    <x v="2"/>
    <m/>
    <s v=""/>
    <s v=""/>
  </r>
  <r>
    <n v="1041"/>
    <x v="71"/>
    <s v="Instant Noodles Super Chow Mein"/>
    <x v="0"/>
    <x v="2"/>
    <s v="Europe"/>
    <x v="0"/>
    <x v="0"/>
    <m/>
    <s v=""/>
    <s v=""/>
  </r>
  <r>
    <n v="999"/>
    <x v="78"/>
    <s v="Tony's Doner Kebab"/>
    <x v="2"/>
    <x v="2"/>
    <s v="Europe"/>
    <x v="8"/>
    <x v="1"/>
    <m/>
    <s v=""/>
    <s v=""/>
  </r>
  <r>
    <n v="995"/>
    <x v="71"/>
    <s v="Instant Noodles Beef"/>
    <x v="0"/>
    <x v="2"/>
    <s v="Europe"/>
    <x v="4"/>
    <x v="2"/>
    <m/>
    <s v=""/>
    <s v=""/>
  </r>
  <r>
    <n v="985"/>
    <x v="71"/>
    <s v="Go Noodles Thai Hot &amp; Spicy Tom Yum"/>
    <x v="2"/>
    <x v="2"/>
    <s v="Europe"/>
    <x v="19"/>
    <x v="1"/>
    <m/>
    <s v=""/>
    <s v=""/>
  </r>
  <r>
    <n v="974"/>
    <x v="78"/>
    <s v="Chilli Beef Flavour"/>
    <x v="2"/>
    <x v="2"/>
    <s v="Europe"/>
    <x v="13"/>
    <x v="1"/>
    <m/>
    <s v=""/>
    <s v=""/>
  </r>
  <r>
    <n v="963"/>
    <x v="78"/>
    <s v="Mr. Chu‚Äôs Golden Noodle No. 7 Sticky Rib"/>
    <x v="2"/>
    <x v="2"/>
    <s v="Europe"/>
    <x v="5"/>
    <x v="2"/>
    <m/>
    <s v=""/>
    <s v=""/>
  </r>
  <r>
    <n v="952"/>
    <x v="78"/>
    <s v="Sweet &amp; Spicy"/>
    <x v="2"/>
    <x v="2"/>
    <s v="Europe"/>
    <x v="2"/>
    <x v="2"/>
    <m/>
    <s v=""/>
    <s v=""/>
  </r>
  <r>
    <n v="949"/>
    <x v="71"/>
    <s v="Instant Noodles Chicken "/>
    <x v="0"/>
    <x v="2"/>
    <s v="Europe"/>
    <x v="2"/>
    <x v="2"/>
    <m/>
    <s v=""/>
    <s v=""/>
  </r>
  <r>
    <n v="945"/>
    <x v="78"/>
    <s v="Jamaican Jerk!"/>
    <x v="2"/>
    <x v="2"/>
    <s v="Europe"/>
    <x v="9"/>
    <x v="2"/>
    <m/>
    <s v=""/>
    <s v=""/>
  </r>
  <r>
    <n v="941"/>
    <x v="71"/>
    <s v="Go Noodles Chicken Special"/>
    <x v="0"/>
    <x v="2"/>
    <s v="Europe"/>
    <x v="10"/>
    <x v="2"/>
    <m/>
    <s v=""/>
    <s v=""/>
  </r>
  <r>
    <n v="939"/>
    <x v="78"/>
    <s v="Sweet &amp; Sour"/>
    <x v="2"/>
    <x v="2"/>
    <s v="Europe"/>
    <x v="10"/>
    <x v="2"/>
    <m/>
    <s v=""/>
    <s v=""/>
  </r>
  <r>
    <n v="672"/>
    <x v="79"/>
    <s v="Chicken"/>
    <x v="0"/>
    <x v="2"/>
    <s v="Europe"/>
    <x v="4"/>
    <x v="2"/>
    <m/>
    <s v=""/>
    <s v=""/>
  </r>
  <r>
    <n v="671"/>
    <x v="79"/>
    <s v="Spicy Sweet &amp; Sour"/>
    <x v="0"/>
    <x v="2"/>
    <s v="Europe"/>
    <x v="4"/>
    <x v="2"/>
    <m/>
    <s v=""/>
    <s v=""/>
  </r>
  <r>
    <n v="649"/>
    <x v="78"/>
    <s v="Chicken &amp; Mushroom"/>
    <x v="2"/>
    <x v="2"/>
    <s v="Europe"/>
    <x v="10"/>
    <x v="2"/>
    <m/>
    <s v=""/>
    <s v=""/>
  </r>
  <r>
    <n v="625"/>
    <x v="78"/>
    <s v="Bombay Bad Boy"/>
    <x v="2"/>
    <x v="2"/>
    <s v="Europe"/>
    <x v="0"/>
    <x v="0"/>
    <m/>
    <s v=""/>
    <s v=""/>
  </r>
  <r>
    <n v="611"/>
    <x v="76"/>
    <s v="Super Noodles Low Fat Sweet Thai Chilli"/>
    <x v="0"/>
    <x v="2"/>
    <s v="Europe"/>
    <x v="11"/>
    <x v="1"/>
    <m/>
    <s v=""/>
    <s v=""/>
  </r>
  <r>
    <n v="607"/>
    <x v="78"/>
    <s v="Beef Tomato"/>
    <x v="2"/>
    <x v="2"/>
    <s v="Europe"/>
    <x v="8"/>
    <x v="1"/>
    <m/>
    <s v=""/>
    <s v=""/>
  </r>
  <r>
    <n v="604"/>
    <x v="76"/>
    <s v="Super Noodles Low Fat Chicken Herb"/>
    <x v="0"/>
    <x v="2"/>
    <s v="Europe"/>
    <x v="11"/>
    <x v="1"/>
    <m/>
    <s v=""/>
    <s v=""/>
  </r>
  <r>
    <n v="597"/>
    <x v="76"/>
    <s v="Super Noodles Sweet &amp; sour"/>
    <x v="0"/>
    <x v="2"/>
    <s v="Europe"/>
    <x v="2"/>
    <x v="2"/>
    <m/>
    <s v=""/>
    <s v=""/>
  </r>
  <r>
    <n v="592"/>
    <x v="76"/>
    <s v="Super Noodles Mild Curry"/>
    <x v="0"/>
    <x v="2"/>
    <s v="Europe"/>
    <x v="5"/>
    <x v="2"/>
    <m/>
    <s v=""/>
    <s v=""/>
  </r>
  <r>
    <n v="591"/>
    <x v="76"/>
    <s v="Super Noodles To Go Chinese Space Rib"/>
    <x v="1"/>
    <x v="2"/>
    <s v="Europe"/>
    <x v="6"/>
    <x v="1"/>
    <m/>
    <s v=""/>
    <s v=""/>
  </r>
  <r>
    <n v="577"/>
    <x v="78"/>
    <s v="Chinese Chow Mein"/>
    <x v="2"/>
    <x v="2"/>
    <s v="Europe"/>
    <x v="4"/>
    <x v="2"/>
    <m/>
    <s v=""/>
    <s v=""/>
  </r>
  <r>
    <n v="575"/>
    <x v="76"/>
    <s v="Super Noodles Barbecue Beef"/>
    <x v="0"/>
    <x v="2"/>
    <s v="Europe"/>
    <x v="2"/>
    <x v="2"/>
    <m/>
    <s v=""/>
    <s v=""/>
  </r>
  <r>
    <n v="565"/>
    <x v="76"/>
    <s v="Super Noodles To Go Curry"/>
    <x v="1"/>
    <x v="2"/>
    <s v="Europe"/>
    <x v="0"/>
    <x v="0"/>
    <m/>
    <s v=""/>
    <s v=""/>
  </r>
  <r>
    <n v="562"/>
    <x v="76"/>
    <s v="Super Noodles Bacon"/>
    <x v="0"/>
    <x v="2"/>
    <s v="Europe"/>
    <x v="12"/>
    <x v="0"/>
    <m/>
    <s v=""/>
    <s v=""/>
  </r>
  <r>
    <n v="557"/>
    <x v="76"/>
    <s v="Super Noodles Souther Fried Chicken"/>
    <x v="0"/>
    <x v="2"/>
    <s v="Europe"/>
    <x v="10"/>
    <x v="2"/>
    <m/>
    <s v=""/>
    <s v=""/>
  </r>
  <r>
    <n v="555"/>
    <x v="76"/>
    <s v="Super Noodles Chinese Chow Mein"/>
    <x v="0"/>
    <x v="2"/>
    <s v="Europe"/>
    <x v="9"/>
    <x v="2"/>
    <m/>
    <s v=""/>
    <s v=""/>
  </r>
  <r>
    <n v="551"/>
    <x v="76"/>
    <s v="Super Noodles Chicken"/>
    <x v="0"/>
    <x v="2"/>
    <s v="Europe"/>
    <x v="5"/>
    <x v="2"/>
    <m/>
    <s v=""/>
    <s v=""/>
  </r>
  <r>
    <n v="548"/>
    <x v="78"/>
    <s v="Original Curry"/>
    <x v="2"/>
    <x v="2"/>
    <s v="Europe"/>
    <x v="10"/>
    <x v="2"/>
    <m/>
    <s v=""/>
    <s v=""/>
  </r>
  <r>
    <n v="1466"/>
    <x v="80"/>
    <s v="Oriental Style Instant Noodles Green Curry Flavour Jumbo Pack"/>
    <x v="0"/>
    <x v="3"/>
    <s v="Asia"/>
    <x v="3"/>
    <x v="0"/>
    <s v="2015 #8"/>
    <s v="2015"/>
    <s v="8"/>
  </r>
  <r>
    <n v="1471"/>
    <x v="80"/>
    <s v="Instant Noodles Shrimp Creamy Tom Yum Flavour Jumbo Pack"/>
    <x v="0"/>
    <x v="3"/>
    <s v="Asia"/>
    <x v="3"/>
    <x v="0"/>
    <s v="2013 #10"/>
    <s v="2013"/>
    <s v="10"/>
  </r>
  <r>
    <n v="1302"/>
    <x v="80"/>
    <s v="Instant Noodles Yentafo Tom Yum Mohfai Flavour"/>
    <x v="0"/>
    <x v="3"/>
    <s v="Asia"/>
    <x v="3"/>
    <x v="0"/>
    <s v="2014 #10"/>
    <s v="2014"/>
    <s v="10"/>
  </r>
  <r>
    <n v="2570"/>
    <x v="81"/>
    <s v="Creamy tom Yum Kung Flavour"/>
    <x v="0"/>
    <x v="3"/>
    <s v="Asia"/>
    <x v="3"/>
    <x v="0"/>
    <m/>
    <s v=""/>
    <s v=""/>
  </r>
  <r>
    <n v="2432"/>
    <x v="82"/>
    <s v="Yummy Spicy Rice Soup With Seafood"/>
    <x v="1"/>
    <x v="3"/>
    <s v="Asia"/>
    <x v="2"/>
    <x v="2"/>
    <m/>
    <s v=""/>
    <s v=""/>
  </r>
  <r>
    <n v="2376"/>
    <x v="20"/>
    <s v="Disney Cuties Instant Chicken With Corn Flavour"/>
    <x v="2"/>
    <x v="3"/>
    <s v="Asia"/>
    <x v="5"/>
    <x v="2"/>
    <m/>
    <s v=""/>
    <s v=""/>
  </r>
  <r>
    <n v="2317"/>
    <x v="80"/>
    <s v="Instant Bowl Noodles Shrimp (Tom Yum) Flavor Base"/>
    <x v="1"/>
    <x v="3"/>
    <s v="Asia"/>
    <x v="0"/>
    <x v="0"/>
    <m/>
    <s v=""/>
    <s v=""/>
  </r>
  <r>
    <n v="2266"/>
    <x v="20"/>
    <s v="Disney Cuties Instant Noodle Crab Flavour"/>
    <x v="2"/>
    <x v="3"/>
    <s v="Asia"/>
    <x v="0"/>
    <x v="0"/>
    <m/>
    <s v=""/>
    <s v=""/>
  </r>
  <r>
    <n v="2254"/>
    <x v="20"/>
    <s v="Disney Cuties Instant Noodle Seaweed Flavour"/>
    <x v="2"/>
    <x v="3"/>
    <s v="Asia"/>
    <x v="4"/>
    <x v="2"/>
    <m/>
    <s v=""/>
    <s v=""/>
  </r>
  <r>
    <n v="2235"/>
    <x v="82"/>
    <s v="Tom Yum Shrimp Creamy Flavour Instant Noodles"/>
    <x v="1"/>
    <x v="3"/>
    <s v="Asia"/>
    <x v="0"/>
    <x v="0"/>
    <m/>
    <s v=""/>
    <s v=""/>
  </r>
  <r>
    <n v="2211"/>
    <x v="20"/>
    <s v="Disney Cuties Instant Noodle Roast Pork Flavour"/>
    <x v="2"/>
    <x v="3"/>
    <s v="Asia"/>
    <x v="4"/>
    <x v="2"/>
    <m/>
    <s v=""/>
    <s v=""/>
  </r>
  <r>
    <n v="2184"/>
    <x v="83"/>
    <s v="Coriander Instant Rice Noodles"/>
    <x v="1"/>
    <x v="3"/>
    <s v="Asia"/>
    <x v="9"/>
    <x v="2"/>
    <m/>
    <s v=""/>
    <s v=""/>
  </r>
  <r>
    <n v="2183"/>
    <x v="80"/>
    <s v="Instant Rice Noodles Moo Nam Tok Flavour"/>
    <x v="0"/>
    <x v="3"/>
    <s v="Asia"/>
    <x v="2"/>
    <x v="2"/>
    <m/>
    <s v=""/>
    <s v=""/>
  </r>
  <r>
    <n v="2182"/>
    <x v="80"/>
    <s v="Instant Rice Vermicelli Clear Soup"/>
    <x v="0"/>
    <x v="3"/>
    <s v="Asia"/>
    <x v="2"/>
    <x v="2"/>
    <m/>
    <s v=""/>
    <s v=""/>
  </r>
  <r>
    <n v="2181"/>
    <x v="80"/>
    <s v="Instant Rice Noodles Chicken Flavour"/>
    <x v="0"/>
    <x v="3"/>
    <s v="Asia"/>
    <x v="0"/>
    <x v="0"/>
    <m/>
    <s v=""/>
    <s v=""/>
  </r>
  <r>
    <n v="2180"/>
    <x v="80"/>
    <s v="Pho Ga Rice Noodles With Artificial Chicken Flavour"/>
    <x v="1"/>
    <x v="3"/>
    <s v="Asia"/>
    <x v="4"/>
    <x v="2"/>
    <m/>
    <s v=""/>
    <s v=""/>
  </r>
  <r>
    <n v="2179"/>
    <x v="80"/>
    <s v="Oriental Kitchen Instant Rice Vermicelli In Gravy"/>
    <x v="0"/>
    <x v="3"/>
    <s v="Asia"/>
    <x v="3"/>
    <x v="0"/>
    <m/>
    <s v=""/>
    <s v=""/>
  </r>
  <r>
    <n v="2178"/>
    <x v="80"/>
    <s v="Instant Tom Yam Rice Noodles"/>
    <x v="0"/>
    <x v="3"/>
    <s v="Asia"/>
    <x v="0"/>
    <x v="0"/>
    <m/>
    <s v=""/>
    <s v=""/>
  </r>
  <r>
    <n v="2177"/>
    <x v="80"/>
    <s v="Instant Rice Noodles Vegetable Flavour"/>
    <x v="0"/>
    <x v="3"/>
    <s v="Asia"/>
    <x v="0"/>
    <x v="0"/>
    <m/>
    <s v=""/>
    <s v=""/>
  </r>
  <r>
    <n v="2176"/>
    <x v="80"/>
    <s v="Instant Rice Vermicelli Yentafo Tom Yam Mohfai"/>
    <x v="0"/>
    <x v="3"/>
    <s v="Asia"/>
    <x v="3"/>
    <x v="0"/>
    <m/>
    <s v=""/>
    <s v=""/>
  </r>
  <r>
    <n v="2175"/>
    <x v="80"/>
    <s v="Instant Flat Noodles Clear Soup"/>
    <x v="0"/>
    <x v="3"/>
    <s v="Asia"/>
    <x v="0"/>
    <x v="0"/>
    <m/>
    <s v=""/>
    <s v=""/>
  </r>
  <r>
    <n v="2174"/>
    <x v="80"/>
    <s v="Cup Rice Noodles Tom Saab Flavour"/>
    <x v="2"/>
    <x v="3"/>
    <s v="Asia"/>
    <x v="3"/>
    <x v="0"/>
    <m/>
    <s v=""/>
    <s v=""/>
  </r>
  <r>
    <n v="2173"/>
    <x v="80"/>
    <s v="Instant Rice Noodles Stew Beef Flavour"/>
    <x v="0"/>
    <x v="3"/>
    <s v="Asia"/>
    <x v="0"/>
    <x v="0"/>
    <m/>
    <s v=""/>
    <s v=""/>
  </r>
  <r>
    <n v="2172"/>
    <x v="80"/>
    <s v="Instant Rice Noodles Phnom Penh Style"/>
    <x v="0"/>
    <x v="3"/>
    <s v="Asia"/>
    <x v="0"/>
    <x v="0"/>
    <m/>
    <s v=""/>
    <s v=""/>
  </r>
  <r>
    <n v="2171"/>
    <x v="80"/>
    <s v="Instant Flat Noodles Tom Yam Flavour"/>
    <x v="0"/>
    <x v="3"/>
    <s v="Asia"/>
    <x v="0"/>
    <x v="0"/>
    <m/>
    <s v=""/>
    <s v=""/>
  </r>
  <r>
    <n v="2124"/>
    <x v="84"/>
    <s v="Nissin Instant Noodles Tom Yum Seafood Creamy Flavour King Cup"/>
    <x v="1"/>
    <x v="3"/>
    <s v="Asia"/>
    <x v="2"/>
    <x v="2"/>
    <m/>
    <s v=""/>
    <s v=""/>
  </r>
  <r>
    <n v="2123"/>
    <x v="20"/>
    <s v="Cup Noodles Tom Yum Shrimp Sabb Flavour"/>
    <x v="2"/>
    <x v="3"/>
    <s v="Asia"/>
    <x v="3"/>
    <x v="0"/>
    <m/>
    <s v=""/>
    <s v=""/>
  </r>
  <r>
    <n v="2122"/>
    <x v="20"/>
    <s v="Chilli Noodles Stir Fried Holy Basil Flavour"/>
    <x v="0"/>
    <x v="3"/>
    <s v="Asia"/>
    <x v="3"/>
    <x v="0"/>
    <m/>
    <s v=""/>
    <s v=""/>
  </r>
  <r>
    <n v="2121"/>
    <x v="20"/>
    <s v="Instant Noodles Moo Manao Flavour"/>
    <x v="0"/>
    <x v="3"/>
    <s v="Asia"/>
    <x v="0"/>
    <x v="0"/>
    <m/>
    <s v=""/>
    <s v=""/>
  </r>
  <r>
    <n v="2120"/>
    <x v="20"/>
    <s v="Super Tom Yum Shrimp"/>
    <x v="2"/>
    <x v="3"/>
    <s v="Asia"/>
    <x v="2"/>
    <x v="2"/>
    <m/>
    <s v=""/>
    <s v=""/>
  </r>
  <r>
    <n v="2119"/>
    <x v="20"/>
    <s v="Cup Noodles Minced Pork Flavour"/>
    <x v="2"/>
    <x v="3"/>
    <s v="Asia"/>
    <x v="2"/>
    <x v="2"/>
    <m/>
    <s v=""/>
    <s v=""/>
  </r>
  <r>
    <n v="2118"/>
    <x v="20"/>
    <s v="Chilli Noodles Tom Yum Shrimp Creamy Soup Flavour"/>
    <x v="2"/>
    <x v="3"/>
    <s v="Asia"/>
    <x v="5"/>
    <x v="2"/>
    <m/>
    <s v=""/>
    <s v=""/>
  </r>
  <r>
    <n v="2117"/>
    <x v="84"/>
    <s v="Nissin Instant Noodles Shrimp Ma Nao Lui Suan Flavour King Cup"/>
    <x v="1"/>
    <x v="3"/>
    <s v="Asia"/>
    <x v="0"/>
    <x v="0"/>
    <m/>
    <s v=""/>
    <s v=""/>
  </r>
  <r>
    <n v="2116"/>
    <x v="20"/>
    <s v="Instant Noodles Tom Yum Shrimp Saab Flavour"/>
    <x v="0"/>
    <x v="3"/>
    <s v="Asia"/>
    <x v="0"/>
    <x v="0"/>
    <m/>
    <s v=""/>
    <s v=""/>
  </r>
  <r>
    <n v="2115"/>
    <x v="20"/>
    <s v="Cup Noodles Moo Manao Flavour"/>
    <x v="2"/>
    <x v="3"/>
    <s v="Asia"/>
    <x v="0"/>
    <x v="0"/>
    <m/>
    <s v=""/>
    <s v=""/>
  </r>
  <r>
    <n v="2114"/>
    <x v="20"/>
    <s v="Instant Noodles Minced Pork Flavour"/>
    <x v="0"/>
    <x v="3"/>
    <s v="Asia"/>
    <x v="2"/>
    <x v="2"/>
    <m/>
    <s v=""/>
    <s v=""/>
  </r>
  <r>
    <n v="2113"/>
    <x v="20"/>
    <s v="Cup Noodles Seafood Creamy Flavour"/>
    <x v="2"/>
    <x v="3"/>
    <s v="Asia"/>
    <x v="0"/>
    <x v="0"/>
    <m/>
    <s v=""/>
    <s v=""/>
  </r>
  <r>
    <n v="2112"/>
    <x v="20"/>
    <s v="Chilli Noodles Spicy Tom Yum Flavour"/>
    <x v="0"/>
    <x v="3"/>
    <s v="Asia"/>
    <x v="0"/>
    <x v="0"/>
    <m/>
    <s v=""/>
    <s v=""/>
  </r>
  <r>
    <n v="2058"/>
    <x v="85"/>
    <s v="Instant Noodle Shrimp Tom Yam Flavoured"/>
    <x v="0"/>
    <x v="3"/>
    <s v="Asia"/>
    <x v="10"/>
    <x v="2"/>
    <m/>
    <s v=""/>
    <s v=""/>
  </r>
  <r>
    <n v="2012"/>
    <x v="80"/>
    <s v="Vegetarian Instant Noodles Shiitake Flavour"/>
    <x v="0"/>
    <x v="3"/>
    <s v="Asia"/>
    <x v="11"/>
    <x v="1"/>
    <m/>
    <s v=""/>
    <s v=""/>
  </r>
  <r>
    <n v="1957"/>
    <x v="80"/>
    <s v="Cup Vegetarian Instant Noodles Tom Yum Flavour"/>
    <x v="2"/>
    <x v="3"/>
    <s v="Asia"/>
    <x v="0"/>
    <x v="0"/>
    <m/>
    <s v=""/>
    <s v=""/>
  </r>
  <r>
    <n v="1949"/>
    <x v="86"/>
    <s v="Oriental Style Instant Noodles Shrimp Flavour (Tom Yum)"/>
    <x v="0"/>
    <x v="3"/>
    <s v="Asia"/>
    <x v="2"/>
    <x v="2"/>
    <m/>
    <s v=""/>
    <s v=""/>
  </r>
  <r>
    <n v="1928"/>
    <x v="86"/>
    <s v="Instant Noodles Oriental Style Chicken Flavour"/>
    <x v="0"/>
    <x v="3"/>
    <s v="Asia"/>
    <x v="4"/>
    <x v="2"/>
    <m/>
    <s v=""/>
    <s v=""/>
  </r>
  <r>
    <n v="1871"/>
    <x v="20"/>
    <s v="Cup Noodles Minced Pork Flavour"/>
    <x v="2"/>
    <x v="3"/>
    <s v="Asia"/>
    <x v="10"/>
    <x v="2"/>
    <m/>
    <s v=""/>
    <s v=""/>
  </r>
  <r>
    <n v="1867"/>
    <x v="87"/>
    <s v="Premier Bowl Instant Noodles Stewed Pork Flavour"/>
    <x v="1"/>
    <x v="3"/>
    <s v="Asia"/>
    <x v="0"/>
    <x v="0"/>
    <m/>
    <s v=""/>
    <s v=""/>
  </r>
  <r>
    <n v="1832"/>
    <x v="87"/>
    <s v="Instant Flat Shaped Noodles Boat Noodles Nam Tok Flavour"/>
    <x v="0"/>
    <x v="3"/>
    <s v="Asia"/>
    <x v="2"/>
    <x v="2"/>
    <m/>
    <s v=""/>
    <s v=""/>
  </r>
  <r>
    <n v="1819"/>
    <x v="87"/>
    <s v="Premier Bowl Instant Noodles Suki Flavour"/>
    <x v="1"/>
    <x v="3"/>
    <s v="Asia"/>
    <x v="3"/>
    <x v="0"/>
    <m/>
    <s v=""/>
    <s v=""/>
  </r>
  <r>
    <n v="1808"/>
    <x v="80"/>
    <s v="Vegetarian Instant Cup Noodle Tofu &amp; Shiitake Flavour"/>
    <x v="2"/>
    <x v="3"/>
    <s v="Asia"/>
    <x v="2"/>
    <x v="2"/>
    <m/>
    <s v=""/>
    <s v=""/>
  </r>
  <r>
    <n v="1807"/>
    <x v="88"/>
    <s v="Tom Yum Goong Flavour Instant Noodle"/>
    <x v="2"/>
    <x v="3"/>
    <s v="Asia"/>
    <x v="2"/>
    <x v="2"/>
    <m/>
    <s v=""/>
    <s v=""/>
  </r>
  <r>
    <n v="1803"/>
    <x v="80"/>
    <s v="Vegetarian Instant Noodles Tom Yum Flavour"/>
    <x v="0"/>
    <x v="3"/>
    <s v="Asia"/>
    <x v="0"/>
    <x v="0"/>
    <m/>
    <s v=""/>
    <s v=""/>
  </r>
  <r>
    <n v="1797"/>
    <x v="88"/>
    <s v="Instant Rice Vermicelli Crab Flavour"/>
    <x v="0"/>
    <x v="3"/>
    <s v="Asia"/>
    <x v="2"/>
    <x v="2"/>
    <m/>
    <s v=""/>
    <s v=""/>
  </r>
  <r>
    <n v="1759"/>
    <x v="20"/>
    <s v="Cup Noodles Moo Manao Flavour"/>
    <x v="2"/>
    <x v="3"/>
    <s v="Asia"/>
    <x v="0"/>
    <x v="0"/>
    <m/>
    <s v=""/>
    <s v=""/>
  </r>
  <r>
    <n v="1749"/>
    <x v="87"/>
    <s v="Jumbo Instant Noodles Tom Yum Kung Creamy Flavour"/>
    <x v="0"/>
    <x v="3"/>
    <s v="Asia"/>
    <x v="3"/>
    <x v="0"/>
    <m/>
    <s v=""/>
    <s v=""/>
  </r>
  <r>
    <n v="1738"/>
    <x v="89"/>
    <s v="Instant Noodles Shrimp Tom Yum Flavour"/>
    <x v="2"/>
    <x v="3"/>
    <s v="Asia"/>
    <x v="12"/>
    <x v="0"/>
    <m/>
    <s v=""/>
    <s v=""/>
  </r>
  <r>
    <n v="1719"/>
    <x v="88"/>
    <s v="Grilled Pork Flavour Instant Noodles"/>
    <x v="1"/>
    <x v="3"/>
    <s v="Asia"/>
    <x v="6"/>
    <x v="1"/>
    <m/>
    <s v=""/>
    <s v=""/>
  </r>
  <r>
    <n v="1715"/>
    <x v="87"/>
    <s v="Instant Noodles Minced Pork Flavor"/>
    <x v="0"/>
    <x v="3"/>
    <s v="Asia"/>
    <x v="10"/>
    <x v="2"/>
    <m/>
    <s v=""/>
    <s v=""/>
  </r>
  <r>
    <n v="1703"/>
    <x v="90"/>
    <s v="Super Tom Yum Shrimp"/>
    <x v="2"/>
    <x v="3"/>
    <s v="Asia"/>
    <x v="2"/>
    <x v="2"/>
    <m/>
    <s v=""/>
    <s v=""/>
  </r>
  <r>
    <n v="1696"/>
    <x v="80"/>
    <s v="Cup Yentafo Tom Yum Mohfai"/>
    <x v="2"/>
    <x v="3"/>
    <s v="Asia"/>
    <x v="3"/>
    <x v="0"/>
    <m/>
    <s v=""/>
    <s v=""/>
  </r>
  <r>
    <n v="1695"/>
    <x v="80"/>
    <s v="Cup Shrimp Creamy Tom Yum"/>
    <x v="2"/>
    <x v="3"/>
    <s v="Asia"/>
    <x v="3"/>
    <x v="0"/>
    <m/>
    <s v=""/>
    <s v=""/>
  </r>
  <r>
    <n v="1694"/>
    <x v="80"/>
    <s v="Instant Rice Vermicelli Bihun Goreng Original Flavour"/>
    <x v="0"/>
    <x v="3"/>
    <s v="Asia"/>
    <x v="15"/>
    <x v="0"/>
    <m/>
    <s v=""/>
    <s v=""/>
  </r>
  <r>
    <n v="1691"/>
    <x v="80"/>
    <s v="Instant Cup Noodles Minced Prok Flavor"/>
    <x v="2"/>
    <x v="3"/>
    <s v="Asia"/>
    <x v="2"/>
    <x v="2"/>
    <m/>
    <s v=""/>
    <s v=""/>
  </r>
  <r>
    <n v="1668"/>
    <x v="80"/>
    <s v="Cup Rice Vermicelli With Clear Soup"/>
    <x v="2"/>
    <x v="3"/>
    <s v="Asia"/>
    <x v="2"/>
    <x v="2"/>
    <m/>
    <s v=""/>
    <s v=""/>
  </r>
  <r>
    <n v="1662"/>
    <x v="80"/>
    <s v="Non-Fried Instant Noodles Ramen Tonkotsu Flavor"/>
    <x v="0"/>
    <x v="3"/>
    <s v="Asia"/>
    <x v="3"/>
    <x v="0"/>
    <m/>
    <s v=""/>
    <s v=""/>
  </r>
  <r>
    <n v="1656"/>
    <x v="80"/>
    <s v="JokCup Instant Porridge Soup Seafood Flavour"/>
    <x v="2"/>
    <x v="3"/>
    <s v="Asia"/>
    <x v="2"/>
    <x v="2"/>
    <m/>
    <s v=""/>
    <s v=""/>
  </r>
  <r>
    <n v="1635"/>
    <x v="88"/>
    <s v="Quick Zabb Tom Klong Flavour Instant Noodles"/>
    <x v="0"/>
    <x v="3"/>
    <s v="Asia"/>
    <x v="9"/>
    <x v="2"/>
    <m/>
    <s v=""/>
    <s v=""/>
  </r>
  <r>
    <n v="1625"/>
    <x v="80"/>
    <s v="Instant Rice Noodle Soup Spicy Shrimp Flavour"/>
    <x v="1"/>
    <x v="3"/>
    <s v="Asia"/>
    <x v="3"/>
    <x v="0"/>
    <m/>
    <s v=""/>
    <s v=""/>
  </r>
  <r>
    <n v="1598"/>
    <x v="80"/>
    <s v="Cup Rice Vermicelli Shrimp Creamy Tom Yum"/>
    <x v="2"/>
    <x v="3"/>
    <s v="Asia"/>
    <x v="0"/>
    <x v="0"/>
    <m/>
    <s v=""/>
    <s v=""/>
  </r>
  <r>
    <n v="1577"/>
    <x v="80"/>
    <s v="Pork Flavour Whole Wheat Noodle"/>
    <x v="0"/>
    <x v="3"/>
    <s v="Asia"/>
    <x v="10"/>
    <x v="2"/>
    <m/>
    <s v=""/>
    <s v=""/>
  </r>
  <r>
    <n v="1568"/>
    <x v="80"/>
    <s v="Instant Noodles Cup Beef Flavour"/>
    <x v="2"/>
    <x v="3"/>
    <s v="Asia"/>
    <x v="2"/>
    <x v="2"/>
    <m/>
    <s v=""/>
    <s v=""/>
  </r>
  <r>
    <n v="1560"/>
    <x v="91"/>
    <s v="Instant Rice Noodle Spicy Seafood"/>
    <x v="3"/>
    <x v="3"/>
    <s v="Asia"/>
    <x v="10"/>
    <x v="2"/>
    <m/>
    <s v=""/>
    <s v=""/>
  </r>
  <r>
    <n v="1552"/>
    <x v="86"/>
    <s v="Oriental Style Instant Noodles Pa-Lo Duck Flavour"/>
    <x v="0"/>
    <x v="3"/>
    <s v="Asia"/>
    <x v="2"/>
    <x v="2"/>
    <m/>
    <s v=""/>
    <s v=""/>
  </r>
  <r>
    <n v="1537"/>
    <x v="88"/>
    <s v="Quick Zabb Chili Paste Tom Yum Flavour Instant Noodles"/>
    <x v="0"/>
    <x v="3"/>
    <s v="Asia"/>
    <x v="10"/>
    <x v="2"/>
    <m/>
    <s v=""/>
    <s v=""/>
  </r>
  <r>
    <n v="1520"/>
    <x v="87"/>
    <s v="Oriental Style Instant Noodles Wasabi Flavour"/>
    <x v="0"/>
    <x v="3"/>
    <s v="Asia"/>
    <x v="4"/>
    <x v="2"/>
    <m/>
    <s v=""/>
    <s v=""/>
  </r>
  <r>
    <n v="1513"/>
    <x v="80"/>
    <s v="Instant Noodles Tom Yum Pork Flavour"/>
    <x v="0"/>
    <x v="3"/>
    <s v="Asia"/>
    <x v="0"/>
    <x v="0"/>
    <m/>
    <s v=""/>
    <s v=""/>
  </r>
  <r>
    <n v="1492"/>
    <x v="88"/>
    <s v="Quick Zabb Tom Yum Shrimp Flavour Instant Noodles"/>
    <x v="0"/>
    <x v="3"/>
    <s v="Asia"/>
    <x v="0"/>
    <x v="0"/>
    <m/>
    <s v=""/>
    <s v=""/>
  </r>
  <r>
    <n v="1478"/>
    <x v="92"/>
    <s v="Tom Yam Flavour Instant Noodles"/>
    <x v="0"/>
    <x v="3"/>
    <s v="Asia"/>
    <x v="0"/>
    <x v="0"/>
    <m/>
    <s v=""/>
    <s v=""/>
  </r>
  <r>
    <n v="1477"/>
    <x v="80"/>
    <s v="Instant Noodles Moo Nam Tok Flavour"/>
    <x v="0"/>
    <x v="3"/>
    <s v="Asia"/>
    <x v="0"/>
    <x v="0"/>
    <m/>
    <s v=""/>
    <s v=""/>
  </r>
  <r>
    <n v="1475"/>
    <x v="86"/>
    <s v="Cup Oriental Style Instant Noodles Chicken Flavour"/>
    <x v="2"/>
    <x v="3"/>
    <s v="Asia"/>
    <x v="5"/>
    <x v="2"/>
    <m/>
    <s v=""/>
    <s v=""/>
  </r>
  <r>
    <n v="1474"/>
    <x v="80"/>
    <s v="Instant Noodle Shrimp Tom Yum Flavour Jumbo Pack"/>
    <x v="0"/>
    <x v="3"/>
    <s v="Asia"/>
    <x v="0"/>
    <x v="0"/>
    <m/>
    <s v=""/>
    <s v=""/>
  </r>
  <r>
    <n v="1473"/>
    <x v="80"/>
    <s v="Instant Cup Noodles Shrimp Tom Yum Flavour (Extreme)"/>
    <x v="2"/>
    <x v="3"/>
    <s v="Asia"/>
    <x v="3"/>
    <x v="0"/>
    <m/>
    <s v=""/>
    <s v=""/>
  </r>
  <r>
    <n v="1472"/>
    <x v="92"/>
    <s v="Chicken Masala Flavour Instant Fried Noodles"/>
    <x v="0"/>
    <x v="3"/>
    <s v="Asia"/>
    <x v="10"/>
    <x v="2"/>
    <m/>
    <s v=""/>
    <s v=""/>
  </r>
  <r>
    <n v="1470"/>
    <x v="80"/>
    <s v="Instant Cup Noodles Spicy Cheese Flavour"/>
    <x v="2"/>
    <x v="3"/>
    <s v="Asia"/>
    <x v="2"/>
    <x v="2"/>
    <m/>
    <s v=""/>
    <s v=""/>
  </r>
  <r>
    <n v="1468"/>
    <x v="80"/>
    <s v="Instant Cup Noodles Seafood Pad Kee Mao Flavour"/>
    <x v="2"/>
    <x v="3"/>
    <s v="Asia"/>
    <x v="3"/>
    <x v="0"/>
    <m/>
    <s v=""/>
    <s v=""/>
  </r>
  <r>
    <n v="1467"/>
    <x v="92"/>
    <s v="Creamy Tom Yam Instant Noodles"/>
    <x v="0"/>
    <x v="3"/>
    <s v="Asia"/>
    <x v="17"/>
    <x v="0"/>
    <m/>
    <s v=""/>
    <s v=""/>
  </r>
  <r>
    <n v="1404"/>
    <x v="93"/>
    <s v="Instant Noodles Seafood Flavour"/>
    <x v="2"/>
    <x v="3"/>
    <s v="Asia"/>
    <x v="0"/>
    <x v="0"/>
    <m/>
    <s v=""/>
    <s v=""/>
  </r>
  <r>
    <n v="1370"/>
    <x v="94"/>
    <s v="Oriental Style Instant 'Kua-Chap'"/>
    <x v="0"/>
    <x v="3"/>
    <s v="Asia"/>
    <x v="5"/>
    <x v="2"/>
    <m/>
    <s v=""/>
    <s v=""/>
  </r>
  <r>
    <n v="1339"/>
    <x v="91"/>
    <s v="Instant Rice Noodle Pad Thai"/>
    <x v="3"/>
    <x v="3"/>
    <s v="Asia"/>
    <x v="10"/>
    <x v="2"/>
    <m/>
    <s v=""/>
    <s v=""/>
  </r>
  <r>
    <n v="1324"/>
    <x v="92"/>
    <s v="Instant Noodles Stewed Beef Flavour"/>
    <x v="0"/>
    <x v="3"/>
    <s v="Asia"/>
    <x v="2"/>
    <x v="2"/>
    <m/>
    <s v=""/>
    <s v=""/>
  </r>
  <r>
    <n v="1320"/>
    <x v="80"/>
    <s v="Instant Noodles Cup Seafood Flavour"/>
    <x v="2"/>
    <x v="3"/>
    <s v="Asia"/>
    <x v="10"/>
    <x v="2"/>
    <m/>
    <s v=""/>
    <s v=""/>
  </r>
  <r>
    <n v="1309"/>
    <x v="87"/>
    <s v="Oriental Style Instant Noodles Seafood Flavour"/>
    <x v="2"/>
    <x v="3"/>
    <s v="Asia"/>
    <x v="10"/>
    <x v="2"/>
    <m/>
    <s v=""/>
    <s v=""/>
  </r>
  <r>
    <n v="1294"/>
    <x v="93"/>
    <s v="Instant Noodles Chicken Flavour"/>
    <x v="2"/>
    <x v="3"/>
    <s v="Asia"/>
    <x v="4"/>
    <x v="2"/>
    <m/>
    <s v=""/>
    <s v=""/>
  </r>
  <r>
    <n v="1255"/>
    <x v="93"/>
    <s v="Instant Noodles Shrimp Flavour"/>
    <x v="2"/>
    <x v="3"/>
    <s v="Asia"/>
    <x v="5"/>
    <x v="2"/>
    <m/>
    <s v=""/>
    <s v=""/>
  </r>
  <r>
    <n v="1251"/>
    <x v="80"/>
    <s v="Instant Noodles Tom Saab Flavour"/>
    <x v="0"/>
    <x v="3"/>
    <s v="Asia"/>
    <x v="2"/>
    <x v="2"/>
    <m/>
    <s v=""/>
    <s v=""/>
  </r>
  <r>
    <n v="1237"/>
    <x v="80"/>
    <s v="Instant Noodles Creamy Tom Yum Minced Pork Flavour"/>
    <x v="0"/>
    <x v="3"/>
    <s v="Asia"/>
    <x v="2"/>
    <x v="2"/>
    <m/>
    <s v=""/>
    <s v=""/>
  </r>
  <r>
    <n v="1212"/>
    <x v="92"/>
    <s v="Instant Noodles Tom Yum Flavour"/>
    <x v="0"/>
    <x v="3"/>
    <s v="Asia"/>
    <x v="2"/>
    <x v="2"/>
    <m/>
    <s v=""/>
    <s v=""/>
  </r>
  <r>
    <n v="1205"/>
    <x v="80"/>
    <s v="Instant Noodles Pork Flavour With Black Pepper"/>
    <x v="0"/>
    <x v="3"/>
    <s v="Asia"/>
    <x v="2"/>
    <x v="2"/>
    <m/>
    <s v=""/>
    <s v=""/>
  </r>
  <r>
    <n v="1199"/>
    <x v="80"/>
    <s v="Instant Noodles Chicken Green Curry Flavour"/>
    <x v="0"/>
    <x v="3"/>
    <s v="Asia"/>
    <x v="10"/>
    <x v="2"/>
    <m/>
    <s v=""/>
    <s v=""/>
  </r>
  <r>
    <n v="1112"/>
    <x v="80"/>
    <s v="Oriental Style Instant Kua-Chap Clear Soup"/>
    <x v="0"/>
    <x v="3"/>
    <s v="Asia"/>
    <x v="10"/>
    <x v="2"/>
    <m/>
    <s v=""/>
    <s v=""/>
  </r>
  <r>
    <n v="1032"/>
    <x v="80"/>
    <s v="Authentic Thai Cuisine Pad Thai"/>
    <x v="0"/>
    <x v="3"/>
    <s v="Asia"/>
    <x v="0"/>
    <x v="0"/>
    <m/>
    <s v=""/>
    <s v=""/>
  </r>
  <r>
    <n v="1004"/>
    <x v="88"/>
    <s v="Artificial Pork Flavour"/>
    <x v="0"/>
    <x v="3"/>
    <s v="Asia"/>
    <x v="4"/>
    <x v="2"/>
    <m/>
    <s v=""/>
    <s v=""/>
  </r>
  <r>
    <n v="994"/>
    <x v="88"/>
    <s v="Tom Yum Shrimp Flavour"/>
    <x v="0"/>
    <x v="3"/>
    <s v="Asia"/>
    <x v="5"/>
    <x v="2"/>
    <m/>
    <s v=""/>
    <s v=""/>
  </r>
  <r>
    <n v="944"/>
    <x v="88"/>
    <s v="Oriental Style Instant Noodles (Dry method)"/>
    <x v="0"/>
    <x v="3"/>
    <s v="Asia"/>
    <x v="4"/>
    <x v="2"/>
    <m/>
    <s v=""/>
    <s v=""/>
  </r>
  <r>
    <n v="940"/>
    <x v="88"/>
    <s v="Sour Soup Flavor"/>
    <x v="0"/>
    <x v="3"/>
    <s v="Asia"/>
    <x v="2"/>
    <x v="2"/>
    <m/>
    <s v=""/>
    <s v=""/>
  </r>
  <r>
    <n v="937"/>
    <x v="80"/>
    <s v="Shrimp (TOM YUM)"/>
    <x v="0"/>
    <x v="3"/>
    <s v="Asia"/>
    <x v="10"/>
    <x v="2"/>
    <m/>
    <s v=""/>
    <s v=""/>
  </r>
  <r>
    <n v="922"/>
    <x v="95"/>
    <s v="Shitake Mushroom Vernicalli"/>
    <x v="1"/>
    <x v="3"/>
    <s v="Asia"/>
    <x v="7"/>
    <x v="1"/>
    <m/>
    <s v=""/>
    <s v=""/>
  </r>
  <r>
    <n v="915"/>
    <x v="88"/>
    <s v="Casserole Beef Flavour"/>
    <x v="0"/>
    <x v="3"/>
    <s v="Asia"/>
    <x v="2"/>
    <x v="2"/>
    <m/>
    <s v=""/>
    <s v=""/>
  </r>
  <r>
    <n v="902"/>
    <x v="95"/>
    <s v="Pho Bo Beef Flavour Rice Stick"/>
    <x v="1"/>
    <x v="3"/>
    <s v="Asia"/>
    <x v="5"/>
    <x v="2"/>
    <m/>
    <s v=""/>
    <s v=""/>
  </r>
  <r>
    <n v="875"/>
    <x v="95"/>
    <s v="Artificial Chicken Rice Vermicelli"/>
    <x v="1"/>
    <x v="3"/>
    <s v="Asia"/>
    <x v="6"/>
    <x v="1"/>
    <m/>
    <s v=""/>
    <s v=""/>
  </r>
  <r>
    <n v="865"/>
    <x v="89"/>
    <s v="Stewed Duck"/>
    <x v="2"/>
    <x v="3"/>
    <s v="Asia"/>
    <x v="4"/>
    <x v="2"/>
    <m/>
    <s v=""/>
    <s v=""/>
  </r>
  <r>
    <n v="856"/>
    <x v="89"/>
    <s v="Mushroom Vegetarian"/>
    <x v="1"/>
    <x v="3"/>
    <s v="Asia"/>
    <x v="15"/>
    <x v="0"/>
    <m/>
    <s v=""/>
    <s v=""/>
  </r>
  <r>
    <n v="833"/>
    <x v="88"/>
    <s v="Vegetarian"/>
    <x v="0"/>
    <x v="3"/>
    <s v="Asia"/>
    <x v="2"/>
    <x v="2"/>
    <m/>
    <s v=""/>
    <s v=""/>
  </r>
  <r>
    <n v="820"/>
    <x v="95"/>
    <s v="Tom Yum Shrimp Rice Stick"/>
    <x v="1"/>
    <x v="3"/>
    <s v="Asia"/>
    <x v="10"/>
    <x v="2"/>
    <m/>
    <s v=""/>
    <s v=""/>
  </r>
  <r>
    <n v="808"/>
    <x v="96"/>
    <s v="Vegetarian Tom Yum"/>
    <x v="1"/>
    <x v="3"/>
    <s v="Asia"/>
    <x v="2"/>
    <x v="2"/>
    <m/>
    <s v=""/>
    <s v=""/>
  </r>
  <r>
    <n v="804"/>
    <x v="89"/>
    <s v="Abalone Chicken"/>
    <x v="2"/>
    <x v="3"/>
    <s v="Asia"/>
    <x v="14"/>
    <x v="1"/>
    <m/>
    <s v=""/>
    <s v=""/>
  </r>
  <r>
    <n v="790"/>
    <x v="97"/>
    <s v="Shiitake &amp; Soy Sauce"/>
    <x v="0"/>
    <x v="3"/>
    <s v="Asia"/>
    <x v="8"/>
    <x v="1"/>
    <m/>
    <s v=""/>
    <s v=""/>
  </r>
  <r>
    <n v="773"/>
    <x v="89"/>
    <s v="TVP Stewed Pork"/>
    <x v="1"/>
    <x v="3"/>
    <s v="Asia"/>
    <x v="2"/>
    <x v="2"/>
    <m/>
    <s v=""/>
    <s v=""/>
  </r>
  <r>
    <n v="768"/>
    <x v="98"/>
    <s v="Oriental"/>
    <x v="1"/>
    <x v="3"/>
    <s v="Asia"/>
    <x v="20"/>
    <x v="1"/>
    <m/>
    <s v=""/>
    <s v=""/>
  </r>
  <r>
    <n v="767"/>
    <x v="98"/>
    <s v="Mushroom Vegetarian"/>
    <x v="1"/>
    <x v="3"/>
    <s v="Asia"/>
    <x v="14"/>
    <x v="1"/>
    <m/>
    <s v=""/>
    <s v=""/>
  </r>
  <r>
    <n v="766"/>
    <x v="98"/>
    <s v="Beef Pho"/>
    <x v="1"/>
    <x v="3"/>
    <s v="Asia"/>
    <x v="10"/>
    <x v="2"/>
    <m/>
    <s v=""/>
    <s v=""/>
  </r>
  <r>
    <n v="707"/>
    <x v="99"/>
    <s v="Noodle Soup Spicy Beef Garlic Onion"/>
    <x v="1"/>
    <x v="3"/>
    <s v="Asia"/>
    <x v="5"/>
    <x v="2"/>
    <m/>
    <s v=""/>
    <s v=""/>
  </r>
  <r>
    <n v="689"/>
    <x v="99"/>
    <s v="Noodle Soup Sour Spicy Shrimp Tom Yum"/>
    <x v="1"/>
    <x v="3"/>
    <s v="Asia"/>
    <x v="6"/>
    <x v="1"/>
    <m/>
    <s v=""/>
    <s v=""/>
  </r>
  <r>
    <n v="665"/>
    <x v="80"/>
    <s v="Moo Nam Tok Rice Vermicelli"/>
    <x v="0"/>
    <x v="3"/>
    <s v="Asia"/>
    <x v="5"/>
    <x v="2"/>
    <m/>
    <s v=""/>
    <s v=""/>
  </r>
  <r>
    <n v="654"/>
    <x v="99"/>
    <s v="Sour Spicy Chicken Tom Yum"/>
    <x v="1"/>
    <x v="3"/>
    <s v="Asia"/>
    <x v="5"/>
    <x v="2"/>
    <m/>
    <s v=""/>
    <s v=""/>
  </r>
  <r>
    <n v="647"/>
    <x v="95"/>
    <s v="Tom Yum Shrimp Noodle"/>
    <x v="1"/>
    <x v="3"/>
    <s v="Asia"/>
    <x v="2"/>
    <x v="2"/>
    <m/>
    <s v=""/>
    <s v=""/>
  </r>
  <r>
    <n v="642"/>
    <x v="89"/>
    <s v="Spicy Beef"/>
    <x v="2"/>
    <x v="3"/>
    <s v="Asia"/>
    <x v="9"/>
    <x v="2"/>
    <m/>
    <s v=""/>
    <s v=""/>
  </r>
  <r>
    <n v="638"/>
    <x v="97"/>
    <s v="Yakisoba"/>
    <x v="0"/>
    <x v="3"/>
    <s v="Asia"/>
    <x v="4"/>
    <x v="2"/>
    <m/>
    <s v=""/>
    <s v=""/>
  </r>
  <r>
    <n v="631"/>
    <x v="98"/>
    <s v="XO Sauce"/>
    <x v="1"/>
    <x v="3"/>
    <s v="Asia"/>
    <x v="7"/>
    <x v="1"/>
    <m/>
    <s v=""/>
    <s v=""/>
  </r>
  <r>
    <n v="605"/>
    <x v="89"/>
    <s v="Artificial Onion"/>
    <x v="2"/>
    <x v="3"/>
    <s v="Asia"/>
    <x v="2"/>
    <x v="2"/>
    <m/>
    <s v=""/>
    <s v=""/>
  </r>
  <r>
    <n v="598"/>
    <x v="89"/>
    <s v="Vegetarian"/>
    <x v="2"/>
    <x v="3"/>
    <s v="Asia"/>
    <x v="5"/>
    <x v="2"/>
    <m/>
    <s v=""/>
    <s v=""/>
  </r>
  <r>
    <n v="590"/>
    <x v="80"/>
    <s v="Chand Clear Soup"/>
    <x v="1"/>
    <x v="3"/>
    <s v="Asia"/>
    <x v="2"/>
    <x v="2"/>
    <m/>
    <s v=""/>
    <s v=""/>
  </r>
  <r>
    <n v="563"/>
    <x v="87"/>
    <s v="Duck"/>
    <x v="0"/>
    <x v="3"/>
    <s v="Asia"/>
    <x v="5"/>
    <x v="2"/>
    <m/>
    <s v=""/>
    <s v=""/>
  </r>
  <r>
    <n v="559"/>
    <x v="88"/>
    <s v="Quick Tom Yum Shrimp"/>
    <x v="2"/>
    <x v="3"/>
    <s v="Asia"/>
    <x v="4"/>
    <x v="2"/>
    <m/>
    <s v=""/>
    <s v=""/>
  </r>
  <r>
    <n v="554"/>
    <x v="87"/>
    <s v="Shrimp Tom Yum Flavor"/>
    <x v="0"/>
    <x v="3"/>
    <s v="Asia"/>
    <x v="2"/>
    <x v="2"/>
    <m/>
    <s v=""/>
    <s v=""/>
  </r>
  <r>
    <n v="546"/>
    <x v="87"/>
    <s v="Vegetable"/>
    <x v="0"/>
    <x v="3"/>
    <s v="Asia"/>
    <x v="2"/>
    <x v="2"/>
    <m/>
    <s v=""/>
    <s v=""/>
  </r>
  <r>
    <n v="541"/>
    <x v="87"/>
    <s v="Chicken"/>
    <x v="0"/>
    <x v="3"/>
    <s v="Asia"/>
    <x v="2"/>
    <x v="2"/>
    <m/>
    <s v=""/>
    <s v=""/>
  </r>
  <r>
    <n v="537"/>
    <x v="80"/>
    <s v="Pad Kee Mao Drunken"/>
    <x v="0"/>
    <x v="3"/>
    <s v="Asia"/>
    <x v="11"/>
    <x v="1"/>
    <m/>
    <s v=""/>
    <s v=""/>
  </r>
  <r>
    <n v="535"/>
    <x v="88"/>
    <s v="Chicken Flavor"/>
    <x v="0"/>
    <x v="3"/>
    <s v="Asia"/>
    <x v="23"/>
    <x v="1"/>
    <m/>
    <s v=""/>
    <s v=""/>
  </r>
  <r>
    <n v="534"/>
    <x v="80"/>
    <s v="Pho Ga"/>
    <x v="0"/>
    <x v="3"/>
    <s v="Asia"/>
    <x v="24"/>
    <x v="2"/>
    <m/>
    <s v=""/>
    <s v=""/>
  </r>
  <r>
    <n v="531"/>
    <x v="87"/>
    <s v="Beef"/>
    <x v="0"/>
    <x v="3"/>
    <s v="Asia"/>
    <x v="5"/>
    <x v="2"/>
    <m/>
    <s v=""/>
    <s v=""/>
  </r>
  <r>
    <n v="530"/>
    <x v="99"/>
    <s v="Artificial Shrimp Tom yum"/>
    <x v="1"/>
    <x v="3"/>
    <s v="Asia"/>
    <x v="2"/>
    <x v="2"/>
    <m/>
    <s v=""/>
    <s v=""/>
  </r>
  <r>
    <n v="527"/>
    <x v="89"/>
    <s v="Wheat Gluten Stewed Duck Flavoured"/>
    <x v="1"/>
    <x v="3"/>
    <s v="Asia"/>
    <x v="9"/>
    <x v="2"/>
    <m/>
    <s v=""/>
    <s v=""/>
  </r>
  <r>
    <n v="503"/>
    <x v="97"/>
    <s v="Miso"/>
    <x v="0"/>
    <x v="3"/>
    <s v="Asia"/>
    <x v="19"/>
    <x v="1"/>
    <m/>
    <s v=""/>
    <s v=""/>
  </r>
  <r>
    <n v="502"/>
    <x v="95"/>
    <s v="Beef Rice Stick"/>
    <x v="1"/>
    <x v="3"/>
    <s v="Asia"/>
    <x v="11"/>
    <x v="1"/>
    <m/>
    <s v=""/>
    <s v=""/>
  </r>
  <r>
    <n v="464"/>
    <x v="80"/>
    <s v="Vegetable"/>
    <x v="0"/>
    <x v="3"/>
    <s v="Asia"/>
    <x v="5"/>
    <x v="2"/>
    <m/>
    <s v=""/>
    <s v=""/>
  </r>
  <r>
    <n v="439"/>
    <x v="89"/>
    <s v="Tom Yum Seafood Creamy"/>
    <x v="1"/>
    <x v="3"/>
    <s v="Asia"/>
    <x v="4"/>
    <x v="2"/>
    <m/>
    <s v=""/>
    <s v=""/>
  </r>
  <r>
    <n v="411"/>
    <x v="95"/>
    <s v="Crab Vermicelli"/>
    <x v="1"/>
    <x v="3"/>
    <s v="Asia"/>
    <x v="5"/>
    <x v="2"/>
    <m/>
    <s v=""/>
    <s v=""/>
  </r>
  <r>
    <n v="389"/>
    <x v="80"/>
    <s v="Vegetarian Tom Yum"/>
    <x v="0"/>
    <x v="3"/>
    <s v="Asia"/>
    <x v="9"/>
    <x v="2"/>
    <m/>
    <s v=""/>
    <s v=""/>
  </r>
  <r>
    <n v="368"/>
    <x v="100"/>
    <s v="Chili Pork"/>
    <x v="2"/>
    <x v="3"/>
    <s v="Asia"/>
    <x v="2"/>
    <x v="2"/>
    <m/>
    <s v=""/>
    <s v=""/>
  </r>
  <r>
    <n v="331"/>
    <x v="95"/>
    <s v="Crab Noodle"/>
    <x v="1"/>
    <x v="3"/>
    <s v="Asia"/>
    <x v="17"/>
    <x v="0"/>
    <m/>
    <s v=""/>
    <s v=""/>
  </r>
  <r>
    <n v="329"/>
    <x v="99"/>
    <s v="Artificial Beef Flavor"/>
    <x v="1"/>
    <x v="3"/>
    <s v="Asia"/>
    <x v="2"/>
    <x v="2"/>
    <m/>
    <s v=""/>
    <s v=""/>
  </r>
  <r>
    <n v="326"/>
    <x v="89"/>
    <s v="TVP Curry Chicken"/>
    <x v="1"/>
    <x v="3"/>
    <s v="Asia"/>
    <x v="0"/>
    <x v="0"/>
    <m/>
    <s v=""/>
    <s v=""/>
  </r>
  <r>
    <n v="325"/>
    <x v="99"/>
    <s v="Artificial Pork"/>
    <x v="1"/>
    <x v="3"/>
    <s v="Asia"/>
    <x v="2"/>
    <x v="2"/>
    <m/>
    <s v=""/>
    <s v=""/>
  </r>
  <r>
    <n v="321"/>
    <x v="89"/>
    <s v="TVP Spicy Beef"/>
    <x v="1"/>
    <x v="3"/>
    <s v="Asia"/>
    <x v="15"/>
    <x v="0"/>
    <m/>
    <s v=""/>
    <s v=""/>
  </r>
  <r>
    <n v="307"/>
    <x v="101"/>
    <s v="Vegetarian Tom Yum"/>
    <x v="2"/>
    <x v="3"/>
    <s v="Asia"/>
    <x v="9"/>
    <x v="2"/>
    <m/>
    <s v=""/>
    <s v=""/>
  </r>
  <r>
    <n v="304"/>
    <x v="80"/>
    <s v="Pho Bo Rice Noodle Artificial Beef"/>
    <x v="1"/>
    <x v="3"/>
    <s v="Asia"/>
    <x v="2"/>
    <x v="2"/>
    <m/>
    <s v=""/>
    <s v=""/>
  </r>
  <r>
    <n v="281"/>
    <x v="80"/>
    <s v="Oriental Kitchen Hot Spicy"/>
    <x v="2"/>
    <x v="3"/>
    <s v="Asia"/>
    <x v="4"/>
    <x v="2"/>
    <m/>
    <s v=""/>
    <s v=""/>
  </r>
  <r>
    <n v="276"/>
    <x v="88"/>
    <s v="Chili Paste Tom Yum"/>
    <x v="0"/>
    <x v="3"/>
    <s v="Asia"/>
    <x v="5"/>
    <x v="2"/>
    <m/>
    <s v=""/>
    <s v=""/>
  </r>
  <r>
    <n v="275"/>
    <x v="80"/>
    <s v="Cup Shrimp Tom Yum Flavor"/>
    <x v="2"/>
    <x v="3"/>
    <s v="Asia"/>
    <x v="10"/>
    <x v="2"/>
    <m/>
    <s v=""/>
    <s v=""/>
  </r>
  <r>
    <n v="273"/>
    <x v="88"/>
    <s v="Minced Pork Tom Yum"/>
    <x v="0"/>
    <x v="3"/>
    <s v="Asia"/>
    <x v="6"/>
    <x v="1"/>
    <m/>
    <s v=""/>
    <s v=""/>
  </r>
  <r>
    <n v="267"/>
    <x v="80"/>
    <s v="Pork"/>
    <x v="2"/>
    <x v="3"/>
    <s v="Asia"/>
    <x v="11"/>
    <x v="1"/>
    <m/>
    <s v=""/>
    <s v=""/>
  </r>
  <r>
    <n v="258"/>
    <x v="101"/>
    <s v="Tom Yum Shrimp"/>
    <x v="2"/>
    <x v="3"/>
    <s v="Asia"/>
    <x v="5"/>
    <x v="2"/>
    <m/>
    <s v=""/>
    <s v=""/>
  </r>
  <r>
    <n v="255"/>
    <x v="80"/>
    <s v="Oriental Kitchen Spicy Seafood"/>
    <x v="2"/>
    <x v="3"/>
    <s v="Asia"/>
    <x v="10"/>
    <x v="2"/>
    <m/>
    <s v=""/>
    <s v=""/>
  </r>
  <r>
    <n v="246"/>
    <x v="80"/>
    <s v="Artificial Pork Jumbo"/>
    <x v="0"/>
    <x v="3"/>
    <s v="Asia"/>
    <x v="4"/>
    <x v="2"/>
    <m/>
    <s v=""/>
    <s v=""/>
  </r>
  <r>
    <n v="242"/>
    <x v="98"/>
    <s v="Tom Klong"/>
    <x v="1"/>
    <x v="3"/>
    <s v="Asia"/>
    <x v="11"/>
    <x v="1"/>
    <m/>
    <s v=""/>
    <s v=""/>
  </r>
  <r>
    <n v="224"/>
    <x v="80"/>
    <s v="Instant Bowl Noodles Artificial Pork"/>
    <x v="1"/>
    <x v="3"/>
    <s v="Asia"/>
    <x v="9"/>
    <x v="2"/>
    <m/>
    <s v=""/>
    <s v=""/>
  </r>
  <r>
    <n v="193"/>
    <x v="102"/>
    <s v="Shrimp Tom Yum Flavor"/>
    <x v="1"/>
    <x v="3"/>
    <s v="Asia"/>
    <x v="6"/>
    <x v="1"/>
    <m/>
    <s v=""/>
    <s v=""/>
  </r>
  <r>
    <n v="179"/>
    <x v="80"/>
    <s v="Kimchi"/>
    <x v="0"/>
    <x v="3"/>
    <s v="Asia"/>
    <x v="4"/>
    <x v="2"/>
    <m/>
    <s v=""/>
    <s v=""/>
  </r>
  <r>
    <n v="178"/>
    <x v="80"/>
    <s v="Oriental Style Clear Soup"/>
    <x v="0"/>
    <x v="3"/>
    <s v="Asia"/>
    <x v="11"/>
    <x v="1"/>
    <m/>
    <s v=""/>
    <s v=""/>
  </r>
  <r>
    <n v="172"/>
    <x v="80"/>
    <s v="Flat Noodle Tom Yum"/>
    <x v="0"/>
    <x v="3"/>
    <s v="Asia"/>
    <x v="10"/>
    <x v="2"/>
    <m/>
    <s v=""/>
    <s v=""/>
  </r>
  <r>
    <n v="167"/>
    <x v="88"/>
    <s v="Crab Instant Rice Vermicelli"/>
    <x v="0"/>
    <x v="3"/>
    <s v="Asia"/>
    <x v="6"/>
    <x v="1"/>
    <m/>
    <s v=""/>
    <s v=""/>
  </r>
  <r>
    <n v="159"/>
    <x v="80"/>
    <s v="Hot &amp; Spicy"/>
    <x v="0"/>
    <x v="3"/>
    <s v="Asia"/>
    <x v="14"/>
    <x v="1"/>
    <m/>
    <s v=""/>
    <s v=""/>
  </r>
  <r>
    <n v="158"/>
    <x v="80"/>
    <s v="Jok Cup Porridge Artificial Pork"/>
    <x v="2"/>
    <x v="3"/>
    <s v="Asia"/>
    <x v="6"/>
    <x v="1"/>
    <m/>
    <s v=""/>
    <s v=""/>
  </r>
  <r>
    <n v="146"/>
    <x v="80"/>
    <s v="Pho Bo"/>
    <x v="0"/>
    <x v="3"/>
    <s v="Asia"/>
    <x v="6"/>
    <x v="1"/>
    <m/>
    <s v=""/>
    <s v=""/>
  </r>
  <r>
    <n v="143"/>
    <x v="80"/>
    <s v="Mamy Chand Clear Soup"/>
    <x v="0"/>
    <x v="3"/>
    <s v="Asia"/>
    <x v="9"/>
    <x v="2"/>
    <m/>
    <s v=""/>
    <s v=""/>
  </r>
  <r>
    <n v="140"/>
    <x v="80"/>
    <s v="Mi Goreng"/>
    <x v="0"/>
    <x v="3"/>
    <s v="Asia"/>
    <x v="3"/>
    <x v="0"/>
    <m/>
    <s v=""/>
    <s v=""/>
  </r>
  <r>
    <n v="136"/>
    <x v="80"/>
    <s v="Shrimp Creamy Tom Yum"/>
    <x v="0"/>
    <x v="3"/>
    <s v="Asia"/>
    <x v="3"/>
    <x v="0"/>
    <m/>
    <s v=""/>
    <s v=""/>
  </r>
  <r>
    <n v="128"/>
    <x v="80"/>
    <s v="Artificial PA-LO Duck"/>
    <x v="0"/>
    <x v="3"/>
    <s v="Asia"/>
    <x v="25"/>
    <x v="1"/>
    <m/>
    <s v=""/>
    <s v=""/>
  </r>
  <r>
    <n v="126"/>
    <x v="80"/>
    <s v="Tom Yam Koong Rice Vermicelli"/>
    <x v="0"/>
    <x v="3"/>
    <s v="Asia"/>
    <x v="8"/>
    <x v="1"/>
    <m/>
    <s v=""/>
    <s v=""/>
  </r>
  <r>
    <n v="123"/>
    <x v="88"/>
    <s v="Minced Pork Soeng Kreung"/>
    <x v="0"/>
    <x v="3"/>
    <s v="Asia"/>
    <x v="26"/>
    <x v="2"/>
    <m/>
    <s v=""/>
    <s v=""/>
  </r>
  <r>
    <n v="116"/>
    <x v="80"/>
    <s v="Nam Vang"/>
    <x v="0"/>
    <x v="3"/>
    <s v="Asia"/>
    <x v="27"/>
    <x v="2"/>
    <m/>
    <s v=""/>
    <s v=""/>
  </r>
  <r>
    <n v="109"/>
    <x v="80"/>
    <s v="Pad Thai"/>
    <x v="0"/>
    <x v="3"/>
    <s v="Asia"/>
    <x v="24"/>
    <x v="2"/>
    <m/>
    <s v=""/>
    <s v=""/>
  </r>
  <r>
    <n v="106"/>
    <x v="97"/>
    <s v="Tom Yum"/>
    <x v="0"/>
    <x v="3"/>
    <s v="Asia"/>
    <x v="16"/>
    <x v="1"/>
    <m/>
    <s v=""/>
    <s v=""/>
  </r>
  <r>
    <n v="94"/>
    <x v="80"/>
    <s v="Artificial Chicken"/>
    <x v="0"/>
    <x v="3"/>
    <s v="Asia"/>
    <x v="6"/>
    <x v="1"/>
    <m/>
    <s v=""/>
    <s v=""/>
  </r>
  <r>
    <n v="92"/>
    <x v="82"/>
    <s v="Tom Yum Seafood Creamy"/>
    <x v="1"/>
    <x v="3"/>
    <s v="Asia"/>
    <x v="11"/>
    <x v="1"/>
    <m/>
    <s v=""/>
    <s v=""/>
  </r>
  <r>
    <n v="87"/>
    <x v="88"/>
    <s v="Tom Yum Shrimp Cream Soup"/>
    <x v="0"/>
    <x v="3"/>
    <s v="Asia"/>
    <x v="9"/>
    <x v="2"/>
    <m/>
    <s v=""/>
    <s v=""/>
  </r>
  <r>
    <n v="41"/>
    <x v="89"/>
    <s v="Pork Mustard Stem"/>
    <x v="1"/>
    <x v="3"/>
    <s v="Asia"/>
    <x v="16"/>
    <x v="1"/>
    <m/>
    <s v=""/>
    <s v=""/>
  </r>
  <r>
    <n v="35"/>
    <x v="80"/>
    <s v="Chand Clear Soup"/>
    <x v="0"/>
    <x v="3"/>
    <s v="Asia"/>
    <x v="4"/>
    <x v="2"/>
    <m/>
    <s v=""/>
    <s v=""/>
  </r>
  <r>
    <n v="29"/>
    <x v="99"/>
    <s v="Tom Yum Shrimp"/>
    <x v="1"/>
    <x v="3"/>
    <s v="Asia"/>
    <x v="2"/>
    <x v="2"/>
    <m/>
    <s v=""/>
    <s v=""/>
  </r>
  <r>
    <n v="4"/>
    <x v="88"/>
    <s v="Oriental Style Instant Noodles"/>
    <x v="0"/>
    <x v="3"/>
    <s v="Asia"/>
    <x v="19"/>
    <x v="1"/>
    <m/>
    <s v=""/>
    <s v=""/>
  </r>
  <r>
    <n v="3"/>
    <x v="88"/>
    <s v="Tom Yum Shrimp"/>
    <x v="0"/>
    <x v="3"/>
    <s v="Asia"/>
    <x v="11"/>
    <x v="1"/>
    <m/>
    <s v=""/>
    <s v=""/>
  </r>
  <r>
    <n v="2"/>
    <x v="88"/>
    <s v="Tom Yum Chili Flavor"/>
    <x v="0"/>
    <x v="3"/>
    <s v="Asia"/>
    <x v="11"/>
    <x v="1"/>
    <m/>
    <s v=""/>
    <s v=""/>
  </r>
  <r>
    <n v="1828"/>
    <x v="103"/>
    <s v="Scallion With Sichuan Pepper  Flavor"/>
    <x v="0"/>
    <x v="4"/>
    <s v="Asia"/>
    <x v="3"/>
    <x v="0"/>
    <s v="2016 #9"/>
    <s v="2016"/>
    <s v="9"/>
  </r>
  <r>
    <n v="1638"/>
    <x v="104"/>
    <s v="Veggie Noodle Tomato Noodle With Vine Ripened Tomato Sauce"/>
    <x v="0"/>
    <x v="4"/>
    <s v="Asia"/>
    <x v="3"/>
    <x v="0"/>
    <s v="2015 #10"/>
    <s v="2015"/>
    <s v="10"/>
  </r>
  <r>
    <n v="2579"/>
    <x v="105"/>
    <s v="Noodles Spicy Hot Sesame Spicy Hot Sesame Guan-miao Noodles"/>
    <x v="0"/>
    <x v="4"/>
    <s v="Asia"/>
    <x v="19"/>
    <x v="1"/>
    <m/>
    <s v=""/>
    <s v=""/>
  </r>
  <r>
    <n v="2577"/>
    <x v="106"/>
    <s v="GGE Ramen Snack Tomato Flavor"/>
    <x v="0"/>
    <x v="4"/>
    <s v="Asia"/>
    <x v="9"/>
    <x v="2"/>
    <m/>
    <s v=""/>
    <s v=""/>
  </r>
  <r>
    <n v="2540"/>
    <x v="106"/>
    <s v="GGE Noodle Snack Wheat Crackers Mexican Spicy"/>
    <x v="0"/>
    <x v="4"/>
    <s v="Asia"/>
    <x v="5"/>
    <x v="2"/>
    <m/>
    <s v=""/>
    <s v=""/>
  </r>
  <r>
    <n v="2515"/>
    <x v="1"/>
    <s v="Man Han Feast Spicy Beef Flavor Instant Noodles"/>
    <x v="1"/>
    <x v="4"/>
    <s v="Asia"/>
    <x v="3"/>
    <x v="0"/>
    <m/>
    <s v=""/>
    <s v=""/>
  </r>
  <r>
    <n v="2512"/>
    <x v="107"/>
    <s v="Dan Dan Noodle"/>
    <x v="0"/>
    <x v="4"/>
    <s v="Asia"/>
    <x v="3"/>
    <x v="0"/>
    <m/>
    <s v=""/>
    <s v=""/>
  </r>
  <r>
    <n v="2501"/>
    <x v="108"/>
    <s v="Toona Paste Noodle"/>
    <x v="0"/>
    <x v="4"/>
    <s v="Asia"/>
    <x v="0"/>
    <x v="0"/>
    <m/>
    <s v=""/>
    <s v=""/>
  </r>
  <r>
    <n v="2482"/>
    <x v="109"/>
    <s v="Chicken With Chinese Shaoxing Wine"/>
    <x v="0"/>
    <x v="4"/>
    <s v="Asia"/>
    <x v="15"/>
    <x v="0"/>
    <m/>
    <s v=""/>
    <s v=""/>
  </r>
  <r>
    <n v="2478"/>
    <x v="110"/>
    <s v="Scallion Oil &amp; Soy Sauce Noodle"/>
    <x v="0"/>
    <x v="4"/>
    <s v="Asia"/>
    <x v="3"/>
    <x v="0"/>
    <m/>
    <s v=""/>
    <s v=""/>
  </r>
  <r>
    <n v="2477"/>
    <x v="110"/>
    <s v="Sichuan Spices Flavor Noodle"/>
    <x v="0"/>
    <x v="4"/>
    <s v="Asia"/>
    <x v="3"/>
    <x v="0"/>
    <m/>
    <s v=""/>
    <s v=""/>
  </r>
  <r>
    <n v="2472"/>
    <x v="111"/>
    <s v="Noodle Snack Wheat Cracks Seaweed Flavor"/>
    <x v="0"/>
    <x v="4"/>
    <s v="Asia"/>
    <x v="2"/>
    <x v="2"/>
    <m/>
    <s v=""/>
    <s v=""/>
  </r>
  <r>
    <n v="2462"/>
    <x v="109"/>
    <s v="Sesame Oil Chicken Noodle With Rice Wine"/>
    <x v="1"/>
    <x v="4"/>
    <s v="Asia"/>
    <x v="3"/>
    <x v="0"/>
    <m/>
    <s v=""/>
    <s v=""/>
  </r>
  <r>
    <n v="2439"/>
    <x v="1"/>
    <s v="Man Han Feast Super Hot Pot Beef Flavor Instant Noodles"/>
    <x v="1"/>
    <x v="4"/>
    <s v="Asia"/>
    <x v="3"/>
    <x v="0"/>
    <m/>
    <s v=""/>
    <s v=""/>
  </r>
  <r>
    <n v="2434"/>
    <x v="108"/>
    <s v="Old Beijing Fried Bean Sauce Noodle"/>
    <x v="0"/>
    <x v="4"/>
    <s v="Asia"/>
    <x v="12"/>
    <x v="0"/>
    <m/>
    <s v=""/>
    <s v=""/>
  </r>
  <r>
    <n v="2428"/>
    <x v="109"/>
    <s v="Sesame Oil Chicken With Rice Wine Noodle"/>
    <x v="1"/>
    <x v="4"/>
    <s v="Asia"/>
    <x v="3"/>
    <x v="0"/>
    <m/>
    <s v=""/>
    <s v=""/>
  </r>
  <r>
    <n v="2423"/>
    <x v="17"/>
    <s v="Kung-Fu Instant Oriental Noodles Soup Artificial Onion Flavor"/>
    <x v="0"/>
    <x v="4"/>
    <s v="Asia"/>
    <x v="2"/>
    <x v="2"/>
    <m/>
    <s v=""/>
    <s v=""/>
  </r>
  <r>
    <n v="2421"/>
    <x v="1"/>
    <s v="Baseball Snack Noodle"/>
    <x v="0"/>
    <x v="4"/>
    <s v="Asia"/>
    <x v="3"/>
    <x v="0"/>
    <m/>
    <s v=""/>
    <s v=""/>
  </r>
  <r>
    <n v="2414"/>
    <x v="89"/>
    <s v="Thailand Green Curry Instant Noodle"/>
    <x v="1"/>
    <x v="4"/>
    <s v="Asia"/>
    <x v="3"/>
    <x v="0"/>
    <m/>
    <s v=""/>
    <s v=""/>
  </r>
  <r>
    <n v="2407"/>
    <x v="105"/>
    <s v="Chuan Wei Spicy Guan-miao Noodles"/>
    <x v="0"/>
    <x v="4"/>
    <s v="Asia"/>
    <x v="17"/>
    <x v="0"/>
    <m/>
    <s v=""/>
    <s v=""/>
  </r>
  <r>
    <n v="2385"/>
    <x v="1"/>
    <s v="Man Han Feast Chilli Beef Flavor Instant Noodles"/>
    <x v="1"/>
    <x v="4"/>
    <s v="Asia"/>
    <x v="15"/>
    <x v="0"/>
    <m/>
    <s v=""/>
    <s v=""/>
  </r>
  <r>
    <n v="2375"/>
    <x v="1"/>
    <s v="Man Han Feast Braised Pork Flavor Instant Noodles"/>
    <x v="1"/>
    <x v="4"/>
    <s v="Asia"/>
    <x v="3"/>
    <x v="0"/>
    <m/>
    <s v=""/>
    <s v=""/>
  </r>
  <r>
    <n v="2352"/>
    <x v="1"/>
    <s v="Minced Pork Flavor Instant Noodles"/>
    <x v="0"/>
    <x v="4"/>
    <s v="Asia"/>
    <x v="19"/>
    <x v="1"/>
    <m/>
    <s v=""/>
    <s v=""/>
  </r>
  <r>
    <n v="2330"/>
    <x v="17"/>
    <s v="Little Prince(ss) Brand Snack Noodles Artificial Mexican Pizza Flavor"/>
    <x v="0"/>
    <x v="4"/>
    <s v="Asia"/>
    <x v="0"/>
    <x v="0"/>
    <m/>
    <s v=""/>
    <s v=""/>
  </r>
  <r>
    <n v="2318"/>
    <x v="108"/>
    <s v="Sichuan Spicy Flavor"/>
    <x v="0"/>
    <x v="4"/>
    <s v="Asia"/>
    <x v="3"/>
    <x v="0"/>
    <m/>
    <s v=""/>
    <s v=""/>
  </r>
  <r>
    <n v="2313"/>
    <x v="112"/>
    <s v="Sesame Oil With Garlic Flavor Thin Noodle"/>
    <x v="0"/>
    <x v="4"/>
    <s v="Asia"/>
    <x v="2"/>
    <x v="2"/>
    <m/>
    <s v=""/>
    <s v=""/>
  </r>
  <r>
    <n v="2312"/>
    <x v="112"/>
    <s v="Traditional Shallot &amp; Onion Oil Noodle"/>
    <x v="0"/>
    <x v="4"/>
    <s v="Asia"/>
    <x v="3"/>
    <x v="0"/>
    <m/>
    <s v=""/>
    <s v=""/>
  </r>
  <r>
    <n v="2311"/>
    <x v="112"/>
    <s v="Sesame Sauce Matcha Noodle"/>
    <x v="0"/>
    <x v="4"/>
    <s v="Asia"/>
    <x v="28"/>
    <x v="2"/>
    <m/>
    <s v=""/>
    <s v=""/>
  </r>
  <r>
    <n v="2273"/>
    <x v="1"/>
    <s v="A Q Bucket Noodle Korean Kimchi Flavor"/>
    <x v="1"/>
    <x v="4"/>
    <s v="Asia"/>
    <x v="0"/>
    <x v="0"/>
    <m/>
    <s v=""/>
    <s v=""/>
  </r>
  <r>
    <n v="2264"/>
    <x v="113"/>
    <s v="Instant Vegetarian Beehoon Rice Vermicelli"/>
    <x v="0"/>
    <x v="4"/>
    <s v="Asia"/>
    <x v="19"/>
    <x v="1"/>
    <m/>
    <s v=""/>
    <s v=""/>
  </r>
  <r>
    <n v="2260"/>
    <x v="1"/>
    <s v="Science Noodle (X'Mas Edition)"/>
    <x v="0"/>
    <x v="4"/>
    <s v="Asia"/>
    <x v="3"/>
    <x v="0"/>
    <m/>
    <s v=""/>
    <s v=""/>
  </r>
  <r>
    <n v="2249"/>
    <x v="114"/>
    <s v="Sun Dried Noodle - Fruity Soy Bean Paste"/>
    <x v="0"/>
    <x v="4"/>
    <s v="Asia"/>
    <x v="0"/>
    <x v="0"/>
    <m/>
    <s v=""/>
    <s v=""/>
  </r>
  <r>
    <n v="2218"/>
    <x v="103"/>
    <s v="Spicy Braised Pork Flavor"/>
    <x v="0"/>
    <x v="4"/>
    <s v="Asia"/>
    <x v="0"/>
    <x v="0"/>
    <m/>
    <s v=""/>
    <s v=""/>
  </r>
  <r>
    <n v="2216"/>
    <x v="104"/>
    <s v="Chow Mein Spicy Flavor"/>
    <x v="3"/>
    <x v="4"/>
    <s v="Asia"/>
    <x v="4"/>
    <x v="2"/>
    <m/>
    <s v=""/>
    <s v=""/>
  </r>
  <r>
    <n v="2191"/>
    <x v="115"/>
    <s v="XO Scallops Sauce Dry Noodles"/>
    <x v="0"/>
    <x v="4"/>
    <s v="Asia"/>
    <x v="0"/>
    <x v="0"/>
    <m/>
    <s v=""/>
    <s v=""/>
  </r>
  <r>
    <n v="2168"/>
    <x v="103"/>
    <s v="Rice Noodle Shallot With Braised Pork Flavor"/>
    <x v="0"/>
    <x v="4"/>
    <s v="Asia"/>
    <x v="3"/>
    <x v="0"/>
    <m/>
    <s v=""/>
    <s v=""/>
  </r>
  <r>
    <n v="2164"/>
    <x v="103"/>
    <s v="Rice Noodle Chinese Mushroom With Soybean Vegetarian Braised Pork Flavor"/>
    <x v="0"/>
    <x v="4"/>
    <s v="Asia"/>
    <x v="3"/>
    <x v="0"/>
    <m/>
    <s v=""/>
    <s v=""/>
  </r>
  <r>
    <n v="2162"/>
    <x v="103"/>
    <s v="Rice Noodle Seafood Laksa Flavour"/>
    <x v="0"/>
    <x v="4"/>
    <s v="Asia"/>
    <x v="3"/>
    <x v="0"/>
    <m/>
    <s v=""/>
    <s v=""/>
  </r>
  <r>
    <n v="2158"/>
    <x v="104"/>
    <s v="Chow Mein Original Flavor"/>
    <x v="3"/>
    <x v="4"/>
    <s v="Asia"/>
    <x v="3"/>
    <x v="0"/>
    <m/>
    <s v=""/>
    <s v=""/>
  </r>
  <r>
    <n v="2156"/>
    <x v="104"/>
    <s v="Chow Mein Oyster Sauce BBQ Flavor"/>
    <x v="3"/>
    <x v="4"/>
    <s v="Asia"/>
    <x v="11"/>
    <x v="1"/>
    <m/>
    <s v=""/>
    <s v=""/>
  </r>
  <r>
    <n v="2155"/>
    <x v="116"/>
    <s v="Aloe Vera Guan Mian Purple Sweet Potato Noodle With Spicy Miso Sauce"/>
    <x v="0"/>
    <x v="4"/>
    <s v="Asia"/>
    <x v="0"/>
    <x v="0"/>
    <m/>
    <s v=""/>
    <s v=""/>
  </r>
  <r>
    <n v="2154"/>
    <x v="116"/>
    <s v="Black Eyes Bean Original Noodle With Sesame Sauce"/>
    <x v="0"/>
    <x v="4"/>
    <s v="Asia"/>
    <x v="0"/>
    <x v="0"/>
    <m/>
    <s v=""/>
    <s v=""/>
  </r>
  <r>
    <n v="2153"/>
    <x v="116"/>
    <s v="Aloe Vera Guan Mian Pumpkin Noodle With Basil Sauce"/>
    <x v="0"/>
    <x v="4"/>
    <s v="Asia"/>
    <x v="0"/>
    <x v="0"/>
    <m/>
    <s v=""/>
    <s v=""/>
  </r>
  <r>
    <n v="2152"/>
    <x v="116"/>
    <s v="Black Eyes Bean Cyanobacteria Noodle With Ginger Oil Sauce"/>
    <x v="0"/>
    <x v="4"/>
    <s v="Asia"/>
    <x v="3"/>
    <x v="0"/>
    <m/>
    <s v=""/>
    <s v=""/>
  </r>
  <r>
    <n v="2151"/>
    <x v="116"/>
    <s v="Aloe Vera Guan Mian Original Noodle With Sesame Sauce"/>
    <x v="0"/>
    <x v="4"/>
    <s v="Asia"/>
    <x v="3"/>
    <x v="0"/>
    <m/>
    <s v=""/>
    <s v=""/>
  </r>
  <r>
    <n v="2150"/>
    <x v="116"/>
    <s v="Black Eyes Bean Purple Sweet Potato Noodle With Spicy Miso Sauce"/>
    <x v="0"/>
    <x v="4"/>
    <s v="Asia"/>
    <x v="4"/>
    <x v="2"/>
    <m/>
    <s v=""/>
    <s v=""/>
  </r>
  <r>
    <n v="2149"/>
    <x v="116"/>
    <s v="Aloe Vera Guan Mian Cyanobacteria Noodle With Ginger Oil Sauce"/>
    <x v="0"/>
    <x v="4"/>
    <s v="Asia"/>
    <x v="3"/>
    <x v="0"/>
    <m/>
    <s v=""/>
    <s v=""/>
  </r>
  <r>
    <n v="2148"/>
    <x v="116"/>
    <s v="Black Eyes Bean Pumpkin Noodles With Basil Sauce"/>
    <x v="0"/>
    <x v="4"/>
    <s v="Asia"/>
    <x v="3"/>
    <x v="0"/>
    <m/>
    <s v=""/>
    <s v=""/>
  </r>
  <r>
    <n v="2109"/>
    <x v="117"/>
    <s v="Tuna With Shallot Flavor Noodle"/>
    <x v="0"/>
    <x v="4"/>
    <s v="Asia"/>
    <x v="29"/>
    <x v="0"/>
    <m/>
    <s v=""/>
    <s v=""/>
  </r>
  <r>
    <n v="2108"/>
    <x v="118"/>
    <s v="GGE Noodle Snack Wheat Crackers Original Ramen"/>
    <x v="0"/>
    <x v="4"/>
    <s v="Asia"/>
    <x v="19"/>
    <x v="1"/>
    <m/>
    <s v=""/>
    <s v=""/>
  </r>
  <r>
    <n v="2093"/>
    <x v="117"/>
    <s v="Seaweed Flavour Noodle"/>
    <x v="0"/>
    <x v="4"/>
    <s v="Asia"/>
    <x v="11"/>
    <x v="1"/>
    <m/>
    <s v=""/>
    <s v=""/>
  </r>
  <r>
    <n v="2071"/>
    <x v="104"/>
    <s v="Tainan Noodle Original Sauce"/>
    <x v="0"/>
    <x v="4"/>
    <s v="Asia"/>
    <x v="3"/>
    <x v="0"/>
    <m/>
    <s v=""/>
    <s v=""/>
  </r>
  <r>
    <n v="2047"/>
    <x v="117"/>
    <s v="XO Sauce Noodle"/>
    <x v="0"/>
    <x v="4"/>
    <s v="Asia"/>
    <x v="3"/>
    <x v="0"/>
    <m/>
    <s v=""/>
    <s v=""/>
  </r>
  <r>
    <n v="2036"/>
    <x v="104"/>
    <s v="Hakka BBQ Sauce Noodle"/>
    <x v="0"/>
    <x v="4"/>
    <s v="Asia"/>
    <x v="12"/>
    <x v="0"/>
    <m/>
    <s v=""/>
    <s v=""/>
  </r>
  <r>
    <n v="2014"/>
    <x v="117"/>
    <s v="Ghost Pepper Noodle"/>
    <x v="0"/>
    <x v="4"/>
    <s v="Asia"/>
    <x v="17"/>
    <x v="0"/>
    <m/>
    <s v=""/>
    <s v=""/>
  </r>
  <r>
    <n v="2005"/>
    <x v="104"/>
    <s v="Hakka Spicy Barbeque Sauce"/>
    <x v="0"/>
    <x v="4"/>
    <s v="Asia"/>
    <x v="17"/>
    <x v="0"/>
    <m/>
    <s v=""/>
    <s v=""/>
  </r>
  <r>
    <n v="1986"/>
    <x v="104"/>
    <s v="Quinoa Noodle With Oyster Sauce And Vegetables"/>
    <x v="0"/>
    <x v="4"/>
    <s v="Asia"/>
    <x v="12"/>
    <x v="0"/>
    <m/>
    <s v=""/>
    <s v=""/>
  </r>
  <r>
    <n v="1966"/>
    <x v="106"/>
    <s v="GGE Noodle Snack Wheat Crackers Soy Sauce Ramen"/>
    <x v="0"/>
    <x v="4"/>
    <s v="Asia"/>
    <x v="10"/>
    <x v="2"/>
    <m/>
    <s v=""/>
    <s v=""/>
  </r>
  <r>
    <n v="1952"/>
    <x v="17"/>
    <s v="Kung-Fu Brand Instant Oriental Noodle Soup Artificial Beef Flavor"/>
    <x v="0"/>
    <x v="4"/>
    <s v="Asia"/>
    <x v="10"/>
    <x v="2"/>
    <m/>
    <s v=""/>
    <s v=""/>
  </r>
  <r>
    <n v="1944"/>
    <x v="106"/>
    <s v="GGE Noodle Snack Wheat Crackers Hot Spicy"/>
    <x v="0"/>
    <x v="4"/>
    <s v="Asia"/>
    <x v="3"/>
    <x v="0"/>
    <m/>
    <s v=""/>
    <s v=""/>
  </r>
  <r>
    <n v="1935"/>
    <x v="114"/>
    <s v="Guanmiao Dried Noodles With Oleum Sesami"/>
    <x v="0"/>
    <x v="4"/>
    <s v="Asia"/>
    <x v="10"/>
    <x v="2"/>
    <m/>
    <s v=""/>
    <s v=""/>
  </r>
  <r>
    <n v="1934"/>
    <x v="114"/>
    <s v="Guanmiao Dried Noodles With Spicy Sauce"/>
    <x v="0"/>
    <x v="4"/>
    <s v="Asia"/>
    <x v="3"/>
    <x v="0"/>
    <m/>
    <s v=""/>
    <s v=""/>
  </r>
  <r>
    <n v="1933"/>
    <x v="114"/>
    <s v="Guanmiao Dried Noodles With Authentic Sauce"/>
    <x v="0"/>
    <x v="4"/>
    <s v="Asia"/>
    <x v="17"/>
    <x v="0"/>
    <m/>
    <s v=""/>
    <s v=""/>
  </r>
  <r>
    <n v="1932"/>
    <x v="114"/>
    <s v="Guanmiao Dried Noodles With Shallot Flavor"/>
    <x v="0"/>
    <x v="4"/>
    <s v="Asia"/>
    <x v="10"/>
    <x v="2"/>
    <m/>
    <s v=""/>
    <s v=""/>
  </r>
  <r>
    <n v="1873"/>
    <x v="119"/>
    <s v="Wei Wei A Instant Noodles Chicken Flavor"/>
    <x v="1"/>
    <x v="4"/>
    <s v="Asia"/>
    <x v="1"/>
    <x v="1"/>
    <m/>
    <s v=""/>
    <s v=""/>
  </r>
  <r>
    <n v="1843"/>
    <x v="120"/>
    <s v="Sunbaked Noodles With Sesame Sauce"/>
    <x v="0"/>
    <x v="4"/>
    <s v="Asia"/>
    <x v="17"/>
    <x v="0"/>
    <m/>
    <s v=""/>
    <s v=""/>
  </r>
  <r>
    <n v="1842"/>
    <x v="120"/>
    <s v="Purple Sweet Potato Noodles With Taiwanese Sauce"/>
    <x v="0"/>
    <x v="4"/>
    <s v="Asia"/>
    <x v="3"/>
    <x v="0"/>
    <m/>
    <s v=""/>
    <s v=""/>
  </r>
  <r>
    <n v="1841"/>
    <x v="120"/>
    <s v="Sunbaked Noodles With Spicy Sauce"/>
    <x v="0"/>
    <x v="4"/>
    <s v="Asia"/>
    <x v="0"/>
    <x v="0"/>
    <m/>
    <s v=""/>
    <s v=""/>
  </r>
  <r>
    <n v="1840"/>
    <x v="120"/>
    <s v="Sweet Potato Noodles With Sesame Paste Sauce"/>
    <x v="0"/>
    <x v="4"/>
    <s v="Asia"/>
    <x v="5"/>
    <x v="2"/>
    <m/>
    <s v=""/>
    <s v=""/>
  </r>
  <r>
    <n v="1830"/>
    <x v="103"/>
    <s v="Sichuan Pepper Flavor"/>
    <x v="0"/>
    <x v="4"/>
    <s v="Asia"/>
    <x v="15"/>
    <x v="0"/>
    <m/>
    <s v=""/>
    <s v=""/>
  </r>
  <r>
    <n v="1829"/>
    <x v="103"/>
    <s v="Hu Sesame Flavor"/>
    <x v="0"/>
    <x v="4"/>
    <s v="Asia"/>
    <x v="3"/>
    <x v="0"/>
    <m/>
    <s v=""/>
    <s v=""/>
  </r>
  <r>
    <n v="1820"/>
    <x v="121"/>
    <s v="Veggie King Buddha Jump Instant Noodles"/>
    <x v="1"/>
    <x v="4"/>
    <s v="Asia"/>
    <x v="8"/>
    <x v="1"/>
    <m/>
    <s v=""/>
    <s v=""/>
  </r>
  <r>
    <n v="1779"/>
    <x v="122"/>
    <s v="Instant Non-Fried Noodles Tomato Flavour"/>
    <x v="0"/>
    <x v="4"/>
    <s v="Asia"/>
    <x v="5"/>
    <x v="2"/>
    <m/>
    <s v=""/>
    <s v=""/>
  </r>
  <r>
    <n v="1762"/>
    <x v="107"/>
    <s v="Sesame &amp; Pepper"/>
    <x v="0"/>
    <x v="4"/>
    <s v="Asia"/>
    <x v="0"/>
    <x v="0"/>
    <m/>
    <s v=""/>
    <s v=""/>
  </r>
  <r>
    <n v="1756"/>
    <x v="104"/>
    <s v="Veggie Noodle Carrot Noodle With Original Sauce"/>
    <x v="0"/>
    <x v="4"/>
    <s v="Asia"/>
    <x v="12"/>
    <x v="0"/>
    <m/>
    <s v=""/>
    <s v=""/>
  </r>
  <r>
    <n v="1751"/>
    <x v="107"/>
    <s v="Spicy &amp; Sour Flavor"/>
    <x v="0"/>
    <x v="4"/>
    <s v="Asia"/>
    <x v="3"/>
    <x v="0"/>
    <m/>
    <s v=""/>
    <s v=""/>
  </r>
  <r>
    <n v="1744"/>
    <x v="104"/>
    <s v="Veggie Noodle Baby Grass Noodle With Toona Sauce"/>
    <x v="0"/>
    <x v="4"/>
    <s v="Asia"/>
    <x v="3"/>
    <x v="0"/>
    <m/>
    <s v=""/>
    <s v=""/>
  </r>
  <r>
    <n v="1730"/>
    <x v="123"/>
    <s v="BBQ Pork Flavor Chow Mein"/>
    <x v="0"/>
    <x v="4"/>
    <s v="Asia"/>
    <x v="17"/>
    <x v="0"/>
    <m/>
    <s v=""/>
    <s v=""/>
  </r>
  <r>
    <n v="1729"/>
    <x v="119"/>
    <s v="Zan Vegetarian Instant Noodle Series Shiitake Mushroom Flavour"/>
    <x v="2"/>
    <x v="4"/>
    <s v="Asia"/>
    <x v="9"/>
    <x v="2"/>
    <m/>
    <s v=""/>
    <s v=""/>
  </r>
  <r>
    <n v="1727"/>
    <x v="106"/>
    <s v="Jah Jan Men"/>
    <x v="1"/>
    <x v="4"/>
    <s v="Asia"/>
    <x v="3"/>
    <x v="0"/>
    <m/>
    <s v=""/>
    <s v=""/>
  </r>
  <r>
    <n v="1725"/>
    <x v="104"/>
    <s v="Veggie Noodle Black Sesame Noodle"/>
    <x v="0"/>
    <x v="4"/>
    <s v="Asia"/>
    <x v="5"/>
    <x v="2"/>
    <m/>
    <s v=""/>
    <s v=""/>
  </r>
  <r>
    <n v="1710"/>
    <x v="122"/>
    <s v="Instant Non-Fried Noodles Vegetable Curry Flavor"/>
    <x v="0"/>
    <x v="4"/>
    <s v="Asia"/>
    <x v="3"/>
    <x v="0"/>
    <m/>
    <s v=""/>
    <s v=""/>
  </r>
  <r>
    <n v="1700"/>
    <x v="104"/>
    <s v="Hakka Flat Noodle With Za Jiang Sauce"/>
    <x v="0"/>
    <x v="4"/>
    <s v="Asia"/>
    <x v="0"/>
    <x v="0"/>
    <m/>
    <s v=""/>
    <s v=""/>
  </r>
  <r>
    <n v="1679"/>
    <x v="121"/>
    <s v="Veggie World Vegetarian Braised Beef Instant Noodles"/>
    <x v="1"/>
    <x v="4"/>
    <s v="Asia"/>
    <x v="2"/>
    <x v="2"/>
    <m/>
    <s v=""/>
    <s v=""/>
  </r>
  <r>
    <n v="1673"/>
    <x v="124"/>
    <s v="Black Cock Brand Vegetarian Chicken Noodle"/>
    <x v="0"/>
    <x v="4"/>
    <s v="Asia"/>
    <x v="2"/>
    <x v="2"/>
    <m/>
    <s v=""/>
    <s v=""/>
  </r>
  <r>
    <n v="1667"/>
    <x v="125"/>
    <s v="Aloe Thin Noodles With Camelia Oil Vegetable Sauce Flavor"/>
    <x v="0"/>
    <x v="4"/>
    <s v="Asia"/>
    <x v="3"/>
    <x v="0"/>
    <m/>
    <s v=""/>
    <s v=""/>
  </r>
  <r>
    <n v="1648"/>
    <x v="106"/>
    <s v="Instant Noodles With Onion Flavour"/>
    <x v="0"/>
    <x v="4"/>
    <s v="Asia"/>
    <x v="12"/>
    <x v="0"/>
    <m/>
    <s v=""/>
    <s v=""/>
  </r>
  <r>
    <n v="1640"/>
    <x v="126"/>
    <s v="Taiwan Dried Noodles With Onion Oil Sauce"/>
    <x v="0"/>
    <x v="4"/>
    <s v="Asia"/>
    <x v="11"/>
    <x v="1"/>
    <m/>
    <s v=""/>
    <s v=""/>
  </r>
  <r>
    <n v="1627"/>
    <x v="119"/>
    <s v="Wei Wei A Instant Noodles Hot Beef Flavour"/>
    <x v="1"/>
    <x v="4"/>
    <s v="Asia"/>
    <x v="6"/>
    <x v="1"/>
    <m/>
    <s v=""/>
    <s v=""/>
  </r>
  <r>
    <n v="1618"/>
    <x v="125"/>
    <s v="Aloe This Noodles With Camellia Oil Spicy Bean Sauce Flavor"/>
    <x v="0"/>
    <x v="4"/>
    <s v="Asia"/>
    <x v="6"/>
    <x v="1"/>
    <m/>
    <s v=""/>
    <s v=""/>
  </r>
  <r>
    <n v="1600"/>
    <x v="122"/>
    <s v="Instant Non-Fried Noodles Shallot Pork Flavour"/>
    <x v="0"/>
    <x v="4"/>
    <s v="Asia"/>
    <x v="3"/>
    <x v="0"/>
    <m/>
    <s v=""/>
    <s v=""/>
  </r>
  <r>
    <n v="1592"/>
    <x v="107"/>
    <s v="Vegan Chilli With Sesame Sauce"/>
    <x v="0"/>
    <x v="4"/>
    <s v="Asia"/>
    <x v="3"/>
    <x v="0"/>
    <m/>
    <s v=""/>
    <s v=""/>
  </r>
  <r>
    <n v="1574"/>
    <x v="122"/>
    <s v="Steam Vegetarian Flavor Noodles"/>
    <x v="0"/>
    <x v="4"/>
    <s v="Asia"/>
    <x v="2"/>
    <x v="2"/>
    <m/>
    <s v=""/>
    <s v=""/>
  </r>
  <r>
    <n v="1547"/>
    <x v="119"/>
    <s v="Volcano Spicy Pork Noodle"/>
    <x v="1"/>
    <x v="4"/>
    <s v="Asia"/>
    <x v="12"/>
    <x v="0"/>
    <m/>
    <s v=""/>
    <s v=""/>
  </r>
  <r>
    <n v="1541"/>
    <x v="123"/>
    <s v="Steam Pork Flavour"/>
    <x v="0"/>
    <x v="4"/>
    <s v="Asia"/>
    <x v="10"/>
    <x v="2"/>
    <m/>
    <s v=""/>
    <s v=""/>
  </r>
  <r>
    <n v="1511"/>
    <x v="126"/>
    <s v="Tainan Yi Mien With Sesame Oil Sauce"/>
    <x v="0"/>
    <x v="4"/>
    <s v="Asia"/>
    <x v="5"/>
    <x v="2"/>
    <m/>
    <s v=""/>
    <s v=""/>
  </r>
  <r>
    <n v="1488"/>
    <x v="107"/>
    <s v="Sichuan Spicy Flavor"/>
    <x v="0"/>
    <x v="4"/>
    <s v="Asia"/>
    <x v="3"/>
    <x v="0"/>
    <m/>
    <s v=""/>
    <s v=""/>
  </r>
  <r>
    <n v="1486"/>
    <x v="107"/>
    <s v="Onion Oil &amp; Shrimp Flavor"/>
    <x v="0"/>
    <x v="4"/>
    <s v="Asia"/>
    <x v="3"/>
    <x v="0"/>
    <m/>
    <s v=""/>
    <s v=""/>
  </r>
  <r>
    <n v="1462"/>
    <x v="106"/>
    <s v="Steam Instant Noodles Korean Salt &amp; Rib Soup Flavour"/>
    <x v="1"/>
    <x v="4"/>
    <s v="Asia"/>
    <x v="13"/>
    <x v="1"/>
    <m/>
    <s v=""/>
    <s v=""/>
  </r>
  <r>
    <n v="1440"/>
    <x v="123"/>
    <s v="Dried Noodle With Beef Flavor Sauce"/>
    <x v="0"/>
    <x v="4"/>
    <s v="Asia"/>
    <x v="4"/>
    <x v="2"/>
    <m/>
    <s v=""/>
    <s v=""/>
  </r>
  <r>
    <n v="1417"/>
    <x v="127"/>
    <s v="Oat Noodle Abalone Flavored"/>
    <x v="0"/>
    <x v="4"/>
    <s v="Asia"/>
    <x v="14"/>
    <x v="1"/>
    <m/>
    <s v=""/>
    <s v=""/>
  </r>
  <r>
    <n v="1413"/>
    <x v="122"/>
    <s v="Curry La-Men"/>
    <x v="0"/>
    <x v="4"/>
    <s v="Asia"/>
    <x v="3"/>
    <x v="0"/>
    <m/>
    <s v=""/>
    <s v=""/>
  </r>
  <r>
    <n v="1411"/>
    <x v="104"/>
    <s v="Prince Katsu Snack Noodles"/>
    <x v="0"/>
    <x v="4"/>
    <s v="Asia"/>
    <x v="0"/>
    <x v="0"/>
    <m/>
    <s v=""/>
    <s v=""/>
  </r>
  <r>
    <n v="1397"/>
    <x v="123"/>
    <s v="Steam Seafood Flavor Ramen"/>
    <x v="0"/>
    <x v="4"/>
    <s v="Asia"/>
    <x v="0"/>
    <x v="0"/>
    <m/>
    <s v=""/>
    <s v=""/>
  </r>
  <r>
    <n v="1369"/>
    <x v="104"/>
    <s v="Hello Kitty Za Jiang (Soybean Sauce)"/>
    <x v="0"/>
    <x v="4"/>
    <s v="Asia"/>
    <x v="5"/>
    <x v="2"/>
    <m/>
    <s v=""/>
    <s v=""/>
  </r>
  <r>
    <n v="1328"/>
    <x v="104"/>
    <s v="Hello Kitty La Wei (Spicy Flavor)"/>
    <x v="0"/>
    <x v="4"/>
    <s v="Asia"/>
    <x v="10"/>
    <x v="2"/>
    <m/>
    <s v=""/>
    <s v=""/>
  </r>
  <r>
    <n v="1317"/>
    <x v="17"/>
    <s v="Little Prince Brand Snack Noodles Original Flavor"/>
    <x v="0"/>
    <x v="4"/>
    <s v="Asia"/>
    <x v="6"/>
    <x v="1"/>
    <m/>
    <s v=""/>
    <s v=""/>
  </r>
  <r>
    <n v="1305"/>
    <x v="104"/>
    <s v="Instant Noodle Original Flavor"/>
    <x v="0"/>
    <x v="4"/>
    <s v="Asia"/>
    <x v="10"/>
    <x v="2"/>
    <m/>
    <s v=""/>
    <s v=""/>
  </r>
  <r>
    <n v="1296"/>
    <x v="123"/>
    <s v="Ramen With Pickled Mustard Flavor"/>
    <x v="0"/>
    <x v="4"/>
    <s v="Asia"/>
    <x v="2"/>
    <x v="2"/>
    <m/>
    <s v=""/>
    <s v=""/>
  </r>
  <r>
    <n v="1295"/>
    <x v="123"/>
    <s v="Steam Mushroom Flavor Ramen"/>
    <x v="0"/>
    <x v="4"/>
    <s v="Asia"/>
    <x v="5"/>
    <x v="2"/>
    <m/>
    <s v=""/>
    <s v=""/>
  </r>
  <r>
    <n v="1280"/>
    <x v="125"/>
    <s v="Sun Dried Noodle Chlorella Powder Noodle With Curry Sauce"/>
    <x v="0"/>
    <x v="4"/>
    <s v="Asia"/>
    <x v="3"/>
    <x v="0"/>
    <m/>
    <s v=""/>
    <s v=""/>
  </r>
  <r>
    <n v="1275"/>
    <x v="123"/>
    <s v="Ramen With Stewed Pork Flavor"/>
    <x v="0"/>
    <x v="4"/>
    <s v="Asia"/>
    <x v="17"/>
    <x v="0"/>
    <m/>
    <s v=""/>
    <s v=""/>
  </r>
  <r>
    <n v="1274"/>
    <x v="123"/>
    <s v="Shiitake Flavor Spinach Ramen"/>
    <x v="0"/>
    <x v="4"/>
    <s v="Asia"/>
    <x v="10"/>
    <x v="2"/>
    <m/>
    <s v=""/>
    <s v=""/>
  </r>
  <r>
    <n v="1268"/>
    <x v="123"/>
    <s v="Dried Noodle With Jah Jan Sauce"/>
    <x v="0"/>
    <x v="4"/>
    <s v="Asia"/>
    <x v="5"/>
    <x v="2"/>
    <m/>
    <s v=""/>
    <s v=""/>
  </r>
  <r>
    <n v="1248"/>
    <x v="123"/>
    <s v="Beef Flavour Tomato Ramen"/>
    <x v="0"/>
    <x v="4"/>
    <s v="Asia"/>
    <x v="0"/>
    <x v="0"/>
    <m/>
    <s v=""/>
    <s v=""/>
  </r>
  <r>
    <n v="1231"/>
    <x v="104"/>
    <s v="Instant Noodle Shallot Flavor"/>
    <x v="0"/>
    <x v="4"/>
    <s v="Asia"/>
    <x v="10"/>
    <x v="2"/>
    <m/>
    <s v=""/>
    <s v=""/>
  </r>
  <r>
    <n v="1210"/>
    <x v="104"/>
    <s v="Hell Spicy Mala"/>
    <x v="0"/>
    <x v="4"/>
    <s v="Asia"/>
    <x v="0"/>
    <x v="0"/>
    <m/>
    <s v=""/>
    <s v=""/>
  </r>
  <r>
    <n v="1206"/>
    <x v="128"/>
    <s v="Frozen Satay Sauce Noodle"/>
    <x v="0"/>
    <x v="4"/>
    <s v="Asia"/>
    <x v="19"/>
    <x v="1"/>
    <m/>
    <s v=""/>
    <s v=""/>
  </r>
  <r>
    <n v="1201"/>
    <x v="104"/>
    <s v="Instant Noodle Curry Flavour"/>
    <x v="0"/>
    <x v="4"/>
    <s v="Asia"/>
    <x v="12"/>
    <x v="0"/>
    <m/>
    <s v=""/>
    <s v=""/>
  </r>
  <r>
    <n v="1192"/>
    <x v="123"/>
    <s v="Ramen With Simmered Pork Flavor"/>
    <x v="0"/>
    <x v="4"/>
    <s v="Asia"/>
    <x v="10"/>
    <x v="2"/>
    <m/>
    <s v=""/>
    <s v=""/>
  </r>
  <r>
    <n v="1180"/>
    <x v="106"/>
    <s v="What‚Äôs That? Leisure Meatballs Spicy Chicken Flavor"/>
    <x v="0"/>
    <x v="4"/>
    <s v="Asia"/>
    <x v="10"/>
    <x v="2"/>
    <m/>
    <s v=""/>
    <s v=""/>
  </r>
  <r>
    <n v="1166"/>
    <x v="129"/>
    <s v="Man Han Feast Sichuan Chilli Eel Flavor"/>
    <x v="1"/>
    <x v="4"/>
    <s v="Asia"/>
    <x v="3"/>
    <x v="0"/>
    <m/>
    <s v=""/>
    <s v=""/>
  </r>
  <r>
    <n v="1153"/>
    <x v="123"/>
    <s v="Spicy Flavor Tomato Ramen"/>
    <x v="0"/>
    <x v="4"/>
    <s v="Asia"/>
    <x v="0"/>
    <x v="0"/>
    <m/>
    <s v=""/>
    <s v=""/>
  </r>
  <r>
    <n v="1131"/>
    <x v="106"/>
    <s v="What‚Äôs That? Leisure Meatballs Chicken Flavor"/>
    <x v="0"/>
    <x v="4"/>
    <s v="Asia"/>
    <x v="10"/>
    <x v="2"/>
    <m/>
    <s v=""/>
    <s v=""/>
  </r>
  <r>
    <n v="1097"/>
    <x v="130"/>
    <s v="Homely Dried Noodles - Sesame Pate"/>
    <x v="0"/>
    <x v="4"/>
    <s v="Asia"/>
    <x v="10"/>
    <x v="2"/>
    <m/>
    <s v=""/>
    <s v=""/>
  </r>
  <r>
    <n v="1096"/>
    <x v="130"/>
    <s v="Tachia Noodles - Hot &amp; Spicy Sauce"/>
    <x v="0"/>
    <x v="4"/>
    <s v="Asia"/>
    <x v="2"/>
    <x v="2"/>
    <m/>
    <s v=""/>
    <s v=""/>
  </r>
  <r>
    <n v="1095"/>
    <x v="130"/>
    <s v="Tachia Dried Noodles - Fried Shallot"/>
    <x v="0"/>
    <x v="4"/>
    <s v="Asia"/>
    <x v="5"/>
    <x v="2"/>
    <m/>
    <s v=""/>
    <s v=""/>
  </r>
  <r>
    <n v="1094"/>
    <x v="130"/>
    <s v="Thin Noodles - Sesame Oil"/>
    <x v="0"/>
    <x v="4"/>
    <s v="Asia"/>
    <x v="12"/>
    <x v="0"/>
    <m/>
    <s v=""/>
    <s v=""/>
  </r>
  <r>
    <n v="1093"/>
    <x v="130"/>
    <s v="Hakka Flat Noodles - Satay Sauce"/>
    <x v="0"/>
    <x v="4"/>
    <s v="Asia"/>
    <x v="17"/>
    <x v="0"/>
    <m/>
    <s v=""/>
    <s v=""/>
  </r>
  <r>
    <n v="1092"/>
    <x v="130"/>
    <s v="Tachia Dried Noodles - Rou Zhou Meat Sauce"/>
    <x v="0"/>
    <x v="4"/>
    <s v="Asia"/>
    <x v="3"/>
    <x v="0"/>
    <m/>
    <s v=""/>
    <s v=""/>
  </r>
  <r>
    <n v="1091"/>
    <x v="130"/>
    <s v="Homely Dried Noodles - Original Flavor "/>
    <x v="0"/>
    <x v="4"/>
    <s v="Asia"/>
    <x v="0"/>
    <x v="0"/>
    <m/>
    <s v=""/>
    <s v=""/>
  </r>
  <r>
    <n v="1090"/>
    <x v="130"/>
    <s v="Dried Noodles - Spicy Sauerkraut"/>
    <x v="0"/>
    <x v="4"/>
    <s v="Asia"/>
    <x v="5"/>
    <x v="2"/>
    <m/>
    <s v=""/>
    <s v=""/>
  </r>
  <r>
    <n v="1089"/>
    <x v="130"/>
    <s v="Hakka Flat Noodles - Fried Bean Sauce"/>
    <x v="0"/>
    <x v="4"/>
    <s v="Asia"/>
    <x v="12"/>
    <x v="0"/>
    <m/>
    <s v=""/>
    <s v=""/>
  </r>
  <r>
    <n v="1088"/>
    <x v="130"/>
    <s v="Tachia Dried Noodles - Peppery"/>
    <x v="0"/>
    <x v="4"/>
    <s v="Asia"/>
    <x v="10"/>
    <x v="2"/>
    <m/>
    <s v=""/>
    <s v=""/>
  </r>
  <r>
    <n v="1081"/>
    <x v="125"/>
    <s v="Aloe Noodle Sesame Sauce"/>
    <x v="0"/>
    <x v="4"/>
    <s v="Asia"/>
    <x v="5"/>
    <x v="2"/>
    <m/>
    <s v=""/>
    <s v=""/>
  </r>
  <r>
    <n v="1080"/>
    <x v="125"/>
    <s v="Black Eyed Beans Noodle Basil Sauce &amp; Sesame Sauce"/>
    <x v="0"/>
    <x v="4"/>
    <s v="Asia"/>
    <x v="2"/>
    <x v="2"/>
    <m/>
    <s v=""/>
    <s v=""/>
  </r>
  <r>
    <n v="1079"/>
    <x v="125"/>
    <s v="Aloe Noodle Vegetable Sauce"/>
    <x v="0"/>
    <x v="4"/>
    <s v="Asia"/>
    <x v="3"/>
    <x v="0"/>
    <m/>
    <s v=""/>
    <s v=""/>
  </r>
  <r>
    <n v="1078"/>
    <x v="125"/>
    <s v="Black Eyed Beans Noodle Spicy Soybean Sauce &amp; Sesame Sauce"/>
    <x v="0"/>
    <x v="4"/>
    <s v="Asia"/>
    <x v="10"/>
    <x v="2"/>
    <m/>
    <s v=""/>
    <s v=""/>
  </r>
  <r>
    <n v="1077"/>
    <x v="125"/>
    <s v="Aloe Noodle Red Onion &amp; Sesame Sauce"/>
    <x v="0"/>
    <x v="4"/>
    <s v="Asia"/>
    <x v="3"/>
    <x v="0"/>
    <m/>
    <s v=""/>
    <s v=""/>
  </r>
  <r>
    <n v="1076"/>
    <x v="125"/>
    <s v="Black Eyed Beans Noodle Vegetable Sauce &amp; Sesame Sauce"/>
    <x v="0"/>
    <x v="4"/>
    <s v="Asia"/>
    <x v="10"/>
    <x v="2"/>
    <m/>
    <s v=""/>
    <s v=""/>
  </r>
  <r>
    <n v="1075"/>
    <x v="125"/>
    <s v="Aloe Noodle With Basil Sauce"/>
    <x v="0"/>
    <x v="4"/>
    <s v="Asia"/>
    <x v="3"/>
    <x v="0"/>
    <m/>
    <s v=""/>
    <s v=""/>
  </r>
  <r>
    <n v="1074"/>
    <x v="125"/>
    <s v="Pollen Noodles Sesame Sauce &amp; Soy Sauce"/>
    <x v="0"/>
    <x v="4"/>
    <s v="Asia"/>
    <x v="12"/>
    <x v="0"/>
    <m/>
    <s v=""/>
    <s v=""/>
  </r>
  <r>
    <n v="1073"/>
    <x v="125"/>
    <s v="Black Eyed Bean Noodle Red Onion Sauce &amp; Sesame Sauce"/>
    <x v="0"/>
    <x v="4"/>
    <s v="Asia"/>
    <x v="10"/>
    <x v="2"/>
    <m/>
    <s v=""/>
    <s v=""/>
  </r>
  <r>
    <n v="1072"/>
    <x v="125"/>
    <s v="Aloe Noodle With Spicy Soybean Sauce"/>
    <x v="0"/>
    <x v="4"/>
    <s v="Asia"/>
    <x v="0"/>
    <x v="0"/>
    <m/>
    <s v=""/>
    <s v=""/>
  </r>
  <r>
    <n v="1058"/>
    <x v="104"/>
    <s v="Dry Noodle Mandarin Noodle - Original Sauce"/>
    <x v="0"/>
    <x v="4"/>
    <s v="Asia"/>
    <x v="0"/>
    <x v="0"/>
    <m/>
    <s v=""/>
    <s v=""/>
  </r>
  <r>
    <n v="1057"/>
    <x v="104"/>
    <s v="Dry Noodle Hakka Noodle - Spicy Sesame Oil Sauce"/>
    <x v="0"/>
    <x v="4"/>
    <s v="Asia"/>
    <x v="2"/>
    <x v="2"/>
    <m/>
    <s v=""/>
    <s v=""/>
  </r>
  <r>
    <n v="1056"/>
    <x v="104"/>
    <s v="Dry Noodle Mandarin Noodle - Onion Oil Sauce"/>
    <x v="0"/>
    <x v="4"/>
    <s v="Asia"/>
    <x v="3"/>
    <x v="0"/>
    <m/>
    <s v=""/>
    <s v=""/>
  </r>
  <r>
    <n v="1055"/>
    <x v="104"/>
    <s v="Dry Noodle QQ Thin Noodle - BBQ Sauce"/>
    <x v="0"/>
    <x v="4"/>
    <s v="Asia"/>
    <x v="3"/>
    <x v="0"/>
    <m/>
    <s v=""/>
    <s v=""/>
  </r>
  <r>
    <n v="1054"/>
    <x v="104"/>
    <s v="No. 10 Mandarin Noodle - Black Pepper Sauce"/>
    <x v="0"/>
    <x v="4"/>
    <s v="Asia"/>
    <x v="10"/>
    <x v="2"/>
    <m/>
    <s v=""/>
    <s v=""/>
  </r>
  <r>
    <n v="1053"/>
    <x v="104"/>
    <s v="Dry Noodle Tainan Noodle - Sesame Sauce"/>
    <x v="0"/>
    <x v="4"/>
    <s v="Asia"/>
    <x v="0"/>
    <x v="0"/>
    <m/>
    <s v=""/>
    <s v=""/>
  </r>
  <r>
    <n v="1052"/>
    <x v="104"/>
    <s v="Dry Noodle Hakka Noodle - Chili Sauce"/>
    <x v="0"/>
    <x v="4"/>
    <s v="Asia"/>
    <x v="12"/>
    <x v="0"/>
    <m/>
    <s v=""/>
    <s v=""/>
  </r>
  <r>
    <n v="1035"/>
    <x v="106"/>
    <s v="Spicy Sichuan Flavor Instant Noodle"/>
    <x v="1"/>
    <x v="4"/>
    <s v="Asia"/>
    <x v="2"/>
    <x v="2"/>
    <m/>
    <s v=""/>
    <s v=""/>
  </r>
  <r>
    <n v="864"/>
    <x v="12"/>
    <s v="Chinese Spices Tong Tsai Bean Vermicelli"/>
    <x v="0"/>
    <x v="4"/>
    <s v="Asia"/>
    <x v="2"/>
    <x v="2"/>
    <m/>
    <s v=""/>
    <s v=""/>
  </r>
  <r>
    <n v="817"/>
    <x v="131"/>
    <s v="Bowl Ramen Shrimp"/>
    <x v="1"/>
    <x v="4"/>
    <s v="Asia"/>
    <x v="10"/>
    <x v="2"/>
    <m/>
    <s v=""/>
    <s v=""/>
  </r>
  <r>
    <n v="788"/>
    <x v="1"/>
    <s v="100 Beef With Sauerkraut"/>
    <x v="0"/>
    <x v="4"/>
    <s v="Asia"/>
    <x v="15"/>
    <x v="0"/>
    <m/>
    <s v=""/>
    <s v=""/>
  </r>
  <r>
    <n v="762"/>
    <x v="132"/>
    <s v="Kimchi Pickle Bean Vermicelli"/>
    <x v="0"/>
    <x v="4"/>
    <s v="Asia"/>
    <x v="8"/>
    <x v="1"/>
    <m/>
    <s v=""/>
    <s v=""/>
  </r>
  <r>
    <n v="741"/>
    <x v="106"/>
    <s v="Good Good Eat Super Ramen Vegetable"/>
    <x v="0"/>
    <x v="4"/>
    <s v="Asia"/>
    <x v="9"/>
    <x v="2"/>
    <m/>
    <s v=""/>
    <s v=""/>
  </r>
  <r>
    <n v="708"/>
    <x v="133"/>
    <s v="Pork Flavor Ramen"/>
    <x v="0"/>
    <x v="4"/>
    <s v="Asia"/>
    <x v="9"/>
    <x v="2"/>
    <m/>
    <s v=""/>
    <s v=""/>
  </r>
  <r>
    <n v="706"/>
    <x v="129"/>
    <s v="Man Han Feast Spring Onion Eel"/>
    <x v="1"/>
    <x v="4"/>
    <s v="Asia"/>
    <x v="12"/>
    <x v="0"/>
    <m/>
    <s v=""/>
    <s v=""/>
  </r>
  <r>
    <n v="666"/>
    <x v="134"/>
    <s v="Black Rooster Chicken"/>
    <x v="0"/>
    <x v="4"/>
    <s v="Asia"/>
    <x v="8"/>
    <x v="1"/>
    <m/>
    <s v=""/>
    <s v=""/>
  </r>
  <r>
    <n v="643"/>
    <x v="135"/>
    <s v="Miso Vegetables"/>
    <x v="0"/>
    <x v="4"/>
    <s v="Asia"/>
    <x v="5"/>
    <x v="2"/>
    <m/>
    <s v=""/>
    <s v=""/>
  </r>
  <r>
    <n v="630"/>
    <x v="17"/>
    <s v="Kung Fu Artificial Mushroom Pork"/>
    <x v="1"/>
    <x v="4"/>
    <s v="Asia"/>
    <x v="7"/>
    <x v="1"/>
    <m/>
    <s v=""/>
    <s v=""/>
  </r>
  <r>
    <n v="623"/>
    <x v="136"/>
    <s v="&quot;A&quot; Series Vegetarian"/>
    <x v="0"/>
    <x v="4"/>
    <s v="Asia"/>
    <x v="5"/>
    <x v="2"/>
    <m/>
    <s v=""/>
    <s v=""/>
  </r>
  <r>
    <n v="610"/>
    <x v="136"/>
    <s v="&quot;A&quot; Series Artificial Chicken"/>
    <x v="0"/>
    <x v="4"/>
    <s v="Asia"/>
    <x v="5"/>
    <x v="2"/>
    <m/>
    <s v=""/>
    <s v=""/>
  </r>
  <r>
    <n v="609"/>
    <x v="136"/>
    <s v="&quot;A&quot; Series Artificial Hot Beef"/>
    <x v="0"/>
    <x v="4"/>
    <s v="Asia"/>
    <x v="10"/>
    <x v="2"/>
    <m/>
    <s v=""/>
    <s v=""/>
  </r>
  <r>
    <n v="603"/>
    <x v="106"/>
    <s v="Goog Good Eat Super Ramen Hot Chili"/>
    <x v="0"/>
    <x v="4"/>
    <s v="Asia"/>
    <x v="10"/>
    <x v="2"/>
    <m/>
    <s v=""/>
    <s v=""/>
  </r>
  <r>
    <n v="601"/>
    <x v="135"/>
    <s v="Tomato Vegetables"/>
    <x v="0"/>
    <x v="4"/>
    <s v="Asia"/>
    <x v="0"/>
    <x v="0"/>
    <m/>
    <s v=""/>
    <s v=""/>
  </r>
  <r>
    <n v="587"/>
    <x v="137"/>
    <s v="Steam Vermicelli"/>
    <x v="0"/>
    <x v="4"/>
    <s v="Asia"/>
    <x v="30"/>
    <x v="1"/>
    <m/>
    <s v=""/>
    <s v=""/>
  </r>
  <r>
    <n v="586"/>
    <x v="119"/>
    <s v="Bah Kut Tea Noodle For Vegetarians"/>
    <x v="0"/>
    <x v="4"/>
    <s v="Asia"/>
    <x v="5"/>
    <x v="2"/>
    <m/>
    <s v=""/>
    <s v=""/>
  </r>
  <r>
    <n v="585"/>
    <x v="17"/>
    <s v="Artificial Onion Flavor Bean Thread"/>
    <x v="1"/>
    <x v="4"/>
    <s v="Asia"/>
    <x v="8"/>
    <x v="1"/>
    <m/>
    <s v=""/>
    <s v=""/>
  </r>
  <r>
    <n v="564"/>
    <x v="1"/>
    <s v="One More Cup Kimchi"/>
    <x v="2"/>
    <x v="4"/>
    <s v="Asia"/>
    <x v="10"/>
    <x v="2"/>
    <m/>
    <s v=""/>
    <s v=""/>
  </r>
  <r>
    <n v="520"/>
    <x v="138"/>
    <s v="Vegetarian Rice Noodles"/>
    <x v="1"/>
    <x v="4"/>
    <s v="Asia"/>
    <x v="20"/>
    <x v="1"/>
    <m/>
    <s v=""/>
    <s v=""/>
  </r>
  <r>
    <n v="509"/>
    <x v="17"/>
    <s v="Kung Fu Shrimp"/>
    <x v="1"/>
    <x v="4"/>
    <s v="Asia"/>
    <x v="0"/>
    <x v="0"/>
    <m/>
    <s v=""/>
    <s v=""/>
  </r>
  <r>
    <n v="498"/>
    <x v="139"/>
    <s v="Tiny Noodle With Oyster Flavor"/>
    <x v="0"/>
    <x v="4"/>
    <s v="Asia"/>
    <x v="1"/>
    <x v="1"/>
    <m/>
    <s v=""/>
    <s v=""/>
  </r>
  <r>
    <n v="478"/>
    <x v="119"/>
    <s v="Mushroom &amp; Artificial Cuttlefish"/>
    <x v="0"/>
    <x v="4"/>
    <s v="Asia"/>
    <x v="14"/>
    <x v="1"/>
    <m/>
    <s v=""/>
    <s v=""/>
  </r>
  <r>
    <n v="458"/>
    <x v="17"/>
    <s v="Kung Fu Artificial Beef Rice Noodle"/>
    <x v="1"/>
    <x v="4"/>
    <s v="Asia"/>
    <x v="10"/>
    <x v="2"/>
    <m/>
    <s v=""/>
    <s v=""/>
  </r>
  <r>
    <n v="456"/>
    <x v="17"/>
    <s v="Kung Fu Artificial Szechuan Pork"/>
    <x v="1"/>
    <x v="4"/>
    <s v="Asia"/>
    <x v="10"/>
    <x v="2"/>
    <m/>
    <s v=""/>
    <s v=""/>
  </r>
  <r>
    <n v="449"/>
    <x v="133"/>
    <s v="Beef Flavor Ramen"/>
    <x v="0"/>
    <x v="4"/>
    <s v="Asia"/>
    <x v="12"/>
    <x v="0"/>
    <m/>
    <s v=""/>
    <s v=""/>
  </r>
  <r>
    <n v="448"/>
    <x v="17"/>
    <s v="Kung Fu Artificial Sesame Chicken"/>
    <x v="1"/>
    <x v="4"/>
    <s v="Asia"/>
    <x v="10"/>
    <x v="2"/>
    <m/>
    <s v=""/>
    <s v=""/>
  </r>
  <r>
    <n v="445"/>
    <x v="140"/>
    <s v="Taiwan Style Chow Mein"/>
    <x v="0"/>
    <x v="4"/>
    <s v="Asia"/>
    <x v="13"/>
    <x v="1"/>
    <m/>
    <s v=""/>
    <s v=""/>
  </r>
  <r>
    <n v="436"/>
    <x v="129"/>
    <s v="Artificial Beef With Sauerkraut"/>
    <x v="1"/>
    <x v="4"/>
    <s v="Asia"/>
    <x v="10"/>
    <x v="2"/>
    <m/>
    <s v=""/>
    <s v=""/>
  </r>
  <r>
    <n v="432"/>
    <x v="17"/>
    <s v="Instant Bean Thread Seafood"/>
    <x v="1"/>
    <x v="4"/>
    <s v="Asia"/>
    <x v="6"/>
    <x v="1"/>
    <m/>
    <s v=""/>
    <s v=""/>
  </r>
  <r>
    <n v="431"/>
    <x v="12"/>
    <s v="Chinese Onion Rice Noodle"/>
    <x v="0"/>
    <x v="4"/>
    <s v="Asia"/>
    <x v="9"/>
    <x v="2"/>
    <m/>
    <s v=""/>
    <s v=""/>
  </r>
  <r>
    <n v="424"/>
    <x v="141"/>
    <s v="Noodle With Sesame Sauce"/>
    <x v="0"/>
    <x v="4"/>
    <s v="Asia"/>
    <x v="5"/>
    <x v="2"/>
    <m/>
    <s v=""/>
    <s v=""/>
  </r>
  <r>
    <n v="418"/>
    <x v="140"/>
    <s v="Udon Noodle Soup Oriental"/>
    <x v="0"/>
    <x v="4"/>
    <s v="Asia"/>
    <x v="10"/>
    <x v="2"/>
    <m/>
    <s v=""/>
    <s v=""/>
  </r>
  <r>
    <n v="415"/>
    <x v="17"/>
    <s v="Artificial Classic Beef"/>
    <x v="1"/>
    <x v="4"/>
    <s v="Asia"/>
    <x v="10"/>
    <x v="2"/>
    <m/>
    <s v=""/>
    <s v=""/>
  </r>
  <r>
    <n v="413"/>
    <x v="131"/>
    <s v="Alimentary Paste Chow Mein"/>
    <x v="0"/>
    <x v="4"/>
    <s v="Asia"/>
    <x v="12"/>
    <x v="0"/>
    <m/>
    <s v=""/>
    <s v=""/>
  </r>
  <r>
    <n v="385"/>
    <x v="17"/>
    <s v="Hot Of Hots Artificial Black Peppered Beef"/>
    <x v="1"/>
    <x v="4"/>
    <s v="Asia"/>
    <x v="7"/>
    <x v="1"/>
    <m/>
    <s v=""/>
    <s v=""/>
  </r>
  <r>
    <n v="378"/>
    <x v="17"/>
    <s v="Hot Of Hots Artificial Satay Beef"/>
    <x v="1"/>
    <x v="4"/>
    <s v="Asia"/>
    <x v="10"/>
    <x v="2"/>
    <m/>
    <s v=""/>
    <s v=""/>
  </r>
  <r>
    <n v="347"/>
    <x v="142"/>
    <s v="Mi Chay Vegetarian"/>
    <x v="0"/>
    <x v="4"/>
    <s v="Asia"/>
    <x v="14"/>
    <x v="1"/>
    <m/>
    <s v=""/>
    <s v=""/>
  </r>
  <r>
    <n v="322"/>
    <x v="129"/>
    <s v="Shrimp Fish"/>
    <x v="1"/>
    <x v="4"/>
    <s v="Asia"/>
    <x v="10"/>
    <x v="2"/>
    <m/>
    <s v=""/>
    <s v=""/>
  </r>
  <r>
    <n v="318"/>
    <x v="129"/>
    <s v="Super Bowl Artificial Pickled Chilli Beef"/>
    <x v="1"/>
    <x v="4"/>
    <s v="Asia"/>
    <x v="5"/>
    <x v="2"/>
    <m/>
    <s v=""/>
    <s v=""/>
  </r>
  <r>
    <n v="316"/>
    <x v="129"/>
    <s v="Super Bowl Artificial Stewed Pork Chop"/>
    <x v="1"/>
    <x v="4"/>
    <s v="Asia"/>
    <x v="2"/>
    <x v="2"/>
    <m/>
    <s v=""/>
    <s v=""/>
  </r>
  <r>
    <n v="315"/>
    <x v="129"/>
    <s v="Super Bowl Artificial Spicy Beef"/>
    <x v="1"/>
    <x v="4"/>
    <s v="Asia"/>
    <x v="9"/>
    <x v="2"/>
    <m/>
    <s v=""/>
    <s v=""/>
  </r>
  <r>
    <n v="300"/>
    <x v="133"/>
    <s v="Steam Spinach Ramen With Onion"/>
    <x v="0"/>
    <x v="4"/>
    <s v="Asia"/>
    <x v="3"/>
    <x v="0"/>
    <m/>
    <s v=""/>
    <s v=""/>
  </r>
  <r>
    <n v="293"/>
    <x v="143"/>
    <s v="Onion Flaver Rice Noodle"/>
    <x v="1"/>
    <x v="4"/>
    <s v="Asia"/>
    <x v="1"/>
    <x v="1"/>
    <m/>
    <s v=""/>
    <s v=""/>
  </r>
  <r>
    <n v="274"/>
    <x v="17"/>
    <s v="Kung Fu Artificial Soybean Paste"/>
    <x v="0"/>
    <x v="4"/>
    <s v="Asia"/>
    <x v="0"/>
    <x v="0"/>
    <m/>
    <s v=""/>
    <s v=""/>
  </r>
  <r>
    <n v="270"/>
    <x v="133"/>
    <s v="Dried Noodle With BBQ Pork"/>
    <x v="0"/>
    <x v="4"/>
    <s v="Asia"/>
    <x v="11"/>
    <x v="1"/>
    <m/>
    <s v=""/>
    <s v=""/>
  </r>
  <r>
    <n v="250"/>
    <x v="133"/>
    <s v="Steamed Noodle Sesame Oil"/>
    <x v="0"/>
    <x v="4"/>
    <s v="Asia"/>
    <x v="10"/>
    <x v="2"/>
    <m/>
    <s v=""/>
    <s v=""/>
  </r>
  <r>
    <n v="249"/>
    <x v="129"/>
    <s v="100 Artificial Spicy Beef"/>
    <x v="0"/>
    <x v="4"/>
    <s v="Asia"/>
    <x v="10"/>
    <x v="2"/>
    <m/>
    <s v=""/>
    <s v=""/>
  </r>
  <r>
    <n v="220"/>
    <x v="106"/>
    <s v="Good Good Eat Super Ramen Original"/>
    <x v="0"/>
    <x v="4"/>
    <s v="Asia"/>
    <x v="4"/>
    <x v="2"/>
    <m/>
    <s v=""/>
    <s v=""/>
  </r>
  <r>
    <n v="191"/>
    <x v="133"/>
    <s v="Steamed Noodle Chinese Herbs"/>
    <x v="0"/>
    <x v="4"/>
    <s v="Asia"/>
    <x v="5"/>
    <x v="2"/>
    <m/>
    <s v=""/>
    <s v=""/>
  </r>
  <r>
    <n v="173"/>
    <x v="12"/>
    <s v="Instant Bean Vermicelli Shrimp"/>
    <x v="0"/>
    <x v="4"/>
    <s v="Asia"/>
    <x v="8"/>
    <x v="1"/>
    <m/>
    <s v=""/>
    <s v=""/>
  </r>
  <r>
    <n v="164"/>
    <x v="12"/>
    <s v="Artificial Beef Flavor"/>
    <x v="0"/>
    <x v="4"/>
    <s v="Asia"/>
    <x v="10"/>
    <x v="2"/>
    <m/>
    <s v=""/>
    <s v=""/>
  </r>
  <r>
    <n v="152"/>
    <x v="133"/>
    <s v="Steamed Noodle Garlic &amp; Sesame Oil"/>
    <x v="0"/>
    <x v="4"/>
    <s v="Asia"/>
    <x v="17"/>
    <x v="0"/>
    <m/>
    <s v=""/>
    <s v=""/>
  </r>
  <r>
    <n v="138"/>
    <x v="129"/>
    <s v="100 Furong Shrimp"/>
    <x v="7"/>
    <x v="4"/>
    <s v="Asia"/>
    <x v="4"/>
    <x v="2"/>
    <m/>
    <s v=""/>
    <s v=""/>
  </r>
  <r>
    <n v="135"/>
    <x v="12"/>
    <s v="Fresh Shrimp"/>
    <x v="0"/>
    <x v="4"/>
    <s v="Asia"/>
    <x v="5"/>
    <x v="2"/>
    <m/>
    <s v=""/>
    <s v=""/>
  </r>
  <r>
    <n v="132"/>
    <x v="17"/>
    <s v="Artificial Peppered Beef"/>
    <x v="0"/>
    <x v="4"/>
    <s v="Asia"/>
    <x v="2"/>
    <x v="2"/>
    <m/>
    <s v=""/>
    <s v=""/>
  </r>
  <r>
    <n v="131"/>
    <x v="129"/>
    <s v="100 Artificial Shallot Chicken"/>
    <x v="0"/>
    <x v="4"/>
    <s v="Asia"/>
    <x v="5"/>
    <x v="2"/>
    <m/>
    <s v=""/>
    <s v=""/>
  </r>
  <r>
    <n v="119"/>
    <x v="17"/>
    <s v="Artificial Pork &amp; Chicken"/>
    <x v="0"/>
    <x v="4"/>
    <s v="Asia"/>
    <x v="31"/>
    <x v="2"/>
    <m/>
    <s v=""/>
    <s v=""/>
  </r>
  <r>
    <n v="103"/>
    <x v="17"/>
    <s v="Vegetarian Flavor"/>
    <x v="0"/>
    <x v="4"/>
    <s v="Asia"/>
    <x v="4"/>
    <x v="2"/>
    <m/>
    <s v=""/>
    <s v=""/>
  </r>
  <r>
    <n v="101"/>
    <x v="17"/>
    <s v="Artificial Sesame Chicken"/>
    <x v="0"/>
    <x v="4"/>
    <s v="Asia"/>
    <x v="12"/>
    <x v="0"/>
    <m/>
    <s v=""/>
    <s v=""/>
  </r>
  <r>
    <n v="100"/>
    <x v="12"/>
    <s v="Artificial Chinese Beef"/>
    <x v="0"/>
    <x v="4"/>
    <s v="Asia"/>
    <x v="32"/>
    <x v="2"/>
    <m/>
    <s v=""/>
    <s v=""/>
  </r>
  <r>
    <n v="99"/>
    <x v="17"/>
    <s v="Kung Fu Artificial Onion"/>
    <x v="0"/>
    <x v="4"/>
    <s v="Asia"/>
    <x v="9"/>
    <x v="2"/>
    <m/>
    <s v=""/>
    <s v=""/>
  </r>
  <r>
    <n v="98"/>
    <x v="12"/>
    <s v="Chah Chiang"/>
    <x v="0"/>
    <x v="4"/>
    <s v="Asia"/>
    <x v="6"/>
    <x v="1"/>
    <m/>
    <s v=""/>
    <s v=""/>
  </r>
  <r>
    <n v="95"/>
    <x v="106"/>
    <s v="Artificial Beef Flavor"/>
    <x v="0"/>
    <x v="4"/>
    <s v="Asia"/>
    <x v="19"/>
    <x v="1"/>
    <m/>
    <s v=""/>
    <s v=""/>
  </r>
  <r>
    <n v="89"/>
    <x v="129"/>
    <s v="100 Artificial Stewed Pork Chop"/>
    <x v="0"/>
    <x v="4"/>
    <s v="Asia"/>
    <x v="33"/>
    <x v="2"/>
    <m/>
    <s v=""/>
    <s v=""/>
  </r>
  <r>
    <n v="86"/>
    <x v="12"/>
    <s v="Onion Flavor"/>
    <x v="0"/>
    <x v="4"/>
    <s v="Asia"/>
    <x v="34"/>
    <x v="2"/>
    <m/>
    <s v=""/>
    <s v=""/>
  </r>
  <r>
    <n v="81"/>
    <x v="12"/>
    <s v="Artificial Spicy Beef"/>
    <x v="0"/>
    <x v="4"/>
    <s v="Asia"/>
    <x v="2"/>
    <x v="2"/>
    <m/>
    <s v=""/>
    <s v=""/>
  </r>
  <r>
    <n v="80"/>
    <x v="12"/>
    <s v="Artificial Chicken"/>
    <x v="0"/>
    <x v="4"/>
    <s v="Asia"/>
    <x v="2"/>
    <x v="2"/>
    <m/>
    <s v=""/>
    <s v=""/>
  </r>
  <r>
    <n v="68"/>
    <x v="106"/>
    <s v="Jah Jan Mien Instant Noodle With Fried Soybean Paste"/>
    <x v="0"/>
    <x v="4"/>
    <s v="Asia"/>
    <x v="0"/>
    <x v="0"/>
    <m/>
    <s v=""/>
    <s v=""/>
  </r>
  <r>
    <n v="58"/>
    <x v="17"/>
    <s v="A-One Bun Tom Shrimp"/>
    <x v="0"/>
    <x v="4"/>
    <s v="Asia"/>
    <x v="4"/>
    <x v="2"/>
    <m/>
    <s v=""/>
    <s v=""/>
  </r>
  <r>
    <n v="43"/>
    <x v="144"/>
    <s v="Jaopai Series: Vegetarian Instant Noodles"/>
    <x v="1"/>
    <x v="4"/>
    <s v="Asia"/>
    <x v="1"/>
    <x v="1"/>
    <m/>
    <s v=""/>
    <s v=""/>
  </r>
  <r>
    <n v="8"/>
    <x v="145"/>
    <s v="Chinese Beef Instant Rice Noodle"/>
    <x v="0"/>
    <x v="4"/>
    <s v="Asia"/>
    <x v="4"/>
    <x v="2"/>
    <m/>
    <s v=""/>
    <s v=""/>
  </r>
  <r>
    <n v="1554"/>
    <x v="146"/>
    <s v="Asia Fast Noodles Snabbnudlar R√§ksmak"/>
    <x v="0"/>
    <x v="5"/>
    <s v="Europe"/>
    <x v="4"/>
    <x v="2"/>
    <m/>
    <s v=""/>
    <s v=""/>
  </r>
  <r>
    <n v="1517"/>
    <x v="147"/>
    <s v="Instant Noodles Spicy Chili"/>
    <x v="0"/>
    <x v="5"/>
    <s v="Europe"/>
    <x v="2"/>
    <x v="2"/>
    <m/>
    <s v=""/>
    <s v=""/>
  </r>
  <r>
    <n v="1487"/>
    <x v="146"/>
    <s v="Asia Snabbnudlar Kycklingsmak"/>
    <x v="0"/>
    <x v="5"/>
    <s v="Europe"/>
    <x v="5"/>
    <x v="2"/>
    <m/>
    <s v=""/>
    <s v=""/>
  </r>
  <r>
    <n v="1308"/>
    <x v="19"/>
    <s v="Soon Veggie Noodle Soup"/>
    <x v="0"/>
    <x v="6"/>
    <s v="Asia"/>
    <x v="3"/>
    <x v="0"/>
    <s v="2014 #9"/>
    <s v="2014"/>
    <s v="9"/>
  </r>
  <r>
    <n v="823"/>
    <x v="148"/>
    <s v="Kokomen Spicy Chicken"/>
    <x v="0"/>
    <x v="6"/>
    <s v="Asia"/>
    <x v="3"/>
    <x v="0"/>
    <s v="2013 #9"/>
    <s v="2013"/>
    <s v="9"/>
  </r>
  <r>
    <n v="578"/>
    <x v="19"/>
    <s v="Shin Ramyun Black"/>
    <x v="0"/>
    <x v="6"/>
    <s v="Asia"/>
    <x v="15"/>
    <x v="0"/>
    <s v="2012 #7"/>
    <s v="2012"/>
    <s v="7"/>
  </r>
  <r>
    <n v="1183"/>
    <x v="148"/>
    <s v="Cheese Noodle"/>
    <x v="0"/>
    <x v="6"/>
    <s v="Asia"/>
    <x v="3"/>
    <x v="0"/>
    <s v="2014 #6"/>
    <s v="2014"/>
    <s v="6"/>
  </r>
  <r>
    <n v="1198"/>
    <x v="149"/>
    <s v="Maesaengyitangmyun Baked Noodle"/>
    <x v="0"/>
    <x v="6"/>
    <s v="Asia"/>
    <x v="3"/>
    <x v="0"/>
    <s v="2014 #5"/>
    <s v="2014"/>
    <s v="5"/>
  </r>
  <r>
    <n v="910"/>
    <x v="148"/>
    <s v="Namja Ramyun"/>
    <x v="1"/>
    <x v="6"/>
    <s v="Asia"/>
    <x v="12"/>
    <x v="0"/>
    <m/>
    <s v=""/>
    <s v=""/>
  </r>
  <r>
    <n v="332"/>
    <x v="19"/>
    <s v="Champong Oriental Noodles"/>
    <x v="2"/>
    <x v="6"/>
    <s v="Asia"/>
    <x v="10"/>
    <x v="2"/>
    <m/>
    <s v=""/>
    <s v=""/>
  </r>
  <r>
    <n v="2575"/>
    <x v="149"/>
    <s v="Kimchi song Song Ramen"/>
    <x v="0"/>
    <x v="6"/>
    <s v="Asia"/>
    <x v="15"/>
    <x v="0"/>
    <m/>
    <s v=""/>
    <s v=""/>
  </r>
  <r>
    <n v="2568"/>
    <x v="19"/>
    <s v="Mr. Bibim Stir-Fried Kimchi Flavor"/>
    <x v="0"/>
    <x v="6"/>
    <s v="Asia"/>
    <x v="12"/>
    <x v="0"/>
    <m/>
    <s v=""/>
    <s v=""/>
  </r>
  <r>
    <n v="2561"/>
    <x v="148"/>
    <s v="Premium Gomtang"/>
    <x v="0"/>
    <x v="6"/>
    <s v="Asia"/>
    <x v="0"/>
    <x v="0"/>
    <m/>
    <s v=""/>
    <s v=""/>
  </r>
  <r>
    <n v="2555"/>
    <x v="149"/>
    <s v="Song Song Kimchi Big Bowl"/>
    <x v="1"/>
    <x v="6"/>
    <s v="Asia"/>
    <x v="12"/>
    <x v="0"/>
    <m/>
    <s v=""/>
    <s v=""/>
  </r>
  <r>
    <n v="2550"/>
    <x v="149"/>
    <s v="Paegaejang Ramen"/>
    <x v="0"/>
    <x v="6"/>
    <s v="Asia"/>
    <x v="3"/>
    <x v="0"/>
    <m/>
    <s v=""/>
    <s v=""/>
  </r>
  <r>
    <n v="2548"/>
    <x v="150"/>
    <s v="Plain Instant Noodle No Soup Included"/>
    <x v="0"/>
    <x v="6"/>
    <s v="Asia"/>
    <x v="35"/>
    <x v="3"/>
    <m/>
    <s v=""/>
    <s v=""/>
  </r>
  <r>
    <n v="2533"/>
    <x v="19"/>
    <s v="Shin Ramyun Black"/>
    <x v="0"/>
    <x v="6"/>
    <s v="Asia"/>
    <x v="3"/>
    <x v="0"/>
    <m/>
    <s v=""/>
    <s v=""/>
  </r>
  <r>
    <n v="2530"/>
    <x v="150"/>
    <s v="Ppushu Ppushu Noodle Snack Honey Butter "/>
    <x v="0"/>
    <x v="6"/>
    <s v="Asia"/>
    <x v="11"/>
    <x v="1"/>
    <m/>
    <s v=""/>
    <s v=""/>
  </r>
  <r>
    <n v="2526"/>
    <x v="149"/>
    <s v="Jjamppong Big Bowl"/>
    <x v="1"/>
    <x v="6"/>
    <s v="Asia"/>
    <x v="17"/>
    <x v="0"/>
    <m/>
    <s v=""/>
    <s v=""/>
  </r>
  <r>
    <n v="2523"/>
    <x v="19"/>
    <s v="Budae Jjigae Noodle Soup"/>
    <x v="0"/>
    <x v="6"/>
    <s v="Asia"/>
    <x v="17"/>
    <x v="0"/>
    <m/>
    <s v=""/>
    <s v=""/>
  </r>
  <r>
    <n v="2519"/>
    <x v="151"/>
    <s v="Anchovy Flavor Guava Rice Noodles"/>
    <x v="3"/>
    <x v="6"/>
    <s v="Asia"/>
    <x v="19"/>
    <x v="1"/>
    <m/>
    <s v=""/>
    <s v=""/>
  </r>
  <r>
    <n v="2511"/>
    <x v="149"/>
    <s v="Samyang Ramen Classic Edition"/>
    <x v="1"/>
    <x v="6"/>
    <s v="Asia"/>
    <x v="3"/>
    <x v="0"/>
    <m/>
    <s v=""/>
    <s v=""/>
  </r>
  <r>
    <n v="2508"/>
    <x v="149"/>
    <s v="Mala Buldak Bokkeummyun"/>
    <x v="0"/>
    <x v="6"/>
    <s v="Asia"/>
    <x v="10"/>
    <x v="2"/>
    <m/>
    <s v=""/>
    <s v=""/>
  </r>
  <r>
    <n v="2504"/>
    <x v="19"/>
    <s v="Shin Ramyun"/>
    <x v="0"/>
    <x v="6"/>
    <s v="Asia"/>
    <x v="4"/>
    <x v="2"/>
    <m/>
    <s v=""/>
    <s v=""/>
  </r>
  <r>
    <n v="2483"/>
    <x v="148"/>
    <s v="Bul Jjamppong"/>
    <x v="1"/>
    <x v="6"/>
    <s v="Asia"/>
    <x v="3"/>
    <x v="0"/>
    <m/>
    <s v=""/>
    <s v=""/>
  </r>
  <r>
    <n v="2481"/>
    <x v="149"/>
    <s v="Buldak Bokkeummyun"/>
    <x v="2"/>
    <x v="6"/>
    <s v="Asia"/>
    <x v="10"/>
    <x v="2"/>
    <m/>
    <s v=""/>
    <s v=""/>
  </r>
  <r>
    <n v="2476"/>
    <x v="149"/>
    <s v="Kimchi Stew Ramyun"/>
    <x v="1"/>
    <x v="6"/>
    <s v="Asia"/>
    <x v="0"/>
    <x v="0"/>
    <m/>
    <s v=""/>
    <s v=""/>
  </r>
  <r>
    <n v="2474"/>
    <x v="150"/>
    <s v="Ppushu Ppushu Noodle Snack Chilli Cheese Flavor"/>
    <x v="0"/>
    <x v="6"/>
    <s v="Asia"/>
    <x v="12"/>
    <x v="0"/>
    <m/>
    <s v=""/>
    <s v=""/>
  </r>
  <r>
    <n v="2467"/>
    <x v="148"/>
    <s v="Volcano Curry Kkokkomyun"/>
    <x v="0"/>
    <x v="6"/>
    <s v="Asia"/>
    <x v="2"/>
    <x v="2"/>
    <m/>
    <s v=""/>
    <s v=""/>
  </r>
  <r>
    <n v="2464"/>
    <x v="152"/>
    <s v="Extreme Spicy Hot Chicken Flavor Udon"/>
    <x v="1"/>
    <x v="6"/>
    <s v="Asia"/>
    <x v="11"/>
    <x v="1"/>
    <m/>
    <s v=""/>
    <s v=""/>
  </r>
  <r>
    <n v="2458"/>
    <x v="149"/>
    <s v="Sari Ramen"/>
    <x v="0"/>
    <x v="6"/>
    <s v="Asia"/>
    <x v="35"/>
    <x v="3"/>
    <m/>
    <s v=""/>
    <s v=""/>
  </r>
  <r>
    <n v="2424"/>
    <x v="149"/>
    <s v="Cheese Type Buldak Bokkeummyun (Black Pkg)"/>
    <x v="0"/>
    <x v="6"/>
    <s v="Asia"/>
    <x v="10"/>
    <x v="2"/>
    <m/>
    <s v=""/>
    <s v=""/>
  </r>
  <r>
    <n v="2397"/>
    <x v="149"/>
    <s v="Cheese Buldak Bokkeummyun (Black)"/>
    <x v="1"/>
    <x v="6"/>
    <s v="Asia"/>
    <x v="0"/>
    <x v="0"/>
    <m/>
    <s v=""/>
    <s v=""/>
  </r>
  <r>
    <n v="2391"/>
    <x v="150"/>
    <s v="Jin Jjambbong Spicy Seafood Ramyun"/>
    <x v="0"/>
    <x v="6"/>
    <s v="Asia"/>
    <x v="3"/>
    <x v="0"/>
    <m/>
    <s v=""/>
    <s v=""/>
  </r>
  <r>
    <n v="2382"/>
    <x v="19"/>
    <s v="Seaweed Instant Noodle"/>
    <x v="2"/>
    <x v="6"/>
    <s v="Asia"/>
    <x v="16"/>
    <x v="1"/>
    <m/>
    <s v=""/>
    <s v=""/>
  </r>
  <r>
    <n v="2380"/>
    <x v="153"/>
    <s v="Non-Fried Ramyun With Spicy Beef Broth"/>
    <x v="0"/>
    <x v="6"/>
    <s v="Asia"/>
    <x v="10"/>
    <x v="2"/>
    <m/>
    <s v=""/>
    <s v=""/>
  </r>
  <r>
    <n v="2370"/>
    <x v="149"/>
    <s v="Zzaldduck Buldak Bokkeummyun Snack"/>
    <x v="0"/>
    <x v="6"/>
    <s v="Asia"/>
    <x v="17"/>
    <x v="0"/>
    <m/>
    <s v=""/>
    <s v=""/>
  </r>
  <r>
    <n v="2369"/>
    <x v="149"/>
    <s v="Curry Buldak Bokkeummyun"/>
    <x v="0"/>
    <x v="6"/>
    <s v="Asia"/>
    <x v="12"/>
    <x v="0"/>
    <m/>
    <s v=""/>
    <s v=""/>
  </r>
  <r>
    <n v="2368"/>
    <x v="149"/>
    <s v="Cool/Ice Buldak Bokkeummyun"/>
    <x v="0"/>
    <x v="6"/>
    <s v="Asia"/>
    <x v="10"/>
    <x v="2"/>
    <m/>
    <s v=""/>
    <s v=""/>
  </r>
  <r>
    <n v="2367"/>
    <x v="149"/>
    <s v="2x Spicy Haek Buldak Bokkeummyun"/>
    <x v="0"/>
    <x v="6"/>
    <s v="Asia"/>
    <x v="0"/>
    <x v="0"/>
    <m/>
    <s v=""/>
    <s v=""/>
  </r>
  <r>
    <n v="2366"/>
    <x v="149"/>
    <s v="Buldak Bokkeummyun Snack"/>
    <x v="0"/>
    <x v="6"/>
    <s v="Asia"/>
    <x v="3"/>
    <x v="0"/>
    <m/>
    <s v=""/>
    <s v=""/>
  </r>
  <r>
    <n v="2365"/>
    <x v="149"/>
    <s v="Stew Buldak Bokkeumtangmyun"/>
    <x v="0"/>
    <x v="6"/>
    <s v="Asia"/>
    <x v="3"/>
    <x v="0"/>
    <m/>
    <s v=""/>
    <s v=""/>
  </r>
  <r>
    <n v="2364"/>
    <x v="149"/>
    <s v="Cheese Buldak Bokkeummyun"/>
    <x v="0"/>
    <x v="6"/>
    <s v="Asia"/>
    <x v="0"/>
    <x v="0"/>
    <m/>
    <s v=""/>
    <s v=""/>
  </r>
  <r>
    <n v="2363"/>
    <x v="149"/>
    <s v="Buldak Bokkeummyun (New Packaging)"/>
    <x v="0"/>
    <x v="6"/>
    <s v="Asia"/>
    <x v="0"/>
    <x v="0"/>
    <m/>
    <s v=""/>
    <s v=""/>
  </r>
  <r>
    <n v="2356"/>
    <x v="19"/>
    <s v="Spicy Shrimp Cup Noodle"/>
    <x v="2"/>
    <x v="6"/>
    <s v="Asia"/>
    <x v="0"/>
    <x v="0"/>
    <m/>
    <s v=""/>
    <s v=""/>
  </r>
  <r>
    <n v="2345"/>
    <x v="154"/>
    <s v="Clam Flavor Soup Kal-guksu"/>
    <x v="0"/>
    <x v="6"/>
    <s v="Asia"/>
    <x v="3"/>
    <x v="0"/>
    <m/>
    <s v=""/>
    <s v=""/>
  </r>
  <r>
    <n v="2324"/>
    <x v="148"/>
    <s v="Bul Jjajangmyeon"/>
    <x v="0"/>
    <x v="6"/>
    <s v="Asia"/>
    <x v="3"/>
    <x v="0"/>
    <m/>
    <s v=""/>
    <s v=""/>
  </r>
  <r>
    <n v="2319"/>
    <x v="19"/>
    <s v="Saeutang Sabalmyeon"/>
    <x v="1"/>
    <x v="6"/>
    <s v="Asia"/>
    <x v="2"/>
    <x v="2"/>
    <m/>
    <s v=""/>
    <s v=""/>
  </r>
  <r>
    <n v="2291"/>
    <x v="149"/>
    <s v="Buldak Bokkummyun Cheese Flavor"/>
    <x v="0"/>
    <x v="6"/>
    <s v="Asia"/>
    <x v="0"/>
    <x v="0"/>
    <m/>
    <s v=""/>
    <s v=""/>
  </r>
  <r>
    <n v="2282"/>
    <x v="149"/>
    <s v="Gold Jjamppong Fried Noodle"/>
    <x v="0"/>
    <x v="6"/>
    <s v="Asia"/>
    <x v="3"/>
    <x v="0"/>
    <m/>
    <s v=""/>
    <s v=""/>
  </r>
  <r>
    <n v="2270"/>
    <x v="149"/>
    <s v="Fresh Bibimmyun Fried Noodle"/>
    <x v="0"/>
    <x v="6"/>
    <s v="Asia"/>
    <x v="0"/>
    <x v="0"/>
    <m/>
    <s v=""/>
    <s v=""/>
  </r>
  <r>
    <n v="2240"/>
    <x v="152"/>
    <s v="Rice Noodle Anchovy Flavor"/>
    <x v="1"/>
    <x v="6"/>
    <s v="Asia"/>
    <x v="4"/>
    <x v="2"/>
    <m/>
    <s v=""/>
    <s v=""/>
  </r>
  <r>
    <n v="2234"/>
    <x v="148"/>
    <s v="Bibim Men"/>
    <x v="1"/>
    <x v="6"/>
    <s v="Asia"/>
    <x v="3"/>
    <x v="0"/>
    <m/>
    <s v=""/>
    <s v=""/>
  </r>
  <r>
    <n v="2220"/>
    <x v="148"/>
    <s v="Budae Jjigae"/>
    <x v="0"/>
    <x v="6"/>
    <s v="Asia"/>
    <x v="3"/>
    <x v="0"/>
    <m/>
    <s v=""/>
    <s v=""/>
  </r>
  <r>
    <n v="2212"/>
    <x v="148"/>
    <s v="Bul Jjamppong"/>
    <x v="0"/>
    <x v="6"/>
    <s v="Asia"/>
    <x v="0"/>
    <x v="0"/>
    <m/>
    <s v=""/>
    <s v=""/>
  </r>
  <r>
    <n v="2187"/>
    <x v="153"/>
    <s v="Non-Fried Ramyun Noodle (Crab Flavor)"/>
    <x v="0"/>
    <x v="6"/>
    <s v="Asia"/>
    <x v="3"/>
    <x v="0"/>
    <m/>
    <s v=""/>
    <s v=""/>
  </r>
  <r>
    <n v="2161"/>
    <x v="19"/>
    <s v="Chal Bibim Myun"/>
    <x v="0"/>
    <x v="6"/>
    <s v="Asia"/>
    <x v="3"/>
    <x v="0"/>
    <m/>
    <s v=""/>
    <s v=""/>
  </r>
  <r>
    <n v="2140"/>
    <x v="152"/>
    <s v="Rice Noodle Seafood Flavour"/>
    <x v="1"/>
    <x v="6"/>
    <s v="Asia"/>
    <x v="3"/>
    <x v="0"/>
    <m/>
    <s v=""/>
    <s v=""/>
  </r>
  <r>
    <n v="2104"/>
    <x v="152"/>
    <s v="Rice Noodle Kimchi Flavor"/>
    <x v="1"/>
    <x v="6"/>
    <s v="Asia"/>
    <x v="0"/>
    <x v="0"/>
    <m/>
    <s v=""/>
    <s v=""/>
  </r>
  <r>
    <n v="2101"/>
    <x v="149"/>
    <s v="Pojangmacha Udon"/>
    <x v="0"/>
    <x v="6"/>
    <s v="Asia"/>
    <x v="0"/>
    <x v="0"/>
    <m/>
    <s v=""/>
    <s v=""/>
  </r>
  <r>
    <n v="2094"/>
    <x v="19"/>
    <s v="Champong Noodle Soup Spicy Seafood Flavor"/>
    <x v="0"/>
    <x v="6"/>
    <s v="Asia"/>
    <x v="3"/>
    <x v="0"/>
    <m/>
    <s v=""/>
    <s v=""/>
  </r>
  <r>
    <n v="2067"/>
    <x v="149"/>
    <s v="Fresh Jjajang"/>
    <x v="0"/>
    <x v="6"/>
    <s v="Asia"/>
    <x v="17"/>
    <x v="0"/>
    <m/>
    <s v=""/>
    <s v=""/>
  </r>
  <r>
    <n v="2037"/>
    <x v="155"/>
    <s v="Hovenia Ramen Vegetable Flavor"/>
    <x v="0"/>
    <x v="6"/>
    <s v="Asia"/>
    <x v="2"/>
    <x v="2"/>
    <m/>
    <s v=""/>
    <s v=""/>
  </r>
  <r>
    <n v="2018"/>
    <x v="153"/>
    <s v="Noodle With Spicy Oyster Soup"/>
    <x v="0"/>
    <x v="6"/>
    <s v="Asia"/>
    <x v="0"/>
    <x v="0"/>
    <m/>
    <s v=""/>
    <s v=""/>
  </r>
  <r>
    <n v="2017"/>
    <x v="149"/>
    <s v="Honey &amp; Cheese Big Bowl"/>
    <x v="1"/>
    <x v="6"/>
    <s v="Asia"/>
    <x v="1"/>
    <x v="1"/>
    <m/>
    <s v=""/>
    <s v=""/>
  </r>
  <r>
    <n v="1974"/>
    <x v="149"/>
    <s v="Cheese Curry Ramyun"/>
    <x v="0"/>
    <x v="6"/>
    <s v="Asia"/>
    <x v="3"/>
    <x v="0"/>
    <m/>
    <s v=""/>
    <s v=""/>
  </r>
  <r>
    <n v="1892"/>
    <x v="150"/>
    <s v="Cheese Ramen"/>
    <x v="0"/>
    <x v="6"/>
    <s v="Asia"/>
    <x v="0"/>
    <x v="0"/>
    <m/>
    <s v=""/>
    <s v=""/>
  </r>
  <r>
    <n v="1827"/>
    <x v="19"/>
    <s v="Zha Wang ((Jjawang) Noodles With Chajang Sauce"/>
    <x v="0"/>
    <x v="6"/>
    <s v="Asia"/>
    <x v="3"/>
    <x v="0"/>
    <m/>
    <s v=""/>
    <s v=""/>
  </r>
  <r>
    <n v="1780"/>
    <x v="153"/>
    <s v="Non-Fried Noodle Blackbean Sauce Noodle With Squid"/>
    <x v="0"/>
    <x v="6"/>
    <s v="Asia"/>
    <x v="17"/>
    <x v="0"/>
    <m/>
    <s v=""/>
    <s v=""/>
  </r>
  <r>
    <n v="1766"/>
    <x v="148"/>
    <s v="Bulnak Boeummyun King Noodle"/>
    <x v="1"/>
    <x v="6"/>
    <s v="Asia"/>
    <x v="2"/>
    <x v="2"/>
    <m/>
    <s v=""/>
    <s v=""/>
  </r>
  <r>
    <n v="1754"/>
    <x v="148"/>
    <s v="King Bowl Super Spicy Pan Stirfried Noodle"/>
    <x v="1"/>
    <x v="6"/>
    <s v="Asia"/>
    <x v="3"/>
    <x v="0"/>
    <m/>
    <s v=""/>
    <s v=""/>
  </r>
  <r>
    <n v="1677"/>
    <x v="148"/>
    <s v="Raobokki Noodle (Export Version)"/>
    <x v="0"/>
    <x v="6"/>
    <s v="Asia"/>
    <x v="3"/>
    <x v="0"/>
    <m/>
    <s v=""/>
    <s v=""/>
  </r>
  <r>
    <n v="1674"/>
    <x v="156"/>
    <s v="Dare You! Habanero Ramen (New Edition)"/>
    <x v="2"/>
    <x v="6"/>
    <s v="Asia"/>
    <x v="2"/>
    <x v="2"/>
    <m/>
    <s v=""/>
    <s v=""/>
  </r>
  <r>
    <n v="1658"/>
    <x v="157"/>
    <s v="Hurricane Rice Cake (Topokki)"/>
    <x v="1"/>
    <x v="6"/>
    <s v="Asia"/>
    <x v="3"/>
    <x v="0"/>
    <m/>
    <s v=""/>
    <s v=""/>
  </r>
  <r>
    <n v="1650"/>
    <x v="150"/>
    <s v="Sesame Flavor Ramen Korean Style Instant Noodle"/>
    <x v="0"/>
    <x v="6"/>
    <s v="Asia"/>
    <x v="12"/>
    <x v="0"/>
    <m/>
    <s v=""/>
    <s v=""/>
  </r>
  <r>
    <n v="1643"/>
    <x v="156"/>
    <s v="Dare You! Habanero Jjajang Ramen"/>
    <x v="2"/>
    <x v="6"/>
    <s v="Asia"/>
    <x v="2"/>
    <x v="2"/>
    <m/>
    <s v=""/>
    <s v=""/>
  </r>
  <r>
    <n v="1634"/>
    <x v="149"/>
    <s v="Shoyu Noodle"/>
    <x v="2"/>
    <x v="6"/>
    <s v="Asia"/>
    <x v="2"/>
    <x v="2"/>
    <m/>
    <s v=""/>
    <s v=""/>
  </r>
  <r>
    <n v="1601"/>
    <x v="19"/>
    <s v="Jinjja Jinjja (New)"/>
    <x v="0"/>
    <x v="6"/>
    <s v="Asia"/>
    <x v="3"/>
    <x v="0"/>
    <m/>
    <s v=""/>
    <s v=""/>
  </r>
  <r>
    <n v="1593"/>
    <x v="19"/>
    <s v="Tteokgukmyun"/>
    <x v="0"/>
    <x v="6"/>
    <s v="Asia"/>
    <x v="12"/>
    <x v="0"/>
    <m/>
    <s v=""/>
    <s v=""/>
  </r>
  <r>
    <n v="1580"/>
    <x v="156"/>
    <s v="Dare You! Habanero Ramen (New Edition)"/>
    <x v="0"/>
    <x v="6"/>
    <s v="Asia"/>
    <x v="10"/>
    <x v="2"/>
    <m/>
    <s v=""/>
    <s v=""/>
  </r>
  <r>
    <n v="1575"/>
    <x v="148"/>
    <s v="Jjajangmen Chajang Noodle King Bowl"/>
    <x v="1"/>
    <x v="6"/>
    <s v="Asia"/>
    <x v="3"/>
    <x v="0"/>
    <m/>
    <s v=""/>
    <s v=""/>
  </r>
  <r>
    <n v="1523"/>
    <x v="148"/>
    <s v="Jjamppong Seafood Noodle King Bowl"/>
    <x v="1"/>
    <x v="6"/>
    <s v="Asia"/>
    <x v="3"/>
    <x v="0"/>
    <m/>
    <s v=""/>
    <s v=""/>
  </r>
  <r>
    <n v="1515"/>
    <x v="19"/>
    <s v="Neoguri Udon Seafood &amp; Mild"/>
    <x v="0"/>
    <x v="6"/>
    <s v="Asia"/>
    <x v="0"/>
    <x v="0"/>
    <m/>
    <s v=""/>
    <s v=""/>
  </r>
  <r>
    <n v="1498"/>
    <x v="149"/>
    <s v="Sogokimyun Hot Flavor Noodle Soup"/>
    <x v="0"/>
    <x v="6"/>
    <s v="Asia"/>
    <x v="2"/>
    <x v="2"/>
    <m/>
    <s v=""/>
    <s v=""/>
  </r>
  <r>
    <n v="1491"/>
    <x v="150"/>
    <s v="Potato Ramen"/>
    <x v="0"/>
    <x v="6"/>
    <s v="Asia"/>
    <x v="10"/>
    <x v="2"/>
    <m/>
    <s v=""/>
    <s v=""/>
  </r>
  <r>
    <n v="1480"/>
    <x v="148"/>
    <s v="Jjol Bibim Men"/>
    <x v="0"/>
    <x v="6"/>
    <s v="Asia"/>
    <x v="0"/>
    <x v="0"/>
    <m/>
    <s v=""/>
    <s v=""/>
  </r>
  <r>
    <n v="1430"/>
    <x v="149"/>
    <s v="Buldak Bokkummyeon"/>
    <x v="1"/>
    <x v="6"/>
    <s v="Asia"/>
    <x v="0"/>
    <x v="0"/>
    <m/>
    <s v=""/>
    <s v=""/>
  </r>
  <r>
    <n v="1426"/>
    <x v="150"/>
    <s v="Cheese Bokki"/>
    <x v="1"/>
    <x v="6"/>
    <s v="Asia"/>
    <x v="0"/>
    <x v="0"/>
    <m/>
    <s v=""/>
    <s v=""/>
  </r>
  <r>
    <n v="1418"/>
    <x v="150"/>
    <s v="Ppushu Ppushu Grilled Chicken Flavor"/>
    <x v="0"/>
    <x v="6"/>
    <s v="Asia"/>
    <x v="19"/>
    <x v="1"/>
    <m/>
    <s v=""/>
    <s v=""/>
  </r>
  <r>
    <n v="1414"/>
    <x v="148"/>
    <s v="Cheese Ramyun (for US market)"/>
    <x v="0"/>
    <x v="6"/>
    <s v="Asia"/>
    <x v="3"/>
    <x v="0"/>
    <m/>
    <s v=""/>
    <s v=""/>
  </r>
  <r>
    <n v="1400"/>
    <x v="153"/>
    <s v="Nature Is Delicious Non-Fried Ramyun (Spicy Flavor) (New Version)"/>
    <x v="0"/>
    <x v="6"/>
    <s v="Asia"/>
    <x v="10"/>
    <x v="2"/>
    <m/>
    <s v=""/>
    <s v=""/>
  </r>
  <r>
    <n v="1394"/>
    <x v="148"/>
    <s v="Mild Kokomen (Prototype)"/>
    <x v="0"/>
    <x v="6"/>
    <s v="Asia"/>
    <x v="17"/>
    <x v="0"/>
    <m/>
    <s v=""/>
    <s v=""/>
  </r>
  <r>
    <n v="1388"/>
    <x v="148"/>
    <s v="Barbecue Ramyun (Prototype)"/>
    <x v="0"/>
    <x v="6"/>
    <s v="Asia"/>
    <x v="10"/>
    <x v="2"/>
    <m/>
    <s v=""/>
    <s v=""/>
  </r>
  <r>
    <n v="1372"/>
    <x v="149"/>
    <s v="Nagasaki Jjamppong"/>
    <x v="2"/>
    <x v="6"/>
    <s v="Asia"/>
    <x v="10"/>
    <x v="2"/>
    <m/>
    <s v=""/>
    <s v=""/>
  </r>
  <r>
    <n v="1347"/>
    <x v="148"/>
    <s v="Bulnak Bokkummyun Spicy Fried Octopus Ramyun"/>
    <x v="0"/>
    <x v="6"/>
    <s v="Asia"/>
    <x v="0"/>
    <x v="0"/>
    <m/>
    <s v=""/>
    <s v=""/>
  </r>
  <r>
    <n v="1322"/>
    <x v="158"/>
    <s v="Instant Noodle Udon Hot &amp; Spicy"/>
    <x v="0"/>
    <x v="6"/>
    <s v="Asia"/>
    <x v="0"/>
    <x v="0"/>
    <m/>
    <s v=""/>
    <s v=""/>
  </r>
  <r>
    <n v="1316"/>
    <x v="150"/>
    <s v="Japchae Vermicelli Noodle"/>
    <x v="0"/>
    <x v="6"/>
    <s v="Asia"/>
    <x v="9"/>
    <x v="2"/>
    <m/>
    <s v=""/>
    <s v=""/>
  </r>
  <r>
    <n v="1314"/>
    <x v="148"/>
    <s v="Korean Traditional Beef Gomtangmen"/>
    <x v="0"/>
    <x v="6"/>
    <s v="Asia"/>
    <x v="3"/>
    <x v="0"/>
    <m/>
    <s v=""/>
    <s v=""/>
  </r>
  <r>
    <n v="1300"/>
    <x v="149"/>
    <s v="Red Nagasaki Jjampong"/>
    <x v="0"/>
    <x v="6"/>
    <s v="Asia"/>
    <x v="3"/>
    <x v="0"/>
    <m/>
    <s v=""/>
    <s v=""/>
  </r>
  <r>
    <n v="1298"/>
    <x v="159"/>
    <s v="Lightning Beef Bone Tteokguk Rice Cake Soup"/>
    <x v="1"/>
    <x v="6"/>
    <s v="Asia"/>
    <x v="0"/>
    <x v="0"/>
    <m/>
    <s v=""/>
    <s v=""/>
  </r>
  <r>
    <n v="1290"/>
    <x v="19"/>
    <s v="Sain Sain Garlic Teriyaki Fresh Cooked Udon Pasta"/>
    <x v="3"/>
    <x v="6"/>
    <s v="Asia"/>
    <x v="17"/>
    <x v="0"/>
    <m/>
    <s v=""/>
    <s v=""/>
  </r>
  <r>
    <n v="1283"/>
    <x v="19"/>
    <s v="Oolongmen Kimchi Cup Noodle Soup Mix"/>
    <x v="2"/>
    <x v="6"/>
    <s v="Asia"/>
    <x v="0"/>
    <x v="0"/>
    <m/>
    <s v=""/>
    <s v=""/>
  </r>
  <r>
    <n v="1278"/>
    <x v="150"/>
    <s v="Ppushu Ppushu Noodle Snack Bulgogi Flavor"/>
    <x v="0"/>
    <x v="6"/>
    <s v="Asia"/>
    <x v="5"/>
    <x v="2"/>
    <m/>
    <s v=""/>
    <s v=""/>
  </r>
  <r>
    <n v="1272"/>
    <x v="149"/>
    <s v="Baked Noodle Spicy Grilled Beef Ramyun"/>
    <x v="0"/>
    <x v="6"/>
    <s v="Asia"/>
    <x v="2"/>
    <x v="2"/>
    <m/>
    <s v=""/>
    <s v=""/>
  </r>
  <r>
    <n v="1250"/>
    <x v="149"/>
    <s v="‰∏âÈ§äÎùºÎ©¥ (Samyang Ramyun) (South Korean Version)"/>
    <x v="1"/>
    <x v="6"/>
    <s v="Asia"/>
    <x v="10"/>
    <x v="2"/>
    <m/>
    <s v=""/>
    <s v=""/>
  </r>
  <r>
    <n v="1236"/>
    <x v="156"/>
    <s v="Dare You Habanero Ramyun"/>
    <x v="2"/>
    <x v="6"/>
    <s v="Asia"/>
    <x v="5"/>
    <x v="2"/>
    <m/>
    <s v=""/>
    <s v=""/>
  </r>
  <r>
    <n v="1224"/>
    <x v="160"/>
    <s v="Premium Noodle House Seafood Ramyun"/>
    <x v="0"/>
    <x v="6"/>
    <s v="Asia"/>
    <x v="0"/>
    <x v="0"/>
    <m/>
    <s v=""/>
    <s v=""/>
  </r>
  <r>
    <n v="1194"/>
    <x v="148"/>
    <s v="Namja Ramyun (US Version)"/>
    <x v="1"/>
    <x v="6"/>
    <s v="Asia"/>
    <x v="0"/>
    <x v="0"/>
    <m/>
    <s v=""/>
    <s v=""/>
  </r>
  <r>
    <n v="1187"/>
    <x v="19"/>
    <s v="Shin Ramyun Cup"/>
    <x v="2"/>
    <x v="6"/>
    <s v="Asia"/>
    <x v="2"/>
    <x v="2"/>
    <m/>
    <s v=""/>
    <s v=""/>
  </r>
  <r>
    <n v="1181"/>
    <x v="149"/>
    <s v="Star Popeye Ramyun Snack"/>
    <x v="0"/>
    <x v="6"/>
    <s v="Asia"/>
    <x v="0"/>
    <x v="0"/>
    <m/>
    <s v=""/>
    <s v=""/>
  </r>
  <r>
    <n v="1160"/>
    <x v="149"/>
    <s v="Chacharoni"/>
    <x v="0"/>
    <x v="6"/>
    <s v="Asia"/>
    <x v="10"/>
    <x v="2"/>
    <m/>
    <s v=""/>
    <s v=""/>
  </r>
  <r>
    <n v="1134"/>
    <x v="158"/>
    <s v="Katsuo Udon"/>
    <x v="0"/>
    <x v="6"/>
    <s v="Asia"/>
    <x v="0"/>
    <x v="0"/>
    <m/>
    <s v=""/>
    <s v=""/>
  </r>
  <r>
    <n v="1124"/>
    <x v="149"/>
    <s v="Ganjjampong"/>
    <x v="1"/>
    <x v="6"/>
    <s v="Asia"/>
    <x v="12"/>
    <x v="0"/>
    <m/>
    <s v=""/>
    <s v=""/>
  </r>
  <r>
    <n v="1113"/>
    <x v="149"/>
    <s v="Samyang Ramyun (SK Version)"/>
    <x v="2"/>
    <x v="6"/>
    <s v="Asia"/>
    <x v="2"/>
    <x v="2"/>
    <m/>
    <s v=""/>
    <s v=""/>
  </r>
  <r>
    <n v="1110"/>
    <x v="161"/>
    <s v="Gonghwachun Jjajangmyun"/>
    <x v="0"/>
    <x v="6"/>
    <s v="Asia"/>
    <x v="17"/>
    <x v="0"/>
    <m/>
    <s v=""/>
    <s v=""/>
  </r>
  <r>
    <n v="1105"/>
    <x v="19"/>
    <s v="Doong Ji Authentic Korean Cold Noodles With Chili Sauce"/>
    <x v="3"/>
    <x v="6"/>
    <s v="Asia"/>
    <x v="3"/>
    <x v="0"/>
    <m/>
    <s v=""/>
    <s v=""/>
  </r>
  <r>
    <n v="1070"/>
    <x v="160"/>
    <s v="Premium Noodle House Pork &amp; Seafood Flavor"/>
    <x v="0"/>
    <x v="6"/>
    <s v="Asia"/>
    <x v="0"/>
    <x v="0"/>
    <m/>
    <s v=""/>
    <s v=""/>
  </r>
  <r>
    <n v="1048"/>
    <x v="150"/>
    <s v="Cheese Bokki"/>
    <x v="2"/>
    <x v="6"/>
    <s v="Asia"/>
    <x v="2"/>
    <x v="2"/>
    <m/>
    <s v=""/>
    <s v=""/>
  </r>
  <r>
    <n v="1037"/>
    <x v="156"/>
    <s v="Dare You Habanero Jjamppong"/>
    <x v="0"/>
    <x v="6"/>
    <s v="Asia"/>
    <x v="0"/>
    <x v="0"/>
    <m/>
    <s v=""/>
    <s v=""/>
  </r>
  <r>
    <n v="1031"/>
    <x v="160"/>
    <s v="Premium Noodle House Don Ramyun"/>
    <x v="0"/>
    <x v="6"/>
    <s v="Asia"/>
    <x v="0"/>
    <x v="0"/>
    <m/>
    <s v=""/>
    <s v=""/>
  </r>
  <r>
    <n v="1030"/>
    <x v="149"/>
    <s v="60 Ingredients Assorted Vegetable SK Version"/>
    <x v="0"/>
    <x v="6"/>
    <s v="Asia"/>
    <x v="10"/>
    <x v="2"/>
    <m/>
    <s v=""/>
    <s v=""/>
  </r>
  <r>
    <n v="1029"/>
    <x v="149"/>
    <s v="Nagasaki Crab Jjampong"/>
    <x v="0"/>
    <x v="6"/>
    <s v="Asia"/>
    <x v="3"/>
    <x v="0"/>
    <m/>
    <s v=""/>
    <s v=""/>
  </r>
  <r>
    <n v="1028"/>
    <x v="149"/>
    <s v="Buldalk Bokkeummyeon (Hot Fried Chicken Ramyun)"/>
    <x v="0"/>
    <x v="6"/>
    <s v="Asia"/>
    <x v="0"/>
    <x v="0"/>
    <m/>
    <s v=""/>
    <s v=""/>
  </r>
  <r>
    <n v="1027"/>
    <x v="149"/>
    <s v="Yukgaejang Beef Ramyun"/>
    <x v="1"/>
    <x v="6"/>
    <s v="Asia"/>
    <x v="0"/>
    <x v="0"/>
    <m/>
    <s v=""/>
    <s v=""/>
  </r>
  <r>
    <n v="1026"/>
    <x v="149"/>
    <s v="Bajirak Kalgugsu"/>
    <x v="0"/>
    <x v="6"/>
    <s v="Asia"/>
    <x v="10"/>
    <x v="2"/>
    <m/>
    <s v=""/>
    <s v=""/>
  </r>
  <r>
    <n v="1025"/>
    <x v="149"/>
    <s v="Hot Chacharoni"/>
    <x v="0"/>
    <x v="6"/>
    <s v="Asia"/>
    <x v="10"/>
    <x v="2"/>
    <m/>
    <s v=""/>
    <s v=""/>
  </r>
  <r>
    <n v="1024"/>
    <x v="160"/>
    <s v="Premium Noodle House Tofu Fried Noodle"/>
    <x v="0"/>
    <x v="6"/>
    <s v="Asia"/>
    <x v="2"/>
    <x v="2"/>
    <m/>
    <s v=""/>
    <s v=""/>
  </r>
  <r>
    <n v="1023"/>
    <x v="149"/>
    <s v="Samyang Ramyun"/>
    <x v="0"/>
    <x v="6"/>
    <s v="Asia"/>
    <x v="17"/>
    <x v="0"/>
    <m/>
    <s v=""/>
    <s v=""/>
  </r>
  <r>
    <n v="1022"/>
    <x v="160"/>
    <s v="Premuim Noodle House Crab Jjampong"/>
    <x v="0"/>
    <x v="6"/>
    <s v="Asia"/>
    <x v="3"/>
    <x v="0"/>
    <m/>
    <s v=""/>
    <s v=""/>
  </r>
  <r>
    <n v="1021"/>
    <x v="149"/>
    <s v="Beef Flavor Ramyun (SK Version)"/>
    <x v="0"/>
    <x v="6"/>
    <s v="Asia"/>
    <x v="12"/>
    <x v="0"/>
    <m/>
    <s v=""/>
    <s v=""/>
  </r>
  <r>
    <n v="1020"/>
    <x v="149"/>
    <s v="Nagasaki Jjampong"/>
    <x v="1"/>
    <x v="6"/>
    <s v="Asia"/>
    <x v="15"/>
    <x v="0"/>
    <m/>
    <s v=""/>
    <s v=""/>
  </r>
  <r>
    <n v="1019"/>
    <x v="149"/>
    <s v="Kimchi Ramyun (SK Version)"/>
    <x v="0"/>
    <x v="6"/>
    <s v="Asia"/>
    <x v="0"/>
    <x v="0"/>
    <m/>
    <s v=""/>
    <s v=""/>
  </r>
  <r>
    <n v="1018"/>
    <x v="149"/>
    <s v="Ganjjampong"/>
    <x v="0"/>
    <x v="6"/>
    <s v="Asia"/>
    <x v="12"/>
    <x v="0"/>
    <m/>
    <s v=""/>
    <s v=""/>
  </r>
  <r>
    <n v="1017"/>
    <x v="149"/>
    <s v="Sutah (SK Version)"/>
    <x v="0"/>
    <x v="6"/>
    <s v="Asia"/>
    <x v="10"/>
    <x v="2"/>
    <m/>
    <s v=""/>
    <s v=""/>
  </r>
  <r>
    <n v="1008"/>
    <x v="150"/>
    <s v="Sesame Flavor Noodle Bowl"/>
    <x v="1"/>
    <x v="6"/>
    <s v="Asia"/>
    <x v="2"/>
    <x v="2"/>
    <m/>
    <s v=""/>
    <s v=""/>
  </r>
  <r>
    <n v="1001"/>
    <x v="148"/>
    <s v="–î–û–®–ò–†–ê–ö (Dosirac) Beef Flavor"/>
    <x v="0"/>
    <x v="6"/>
    <s v="Asia"/>
    <x v="2"/>
    <x v="2"/>
    <m/>
    <s v=""/>
    <s v=""/>
  </r>
  <r>
    <n v="998"/>
    <x v="19"/>
    <s v="Shin Ramyun Black Spicy Beef"/>
    <x v="2"/>
    <x v="6"/>
    <s v="Asia"/>
    <x v="17"/>
    <x v="0"/>
    <m/>
    <s v=""/>
    <s v=""/>
  </r>
  <r>
    <n v="989"/>
    <x v="161"/>
    <s v="Gonghwachun Jjamppong"/>
    <x v="0"/>
    <x v="6"/>
    <s v="Asia"/>
    <x v="0"/>
    <x v="0"/>
    <m/>
    <s v=""/>
    <s v=""/>
  </r>
  <r>
    <n v="986"/>
    <x v="148"/>
    <s v="Jong-Gah-Jip Kimchi Ramen"/>
    <x v="0"/>
    <x v="6"/>
    <s v="Asia"/>
    <x v="0"/>
    <x v="0"/>
    <m/>
    <s v=""/>
    <s v=""/>
  </r>
  <r>
    <n v="975"/>
    <x v="150"/>
    <s v="Spaghetti Ramen"/>
    <x v="1"/>
    <x v="6"/>
    <s v="Asia"/>
    <x v="17"/>
    <x v="0"/>
    <m/>
    <s v=""/>
    <s v=""/>
  </r>
  <r>
    <n v="950"/>
    <x v="150"/>
    <s v="Kiss Myon"/>
    <x v="2"/>
    <x v="6"/>
    <s v="Asia"/>
    <x v="10"/>
    <x v="2"/>
    <m/>
    <s v=""/>
    <s v=""/>
  </r>
  <r>
    <n v="933"/>
    <x v="148"/>
    <s v="Kokomen Spicy Chicken"/>
    <x v="2"/>
    <x v="6"/>
    <s v="Asia"/>
    <x v="17"/>
    <x v="0"/>
    <m/>
    <s v=""/>
    <s v=""/>
  </r>
  <r>
    <n v="932"/>
    <x v="148"/>
    <s v="Namja Ramen (USA version)"/>
    <x v="0"/>
    <x v="6"/>
    <s v="Asia"/>
    <x v="3"/>
    <x v="0"/>
    <m/>
    <s v=""/>
    <s v=""/>
  </r>
  <r>
    <n v="927"/>
    <x v="148"/>
    <s v="Kokomen Spicy Chicken"/>
    <x v="1"/>
    <x v="6"/>
    <s v="Asia"/>
    <x v="15"/>
    <x v="0"/>
    <m/>
    <s v=""/>
    <s v=""/>
  </r>
  <r>
    <n v="925"/>
    <x v="156"/>
    <s v="Dare You! Habanero Ramen"/>
    <x v="0"/>
    <x v="6"/>
    <s v="Asia"/>
    <x v="10"/>
    <x v="2"/>
    <m/>
    <s v=""/>
    <s v=""/>
  </r>
  <r>
    <n v="921"/>
    <x v="150"/>
    <s v="Jjajang Bokki"/>
    <x v="1"/>
    <x v="6"/>
    <s v="Asia"/>
    <x v="2"/>
    <x v="2"/>
    <m/>
    <s v=""/>
    <s v=""/>
  </r>
  <r>
    <n v="918"/>
    <x v="19"/>
    <s v="Tempura Udon Flavor Cup Ramyun"/>
    <x v="2"/>
    <x v="6"/>
    <s v="Asia"/>
    <x v="17"/>
    <x v="0"/>
    <m/>
    <s v=""/>
    <s v=""/>
  </r>
  <r>
    <n v="913"/>
    <x v="19"/>
    <s v="Spicy Shrimp Cup Ramyun"/>
    <x v="2"/>
    <x v="6"/>
    <s v="Asia"/>
    <x v="12"/>
    <x v="0"/>
    <m/>
    <s v=""/>
    <s v=""/>
  </r>
  <r>
    <n v="907"/>
    <x v="19"/>
    <s v="Neoguri Spicy Seafood"/>
    <x v="2"/>
    <x v="6"/>
    <s v="Asia"/>
    <x v="0"/>
    <x v="0"/>
    <m/>
    <s v=""/>
    <s v=""/>
  </r>
  <r>
    <n v="903"/>
    <x v="162"/>
    <s v="Rice Noodle With Seafood Flavored Soup"/>
    <x v="3"/>
    <x v="6"/>
    <s v="Asia"/>
    <x v="2"/>
    <x v="2"/>
    <m/>
    <s v=""/>
    <s v=""/>
  </r>
  <r>
    <n v="894"/>
    <x v="162"/>
    <s v="Rice Noodle With Kimchi Flavored Soup"/>
    <x v="3"/>
    <x v="6"/>
    <s v="Asia"/>
    <x v="4"/>
    <x v="2"/>
    <m/>
    <s v=""/>
    <s v=""/>
  </r>
  <r>
    <n v="893"/>
    <x v="148"/>
    <s v="Bowl Noodle Shrimp Flavor"/>
    <x v="1"/>
    <x v="6"/>
    <s v="Asia"/>
    <x v="5"/>
    <x v="2"/>
    <m/>
    <s v=""/>
    <s v=""/>
  </r>
  <r>
    <n v="881"/>
    <x v="162"/>
    <s v="Rice Noodle With Hot &amp; Spicy"/>
    <x v="3"/>
    <x v="6"/>
    <s v="Asia"/>
    <x v="5"/>
    <x v="2"/>
    <m/>
    <s v=""/>
    <s v=""/>
  </r>
  <r>
    <n v="879"/>
    <x v="163"/>
    <s v="Rice Topokki"/>
    <x v="1"/>
    <x v="6"/>
    <s v="Asia"/>
    <x v="3"/>
    <x v="0"/>
    <m/>
    <s v=""/>
    <s v=""/>
  </r>
  <r>
    <n v="868"/>
    <x v="164"/>
    <s v="Katsuobushi Udon"/>
    <x v="1"/>
    <x v="6"/>
    <s v="Asia"/>
    <x v="10"/>
    <x v="2"/>
    <m/>
    <s v=""/>
    <s v=""/>
  </r>
  <r>
    <n v="857"/>
    <x v="154"/>
    <s v="Seafood Vermicelli Anchovy"/>
    <x v="1"/>
    <x v="6"/>
    <s v="Asia"/>
    <x v="12"/>
    <x v="0"/>
    <m/>
    <s v=""/>
    <s v=""/>
  </r>
  <r>
    <n v="853"/>
    <x v="165"/>
    <s v="RaUdong Unfried Noodle With Kimchi"/>
    <x v="1"/>
    <x v="6"/>
    <s v="Asia"/>
    <x v="17"/>
    <x v="0"/>
    <m/>
    <s v=""/>
    <s v=""/>
  </r>
  <r>
    <n v="845"/>
    <x v="19"/>
    <s v="Doong Ji Cold Noodle Chilled Broth"/>
    <x v="0"/>
    <x v="6"/>
    <s v="Asia"/>
    <x v="12"/>
    <x v="0"/>
    <m/>
    <s v=""/>
    <s v=""/>
  </r>
  <r>
    <n v="841"/>
    <x v="19"/>
    <s v="Chapagetti (South Korean)"/>
    <x v="0"/>
    <x v="6"/>
    <s v="Asia"/>
    <x v="0"/>
    <x v="0"/>
    <m/>
    <s v=""/>
    <s v=""/>
  </r>
  <r>
    <n v="839"/>
    <x v="164"/>
    <s v="Mild Bean Curd Stew"/>
    <x v="2"/>
    <x v="6"/>
    <s v="Asia"/>
    <x v="11"/>
    <x v="1"/>
    <m/>
    <s v=""/>
    <s v=""/>
  </r>
  <r>
    <n v="829"/>
    <x v="148"/>
    <s v="Kko Kko Myun King Cup"/>
    <x v="1"/>
    <x v="6"/>
    <s v="Asia"/>
    <x v="15"/>
    <x v="0"/>
    <m/>
    <s v=""/>
    <s v=""/>
  </r>
  <r>
    <n v="828"/>
    <x v="148"/>
    <s v="Seolleongtangmyeon"/>
    <x v="0"/>
    <x v="6"/>
    <s v="Asia"/>
    <x v="2"/>
    <x v="2"/>
    <m/>
    <s v=""/>
    <s v=""/>
  </r>
  <r>
    <n v="827"/>
    <x v="148"/>
    <s v="Rabokki"/>
    <x v="0"/>
    <x v="6"/>
    <s v="Asia"/>
    <x v="15"/>
    <x v="0"/>
    <m/>
    <s v=""/>
    <s v=""/>
  </r>
  <r>
    <n v="826"/>
    <x v="148"/>
    <s v="Namja"/>
    <x v="0"/>
    <x v="6"/>
    <s v="Asia"/>
    <x v="3"/>
    <x v="0"/>
    <m/>
    <s v=""/>
    <s v=""/>
  </r>
  <r>
    <n v="824"/>
    <x v="148"/>
    <s v="Bibim Men Cucumber"/>
    <x v="0"/>
    <x v="6"/>
    <s v="Asia"/>
    <x v="3"/>
    <x v="0"/>
    <m/>
    <s v=""/>
    <s v=""/>
  </r>
  <r>
    <n v="822"/>
    <x v="148"/>
    <s v="Speed King Bowl (Prototype)"/>
    <x v="1"/>
    <x v="6"/>
    <s v="Asia"/>
    <x v="2"/>
    <x v="2"/>
    <m/>
    <s v=""/>
    <s v=""/>
  </r>
  <r>
    <n v="809"/>
    <x v="19"/>
    <s v="Neoguri Mild (South Korea)"/>
    <x v="0"/>
    <x v="6"/>
    <s v="Asia"/>
    <x v="0"/>
    <x v="0"/>
    <m/>
    <s v=""/>
    <s v=""/>
  </r>
  <r>
    <n v="806"/>
    <x v="166"/>
    <s v="Hot Spicy Bowl With Soy Peptide"/>
    <x v="1"/>
    <x v="6"/>
    <s v="Asia"/>
    <x v="2"/>
    <x v="2"/>
    <m/>
    <s v=""/>
    <s v=""/>
  </r>
  <r>
    <n v="787"/>
    <x v="156"/>
    <s v="Ramen E Ramen White Broth"/>
    <x v="0"/>
    <x v="6"/>
    <s v="Asia"/>
    <x v="3"/>
    <x v="0"/>
    <m/>
    <s v=""/>
    <s v=""/>
  </r>
  <r>
    <n v="780"/>
    <x v="150"/>
    <s v="Jin Ramen (Mild) (Import)"/>
    <x v="0"/>
    <x v="6"/>
    <s v="Asia"/>
    <x v="2"/>
    <x v="2"/>
    <m/>
    <s v=""/>
    <s v=""/>
  </r>
  <r>
    <n v="764"/>
    <x v="154"/>
    <s v="Seafood Noodle Cup"/>
    <x v="1"/>
    <x v="6"/>
    <s v="Asia"/>
    <x v="2"/>
    <x v="2"/>
    <m/>
    <s v=""/>
    <s v=""/>
  </r>
  <r>
    <n v="755"/>
    <x v="19"/>
    <s v="Udon "/>
    <x v="1"/>
    <x v="6"/>
    <s v="Asia"/>
    <x v="12"/>
    <x v="0"/>
    <m/>
    <s v=""/>
    <s v=""/>
  </r>
  <r>
    <n v="753"/>
    <x v="19"/>
    <s v="Soba"/>
    <x v="0"/>
    <x v="6"/>
    <s v="Asia"/>
    <x v="12"/>
    <x v="0"/>
    <m/>
    <s v=""/>
    <s v=""/>
  </r>
  <r>
    <n v="751"/>
    <x v="19"/>
    <s v="Shin Ramyun Black Onion"/>
    <x v="2"/>
    <x v="6"/>
    <s v="Asia"/>
    <x v="3"/>
    <x v="0"/>
    <m/>
    <s v=""/>
    <s v=""/>
  </r>
  <r>
    <n v="745"/>
    <x v="19"/>
    <s v="Jinjja Jinjja"/>
    <x v="0"/>
    <x v="6"/>
    <s v="Asia"/>
    <x v="3"/>
    <x v="0"/>
    <m/>
    <s v=""/>
    <s v=""/>
  </r>
  <r>
    <n v="735"/>
    <x v="150"/>
    <s v="Odongtong Myon Seafood"/>
    <x v="1"/>
    <x v="6"/>
    <s v="Asia"/>
    <x v="9"/>
    <x v="2"/>
    <m/>
    <s v=""/>
    <s v=""/>
  </r>
  <r>
    <n v="718"/>
    <x v="150"/>
    <s v="Kiss Myon"/>
    <x v="0"/>
    <x v="6"/>
    <s v="Asia"/>
    <x v="10"/>
    <x v="2"/>
    <m/>
    <s v=""/>
    <s v=""/>
  </r>
  <r>
    <n v="714"/>
    <x v="153"/>
    <s v="Nature Is Delicious Spicy"/>
    <x v="0"/>
    <x v="6"/>
    <s v="Asia"/>
    <x v="10"/>
    <x v="2"/>
    <m/>
    <s v=""/>
    <s v=""/>
  </r>
  <r>
    <n v="711"/>
    <x v="19"/>
    <s v="Hearty Rice Noodle Beef"/>
    <x v="0"/>
    <x v="6"/>
    <s v="Asia"/>
    <x v="12"/>
    <x v="0"/>
    <m/>
    <s v=""/>
    <s v=""/>
  </r>
  <r>
    <n v="692"/>
    <x v="167"/>
    <s v="Assorted Vegetable Ramen"/>
    <x v="0"/>
    <x v="6"/>
    <s v="Asia"/>
    <x v="10"/>
    <x v="2"/>
    <m/>
    <s v=""/>
    <s v=""/>
  </r>
  <r>
    <n v="688"/>
    <x v="166"/>
    <s v="Hong Ramyun Soy Peptide Hot Spicy"/>
    <x v="0"/>
    <x v="6"/>
    <s v="Asia"/>
    <x v="10"/>
    <x v="2"/>
    <m/>
    <s v=""/>
    <s v=""/>
  </r>
  <r>
    <n v="683"/>
    <x v="19"/>
    <s v="Udon Garlic Teriyaki"/>
    <x v="0"/>
    <x v="6"/>
    <s v="Asia"/>
    <x v="15"/>
    <x v="0"/>
    <m/>
    <s v=""/>
    <s v=""/>
  </r>
  <r>
    <n v="681"/>
    <x v="19"/>
    <s v="Hearty Rice Noodle Black Bean Vegetable"/>
    <x v="0"/>
    <x v="6"/>
    <s v="Asia"/>
    <x v="10"/>
    <x v="2"/>
    <m/>
    <s v=""/>
    <s v=""/>
  </r>
  <r>
    <n v="678"/>
    <x v="152"/>
    <s v="Kitsune Udon"/>
    <x v="1"/>
    <x v="6"/>
    <s v="Asia"/>
    <x v="0"/>
    <x v="0"/>
    <m/>
    <s v=""/>
    <s v=""/>
  </r>
  <r>
    <n v="675"/>
    <x v="167"/>
    <s v="Nagasaki Jjampong"/>
    <x v="0"/>
    <x v="6"/>
    <s v="Asia"/>
    <x v="15"/>
    <x v="0"/>
    <m/>
    <s v=""/>
    <s v=""/>
  </r>
  <r>
    <n v="674"/>
    <x v="148"/>
    <s v="Kko Kko Myun"/>
    <x v="0"/>
    <x v="6"/>
    <s v="Asia"/>
    <x v="3"/>
    <x v="0"/>
    <m/>
    <s v=""/>
    <s v=""/>
  </r>
  <r>
    <n v="673"/>
    <x v="166"/>
    <s v="Hong Ramyun Soup Soy Peptide Mild"/>
    <x v="0"/>
    <x v="6"/>
    <s v="Asia"/>
    <x v="5"/>
    <x v="2"/>
    <m/>
    <s v=""/>
    <s v=""/>
  </r>
  <r>
    <n v="663"/>
    <x v="148"/>
    <s v="Jjajangmen Black Bean"/>
    <x v="0"/>
    <x v="6"/>
    <s v="Asia"/>
    <x v="0"/>
    <x v="0"/>
    <m/>
    <s v=""/>
    <s v=""/>
  </r>
  <r>
    <n v="658"/>
    <x v="148"/>
    <s v="Hwa King Cup"/>
    <x v="2"/>
    <x v="6"/>
    <s v="Asia"/>
    <x v="2"/>
    <x v="2"/>
    <m/>
    <s v=""/>
    <s v=""/>
  </r>
  <r>
    <n v="648"/>
    <x v="19"/>
    <s v="Seafood Ramyun"/>
    <x v="0"/>
    <x v="6"/>
    <s v="Asia"/>
    <x v="10"/>
    <x v="2"/>
    <m/>
    <s v=""/>
    <s v=""/>
  </r>
  <r>
    <n v="645"/>
    <x v="19"/>
    <s v="Oolongmen Artificial Chicken"/>
    <x v="2"/>
    <x v="6"/>
    <s v="Asia"/>
    <x v="10"/>
    <x v="2"/>
    <m/>
    <s v=""/>
    <s v=""/>
  </r>
  <r>
    <n v="644"/>
    <x v="168"/>
    <s v="Knife Cut Rice Noodle"/>
    <x v="1"/>
    <x v="6"/>
    <s v="Asia"/>
    <x v="10"/>
    <x v="2"/>
    <m/>
    <s v=""/>
    <s v=""/>
  </r>
  <r>
    <n v="635"/>
    <x v="150"/>
    <s v="Buckwheat Bibim Ramyon"/>
    <x v="0"/>
    <x v="6"/>
    <s v="Asia"/>
    <x v="36"/>
    <x v="1"/>
    <m/>
    <s v=""/>
    <s v=""/>
  </r>
  <r>
    <n v="633"/>
    <x v="169"/>
    <s v="Seafood Selection"/>
    <x v="0"/>
    <x v="6"/>
    <s v="Asia"/>
    <x v="2"/>
    <x v="2"/>
    <m/>
    <s v=""/>
    <s v=""/>
  </r>
  <r>
    <n v="632"/>
    <x v="169"/>
    <s v="Japanese Miso"/>
    <x v="0"/>
    <x v="6"/>
    <s v="Asia"/>
    <x v="9"/>
    <x v="2"/>
    <m/>
    <s v=""/>
    <s v=""/>
  </r>
  <r>
    <n v="626"/>
    <x v="150"/>
    <s v="Yeul Hot Taste"/>
    <x v="1"/>
    <x v="6"/>
    <s v="Asia"/>
    <x v="2"/>
    <x v="2"/>
    <m/>
    <s v=""/>
    <s v=""/>
  </r>
  <r>
    <n v="621"/>
    <x v="150"/>
    <s v="Jin Ramen Big Bowl (Hot)"/>
    <x v="1"/>
    <x v="6"/>
    <s v="Asia"/>
    <x v="2"/>
    <x v="2"/>
    <m/>
    <s v=""/>
    <s v=""/>
  </r>
  <r>
    <n v="618"/>
    <x v="153"/>
    <s v="Cold Noodles By Dad"/>
    <x v="0"/>
    <x v="6"/>
    <s v="Asia"/>
    <x v="9"/>
    <x v="2"/>
    <m/>
    <s v=""/>
    <s v=""/>
  </r>
  <r>
    <n v="606"/>
    <x v="170"/>
    <s v="U-Dong"/>
    <x v="0"/>
    <x v="6"/>
    <s v="Asia"/>
    <x v="0"/>
    <x v="0"/>
    <m/>
    <s v=""/>
    <s v=""/>
  </r>
  <r>
    <n v="602"/>
    <x v="19"/>
    <s v="Oolongmen Artificial Seafood"/>
    <x v="2"/>
    <x v="6"/>
    <s v="Asia"/>
    <x v="2"/>
    <x v="2"/>
    <m/>
    <s v=""/>
    <s v=""/>
  </r>
  <r>
    <n v="594"/>
    <x v="171"/>
    <s v="Asian Style Noodles Seafood"/>
    <x v="1"/>
    <x v="6"/>
    <s v="Asia"/>
    <x v="2"/>
    <x v="2"/>
    <m/>
    <s v=""/>
    <s v=""/>
  </r>
  <r>
    <n v="593"/>
    <x v="19"/>
    <s v="Chapagetti Chajang"/>
    <x v="0"/>
    <x v="6"/>
    <s v="Asia"/>
    <x v="0"/>
    <x v="0"/>
    <m/>
    <s v=""/>
    <s v=""/>
  </r>
  <r>
    <n v="570"/>
    <x v="172"/>
    <s v="Keopnurungji Rice Snack"/>
    <x v="2"/>
    <x v="6"/>
    <s v="Asia"/>
    <x v="6"/>
    <x v="1"/>
    <m/>
    <s v=""/>
    <s v=""/>
  </r>
  <r>
    <n v="568"/>
    <x v="148"/>
    <s v="Gomtang"/>
    <x v="2"/>
    <x v="6"/>
    <s v="Asia"/>
    <x v="0"/>
    <x v="0"/>
    <m/>
    <s v=""/>
    <s v=""/>
  </r>
  <r>
    <n v="566"/>
    <x v="173"/>
    <s v="DJ DOC Jjolmyeon"/>
    <x v="1"/>
    <x v="6"/>
    <s v="Asia"/>
    <x v="3"/>
    <x v="0"/>
    <m/>
    <s v=""/>
    <s v=""/>
  </r>
  <r>
    <n v="561"/>
    <x v="174"/>
    <s v="Vegetable"/>
    <x v="0"/>
    <x v="6"/>
    <s v="Asia"/>
    <x v="5"/>
    <x v="2"/>
    <m/>
    <s v=""/>
    <s v=""/>
  </r>
  <r>
    <n v="553"/>
    <x v="167"/>
    <s v="60 Ingredients"/>
    <x v="2"/>
    <x v="6"/>
    <s v="Asia"/>
    <x v="9"/>
    <x v="2"/>
    <m/>
    <s v=""/>
    <s v=""/>
  </r>
  <r>
    <n v="536"/>
    <x v="150"/>
    <s v="Yeul Ramyun"/>
    <x v="0"/>
    <x v="6"/>
    <s v="Asia"/>
    <x v="12"/>
    <x v="0"/>
    <m/>
    <s v=""/>
    <s v=""/>
  </r>
  <r>
    <n v="533"/>
    <x v="148"/>
    <s v="Gomtang"/>
    <x v="0"/>
    <x v="6"/>
    <s v="Asia"/>
    <x v="15"/>
    <x v="0"/>
    <m/>
    <s v=""/>
    <s v=""/>
  </r>
  <r>
    <n v="522"/>
    <x v="167"/>
    <s v="Hot Beef"/>
    <x v="0"/>
    <x v="6"/>
    <s v="Asia"/>
    <x v="12"/>
    <x v="0"/>
    <m/>
    <s v=""/>
    <s v=""/>
  </r>
  <r>
    <n v="516"/>
    <x v="152"/>
    <s v="Champong Spicy Seafood"/>
    <x v="1"/>
    <x v="6"/>
    <s v="Asia"/>
    <x v="2"/>
    <x v="2"/>
    <m/>
    <s v=""/>
    <s v=""/>
  </r>
  <r>
    <n v="512"/>
    <x v="148"/>
    <s v="Big Bowl Noodle"/>
    <x v="1"/>
    <x v="6"/>
    <s v="Asia"/>
    <x v="10"/>
    <x v="2"/>
    <m/>
    <s v=""/>
    <s v=""/>
  </r>
  <r>
    <n v="508"/>
    <x v="167"/>
    <s v="Beef"/>
    <x v="2"/>
    <x v="6"/>
    <s v="Asia"/>
    <x v="10"/>
    <x v="2"/>
    <m/>
    <s v=""/>
    <s v=""/>
  </r>
  <r>
    <n v="506"/>
    <x v="19"/>
    <s v="Oolongmen Beef"/>
    <x v="2"/>
    <x v="6"/>
    <s v="Asia"/>
    <x v="6"/>
    <x v="1"/>
    <m/>
    <s v=""/>
    <s v=""/>
  </r>
  <r>
    <n v="501"/>
    <x v="19"/>
    <s v="Neoguri Mild"/>
    <x v="0"/>
    <x v="6"/>
    <s v="Asia"/>
    <x v="5"/>
    <x v="2"/>
    <m/>
    <s v=""/>
    <s v=""/>
  </r>
  <r>
    <n v="495"/>
    <x v="150"/>
    <s v="Jin Ramen (Mild)"/>
    <x v="0"/>
    <x v="6"/>
    <s v="Asia"/>
    <x v="5"/>
    <x v="2"/>
    <m/>
    <s v=""/>
    <s v=""/>
  </r>
  <r>
    <n v="493"/>
    <x v="153"/>
    <s v="Fresh Ramen Spicy"/>
    <x v="0"/>
    <x v="6"/>
    <s v="Asia"/>
    <x v="4"/>
    <x v="2"/>
    <m/>
    <s v=""/>
    <s v=""/>
  </r>
  <r>
    <n v="490"/>
    <x v="173"/>
    <s v="DJ DOC Instant rice Ramen Topokki"/>
    <x v="1"/>
    <x v="6"/>
    <s v="Asia"/>
    <x v="3"/>
    <x v="0"/>
    <m/>
    <s v=""/>
    <s v=""/>
  </r>
  <r>
    <n v="485"/>
    <x v="150"/>
    <s v="Hot &amp; Spicy Ramen"/>
    <x v="2"/>
    <x v="6"/>
    <s v="Asia"/>
    <x v="4"/>
    <x v="2"/>
    <m/>
    <s v=""/>
    <s v=""/>
  </r>
  <r>
    <n v="484"/>
    <x v="150"/>
    <s v="Bekse Curry Myon"/>
    <x v="2"/>
    <x v="6"/>
    <s v="Asia"/>
    <x v="12"/>
    <x v="0"/>
    <m/>
    <s v=""/>
    <s v=""/>
  </r>
  <r>
    <n v="479"/>
    <x v="19"/>
    <s v="Potato Noodle Soup"/>
    <x v="0"/>
    <x v="6"/>
    <s v="Asia"/>
    <x v="10"/>
    <x v="2"/>
    <m/>
    <s v=""/>
    <s v=""/>
  </r>
  <r>
    <n v="477"/>
    <x v="169"/>
    <s v="Malaysian Beef Udon"/>
    <x v="0"/>
    <x v="6"/>
    <s v="Asia"/>
    <x v="4"/>
    <x v="2"/>
    <m/>
    <s v=""/>
    <s v=""/>
  </r>
  <r>
    <n v="468"/>
    <x v="148"/>
    <s v="Snack Noodle slightly Hot"/>
    <x v="0"/>
    <x v="6"/>
    <s v="Asia"/>
    <x v="10"/>
    <x v="2"/>
    <m/>
    <s v=""/>
    <s v=""/>
  </r>
  <r>
    <n v="463"/>
    <x v="150"/>
    <s v="Ppushu Ppushu Barbecue"/>
    <x v="0"/>
    <x v="6"/>
    <s v="Asia"/>
    <x v="4"/>
    <x v="2"/>
    <m/>
    <s v=""/>
    <s v=""/>
  </r>
  <r>
    <n v="461"/>
    <x v="167"/>
    <s v="Sutah Hot Spicy Beef"/>
    <x v="0"/>
    <x v="6"/>
    <s v="Asia"/>
    <x v="2"/>
    <x v="2"/>
    <m/>
    <s v=""/>
    <s v=""/>
  </r>
  <r>
    <n v="450"/>
    <x v="150"/>
    <s v="Ppushu Ppushu Tteobokki"/>
    <x v="0"/>
    <x v="6"/>
    <s v="Asia"/>
    <x v="5"/>
    <x v="2"/>
    <m/>
    <s v=""/>
    <s v=""/>
  </r>
  <r>
    <n v="444"/>
    <x v="169"/>
    <s v="Chicken"/>
    <x v="0"/>
    <x v="6"/>
    <s v="Asia"/>
    <x v="5"/>
    <x v="2"/>
    <m/>
    <s v=""/>
    <s v=""/>
  </r>
  <r>
    <n v="442"/>
    <x v="19"/>
    <s v="Kalguksoo"/>
    <x v="0"/>
    <x v="6"/>
    <s v="Asia"/>
    <x v="17"/>
    <x v="0"/>
    <m/>
    <s v=""/>
    <s v=""/>
  </r>
  <r>
    <n v="441"/>
    <x v="150"/>
    <s v="Spice Seafood"/>
    <x v="0"/>
    <x v="6"/>
    <s v="Asia"/>
    <x v="10"/>
    <x v="2"/>
    <m/>
    <s v=""/>
    <s v=""/>
  </r>
  <r>
    <n v="438"/>
    <x v="167"/>
    <s v="Beef"/>
    <x v="1"/>
    <x v="6"/>
    <s v="Asia"/>
    <x v="10"/>
    <x v="2"/>
    <m/>
    <s v=""/>
    <s v=""/>
  </r>
  <r>
    <n v="437"/>
    <x v="19"/>
    <s v="Big Bowl Spicy Kimchi"/>
    <x v="1"/>
    <x v="6"/>
    <s v="Asia"/>
    <x v="5"/>
    <x v="2"/>
    <m/>
    <s v=""/>
    <s v=""/>
  </r>
  <r>
    <n v="423"/>
    <x v="175"/>
    <s v="Shin Cup"/>
    <x v="2"/>
    <x v="6"/>
    <s v="Asia"/>
    <x v="4"/>
    <x v="2"/>
    <m/>
    <s v=""/>
    <s v=""/>
  </r>
  <r>
    <n v="407"/>
    <x v="150"/>
    <s v="Snack Ramyon"/>
    <x v="2"/>
    <x v="6"/>
    <s v="Asia"/>
    <x v="2"/>
    <x v="2"/>
    <m/>
    <s v=""/>
    <s v=""/>
  </r>
  <r>
    <n v="399"/>
    <x v="148"/>
    <s v="Spicy Seafood"/>
    <x v="2"/>
    <x v="6"/>
    <s v="Asia"/>
    <x v="10"/>
    <x v="2"/>
    <m/>
    <s v=""/>
    <s v=""/>
  </r>
  <r>
    <n v="398"/>
    <x v="148"/>
    <s v="Bowl Noodle Beef With Vegetables"/>
    <x v="1"/>
    <x v="6"/>
    <s v="Asia"/>
    <x v="10"/>
    <x v="2"/>
    <m/>
    <s v=""/>
    <s v=""/>
  </r>
  <r>
    <n v="395"/>
    <x v="150"/>
    <s v="Jin Ramen (Mild)"/>
    <x v="2"/>
    <x v="6"/>
    <s v="Asia"/>
    <x v="4"/>
    <x v="2"/>
    <m/>
    <s v=""/>
    <s v=""/>
  </r>
  <r>
    <n v="394"/>
    <x v="148"/>
    <s v="Hwa Cup Hot Spicy"/>
    <x v="2"/>
    <x v="6"/>
    <s v="Asia"/>
    <x v="2"/>
    <x v="2"/>
    <m/>
    <s v=""/>
    <s v=""/>
  </r>
  <r>
    <n v="380"/>
    <x v="176"/>
    <s v="Pho Vietnamese Noodle Soup"/>
    <x v="3"/>
    <x v="6"/>
    <s v="Asia"/>
    <x v="10"/>
    <x v="2"/>
    <m/>
    <s v=""/>
    <s v=""/>
  </r>
  <r>
    <n v="369"/>
    <x v="177"/>
    <s v="Tofu Udon Dosirak"/>
    <x v="3"/>
    <x v="6"/>
    <s v="Asia"/>
    <x v="10"/>
    <x v="2"/>
    <m/>
    <s v=""/>
    <s v=""/>
  </r>
  <r>
    <n v="355"/>
    <x v="19"/>
    <s v="Noodle Lite 275 Udon Mushroom"/>
    <x v="1"/>
    <x v="6"/>
    <s v="Asia"/>
    <x v="6"/>
    <x v="1"/>
    <m/>
    <s v=""/>
    <s v=""/>
  </r>
  <r>
    <n v="349"/>
    <x v="150"/>
    <s v="Ramen Bokki"/>
    <x v="1"/>
    <x v="6"/>
    <s v="Asia"/>
    <x v="5"/>
    <x v="2"/>
    <m/>
    <s v=""/>
    <s v=""/>
  </r>
  <r>
    <n v="348"/>
    <x v="148"/>
    <s v="Bowl Noodle Kimchi"/>
    <x v="1"/>
    <x v="6"/>
    <s v="Asia"/>
    <x v="2"/>
    <x v="2"/>
    <m/>
    <s v=""/>
    <s v=""/>
  </r>
  <r>
    <n v="346"/>
    <x v="148"/>
    <s v="Bowl Noodle Spicy Artificial Chicken"/>
    <x v="1"/>
    <x v="6"/>
    <s v="Asia"/>
    <x v="37"/>
    <x v="2"/>
    <m/>
    <s v=""/>
    <s v=""/>
  </r>
  <r>
    <n v="344"/>
    <x v="148"/>
    <s v="Stirfried Kimchi"/>
    <x v="0"/>
    <x v="6"/>
    <s v="Asia"/>
    <x v="10"/>
    <x v="2"/>
    <m/>
    <s v=""/>
    <s v=""/>
  </r>
  <r>
    <n v="342"/>
    <x v="19"/>
    <s v="Shin Big Bowl"/>
    <x v="1"/>
    <x v="6"/>
    <s v="Asia"/>
    <x v="2"/>
    <x v="2"/>
    <m/>
    <s v=""/>
    <s v=""/>
  </r>
  <r>
    <n v="336"/>
    <x v="170"/>
    <s v="Instant Noodles With Soup"/>
    <x v="0"/>
    <x v="6"/>
    <s v="Asia"/>
    <x v="2"/>
    <x v="2"/>
    <m/>
    <s v=""/>
    <s v=""/>
  </r>
  <r>
    <n v="328"/>
    <x v="19"/>
    <s v="Big Bowl Udon"/>
    <x v="1"/>
    <x v="6"/>
    <s v="Asia"/>
    <x v="17"/>
    <x v="0"/>
    <m/>
    <s v=""/>
    <s v=""/>
  </r>
  <r>
    <n v="324"/>
    <x v="19"/>
    <s v="Big Bowl Spicy Shrimp"/>
    <x v="1"/>
    <x v="6"/>
    <s v="Asia"/>
    <x v="2"/>
    <x v="2"/>
    <m/>
    <s v=""/>
    <s v=""/>
  </r>
  <r>
    <n v="323"/>
    <x v="150"/>
    <s v="Jin Ramen (Hot)"/>
    <x v="2"/>
    <x v="6"/>
    <s v="Asia"/>
    <x v="2"/>
    <x v="2"/>
    <m/>
    <s v=""/>
    <s v=""/>
  </r>
  <r>
    <n v="314"/>
    <x v="148"/>
    <s v="Dosirac Mushroom"/>
    <x v="3"/>
    <x v="6"/>
    <s v="Asia"/>
    <x v="6"/>
    <x v="1"/>
    <m/>
    <s v=""/>
    <s v=""/>
  </r>
  <r>
    <n v="313"/>
    <x v="148"/>
    <s v="Dosirac Shrimp"/>
    <x v="3"/>
    <x v="6"/>
    <s v="Asia"/>
    <x v="12"/>
    <x v="0"/>
    <m/>
    <s v=""/>
    <s v=""/>
  </r>
  <r>
    <n v="309"/>
    <x v="148"/>
    <s v="Dosirac Beef"/>
    <x v="3"/>
    <x v="6"/>
    <s v="Asia"/>
    <x v="10"/>
    <x v="2"/>
    <m/>
    <s v=""/>
    <s v=""/>
  </r>
  <r>
    <n v="306"/>
    <x v="176"/>
    <s v="Rice Noodle Anchovy Flavor"/>
    <x v="3"/>
    <x v="6"/>
    <s v="Asia"/>
    <x v="10"/>
    <x v="2"/>
    <m/>
    <s v=""/>
    <s v=""/>
  </r>
  <r>
    <n v="303"/>
    <x v="148"/>
    <s v="Dosirac Artificial Chicken"/>
    <x v="3"/>
    <x v="6"/>
    <s v="Asia"/>
    <x v="5"/>
    <x v="2"/>
    <m/>
    <s v=""/>
    <s v=""/>
  </r>
  <r>
    <n v="302"/>
    <x v="167"/>
    <s v="Bowl Noodle Picante Beef"/>
    <x v="1"/>
    <x v="6"/>
    <s v="Asia"/>
    <x v="10"/>
    <x v="2"/>
    <m/>
    <s v=""/>
    <s v=""/>
  </r>
  <r>
    <n v="298"/>
    <x v="19"/>
    <s v="Hearty Rice Noodle Spicy Veggie Consomme"/>
    <x v="0"/>
    <x v="6"/>
    <s v="Asia"/>
    <x v="9"/>
    <x v="2"/>
    <m/>
    <s v=""/>
    <s v=""/>
  </r>
  <r>
    <n v="297"/>
    <x v="176"/>
    <s v="Rice Noodle Hot &amp; Spicy Kimchi"/>
    <x v="3"/>
    <x v="6"/>
    <s v="Asia"/>
    <x v="5"/>
    <x v="2"/>
    <m/>
    <s v=""/>
    <s v=""/>
  </r>
  <r>
    <n v="294"/>
    <x v="148"/>
    <s v="South Korean Seafood"/>
    <x v="0"/>
    <x v="6"/>
    <s v="Asia"/>
    <x v="10"/>
    <x v="2"/>
    <m/>
    <s v=""/>
    <s v=""/>
  </r>
  <r>
    <n v="292"/>
    <x v="148"/>
    <s v="South Korean U Dong"/>
    <x v="0"/>
    <x v="6"/>
    <s v="Asia"/>
    <x v="10"/>
    <x v="2"/>
    <m/>
    <s v=""/>
    <s v=""/>
  </r>
  <r>
    <n v="291"/>
    <x v="19"/>
    <s v="Shin Bowl"/>
    <x v="1"/>
    <x v="6"/>
    <s v="Asia"/>
    <x v="4"/>
    <x v="2"/>
    <m/>
    <s v=""/>
    <s v=""/>
  </r>
  <r>
    <n v="289"/>
    <x v="148"/>
    <s v="South Korean Broad Noodle"/>
    <x v="0"/>
    <x v="6"/>
    <s v="Asia"/>
    <x v="11"/>
    <x v="1"/>
    <m/>
    <s v=""/>
    <s v=""/>
  </r>
  <r>
    <n v="288"/>
    <x v="14"/>
    <s v="Kung Fu Artificial Beef Rice Noodle"/>
    <x v="0"/>
    <x v="6"/>
    <s v="Asia"/>
    <x v="5"/>
    <x v="2"/>
    <m/>
    <s v=""/>
    <s v=""/>
  </r>
  <r>
    <n v="287"/>
    <x v="148"/>
    <s v="King Cup Lobster"/>
    <x v="2"/>
    <x v="6"/>
    <s v="Asia"/>
    <x v="10"/>
    <x v="2"/>
    <m/>
    <s v=""/>
    <s v=""/>
  </r>
  <r>
    <n v="283"/>
    <x v="148"/>
    <s v="King Cup Kimchi Pot Stew"/>
    <x v="2"/>
    <x v="6"/>
    <s v="Asia"/>
    <x v="0"/>
    <x v="0"/>
    <m/>
    <s v=""/>
    <s v=""/>
  </r>
  <r>
    <n v="280"/>
    <x v="176"/>
    <s v="Rice Noodle Katsuo"/>
    <x v="3"/>
    <x v="6"/>
    <s v="Asia"/>
    <x v="0"/>
    <x v="0"/>
    <m/>
    <s v=""/>
    <s v=""/>
  </r>
  <r>
    <n v="279"/>
    <x v="176"/>
    <s v="Rice Noodles Seafood"/>
    <x v="3"/>
    <x v="6"/>
    <s v="Asia"/>
    <x v="10"/>
    <x v="2"/>
    <m/>
    <s v=""/>
    <s v=""/>
  </r>
  <r>
    <n v="271"/>
    <x v="148"/>
    <s v="South Korean Noodle Kimchi Flavor"/>
    <x v="0"/>
    <x v="6"/>
    <s v="Asia"/>
    <x v="2"/>
    <x v="2"/>
    <m/>
    <s v=""/>
    <s v=""/>
  </r>
  <r>
    <n v="269"/>
    <x v="148"/>
    <s v="Spicy Shrimp Bowl"/>
    <x v="1"/>
    <x v="6"/>
    <s v="Asia"/>
    <x v="2"/>
    <x v="2"/>
    <m/>
    <s v=""/>
    <s v=""/>
  </r>
  <r>
    <n v="245"/>
    <x v="170"/>
    <s v="Broad Noodles"/>
    <x v="0"/>
    <x v="6"/>
    <s v="Asia"/>
    <x v="10"/>
    <x v="2"/>
    <m/>
    <s v=""/>
    <s v=""/>
  </r>
  <r>
    <n v="239"/>
    <x v="150"/>
    <s v="Ppushu Ppushu Sweet &amp; Sour"/>
    <x v="0"/>
    <x v="6"/>
    <s v="Asia"/>
    <x v="14"/>
    <x v="1"/>
    <m/>
    <s v=""/>
    <s v=""/>
  </r>
  <r>
    <n v="225"/>
    <x v="150"/>
    <s v="Snack Ramyon"/>
    <x v="0"/>
    <x v="6"/>
    <s v="Asia"/>
    <x v="10"/>
    <x v="2"/>
    <m/>
    <s v=""/>
    <s v=""/>
  </r>
  <r>
    <n v="219"/>
    <x v="170"/>
    <s v="Tom Yam Instant soup Noodle"/>
    <x v="0"/>
    <x v="6"/>
    <s v="Asia"/>
    <x v="9"/>
    <x v="2"/>
    <m/>
    <s v=""/>
    <s v=""/>
  </r>
  <r>
    <n v="217"/>
    <x v="167"/>
    <s v="Bowl Noodle Kimchi"/>
    <x v="1"/>
    <x v="6"/>
    <s v="Asia"/>
    <x v="0"/>
    <x v="0"/>
    <m/>
    <s v=""/>
    <s v=""/>
  </r>
  <r>
    <n v="206"/>
    <x v="177"/>
    <s v="Deuchi Udon"/>
    <x v="1"/>
    <x v="6"/>
    <s v="Asia"/>
    <x v="4"/>
    <x v="2"/>
    <m/>
    <s v=""/>
    <s v=""/>
  </r>
  <r>
    <n v="199"/>
    <x v="167"/>
    <s v="Chinese Soybean Paste"/>
    <x v="0"/>
    <x v="6"/>
    <s v="Asia"/>
    <x v="11"/>
    <x v="1"/>
    <m/>
    <s v=""/>
    <s v=""/>
  </r>
  <r>
    <n v="197"/>
    <x v="176"/>
    <s v="Rice Noodle With Spicy Flavored Soup"/>
    <x v="3"/>
    <x v="6"/>
    <s v="Asia"/>
    <x v="13"/>
    <x v="1"/>
    <m/>
    <s v=""/>
    <s v=""/>
  </r>
  <r>
    <n v="192"/>
    <x v="148"/>
    <s v="Soy Flavor Noodle"/>
    <x v="0"/>
    <x v="6"/>
    <s v="Asia"/>
    <x v="12"/>
    <x v="0"/>
    <m/>
    <s v=""/>
    <s v=""/>
  </r>
  <r>
    <n v="188"/>
    <x v="19"/>
    <s v="Udon"/>
    <x v="0"/>
    <x v="6"/>
    <s v="Asia"/>
    <x v="0"/>
    <x v="0"/>
    <m/>
    <s v=""/>
    <s v=""/>
  </r>
  <r>
    <n v="187"/>
    <x v="148"/>
    <s v="Hwa Ramyun Soy Peptide"/>
    <x v="0"/>
    <x v="6"/>
    <s v="Asia"/>
    <x v="0"/>
    <x v="0"/>
    <m/>
    <s v=""/>
    <s v=""/>
  </r>
  <r>
    <n v="186"/>
    <x v="148"/>
    <s v="Teumsae Ramyun"/>
    <x v="0"/>
    <x v="6"/>
    <s v="Asia"/>
    <x v="2"/>
    <x v="2"/>
    <m/>
    <s v=""/>
    <s v=""/>
  </r>
  <r>
    <n v="176"/>
    <x v="148"/>
    <s v="Dosirac Pork"/>
    <x v="3"/>
    <x v="6"/>
    <s v="Asia"/>
    <x v="38"/>
    <x v="0"/>
    <m/>
    <s v=""/>
    <s v=""/>
  </r>
  <r>
    <n v="175"/>
    <x v="167"/>
    <s v="Cold Ramen With Ponytail Radish"/>
    <x v="0"/>
    <x v="6"/>
    <s v="Asia"/>
    <x v="4"/>
    <x v="2"/>
    <m/>
    <s v=""/>
    <s v=""/>
  </r>
  <r>
    <n v="171"/>
    <x v="167"/>
    <s v="Japanese Seafood Flavor Udon"/>
    <x v="0"/>
    <x v="6"/>
    <s v="Asia"/>
    <x v="10"/>
    <x v="2"/>
    <m/>
    <s v=""/>
    <s v=""/>
  </r>
  <r>
    <n v="169"/>
    <x v="167"/>
    <s v="Seafood Party"/>
    <x v="0"/>
    <x v="6"/>
    <s v="Asia"/>
    <x v="13"/>
    <x v="1"/>
    <m/>
    <s v=""/>
    <s v=""/>
  </r>
  <r>
    <n v="161"/>
    <x v="148"/>
    <s v="Green Tea Chlorella"/>
    <x v="0"/>
    <x v="6"/>
    <s v="Asia"/>
    <x v="1"/>
    <x v="1"/>
    <m/>
    <s v=""/>
    <s v=""/>
  </r>
  <r>
    <n v="150"/>
    <x v="178"/>
    <s v="Jjambbong Hot Spicy Seafood"/>
    <x v="1"/>
    <x v="6"/>
    <s v="Asia"/>
    <x v="12"/>
    <x v="0"/>
    <m/>
    <s v=""/>
    <s v=""/>
  </r>
  <r>
    <n v="144"/>
    <x v="19"/>
    <s v="Kimchi Ramyun"/>
    <x v="0"/>
    <x v="6"/>
    <s v="Asia"/>
    <x v="2"/>
    <x v="2"/>
    <m/>
    <s v=""/>
    <s v=""/>
  </r>
  <r>
    <n v="141"/>
    <x v="170"/>
    <s v="Seafood Flavor"/>
    <x v="0"/>
    <x v="6"/>
    <s v="Asia"/>
    <x v="6"/>
    <x v="1"/>
    <m/>
    <s v=""/>
    <s v=""/>
  </r>
  <r>
    <n v="134"/>
    <x v="179"/>
    <s v="Gyeong-Gi-Do Rice"/>
    <x v="1"/>
    <x v="6"/>
    <s v="Asia"/>
    <x v="13"/>
    <x v="1"/>
    <m/>
    <s v=""/>
    <s v=""/>
  </r>
  <r>
    <n v="129"/>
    <x v="19"/>
    <s v="Mupama Tang Myun"/>
    <x v="0"/>
    <x v="6"/>
    <s v="Asia"/>
    <x v="2"/>
    <x v="2"/>
    <m/>
    <s v=""/>
    <s v=""/>
  </r>
  <r>
    <n v="121"/>
    <x v="150"/>
    <s v="Bekse Curry"/>
    <x v="0"/>
    <x v="6"/>
    <s v="Asia"/>
    <x v="0"/>
    <x v="0"/>
    <m/>
    <s v=""/>
    <s v=""/>
  </r>
  <r>
    <n v="120"/>
    <x v="167"/>
    <s v="Beef"/>
    <x v="0"/>
    <x v="6"/>
    <s v="Asia"/>
    <x v="0"/>
    <x v="0"/>
    <m/>
    <s v=""/>
    <s v=""/>
  </r>
  <r>
    <n v="118"/>
    <x v="148"/>
    <s v="Bibim Men"/>
    <x v="0"/>
    <x v="6"/>
    <s v="Asia"/>
    <x v="10"/>
    <x v="2"/>
    <m/>
    <s v=""/>
    <s v=""/>
  </r>
  <r>
    <n v="117"/>
    <x v="150"/>
    <s v="Ramyonsari"/>
    <x v="0"/>
    <x v="6"/>
    <s v="Asia"/>
    <x v="0"/>
    <x v="0"/>
    <m/>
    <s v=""/>
    <s v=""/>
  </r>
  <r>
    <n v="115"/>
    <x v="150"/>
    <s v="Miso Ramyun"/>
    <x v="0"/>
    <x v="6"/>
    <s v="Asia"/>
    <x v="18"/>
    <x v="2"/>
    <m/>
    <s v=""/>
    <s v=""/>
  </r>
  <r>
    <n v="114"/>
    <x v="167"/>
    <s v="Kimchi"/>
    <x v="0"/>
    <x v="6"/>
    <s v="Asia"/>
    <x v="39"/>
    <x v="2"/>
    <m/>
    <s v=""/>
    <s v=""/>
  </r>
  <r>
    <n v="113"/>
    <x v="19"/>
    <s v="Hooroorook "/>
    <x v="0"/>
    <x v="6"/>
    <s v="Asia"/>
    <x v="0"/>
    <x v="0"/>
    <m/>
    <s v=""/>
    <s v=""/>
  </r>
  <r>
    <n v="112"/>
    <x v="150"/>
    <s v="Jiajang Noodle"/>
    <x v="0"/>
    <x v="6"/>
    <s v="Asia"/>
    <x v="10"/>
    <x v="2"/>
    <m/>
    <s v=""/>
    <s v=""/>
  </r>
  <r>
    <n v="111"/>
    <x v="150"/>
    <s v="Odongtongmyon Seafood Spicy"/>
    <x v="0"/>
    <x v="6"/>
    <s v="Asia"/>
    <x v="5"/>
    <x v="2"/>
    <m/>
    <s v=""/>
    <s v=""/>
  </r>
  <r>
    <n v="107"/>
    <x v="150"/>
    <s v="Pow Crunch Teriyaki"/>
    <x v="0"/>
    <x v="6"/>
    <s v="Asia"/>
    <x v="36"/>
    <x v="1"/>
    <m/>
    <s v=""/>
    <s v=""/>
  </r>
  <r>
    <n v="88"/>
    <x v="148"/>
    <s v="South Korean Noodle Chicken"/>
    <x v="0"/>
    <x v="6"/>
    <s v="Asia"/>
    <x v="5"/>
    <x v="2"/>
    <m/>
    <s v=""/>
    <s v=""/>
  </r>
  <r>
    <n v="84"/>
    <x v="167"/>
    <s v="Kalgug-Su Assorted Clam"/>
    <x v="0"/>
    <x v="6"/>
    <s v="Asia"/>
    <x v="40"/>
    <x v="1"/>
    <m/>
    <s v=""/>
    <s v=""/>
  </r>
  <r>
    <n v="22"/>
    <x v="19"/>
    <s v="Ansungtangmyun Noodle Soup"/>
    <x v="0"/>
    <x v="6"/>
    <s v="Asia"/>
    <x v="10"/>
    <x v="2"/>
    <m/>
    <s v=""/>
    <s v=""/>
  </r>
  <r>
    <n v="21"/>
    <x v="19"/>
    <s v="Champong Oriental Noodles"/>
    <x v="0"/>
    <x v="6"/>
    <s v="Asia"/>
    <x v="0"/>
    <x v="0"/>
    <m/>
    <s v=""/>
    <s v=""/>
  </r>
  <r>
    <n v="20"/>
    <x v="19"/>
    <s v="Neoguri (Seafood'n'Spicy)"/>
    <x v="0"/>
    <x v="6"/>
    <s v="Asia"/>
    <x v="2"/>
    <x v="2"/>
    <m/>
    <s v=""/>
    <s v=""/>
  </r>
  <r>
    <n v="19"/>
    <x v="19"/>
    <s v="Shin Ramyun"/>
    <x v="0"/>
    <x v="6"/>
    <s v="Asia"/>
    <x v="0"/>
    <x v="0"/>
    <m/>
    <s v=""/>
    <s v=""/>
  </r>
  <r>
    <n v="18"/>
    <x v="150"/>
    <s v="Jin Ramen (Hot Taste)"/>
    <x v="0"/>
    <x v="6"/>
    <s v="Asia"/>
    <x v="2"/>
    <x v="2"/>
    <m/>
    <s v=""/>
    <s v=""/>
  </r>
  <r>
    <n v="16"/>
    <x v="167"/>
    <s v="Kalgug-Su (Spicy)"/>
    <x v="0"/>
    <x v="6"/>
    <s v="Asia"/>
    <x v="2"/>
    <x v="2"/>
    <m/>
    <s v=""/>
    <s v=""/>
  </r>
  <r>
    <n v="15"/>
    <x v="167"/>
    <s v="Pojangmacha U-dong"/>
    <x v="0"/>
    <x v="6"/>
    <s v="Asia"/>
    <x v="6"/>
    <x v="1"/>
    <m/>
    <s v=""/>
    <s v=""/>
  </r>
  <r>
    <n v="14"/>
    <x v="167"/>
    <s v="Hot"/>
    <x v="0"/>
    <x v="6"/>
    <s v="Asia"/>
    <x v="2"/>
    <x v="2"/>
    <m/>
    <s v=""/>
    <s v=""/>
  </r>
  <r>
    <n v="11"/>
    <x v="170"/>
    <s v="Chicken Flavor Instant Soup Noodle"/>
    <x v="0"/>
    <x v="6"/>
    <s v="Asia"/>
    <x v="11"/>
    <x v="1"/>
    <m/>
    <s v=""/>
    <s v=""/>
  </r>
  <r>
    <n v="9"/>
    <x v="180"/>
    <s v="Cup Noodle"/>
    <x v="2"/>
    <x v="6"/>
    <s v="Asia"/>
    <x v="11"/>
    <x v="1"/>
    <m/>
    <s v=""/>
    <s v=""/>
  </r>
  <r>
    <n v="1925"/>
    <x v="181"/>
    <s v="Juzz's Mee Creamy Chicken Flavour"/>
    <x v="0"/>
    <x v="7"/>
    <s v="Asia"/>
    <x v="3"/>
    <x v="0"/>
    <s v="2016 #8"/>
    <s v="2016"/>
    <s v="8"/>
  </r>
  <r>
    <n v="1271"/>
    <x v="182"/>
    <s v="Singapore Chilli Crab La Mian"/>
    <x v="0"/>
    <x v="7"/>
    <s v="Asia"/>
    <x v="3"/>
    <x v="0"/>
    <s v="2014 #8"/>
    <s v="2014"/>
    <s v="8"/>
  </r>
  <r>
    <n v="1907"/>
    <x v="182"/>
    <s v="Singapore Curry Wholegrain La Mian"/>
    <x v="0"/>
    <x v="7"/>
    <s v="Asia"/>
    <x v="3"/>
    <x v="0"/>
    <s v="2016 #5"/>
    <s v="2016"/>
    <s v="5"/>
  </r>
  <r>
    <n v="991"/>
    <x v="182"/>
    <s v="Singapore Curry La Mian"/>
    <x v="0"/>
    <x v="7"/>
    <s v="Asia"/>
    <x v="3"/>
    <x v="0"/>
    <s v="2013 #2"/>
    <s v="2013"/>
    <s v="2"/>
  </r>
  <r>
    <n v="608"/>
    <x v="183"/>
    <s v="Spicy Black Pepper"/>
    <x v="0"/>
    <x v="7"/>
    <s v="Asia"/>
    <x v="3"/>
    <x v="0"/>
    <s v="2012 #10"/>
    <s v="2012"/>
    <s v="10"/>
  </r>
  <r>
    <n v="1947"/>
    <x v="182"/>
    <s v="Singapore Laksa Wholegrain La Mian"/>
    <x v="0"/>
    <x v="7"/>
    <s v="Asia"/>
    <x v="3"/>
    <x v="0"/>
    <s v="2016 #1"/>
    <s v="2016"/>
    <s v="1"/>
  </r>
  <r>
    <n v="992"/>
    <x v="182"/>
    <s v="Singapore Laksa La Mian"/>
    <x v="0"/>
    <x v="7"/>
    <s v="Asia"/>
    <x v="3"/>
    <x v="0"/>
    <s v="2013 #1"/>
    <s v="2013"/>
    <s v="1"/>
  </r>
  <r>
    <n v="2571"/>
    <x v="183"/>
    <s v="The Original Spicy Stir-Fried Noodles"/>
    <x v="0"/>
    <x v="7"/>
    <s v="Asia"/>
    <x v="6"/>
    <x v="1"/>
    <m/>
    <s v=""/>
    <s v=""/>
  </r>
  <r>
    <n v="2565"/>
    <x v="183"/>
    <s v="Mushroom Flavour Instant Noodles"/>
    <x v="2"/>
    <x v="7"/>
    <s v="Asia"/>
    <x v="2"/>
    <x v="2"/>
    <m/>
    <s v=""/>
    <s v=""/>
  </r>
  <r>
    <n v="2558"/>
    <x v="183"/>
    <s v="Creamy Soup With Crushed Noodles Hot &amp; Sour Fish Flavor"/>
    <x v="2"/>
    <x v="7"/>
    <s v="Asia"/>
    <x v="3"/>
    <x v="0"/>
    <m/>
    <s v=""/>
    <s v=""/>
  </r>
  <r>
    <n v="2551"/>
    <x v="183"/>
    <s v="Signature Tom Yum Flavor Instant Noodles"/>
    <x v="0"/>
    <x v="7"/>
    <s v="Asia"/>
    <x v="0"/>
    <x v="0"/>
    <m/>
    <s v=""/>
    <s v=""/>
  </r>
  <r>
    <n v="2545"/>
    <x v="183"/>
    <s v="Instant Noodles Laksa Singapura Flavour"/>
    <x v="0"/>
    <x v="7"/>
    <s v="Asia"/>
    <x v="3"/>
    <x v="0"/>
    <m/>
    <s v=""/>
    <s v=""/>
  </r>
  <r>
    <n v="2543"/>
    <x v="183"/>
    <s v="Curry Flavour Instant Noodles"/>
    <x v="2"/>
    <x v="7"/>
    <s v="Asia"/>
    <x v="3"/>
    <x v="0"/>
    <m/>
    <s v=""/>
    <s v=""/>
  </r>
  <r>
    <n v="2537"/>
    <x v="20"/>
    <s v="Cup NoodlesTom Yam Seafood (More Shrimptacular)"/>
    <x v="2"/>
    <x v="7"/>
    <s v="Asia"/>
    <x v="3"/>
    <x v="0"/>
    <m/>
    <s v=""/>
    <s v=""/>
  </r>
  <r>
    <n v="2528"/>
    <x v="181"/>
    <s v="Juzz's Mee Creamy Chicken Flavour (Export Version)"/>
    <x v="0"/>
    <x v="7"/>
    <s v="Asia"/>
    <x v="3"/>
    <x v="0"/>
    <m/>
    <s v=""/>
    <s v=""/>
  </r>
  <r>
    <n v="2524"/>
    <x v="20"/>
    <s v="Straits Reborn Laksa"/>
    <x v="0"/>
    <x v="7"/>
    <s v="Asia"/>
    <x v="3"/>
    <x v="0"/>
    <m/>
    <s v=""/>
    <s v=""/>
  </r>
  <r>
    <n v="2521"/>
    <x v="20"/>
    <s v="Cup Noodles Potato Chips Black Pepper Crab Flavour"/>
    <x v="0"/>
    <x v="7"/>
    <s v="Asia"/>
    <x v="17"/>
    <x v="0"/>
    <m/>
    <s v=""/>
    <s v=""/>
  </r>
  <r>
    <n v="2520"/>
    <x v="20"/>
    <s v="Cup Noodles Blacl Pepper Crab Flavour (More Angry Crab)"/>
    <x v="2"/>
    <x v="7"/>
    <s v="Asia"/>
    <x v="3"/>
    <x v="0"/>
    <m/>
    <s v=""/>
    <s v=""/>
  </r>
  <r>
    <n v="2506"/>
    <x v="183"/>
    <s v="Delight Chicken Flavor Instant Non-Fried Noodles"/>
    <x v="0"/>
    <x v="7"/>
    <s v="Asia"/>
    <x v="10"/>
    <x v="2"/>
    <m/>
    <s v=""/>
    <s v=""/>
  </r>
  <r>
    <n v="2499"/>
    <x v="183"/>
    <s v="Creamy Soup With Crushed Noodles Chicken Flavor"/>
    <x v="2"/>
    <x v="7"/>
    <s v="Asia"/>
    <x v="3"/>
    <x v="0"/>
    <m/>
    <s v=""/>
    <s v=""/>
  </r>
  <r>
    <n v="2469"/>
    <x v="183"/>
    <s v="Signature Curry Flavor Instant Noodles"/>
    <x v="2"/>
    <x v="7"/>
    <s v="Asia"/>
    <x v="2"/>
    <x v="2"/>
    <m/>
    <s v=""/>
    <s v=""/>
  </r>
  <r>
    <n v="2457"/>
    <x v="183"/>
    <s v="Instant Noodles Chicken Satay Flavour"/>
    <x v="0"/>
    <x v="7"/>
    <s v="Asia"/>
    <x v="2"/>
    <x v="2"/>
    <m/>
    <s v=""/>
    <s v=""/>
  </r>
  <r>
    <n v="2456"/>
    <x v="183"/>
    <s v="Signature Spicy Singapore Fried Noodles Instant Noodles"/>
    <x v="0"/>
    <x v="7"/>
    <s v="Asia"/>
    <x v="12"/>
    <x v="0"/>
    <m/>
    <s v=""/>
    <s v=""/>
  </r>
  <r>
    <n v="2455"/>
    <x v="183"/>
    <s v="Creamy Soup With Crushed Noodles Sweet Corn Flavor"/>
    <x v="2"/>
    <x v="7"/>
    <s v="Asia"/>
    <x v="3"/>
    <x v="0"/>
    <m/>
    <s v=""/>
    <s v=""/>
  </r>
  <r>
    <n v="2454"/>
    <x v="183"/>
    <s v="Silk Beef Pho Flavor Instant Rice Fettuccine"/>
    <x v="1"/>
    <x v="7"/>
    <s v="Asia"/>
    <x v="5"/>
    <x v="2"/>
    <m/>
    <s v=""/>
    <s v=""/>
  </r>
  <r>
    <n v="2453"/>
    <x v="183"/>
    <s v="Delight Spicy Sesame Flavor Instant Non-Fried Noodles"/>
    <x v="0"/>
    <x v="7"/>
    <s v="Asia"/>
    <x v="17"/>
    <x v="0"/>
    <m/>
    <s v=""/>
    <s v=""/>
  </r>
  <r>
    <n v="2452"/>
    <x v="183"/>
    <s v="Signature Laksa Singapura Instant Noodles"/>
    <x v="1"/>
    <x v="7"/>
    <s v="Asia"/>
    <x v="3"/>
    <x v="0"/>
    <m/>
    <s v=""/>
    <s v=""/>
  </r>
  <r>
    <n v="2451"/>
    <x v="183"/>
    <s v="Delight Spicy Black Pepper Flavor Instant Non-Fried Noodles"/>
    <x v="0"/>
    <x v="7"/>
    <s v="Asia"/>
    <x v="3"/>
    <x v="0"/>
    <m/>
    <s v=""/>
    <s v=""/>
  </r>
  <r>
    <n v="2450"/>
    <x v="183"/>
    <s v="Purple Wheat Noodles Chili &amp; Lime Flavor"/>
    <x v="0"/>
    <x v="7"/>
    <s v="Asia"/>
    <x v="0"/>
    <x v="0"/>
    <m/>
    <s v=""/>
    <s v=""/>
  </r>
  <r>
    <n v="2449"/>
    <x v="183"/>
    <s v="Delight Tomato Flavor Instant Non-Fried Noodles"/>
    <x v="0"/>
    <x v="7"/>
    <s v="Asia"/>
    <x v="3"/>
    <x v="0"/>
    <m/>
    <s v=""/>
    <s v=""/>
  </r>
  <r>
    <n v="2448"/>
    <x v="183"/>
    <s v="Seafood Flavor Instant Noodles"/>
    <x v="2"/>
    <x v="7"/>
    <s v="Asia"/>
    <x v="2"/>
    <x v="2"/>
    <m/>
    <s v=""/>
    <s v=""/>
  </r>
  <r>
    <n v="2447"/>
    <x v="183"/>
    <s v="Signature Stir-Fry Original Flavor Instant Noodles"/>
    <x v="0"/>
    <x v="7"/>
    <s v="Asia"/>
    <x v="4"/>
    <x v="2"/>
    <m/>
    <s v=""/>
    <s v=""/>
  </r>
  <r>
    <n v="2446"/>
    <x v="183"/>
    <s v="Creamy Soup Witrh Crushed Noodles Curry Flavor"/>
    <x v="2"/>
    <x v="7"/>
    <s v="Asia"/>
    <x v="3"/>
    <x v="0"/>
    <m/>
    <s v=""/>
    <s v=""/>
  </r>
  <r>
    <n v="2445"/>
    <x v="183"/>
    <s v="Delight Laksa Singapura Flavor Instant Non-Fried Noodles"/>
    <x v="0"/>
    <x v="7"/>
    <s v="Asia"/>
    <x v="12"/>
    <x v="0"/>
    <m/>
    <s v=""/>
    <s v=""/>
  </r>
  <r>
    <n v="2444"/>
    <x v="183"/>
    <s v="Silk Spicy Marinara Instant Rice Fettuccine"/>
    <x v="1"/>
    <x v="7"/>
    <s v="Asia"/>
    <x v="3"/>
    <x v="0"/>
    <m/>
    <s v=""/>
    <s v=""/>
  </r>
  <r>
    <n v="2443"/>
    <x v="183"/>
    <s v="Signature Chicken Flavor Instant Noodles"/>
    <x v="2"/>
    <x v="7"/>
    <s v="Asia"/>
    <x v="10"/>
    <x v="2"/>
    <m/>
    <s v=""/>
    <s v=""/>
  </r>
  <r>
    <n v="2404"/>
    <x v="184"/>
    <s v="Penang Hokkien Prawn Noodle Soup"/>
    <x v="0"/>
    <x v="7"/>
    <s v="Asia"/>
    <x v="3"/>
    <x v="0"/>
    <m/>
    <s v=""/>
    <s v=""/>
  </r>
  <r>
    <n v="2400"/>
    <x v="20"/>
    <s v="Cup Noodles Tom Yam Seafood Flavour"/>
    <x v="2"/>
    <x v="7"/>
    <s v="Asia"/>
    <x v="3"/>
    <x v="0"/>
    <m/>
    <s v=""/>
    <s v=""/>
  </r>
  <r>
    <n v="2223"/>
    <x v="183"/>
    <s v="Rice Noodles Fragrant Chicken Pho Ga Flavour"/>
    <x v="0"/>
    <x v="7"/>
    <s v="Asia"/>
    <x v="0"/>
    <x v="0"/>
    <m/>
    <s v=""/>
    <s v=""/>
  </r>
  <r>
    <n v="2215"/>
    <x v="25"/>
    <s v="Mee Goreng Spicy Flavour"/>
    <x v="0"/>
    <x v="7"/>
    <s v="Asia"/>
    <x v="3"/>
    <x v="0"/>
    <m/>
    <s v=""/>
    <s v=""/>
  </r>
  <r>
    <n v="2169"/>
    <x v="185"/>
    <s v="Vegetable Flavour Instant Noodles"/>
    <x v="0"/>
    <x v="7"/>
    <s v="Asia"/>
    <x v="0"/>
    <x v="0"/>
    <m/>
    <s v=""/>
    <s v=""/>
  </r>
  <r>
    <n v="2131"/>
    <x v="25"/>
    <s v="Mee Goreng Thai Tom Yum Flavour"/>
    <x v="0"/>
    <x v="7"/>
    <s v="Asia"/>
    <x v="0"/>
    <x v="0"/>
    <m/>
    <s v=""/>
    <s v=""/>
  </r>
  <r>
    <n v="2125"/>
    <x v="185"/>
    <s v="Curry Flavour Instant Noodles"/>
    <x v="0"/>
    <x v="7"/>
    <s v="Asia"/>
    <x v="0"/>
    <x v="0"/>
    <m/>
    <s v=""/>
    <s v=""/>
  </r>
  <r>
    <n v="2100"/>
    <x v="25"/>
    <s v="Mee Goreng Original Flavour"/>
    <x v="0"/>
    <x v="7"/>
    <s v="Asia"/>
    <x v="0"/>
    <x v="0"/>
    <m/>
    <s v=""/>
    <s v=""/>
  </r>
  <r>
    <n v="2095"/>
    <x v="20"/>
    <s v="Straits Kitchen Laksa"/>
    <x v="0"/>
    <x v="7"/>
    <s v="Asia"/>
    <x v="3"/>
    <x v="0"/>
    <m/>
    <s v=""/>
    <s v=""/>
  </r>
  <r>
    <n v="1985"/>
    <x v="182"/>
    <s v="Singapore Prawn Soup La Mian"/>
    <x v="0"/>
    <x v="7"/>
    <s v="Asia"/>
    <x v="3"/>
    <x v="0"/>
    <m/>
    <s v=""/>
    <s v=""/>
  </r>
  <r>
    <n v="1953"/>
    <x v="182"/>
    <s v="Singapore Fish Soup La Mian"/>
    <x v="0"/>
    <x v="7"/>
    <s v="Asia"/>
    <x v="3"/>
    <x v="0"/>
    <m/>
    <s v=""/>
    <s v=""/>
  </r>
  <r>
    <n v="1914"/>
    <x v="181"/>
    <s v="Juzz's Mee Curry Flavour"/>
    <x v="0"/>
    <x v="7"/>
    <s v="Asia"/>
    <x v="3"/>
    <x v="0"/>
    <m/>
    <s v=""/>
    <s v=""/>
  </r>
  <r>
    <n v="1901"/>
    <x v="181"/>
    <s v="Juzz's Mee Original Spicy Flavour"/>
    <x v="0"/>
    <x v="7"/>
    <s v="Asia"/>
    <x v="3"/>
    <x v="0"/>
    <m/>
    <s v=""/>
    <s v=""/>
  </r>
  <r>
    <n v="1888"/>
    <x v="20"/>
    <s v="Cup Noodles Kyushu White Flavour"/>
    <x v="2"/>
    <x v="7"/>
    <s v="Asia"/>
    <x v="2"/>
    <x v="2"/>
    <m/>
    <s v=""/>
    <s v=""/>
  </r>
  <r>
    <n v="1887"/>
    <x v="25"/>
    <s v="Mee Poh Dry"/>
    <x v="0"/>
    <x v="7"/>
    <s v="Asia"/>
    <x v="12"/>
    <x v="0"/>
    <m/>
    <s v=""/>
    <s v=""/>
  </r>
  <r>
    <n v="1886"/>
    <x v="25"/>
    <s v="Chicken Abalone Flavour"/>
    <x v="1"/>
    <x v="7"/>
    <s v="Asia"/>
    <x v="10"/>
    <x v="2"/>
    <m/>
    <s v=""/>
    <s v=""/>
  </r>
  <r>
    <n v="1885"/>
    <x v="25"/>
    <s v="Ramen Char Mee 100"/>
    <x v="0"/>
    <x v="7"/>
    <s v="Asia"/>
    <x v="4"/>
    <x v="2"/>
    <m/>
    <s v=""/>
    <s v=""/>
  </r>
  <r>
    <n v="1884"/>
    <x v="25"/>
    <s v="La Ramen Spicy Mushroom Flavour Big Bowl"/>
    <x v="1"/>
    <x v="7"/>
    <s v="Asia"/>
    <x v="17"/>
    <x v="0"/>
    <m/>
    <s v=""/>
    <s v=""/>
  </r>
  <r>
    <n v="1883"/>
    <x v="25"/>
    <s v="Mee Goreng"/>
    <x v="0"/>
    <x v="7"/>
    <s v="Asia"/>
    <x v="0"/>
    <x v="0"/>
    <m/>
    <s v=""/>
    <s v=""/>
  </r>
  <r>
    <n v="1882"/>
    <x v="25"/>
    <s v="La Ramen Spicy Lobster Hot Pot Flavour Big Bowl"/>
    <x v="1"/>
    <x v="7"/>
    <s v="Asia"/>
    <x v="15"/>
    <x v="0"/>
    <m/>
    <s v=""/>
    <s v=""/>
  </r>
  <r>
    <n v="1881"/>
    <x v="25"/>
    <s v="Chicken Abalone Flavour"/>
    <x v="0"/>
    <x v="7"/>
    <s v="Asia"/>
    <x v="2"/>
    <x v="2"/>
    <m/>
    <s v=""/>
    <s v=""/>
  </r>
  <r>
    <n v="1880"/>
    <x v="25"/>
    <s v="Thai Tom Yam Flavour"/>
    <x v="1"/>
    <x v="7"/>
    <s v="Asia"/>
    <x v="10"/>
    <x v="2"/>
    <m/>
    <s v=""/>
    <s v=""/>
  </r>
  <r>
    <n v="1879"/>
    <x v="25"/>
    <s v="Chicken Tanmen Flavour"/>
    <x v="0"/>
    <x v="7"/>
    <s v="Asia"/>
    <x v="2"/>
    <x v="2"/>
    <m/>
    <s v=""/>
    <s v=""/>
  </r>
  <r>
    <n v="1878"/>
    <x v="25"/>
    <s v="Extra Spicy Singapore Curry Big Bowl"/>
    <x v="1"/>
    <x v="7"/>
    <s v="Asia"/>
    <x v="3"/>
    <x v="0"/>
    <m/>
    <s v=""/>
    <s v=""/>
  </r>
  <r>
    <n v="1877"/>
    <x v="25"/>
    <s v="La Ramen Spicy Mushroom Flavour"/>
    <x v="0"/>
    <x v="7"/>
    <s v="Asia"/>
    <x v="17"/>
    <x v="0"/>
    <m/>
    <s v=""/>
    <s v=""/>
  </r>
  <r>
    <n v="1876"/>
    <x v="25"/>
    <s v="Chicken Flavour"/>
    <x v="0"/>
    <x v="7"/>
    <s v="Asia"/>
    <x v="10"/>
    <x v="2"/>
    <m/>
    <s v=""/>
    <s v=""/>
  </r>
  <r>
    <n v="1734"/>
    <x v="183"/>
    <s v="Laksa Singapura"/>
    <x v="0"/>
    <x v="7"/>
    <s v="Asia"/>
    <x v="12"/>
    <x v="0"/>
    <m/>
    <s v=""/>
    <s v=""/>
  </r>
  <r>
    <n v="1619"/>
    <x v="20"/>
    <s v="Chu Qian Yi Ding Tom Yum Instant Noodles With Soup Base"/>
    <x v="0"/>
    <x v="7"/>
    <s v="Asia"/>
    <x v="10"/>
    <x v="2"/>
    <m/>
    <s v=""/>
    <s v=""/>
  </r>
  <r>
    <n v="1562"/>
    <x v="183"/>
    <s v="Purple Wheat Noodles Soy &amp; Vinegar Flavor"/>
    <x v="0"/>
    <x v="7"/>
    <s v="Asia"/>
    <x v="9"/>
    <x v="2"/>
    <m/>
    <s v=""/>
    <s v=""/>
  </r>
  <r>
    <n v="1542"/>
    <x v="183"/>
    <s v="Noodles Beef Flavour"/>
    <x v="2"/>
    <x v="7"/>
    <s v="Asia"/>
    <x v="6"/>
    <x v="1"/>
    <m/>
    <s v=""/>
    <s v=""/>
  </r>
  <r>
    <n v="1524"/>
    <x v="20"/>
    <s v="Chu Qian Yi Ding Spicy Sesame Flavour Instant Noodles With Soup Base"/>
    <x v="0"/>
    <x v="7"/>
    <s v="Asia"/>
    <x v="2"/>
    <x v="2"/>
    <m/>
    <s v=""/>
    <s v=""/>
  </r>
  <r>
    <n v="1507"/>
    <x v="20"/>
    <s v="Chu Qian Yi Ding Prawn Flavour Instant Noodles With Soup Base"/>
    <x v="0"/>
    <x v="7"/>
    <s v="Asia"/>
    <x v="2"/>
    <x v="2"/>
    <m/>
    <s v=""/>
    <s v=""/>
  </r>
  <r>
    <n v="1461"/>
    <x v="20"/>
    <s v="Cup Noodles Black Pepper Crab Flavour"/>
    <x v="2"/>
    <x v="7"/>
    <s v="Asia"/>
    <x v="0"/>
    <x v="0"/>
    <m/>
    <s v=""/>
    <s v=""/>
  </r>
  <r>
    <n v="1460"/>
    <x v="20"/>
    <s v="Premium Instant Noodles Spicy Beef Flavour"/>
    <x v="0"/>
    <x v="7"/>
    <s v="Asia"/>
    <x v="10"/>
    <x v="2"/>
    <m/>
    <s v=""/>
    <s v=""/>
  </r>
  <r>
    <n v="1459"/>
    <x v="20"/>
    <s v="Cup Noodles Tom Yam Veg Flavour"/>
    <x v="2"/>
    <x v="7"/>
    <s v="Asia"/>
    <x v="0"/>
    <x v="0"/>
    <m/>
    <s v=""/>
    <s v=""/>
  </r>
  <r>
    <n v="1458"/>
    <x v="20"/>
    <s v="Premium Instant Noodles Roasted Beef Flavour"/>
    <x v="1"/>
    <x v="7"/>
    <s v="Asia"/>
    <x v="10"/>
    <x v="2"/>
    <m/>
    <s v=""/>
    <s v=""/>
  </r>
  <r>
    <n v="1457"/>
    <x v="20"/>
    <s v="Chu Qian Yi Ding Sesame Oil Flavour"/>
    <x v="0"/>
    <x v="7"/>
    <s v="Asia"/>
    <x v="10"/>
    <x v="2"/>
    <m/>
    <s v=""/>
    <s v=""/>
  </r>
  <r>
    <n v="1456"/>
    <x v="20"/>
    <s v="Cup Noodles Chicken Flavour"/>
    <x v="2"/>
    <x v="7"/>
    <s v="Asia"/>
    <x v="2"/>
    <x v="2"/>
    <m/>
    <s v=""/>
    <s v=""/>
  </r>
  <r>
    <n v="1455"/>
    <x v="20"/>
    <s v="Premium Instant Noodles XO Sauce Seafood Flavour"/>
    <x v="0"/>
    <x v="7"/>
    <s v="Asia"/>
    <x v="10"/>
    <x v="2"/>
    <m/>
    <s v=""/>
    <s v=""/>
  </r>
  <r>
    <n v="1454"/>
    <x v="20"/>
    <s v="Cup Noodles Chilli Crab Flavour"/>
    <x v="2"/>
    <x v="7"/>
    <s v="Asia"/>
    <x v="0"/>
    <x v="0"/>
    <m/>
    <s v=""/>
    <s v=""/>
  </r>
  <r>
    <n v="1453"/>
    <x v="20"/>
    <s v="Japanese Ramen Kyushu Black Instant Noodles With Soup Base"/>
    <x v="0"/>
    <x v="7"/>
    <s v="Asia"/>
    <x v="3"/>
    <x v="0"/>
    <m/>
    <s v=""/>
    <s v=""/>
  </r>
  <r>
    <n v="1452"/>
    <x v="20"/>
    <s v="Premium Instant Noodles Spicy Beef Flavour"/>
    <x v="1"/>
    <x v="7"/>
    <s v="Asia"/>
    <x v="10"/>
    <x v="2"/>
    <m/>
    <s v=""/>
    <s v=""/>
  </r>
  <r>
    <n v="1451"/>
    <x v="20"/>
    <s v="Cup Noodles Tom Yam Seafood Flavour"/>
    <x v="2"/>
    <x v="7"/>
    <s v="Asia"/>
    <x v="0"/>
    <x v="0"/>
    <m/>
    <s v=""/>
    <s v=""/>
  </r>
  <r>
    <n v="1450"/>
    <x v="20"/>
    <s v="Japanese Ramen Tokyo Shoyu Instant Noodles With Soup Base"/>
    <x v="0"/>
    <x v="7"/>
    <s v="Asia"/>
    <x v="3"/>
    <x v="0"/>
    <m/>
    <s v=""/>
    <s v=""/>
  </r>
  <r>
    <n v="1449"/>
    <x v="20"/>
    <s v="Cup Noodles Seafood Curry Flavour"/>
    <x v="2"/>
    <x v="7"/>
    <s v="Asia"/>
    <x v="0"/>
    <x v="0"/>
    <m/>
    <s v=""/>
    <s v=""/>
  </r>
  <r>
    <n v="1448"/>
    <x v="20"/>
    <s v="Premium Instant Noodles Roasted Beef Flavour"/>
    <x v="0"/>
    <x v="7"/>
    <s v="Asia"/>
    <x v="12"/>
    <x v="0"/>
    <m/>
    <s v=""/>
    <s v=""/>
  </r>
  <r>
    <n v="1447"/>
    <x v="20"/>
    <s v="Cup Noodles Cream Of Chicken Flavour"/>
    <x v="2"/>
    <x v="7"/>
    <s v="Asia"/>
    <x v="0"/>
    <x v="0"/>
    <m/>
    <s v=""/>
    <s v=""/>
  </r>
  <r>
    <n v="1442"/>
    <x v="186"/>
    <s v="2 Minute Noodles Tom Yam Flavour"/>
    <x v="0"/>
    <x v="7"/>
    <s v="Asia"/>
    <x v="2"/>
    <x v="2"/>
    <m/>
    <s v=""/>
    <s v=""/>
  </r>
  <r>
    <n v="1435"/>
    <x v="186"/>
    <s v="2 Minute Noodles Assam Laksa Flavour"/>
    <x v="0"/>
    <x v="7"/>
    <s v="Asia"/>
    <x v="0"/>
    <x v="0"/>
    <m/>
    <s v=""/>
    <s v=""/>
  </r>
  <r>
    <n v="1433"/>
    <x v="186"/>
    <s v="2 Minute Noodles Curry Flavour"/>
    <x v="0"/>
    <x v="7"/>
    <s v="Asia"/>
    <x v="10"/>
    <x v="2"/>
    <m/>
    <s v=""/>
    <s v=""/>
  </r>
  <r>
    <n v="1432"/>
    <x v="186"/>
    <s v="Senses Laksa Instant Noodles"/>
    <x v="0"/>
    <x v="7"/>
    <s v="Asia"/>
    <x v="3"/>
    <x v="0"/>
    <m/>
    <s v=""/>
    <s v=""/>
  </r>
  <r>
    <n v="1431"/>
    <x v="186"/>
    <s v="Extra Spicy Curry Instant Noodles"/>
    <x v="0"/>
    <x v="7"/>
    <s v="Asia"/>
    <x v="3"/>
    <x v="0"/>
    <m/>
    <s v=""/>
    <s v=""/>
  </r>
  <r>
    <n v="1398"/>
    <x v="20"/>
    <s v="Fried Noodle Specialist Tom Yam Mee Goreng Flavour"/>
    <x v="0"/>
    <x v="7"/>
    <s v="Asia"/>
    <x v="4"/>
    <x v="2"/>
    <m/>
    <s v=""/>
    <s v=""/>
  </r>
  <r>
    <n v="1325"/>
    <x v="183"/>
    <s v="Spicy Shrimp Tom Yam Flavour"/>
    <x v="2"/>
    <x v="7"/>
    <s v="Asia"/>
    <x v="5"/>
    <x v="2"/>
    <m/>
    <s v=""/>
    <s v=""/>
  </r>
  <r>
    <n v="1306"/>
    <x v="183"/>
    <s v="Oriental Style Instant Noodles Tom Yam Flavour"/>
    <x v="0"/>
    <x v="7"/>
    <s v="Asia"/>
    <x v="6"/>
    <x v="1"/>
    <m/>
    <s v=""/>
    <s v=""/>
  </r>
  <r>
    <n v="1293"/>
    <x v="25"/>
    <s v="Prawn Noodles"/>
    <x v="0"/>
    <x v="7"/>
    <s v="Asia"/>
    <x v="12"/>
    <x v="0"/>
    <m/>
    <s v=""/>
    <s v=""/>
  </r>
  <r>
    <n v="1282"/>
    <x v="183"/>
    <s v="Purple Wheat Noodles Aglio Olio"/>
    <x v="0"/>
    <x v="7"/>
    <s v="Asia"/>
    <x v="9"/>
    <x v="2"/>
    <m/>
    <s v=""/>
    <s v=""/>
  </r>
  <r>
    <n v="1137"/>
    <x v="183"/>
    <s v="Oriental Style Instant Noodles Crab Flavour"/>
    <x v="0"/>
    <x v="7"/>
    <s v="Asia"/>
    <x v="10"/>
    <x v="2"/>
    <m/>
    <s v=""/>
    <s v=""/>
  </r>
  <r>
    <n v="1068"/>
    <x v="183"/>
    <s v="Oriental Instant Noodles Stir Fried Noodles"/>
    <x v="0"/>
    <x v="7"/>
    <s v="Asia"/>
    <x v="10"/>
    <x v="2"/>
    <m/>
    <s v=""/>
    <s v=""/>
  </r>
  <r>
    <n v="637"/>
    <x v="47"/>
    <s v="Chinese Mushroom Rice Noodle"/>
    <x v="2"/>
    <x v="7"/>
    <s v="Asia"/>
    <x v="6"/>
    <x v="1"/>
    <m/>
    <s v=""/>
    <s v=""/>
  </r>
  <r>
    <n v="519"/>
    <x v="47"/>
    <s v="Beijing Vegetable Rice Noodle"/>
    <x v="2"/>
    <x v="7"/>
    <s v="Asia"/>
    <x v="11"/>
    <x v="1"/>
    <m/>
    <s v=""/>
    <s v=""/>
  </r>
  <r>
    <n v="510"/>
    <x v="47"/>
    <s v="South Korean Kimchi Rice Noodle"/>
    <x v="2"/>
    <x v="7"/>
    <s v="Asia"/>
    <x v="10"/>
    <x v="2"/>
    <m/>
    <s v=""/>
    <s v=""/>
  </r>
  <r>
    <n v="494"/>
    <x v="47"/>
    <s v="Tomato Seafood Rice Noodle"/>
    <x v="2"/>
    <x v="7"/>
    <s v="Asia"/>
    <x v="2"/>
    <x v="2"/>
    <m/>
    <s v=""/>
    <s v=""/>
  </r>
  <r>
    <n v="427"/>
    <x v="183"/>
    <s v="Mi Hai Cua Crab Flavor"/>
    <x v="0"/>
    <x v="7"/>
    <s v="Asia"/>
    <x v="3"/>
    <x v="0"/>
    <m/>
    <s v=""/>
    <s v=""/>
  </r>
  <r>
    <n v="365"/>
    <x v="20"/>
    <s v="Cup Noodles Prawn"/>
    <x v="2"/>
    <x v="7"/>
    <s v="Asia"/>
    <x v="5"/>
    <x v="2"/>
    <m/>
    <s v=""/>
    <s v=""/>
  </r>
  <r>
    <n v="248"/>
    <x v="183"/>
    <s v="Tomato"/>
    <x v="0"/>
    <x v="7"/>
    <s v="Asia"/>
    <x v="15"/>
    <x v="0"/>
    <m/>
    <s v=""/>
    <s v=""/>
  </r>
  <r>
    <n v="237"/>
    <x v="183"/>
    <s v="Spicy Seafood Marinara"/>
    <x v="1"/>
    <x v="7"/>
    <s v="Asia"/>
    <x v="4"/>
    <x v="2"/>
    <m/>
    <s v=""/>
    <s v=""/>
  </r>
  <r>
    <n v="236"/>
    <x v="183"/>
    <s v="Spicy Sesame"/>
    <x v="0"/>
    <x v="7"/>
    <s v="Asia"/>
    <x v="3"/>
    <x v="0"/>
    <m/>
    <s v=""/>
    <s v=""/>
  </r>
  <r>
    <n v="235"/>
    <x v="183"/>
    <s v="Curry"/>
    <x v="0"/>
    <x v="7"/>
    <s v="Asia"/>
    <x v="12"/>
    <x v="0"/>
    <m/>
    <s v=""/>
    <s v=""/>
  </r>
  <r>
    <n v="233"/>
    <x v="183"/>
    <s v="Tom Yum Rice Noodles"/>
    <x v="1"/>
    <x v="7"/>
    <s v="Asia"/>
    <x v="2"/>
    <x v="2"/>
    <m/>
    <s v=""/>
    <s v=""/>
  </r>
  <r>
    <n v="223"/>
    <x v="183"/>
    <s v="Laksa Singapura"/>
    <x v="1"/>
    <x v="7"/>
    <s v="Asia"/>
    <x v="12"/>
    <x v="0"/>
    <m/>
    <s v=""/>
    <s v=""/>
  </r>
  <r>
    <n v="33"/>
    <x v="183"/>
    <s v="Mi Hai Tom Prawn"/>
    <x v="0"/>
    <x v="7"/>
    <s v="Asia"/>
    <x v="10"/>
    <x v="2"/>
    <m/>
    <s v=""/>
    <s v=""/>
  </r>
  <r>
    <n v="32"/>
    <x v="183"/>
    <s v="Mi Hai Cua Crab Flavor"/>
    <x v="0"/>
    <x v="7"/>
    <s v="Asia"/>
    <x v="2"/>
    <x v="2"/>
    <m/>
    <s v=""/>
    <s v=""/>
  </r>
  <r>
    <n v="1717"/>
    <x v="187"/>
    <s v="Sarawak White Laksa Instant Noodle"/>
    <x v="0"/>
    <x v="8"/>
    <s v="Asia"/>
    <x v="0"/>
    <x v="0"/>
    <m/>
    <s v=""/>
    <s v=""/>
  </r>
  <r>
    <n v="1708"/>
    <x v="188"/>
    <s v="Sibu Instant Kampua Original"/>
    <x v="0"/>
    <x v="8"/>
    <s v="Asia"/>
    <x v="0"/>
    <x v="0"/>
    <m/>
    <s v=""/>
    <s v=""/>
  </r>
  <r>
    <n v="1697"/>
    <x v="188"/>
    <s v="Instant Kampua Dark Soy Sauce"/>
    <x v="0"/>
    <x v="8"/>
    <s v="Asia"/>
    <x v="3"/>
    <x v="0"/>
    <m/>
    <s v=""/>
    <s v=""/>
  </r>
  <r>
    <n v="1006"/>
    <x v="189"/>
    <s v="Barszcz czerwony (Borscht)"/>
    <x v="0"/>
    <x v="9"/>
    <s v="Europe"/>
    <x v="0"/>
    <x v="0"/>
    <m/>
    <s v=""/>
    <s v=""/>
  </r>
  <r>
    <n v="988"/>
    <x v="189"/>
    <s v="Ogorkowa"/>
    <x v="0"/>
    <x v="9"/>
    <s v="Europe"/>
    <x v="5"/>
    <x v="2"/>
    <m/>
    <s v=""/>
    <s v=""/>
  </r>
  <r>
    <n v="951"/>
    <x v="3"/>
    <s v="Pomidorowa (Mild Tomato)"/>
    <x v="0"/>
    <x v="9"/>
    <s v="Europe"/>
    <x v="0"/>
    <x v="0"/>
    <m/>
    <s v=""/>
    <s v=""/>
  </r>
  <r>
    <n v="943"/>
    <x v="189"/>
    <s v="Zurek"/>
    <x v="0"/>
    <x v="9"/>
    <s v="Europe"/>
    <x v="5"/>
    <x v="2"/>
    <m/>
    <s v=""/>
    <s v=""/>
  </r>
  <r>
    <n v="1645"/>
    <x v="190"/>
    <s v="Supreme Jjamppong Korean Style Spicy Seafood Soup"/>
    <x v="1"/>
    <x v="10"/>
    <s v="Asia"/>
    <x v="10"/>
    <x v="2"/>
    <m/>
    <s v=""/>
    <s v=""/>
  </r>
  <r>
    <n v="1611"/>
    <x v="190"/>
    <s v="Supreme Seafood Flavor Big Cup"/>
    <x v="1"/>
    <x v="10"/>
    <s v="Asia"/>
    <x v="0"/>
    <x v="0"/>
    <m/>
    <s v=""/>
    <s v=""/>
  </r>
  <r>
    <n v="1532"/>
    <x v="190"/>
    <s v="Special Instant Noodles Jjamppong Flavor"/>
    <x v="0"/>
    <x v="10"/>
    <s v="Asia"/>
    <x v="17"/>
    <x v="0"/>
    <m/>
    <s v=""/>
    <s v=""/>
  </r>
  <r>
    <n v="1531"/>
    <x v="190"/>
    <s v="Special Instant sopas Chicken Flavor"/>
    <x v="0"/>
    <x v="10"/>
    <s v="Asia"/>
    <x v="10"/>
    <x v="2"/>
    <m/>
    <s v=""/>
    <s v=""/>
  </r>
  <r>
    <n v="1530"/>
    <x v="190"/>
    <s v="Spicy Beef Mami Instant Noodle Soup"/>
    <x v="0"/>
    <x v="10"/>
    <s v="Asia"/>
    <x v="0"/>
    <x v="0"/>
    <m/>
    <s v=""/>
    <s v=""/>
  </r>
  <r>
    <n v="1529"/>
    <x v="190"/>
    <s v="Special Instant Curly Spaghetti With Yummy Red Sauce"/>
    <x v="0"/>
    <x v="10"/>
    <s v="Asia"/>
    <x v="0"/>
    <x v="0"/>
    <m/>
    <s v=""/>
    <s v=""/>
  </r>
  <r>
    <n v="1528"/>
    <x v="190"/>
    <s v="Supreme Pinoy Chicken Instant Noodles"/>
    <x v="2"/>
    <x v="10"/>
    <s v="Asia"/>
    <x v="5"/>
    <x v="2"/>
    <m/>
    <s v=""/>
    <s v=""/>
  </r>
  <r>
    <n v="1527"/>
    <x v="190"/>
    <s v="Special Baked Mac Style Instant Macaroni"/>
    <x v="0"/>
    <x v="10"/>
    <s v="Asia"/>
    <x v="17"/>
    <x v="0"/>
    <m/>
    <s v=""/>
    <s v=""/>
  </r>
  <r>
    <n v="1526"/>
    <x v="190"/>
    <s v="La Paz Batchoy Instant Noodle Soup"/>
    <x v="0"/>
    <x v="10"/>
    <s v="Asia"/>
    <x v="10"/>
    <x v="2"/>
    <m/>
    <s v=""/>
    <s v=""/>
  </r>
  <r>
    <n v="1408"/>
    <x v="191"/>
    <s v="Chicken Sopas Creamy Macaroni Soup"/>
    <x v="2"/>
    <x v="10"/>
    <s v="Asia"/>
    <x v="2"/>
    <x v="2"/>
    <m/>
    <s v=""/>
    <s v=""/>
  </r>
  <r>
    <n v="1285"/>
    <x v="190"/>
    <s v="Supreme Chow Mein Seafood Flavor Instant Stir-Fried Noodles"/>
    <x v="1"/>
    <x v="10"/>
    <s v="Asia"/>
    <x v="5"/>
    <x v="2"/>
    <m/>
    <s v=""/>
    <s v=""/>
  </r>
  <r>
    <n v="1128"/>
    <x v="190"/>
    <s v="Special Instant Pancit Bihon With Kalamansi"/>
    <x v="0"/>
    <x v="10"/>
    <s v="Asia"/>
    <x v="5"/>
    <x v="2"/>
    <m/>
    <s v=""/>
    <s v=""/>
  </r>
  <r>
    <n v="744"/>
    <x v="192"/>
    <s v="Instant Mami Beef"/>
    <x v="0"/>
    <x v="10"/>
    <s v="Asia"/>
    <x v="5"/>
    <x v="2"/>
    <m/>
    <s v=""/>
    <s v=""/>
  </r>
  <r>
    <n v="660"/>
    <x v="190"/>
    <s v="Beef Na Beef"/>
    <x v="0"/>
    <x v="10"/>
    <s v="Asia"/>
    <x v="10"/>
    <x v="2"/>
    <m/>
    <s v=""/>
    <s v=""/>
  </r>
  <r>
    <n v="628"/>
    <x v="190"/>
    <s v="Supreme La Paz Batchoy Beef Garlic"/>
    <x v="1"/>
    <x v="10"/>
    <s v="Asia"/>
    <x v="2"/>
    <x v="2"/>
    <m/>
    <s v=""/>
    <s v=""/>
  </r>
  <r>
    <n v="599"/>
    <x v="190"/>
    <s v="Pancit Canton Extra Hot Chili"/>
    <x v="0"/>
    <x v="10"/>
    <s v="Asia"/>
    <x v="0"/>
    <x v="0"/>
    <m/>
    <s v=""/>
    <s v=""/>
  </r>
  <r>
    <n v="547"/>
    <x v="190"/>
    <s v="Pancit Canton Sweet Spicy"/>
    <x v="0"/>
    <x v="10"/>
    <s v="Asia"/>
    <x v="3"/>
    <x v="0"/>
    <m/>
    <s v=""/>
    <s v=""/>
  </r>
  <r>
    <n v="538"/>
    <x v="190"/>
    <s v="Lomi Seafood Vegetable"/>
    <x v="0"/>
    <x v="10"/>
    <s v="Asia"/>
    <x v="16"/>
    <x v="1"/>
    <m/>
    <s v=""/>
    <s v=""/>
  </r>
  <r>
    <n v="443"/>
    <x v="190"/>
    <s v="N-Rich Chicken Tinola"/>
    <x v="0"/>
    <x v="10"/>
    <s v="Asia"/>
    <x v="0"/>
    <x v="0"/>
    <m/>
    <s v=""/>
    <s v=""/>
  </r>
  <r>
    <n v="433"/>
    <x v="190"/>
    <s v="Supreme Bulalo"/>
    <x v="1"/>
    <x v="10"/>
    <s v="Asia"/>
    <x v="5"/>
    <x v="2"/>
    <m/>
    <s v=""/>
    <s v=""/>
  </r>
  <r>
    <n v="430"/>
    <x v="193"/>
    <s v="Pancit Canton toyo Mansi"/>
    <x v="0"/>
    <x v="10"/>
    <s v="Asia"/>
    <x v="3"/>
    <x v="0"/>
    <m/>
    <s v=""/>
    <s v=""/>
  </r>
  <r>
    <n v="429"/>
    <x v="193"/>
    <s v="Chicken Mami"/>
    <x v="0"/>
    <x v="10"/>
    <s v="Asia"/>
    <x v="10"/>
    <x v="2"/>
    <m/>
    <s v=""/>
    <s v=""/>
  </r>
  <r>
    <n v="410"/>
    <x v="190"/>
    <s v="Instant Bulalo Bone Marrow"/>
    <x v="0"/>
    <x v="10"/>
    <s v="Asia"/>
    <x v="10"/>
    <x v="2"/>
    <m/>
    <s v=""/>
    <s v=""/>
  </r>
  <r>
    <n v="409"/>
    <x v="192"/>
    <s v="Instant Mami Chicken"/>
    <x v="0"/>
    <x v="10"/>
    <s v="Asia"/>
    <x v="0"/>
    <x v="0"/>
    <m/>
    <s v=""/>
    <s v=""/>
  </r>
  <r>
    <n v="397"/>
    <x v="193"/>
    <s v="Quickie Mami La Paz Batchoy"/>
    <x v="2"/>
    <x v="10"/>
    <s v="Asia"/>
    <x v="4"/>
    <x v="2"/>
    <m/>
    <s v=""/>
    <s v=""/>
  </r>
  <r>
    <n v="383"/>
    <x v="190"/>
    <s v="Chicken Na Chicken"/>
    <x v="0"/>
    <x v="10"/>
    <s v="Asia"/>
    <x v="9"/>
    <x v="2"/>
    <m/>
    <s v=""/>
    <s v=""/>
  </r>
  <r>
    <n v="382"/>
    <x v="190"/>
    <s v="N-Rich Artificial Chicken With Ginger"/>
    <x v="0"/>
    <x v="10"/>
    <s v="Asia"/>
    <x v="6"/>
    <x v="1"/>
    <m/>
    <s v=""/>
    <s v=""/>
  </r>
  <r>
    <n v="366"/>
    <x v="192"/>
    <s v="Pancit Shanghai"/>
    <x v="0"/>
    <x v="10"/>
    <s v="Asia"/>
    <x v="9"/>
    <x v="2"/>
    <m/>
    <s v=""/>
    <s v=""/>
  </r>
  <r>
    <n v="357"/>
    <x v="192"/>
    <s v="Xtra Big Kalamansi Pancit Canton"/>
    <x v="0"/>
    <x v="10"/>
    <s v="Asia"/>
    <x v="0"/>
    <x v="0"/>
    <m/>
    <s v=""/>
    <s v=""/>
  </r>
  <r>
    <n v="339"/>
    <x v="192"/>
    <s v="Xtra Big Chilimansi Pancit Canton"/>
    <x v="0"/>
    <x v="10"/>
    <s v="Asia"/>
    <x v="17"/>
    <x v="0"/>
    <m/>
    <s v=""/>
    <s v=""/>
  </r>
  <r>
    <n v="312"/>
    <x v="190"/>
    <s v="Supreme Bulalo Artificial Bone Marrow"/>
    <x v="1"/>
    <x v="10"/>
    <s v="Asia"/>
    <x v="14"/>
    <x v="1"/>
    <m/>
    <s v=""/>
    <s v=""/>
  </r>
  <r>
    <n v="310"/>
    <x v="190"/>
    <s v="La Paz Batchoy Beef"/>
    <x v="0"/>
    <x v="10"/>
    <s v="Asia"/>
    <x v="6"/>
    <x v="1"/>
    <m/>
    <s v=""/>
    <s v=""/>
  </r>
  <r>
    <n v="305"/>
    <x v="190"/>
    <s v="Supreme Special Beef Carne De Vaca"/>
    <x v="1"/>
    <x v="10"/>
    <s v="Asia"/>
    <x v="10"/>
    <x v="2"/>
    <m/>
    <s v=""/>
    <s v=""/>
  </r>
  <r>
    <n v="299"/>
    <x v="190"/>
    <s v="Supreme Sotanghon Artificial Chicken Vermicelli "/>
    <x v="1"/>
    <x v="10"/>
    <s v="Asia"/>
    <x v="10"/>
    <x v="2"/>
    <m/>
    <s v=""/>
    <s v=""/>
  </r>
  <r>
    <n v="230"/>
    <x v="190"/>
    <s v="Supreme Instant Mami Noodles With Free Crackers"/>
    <x v="1"/>
    <x v="10"/>
    <s v="Asia"/>
    <x v="10"/>
    <x v="2"/>
    <m/>
    <s v=""/>
    <s v=""/>
  </r>
  <r>
    <n v="227"/>
    <x v="193"/>
    <s v="Bihon Guisado Rice Noodle"/>
    <x v="0"/>
    <x v="10"/>
    <s v="Asia"/>
    <x v="14"/>
    <x v="1"/>
    <m/>
    <s v=""/>
    <s v=""/>
  </r>
  <r>
    <n v="174"/>
    <x v="190"/>
    <s v="Sotanghon Artificial Chicken"/>
    <x v="0"/>
    <x v="10"/>
    <s v="Asia"/>
    <x v="20"/>
    <x v="1"/>
    <m/>
    <s v=""/>
    <s v=""/>
  </r>
  <r>
    <n v="157"/>
    <x v="20"/>
    <s v="Sotanghon"/>
    <x v="2"/>
    <x v="10"/>
    <s v="Asia"/>
    <x v="11"/>
    <x v="1"/>
    <m/>
    <s v=""/>
    <s v=""/>
  </r>
  <r>
    <n v="155"/>
    <x v="190"/>
    <s v="Pancit Canton"/>
    <x v="0"/>
    <x v="10"/>
    <s v="Asia"/>
    <x v="15"/>
    <x v="0"/>
    <m/>
    <s v=""/>
    <s v=""/>
  </r>
  <r>
    <n v="110"/>
    <x v="190"/>
    <s v="Artificial Chicken"/>
    <x v="0"/>
    <x v="10"/>
    <s v="Asia"/>
    <x v="8"/>
    <x v="1"/>
    <m/>
    <s v=""/>
    <s v=""/>
  </r>
  <r>
    <n v="93"/>
    <x v="192"/>
    <s v="Xtra Big Original Pancit Canton"/>
    <x v="0"/>
    <x v="10"/>
    <s v="Asia"/>
    <x v="17"/>
    <x v="0"/>
    <m/>
    <s v=""/>
    <s v=""/>
  </r>
  <r>
    <n v="40"/>
    <x v="190"/>
    <s v="Pancit Canton Chili Mansi"/>
    <x v="0"/>
    <x v="10"/>
    <s v="Asia"/>
    <x v="4"/>
    <x v="2"/>
    <m/>
    <s v=""/>
    <s v=""/>
  </r>
  <r>
    <n v="39"/>
    <x v="190"/>
    <s v="Supreme Bulalo Flavor"/>
    <x v="1"/>
    <x v="10"/>
    <s v="Asia"/>
    <x v="4"/>
    <x v="2"/>
    <m/>
    <s v=""/>
    <s v=""/>
  </r>
  <r>
    <n v="38"/>
    <x v="190"/>
    <s v="Pancit Canton Citrus Flavor"/>
    <x v="0"/>
    <x v="10"/>
    <s v="Asia"/>
    <x v="4"/>
    <x v="2"/>
    <m/>
    <s v=""/>
    <s v=""/>
  </r>
  <r>
    <n v="37"/>
    <x v="190"/>
    <s v="Pancit Canton Hot Chili Flavor"/>
    <x v="0"/>
    <x v="10"/>
    <s v="Asia"/>
    <x v="4"/>
    <x v="2"/>
    <m/>
    <s v=""/>
    <s v=""/>
  </r>
  <r>
    <n v="36"/>
    <x v="190"/>
    <s v="Itnok"/>
    <x v="0"/>
    <x v="10"/>
    <s v="Asia"/>
    <x v="4"/>
    <x v="2"/>
    <m/>
    <s v=""/>
    <s v=""/>
  </r>
  <r>
    <n v="17"/>
    <x v="193"/>
    <s v="Pancit Palabok"/>
    <x v="0"/>
    <x v="10"/>
    <s v="Asia"/>
    <x v="6"/>
    <x v="1"/>
    <m/>
    <s v=""/>
    <s v=""/>
  </r>
  <r>
    <n v="2346"/>
    <x v="100"/>
    <s v="Chatt Patta Instant Noodles"/>
    <x v="0"/>
    <x v="11"/>
    <s v="Asia"/>
    <x v="19"/>
    <x v="1"/>
    <m/>
    <s v=""/>
    <s v=""/>
  </r>
  <r>
    <n v="2210"/>
    <x v="194"/>
    <s v="Instant Noodles Masala"/>
    <x v="0"/>
    <x v="11"/>
    <s v="Asia"/>
    <x v="0"/>
    <x v="0"/>
    <m/>
    <s v=""/>
    <s v=""/>
  </r>
  <r>
    <n v="2193"/>
    <x v="100"/>
    <s v="Chicken Flavored Instant Noodles"/>
    <x v="0"/>
    <x v="11"/>
    <s v="Asia"/>
    <x v="4"/>
    <x v="2"/>
    <m/>
    <s v=""/>
    <s v=""/>
  </r>
  <r>
    <n v="1657"/>
    <x v="195"/>
    <s v="Shoop Instant Noodles Bombay Biryani Flavour"/>
    <x v="0"/>
    <x v="11"/>
    <s v="Asia"/>
    <x v="9"/>
    <x v="2"/>
    <m/>
    <s v=""/>
    <s v=""/>
  </r>
  <r>
    <n v="1636"/>
    <x v="195"/>
    <s v="Shoop Instant Noodles Masala Flavour"/>
    <x v="0"/>
    <x v="11"/>
    <s v="Asia"/>
    <x v="5"/>
    <x v="2"/>
    <m/>
    <s v=""/>
    <s v=""/>
  </r>
  <r>
    <n v="1612"/>
    <x v="195"/>
    <s v="Shoop Instant Noodles Spicy Lemon Flavour"/>
    <x v="0"/>
    <x v="11"/>
    <s v="Asia"/>
    <x v="5"/>
    <x v="2"/>
    <m/>
    <s v=""/>
    <s v=""/>
  </r>
  <r>
    <n v="1505"/>
    <x v="195"/>
    <s v="Shoop Instant Noodles BBQ Flavour"/>
    <x v="0"/>
    <x v="11"/>
    <s v="Asia"/>
    <x v="5"/>
    <x v="2"/>
    <m/>
    <s v=""/>
    <s v=""/>
  </r>
  <r>
    <n v="1391"/>
    <x v="195"/>
    <s v="Shoop Instant Noodles Chicken Flavour"/>
    <x v="0"/>
    <x v="11"/>
    <s v="Asia"/>
    <x v="2"/>
    <x v="2"/>
    <m/>
    <s v=""/>
    <s v=""/>
  </r>
  <r>
    <n v="504"/>
    <x v="100"/>
    <s v="Pizza"/>
    <x v="0"/>
    <x v="11"/>
    <s v="Asia"/>
    <x v="4"/>
    <x v="2"/>
    <m/>
    <s v=""/>
    <s v=""/>
  </r>
  <r>
    <n v="2502"/>
    <x v="196"/>
    <s v="Onion Chicken Flavor"/>
    <x v="0"/>
    <x v="12"/>
    <s v="Africa"/>
    <x v="8"/>
    <x v="1"/>
    <m/>
    <s v=""/>
    <s v=""/>
  </r>
  <r>
    <n v="2009"/>
    <x v="197"/>
    <s v="Oriental Noodles Soto Ajam"/>
    <x v="2"/>
    <x v="13"/>
    <s v="Europe"/>
    <x v="4"/>
    <x v="2"/>
    <m/>
    <s v=""/>
    <s v=""/>
  </r>
  <r>
    <n v="1954"/>
    <x v="198"/>
    <s v="Island Of Flavours Spicy Thai Chicken Instant Noodles Soup"/>
    <x v="0"/>
    <x v="13"/>
    <s v="Europe"/>
    <x v="11"/>
    <x v="1"/>
    <m/>
    <s v=""/>
    <s v=""/>
  </r>
  <r>
    <n v="1941"/>
    <x v="199"/>
    <s v="Good Noodles Tandoori"/>
    <x v="0"/>
    <x v="13"/>
    <s v="Europe"/>
    <x v="6"/>
    <x v="1"/>
    <m/>
    <s v=""/>
    <s v=""/>
  </r>
  <r>
    <n v="1930"/>
    <x v="198"/>
    <s v="Island Of Flavours Lemongrass Instant Noodles Soup"/>
    <x v="0"/>
    <x v="13"/>
    <s v="Europe"/>
    <x v="20"/>
    <x v="1"/>
    <m/>
    <s v=""/>
    <s v=""/>
  </r>
  <r>
    <n v="1923"/>
    <x v="197"/>
    <s v="Oriental Noodles Teriyaki"/>
    <x v="2"/>
    <x v="13"/>
    <s v="Europe"/>
    <x v="16"/>
    <x v="1"/>
    <m/>
    <s v=""/>
    <s v=""/>
  </r>
  <r>
    <n v="1918"/>
    <x v="200"/>
    <s v="Instant Noodles chicken Flavour"/>
    <x v="0"/>
    <x v="13"/>
    <s v="Europe"/>
    <x v="2"/>
    <x v="2"/>
    <m/>
    <s v=""/>
    <s v=""/>
  </r>
  <r>
    <n v="1899"/>
    <x v="198"/>
    <s v="Island Of Flavours Thai Royal Shrimp Instant Noodles"/>
    <x v="0"/>
    <x v="13"/>
    <s v="Europe"/>
    <x v="8"/>
    <x v="1"/>
    <m/>
    <s v=""/>
    <s v=""/>
  </r>
  <r>
    <n v="1861"/>
    <x v="197"/>
    <s v="Oriental Noodles Groene Curry"/>
    <x v="2"/>
    <x v="13"/>
    <s v="Europe"/>
    <x v="16"/>
    <x v="1"/>
    <m/>
    <s v=""/>
    <s v=""/>
  </r>
  <r>
    <n v="1847"/>
    <x v="197"/>
    <s v="Oriental Noodles Hot &amp; Spicy"/>
    <x v="0"/>
    <x v="13"/>
    <s v="Europe"/>
    <x v="4"/>
    <x v="2"/>
    <m/>
    <s v=""/>
    <s v=""/>
  </r>
  <r>
    <n v="1814"/>
    <x v="198"/>
    <s v="Island Of Flavours Tom Yum Instant Noodles Soup"/>
    <x v="0"/>
    <x v="13"/>
    <s v="Europe"/>
    <x v="4"/>
    <x v="2"/>
    <m/>
    <s v=""/>
    <s v=""/>
  </r>
  <r>
    <n v="1811"/>
    <x v="197"/>
    <s v="Oriental Noodles Oosterse Groenten"/>
    <x v="0"/>
    <x v="13"/>
    <s v="Europe"/>
    <x v="2"/>
    <x v="2"/>
    <m/>
    <s v=""/>
    <s v=""/>
  </r>
  <r>
    <n v="1798"/>
    <x v="200"/>
    <s v="Instant Noodles Vegetable Flavour"/>
    <x v="0"/>
    <x v="13"/>
    <s v="Europe"/>
    <x v="9"/>
    <x v="2"/>
    <m/>
    <s v=""/>
    <s v=""/>
  </r>
  <r>
    <n v="1783"/>
    <x v="200"/>
    <s v="Instant Noodles Creamy Tom Yum Shrimp Flavour"/>
    <x v="0"/>
    <x v="13"/>
    <s v="Europe"/>
    <x v="17"/>
    <x v="0"/>
    <m/>
    <s v=""/>
    <s v=""/>
  </r>
  <r>
    <n v="1757"/>
    <x v="200"/>
    <s v="Instant Noodles Beef Flavour"/>
    <x v="0"/>
    <x v="13"/>
    <s v="Europe"/>
    <x v="5"/>
    <x v="2"/>
    <m/>
    <s v=""/>
    <s v=""/>
  </r>
  <r>
    <n v="1745"/>
    <x v="199"/>
    <s v="Good Noodles Kerrie"/>
    <x v="0"/>
    <x v="13"/>
    <s v="Europe"/>
    <x v="2"/>
    <x v="2"/>
    <m/>
    <s v=""/>
    <s v=""/>
  </r>
  <r>
    <n v="2238"/>
    <x v="201"/>
    <s v="Rumpum Gundruk Flavour"/>
    <x v="0"/>
    <x v="14"/>
    <s v="Asia"/>
    <x v="19"/>
    <x v="1"/>
    <m/>
    <s v=""/>
    <s v=""/>
  </r>
  <r>
    <n v="1151"/>
    <x v="201"/>
    <s v="Fatafat Vegetable Flavor"/>
    <x v="0"/>
    <x v="14"/>
    <s v="Asia"/>
    <x v="10"/>
    <x v="2"/>
    <m/>
    <s v=""/>
    <s v=""/>
  </r>
  <r>
    <n v="1150"/>
    <x v="201"/>
    <s v="Krrish Instant Noodles Chicken Flavor"/>
    <x v="0"/>
    <x v="14"/>
    <s v="Asia"/>
    <x v="2"/>
    <x v="2"/>
    <m/>
    <s v=""/>
    <s v=""/>
  </r>
  <r>
    <n v="1149"/>
    <x v="201"/>
    <s v="Preeti Instant Noodles Chicken Soup Base"/>
    <x v="0"/>
    <x v="14"/>
    <s v="Asia"/>
    <x v="2"/>
    <x v="2"/>
    <m/>
    <s v=""/>
    <s v=""/>
  </r>
  <r>
    <n v="1148"/>
    <x v="201"/>
    <s v="Miteri Instant Noodles Vegetable Flavor"/>
    <x v="0"/>
    <x v="14"/>
    <s v="Asia"/>
    <x v="2"/>
    <x v="2"/>
    <m/>
    <s v=""/>
    <s v=""/>
  </r>
  <r>
    <n v="1147"/>
    <x v="201"/>
    <s v="Rumpum Chicken Soup Base"/>
    <x v="0"/>
    <x v="14"/>
    <s v="Asia"/>
    <x v="2"/>
    <x v="2"/>
    <m/>
    <s v=""/>
    <s v=""/>
  </r>
  <r>
    <n v="1146"/>
    <x v="201"/>
    <s v="2pm Precooked Noodles Chicken Curry Delight"/>
    <x v="0"/>
    <x v="14"/>
    <s v="Asia"/>
    <x v="2"/>
    <x v="2"/>
    <m/>
    <s v=""/>
    <s v=""/>
  </r>
  <r>
    <n v="1145"/>
    <x v="201"/>
    <s v="Fatafat Chicken Flavor"/>
    <x v="0"/>
    <x v="14"/>
    <s v="Asia"/>
    <x v="10"/>
    <x v="2"/>
    <m/>
    <s v=""/>
    <s v=""/>
  </r>
  <r>
    <n v="1144"/>
    <x v="201"/>
    <s v="Krrish Instant Noodles Vegetable Curry Flavor"/>
    <x v="0"/>
    <x v="14"/>
    <s v="Asia"/>
    <x v="2"/>
    <x v="2"/>
    <m/>
    <s v=""/>
    <s v=""/>
  </r>
  <r>
    <n v="1143"/>
    <x v="201"/>
    <s v="Rumpum Vegetable Soup Base"/>
    <x v="0"/>
    <x v="14"/>
    <s v="Asia"/>
    <x v="12"/>
    <x v="0"/>
    <m/>
    <s v=""/>
    <s v=""/>
  </r>
  <r>
    <n v="1142"/>
    <x v="201"/>
    <s v="Miteri Instant Noodles Chicken Flavor"/>
    <x v="0"/>
    <x v="14"/>
    <s v="Asia"/>
    <x v="0"/>
    <x v="0"/>
    <m/>
    <s v=""/>
    <s v=""/>
  </r>
  <r>
    <n v="1141"/>
    <x v="201"/>
    <s v="Joker Ready To Eat Noodles"/>
    <x v="0"/>
    <x v="14"/>
    <s v="Asia"/>
    <x v="5"/>
    <x v="2"/>
    <m/>
    <s v=""/>
    <s v=""/>
  </r>
  <r>
    <n v="1140"/>
    <x v="201"/>
    <s v="Preeti Instant Noodles Veg Soup Base"/>
    <x v="0"/>
    <x v="14"/>
    <s v="Asia"/>
    <x v="3"/>
    <x v="0"/>
    <m/>
    <s v=""/>
    <s v=""/>
  </r>
  <r>
    <n v="1139"/>
    <x v="201"/>
    <s v="Gaurav Chicken Seasoning"/>
    <x v="0"/>
    <x v="14"/>
    <s v="Asia"/>
    <x v="10"/>
    <x v="2"/>
    <m/>
    <s v=""/>
    <s v=""/>
  </r>
  <r>
    <n v="1964"/>
    <x v="80"/>
    <s v="Instant Noodles Coconut Milk Flavour"/>
    <x v="0"/>
    <x v="15"/>
    <s v="Asia"/>
    <x v="3"/>
    <x v="0"/>
    <s v="2016 #10"/>
    <s v="2016"/>
    <s v="10"/>
  </r>
  <r>
    <n v="2010"/>
    <x v="80"/>
    <s v="Rangers Snack Noodles Popcorn Flavour"/>
    <x v="0"/>
    <x v="15"/>
    <s v="Asia"/>
    <x v="10"/>
    <x v="2"/>
    <m/>
    <s v=""/>
    <s v=""/>
  </r>
  <r>
    <n v="1988"/>
    <x v="80"/>
    <s v="Instant Noodles Chicken Soup Flavour"/>
    <x v="0"/>
    <x v="15"/>
    <s v="Asia"/>
    <x v="2"/>
    <x v="2"/>
    <m/>
    <s v=""/>
    <s v=""/>
  </r>
  <r>
    <n v="1939"/>
    <x v="80"/>
    <s v="Instant Noodles Shrimp Creamy Tom Yum Flavour"/>
    <x v="0"/>
    <x v="15"/>
    <s v="Asia"/>
    <x v="3"/>
    <x v="0"/>
    <m/>
    <s v=""/>
    <s v=""/>
  </r>
  <r>
    <n v="1937"/>
    <x v="80"/>
    <s v="Chicken Soup Flavour Cup Noodles"/>
    <x v="2"/>
    <x v="15"/>
    <s v="Asia"/>
    <x v="10"/>
    <x v="2"/>
    <m/>
    <s v=""/>
    <s v=""/>
  </r>
  <r>
    <n v="1912"/>
    <x v="80"/>
    <s v="Instant Noodles Chicken Sichek Flavour"/>
    <x v="0"/>
    <x v="15"/>
    <s v="Asia"/>
    <x v="10"/>
    <x v="2"/>
    <m/>
    <s v=""/>
    <s v=""/>
  </r>
  <r>
    <n v="1902"/>
    <x v="80"/>
    <s v="Seafood Tom Yum Sichek Flavour"/>
    <x v="0"/>
    <x v="15"/>
    <s v="Asia"/>
    <x v="3"/>
    <x v="0"/>
    <m/>
    <s v=""/>
    <s v=""/>
  </r>
  <r>
    <n v="1894"/>
    <x v="80"/>
    <s v="Rangers Snack Noodles BBQ Flavour"/>
    <x v="0"/>
    <x v="15"/>
    <s v="Asia"/>
    <x v="9"/>
    <x v="2"/>
    <m/>
    <s v=""/>
    <s v=""/>
  </r>
  <r>
    <n v="1889"/>
    <x v="80"/>
    <s v="Rangers Snack Noodles Sour Cream Flavour"/>
    <x v="0"/>
    <x v="15"/>
    <s v="Asia"/>
    <x v="9"/>
    <x v="2"/>
    <m/>
    <s v=""/>
    <s v=""/>
  </r>
  <r>
    <n v="1865"/>
    <x v="80"/>
    <s v="Shrimp Tom Yum Flavour Cup Noodles"/>
    <x v="2"/>
    <x v="15"/>
    <s v="Asia"/>
    <x v="2"/>
    <x v="2"/>
    <m/>
    <s v=""/>
    <s v=""/>
  </r>
  <r>
    <n v="1854"/>
    <x v="80"/>
    <s v="Chinese Kitchen Chinese Style Instant Noodles"/>
    <x v="0"/>
    <x v="15"/>
    <s v="Asia"/>
    <x v="2"/>
    <x v="2"/>
    <m/>
    <s v=""/>
    <s v=""/>
  </r>
  <r>
    <n v="1743"/>
    <x v="80"/>
    <s v="Rangers Snack Noodles Shrimp Tom Yum Flavour"/>
    <x v="0"/>
    <x v="15"/>
    <s v="Asia"/>
    <x v="17"/>
    <x v="0"/>
    <m/>
    <s v=""/>
    <s v=""/>
  </r>
  <r>
    <n v="1716"/>
    <x v="80"/>
    <s v="Instant Noodles Egg Protein Noodles"/>
    <x v="0"/>
    <x v="15"/>
    <s v="Asia"/>
    <x v="2"/>
    <x v="2"/>
    <m/>
    <s v=""/>
    <s v=""/>
  </r>
  <r>
    <n v="1693"/>
    <x v="80"/>
    <s v="Instant Noodles coconut Milk Flavour"/>
    <x v="2"/>
    <x v="15"/>
    <s v="Asia"/>
    <x v="3"/>
    <x v="0"/>
    <m/>
    <s v=""/>
    <s v=""/>
  </r>
  <r>
    <n v="2442"/>
    <x v="20"/>
    <s v="Cup Noodles Sopa Nissin Hot Sauce Con Camaron"/>
    <x v="2"/>
    <x v="16"/>
    <s v="North America"/>
    <x v="2"/>
    <x v="2"/>
    <m/>
    <s v=""/>
    <s v=""/>
  </r>
  <r>
    <n v="2422"/>
    <x v="20"/>
    <s v="Cup Noodles Sopa Nissin Con Camaron Picante"/>
    <x v="2"/>
    <x v="16"/>
    <s v="North America"/>
    <x v="5"/>
    <x v="2"/>
    <m/>
    <s v=""/>
    <s v=""/>
  </r>
  <r>
    <n v="2344"/>
    <x v="20"/>
    <s v="Cup Noodles Sopa Nissin Sabor A Pollo"/>
    <x v="2"/>
    <x v="16"/>
    <s v="North America"/>
    <x v="0"/>
    <x v="0"/>
    <m/>
    <s v=""/>
    <s v=""/>
  </r>
  <r>
    <n v="2343"/>
    <x v="20"/>
    <s v="Maxi Sopa Nissin Cuchareable Sabor A Jugo De Carne"/>
    <x v="2"/>
    <x v="16"/>
    <s v="North America"/>
    <x v="0"/>
    <x v="0"/>
    <m/>
    <s v=""/>
    <s v=""/>
  </r>
  <r>
    <n v="2342"/>
    <x v="20"/>
    <s v="Sopa Nissin Sabor A Camaron Sopa Instantanea Tipo Ramen"/>
    <x v="0"/>
    <x v="16"/>
    <s v="North America"/>
    <x v="0"/>
    <x v="0"/>
    <m/>
    <s v=""/>
    <s v=""/>
  </r>
  <r>
    <n v="2341"/>
    <x v="20"/>
    <s v="Cup Noodles Sopa Nissin Sabor A Carne De Res"/>
    <x v="2"/>
    <x v="16"/>
    <s v="North America"/>
    <x v="0"/>
    <x v="0"/>
    <m/>
    <s v=""/>
    <s v=""/>
  </r>
  <r>
    <n v="2340"/>
    <x v="20"/>
    <s v="RapiFideo Sabor A Tomate Y Pollo"/>
    <x v="2"/>
    <x v="16"/>
    <s v="North America"/>
    <x v="0"/>
    <x v="0"/>
    <m/>
    <s v=""/>
    <s v=""/>
  </r>
  <r>
    <n v="2339"/>
    <x v="20"/>
    <s v="Cup Noodles Sopa Nissin Sabor Camaron, Habanero Y Limon"/>
    <x v="2"/>
    <x v="16"/>
    <s v="North America"/>
    <x v="4"/>
    <x v="2"/>
    <m/>
    <s v=""/>
    <s v=""/>
  </r>
  <r>
    <n v="2338"/>
    <x v="20"/>
    <s v="Sopa Nissin Sabor A Pollo Sopa Instantanea Tipo Ramen"/>
    <x v="0"/>
    <x v="16"/>
    <s v="North America"/>
    <x v="0"/>
    <x v="0"/>
    <m/>
    <s v=""/>
    <s v=""/>
  </r>
  <r>
    <n v="2337"/>
    <x v="20"/>
    <s v="Cup Noodles Sopa Nissin Con Camaron"/>
    <x v="2"/>
    <x v="16"/>
    <s v="North America"/>
    <x v="4"/>
    <x v="2"/>
    <m/>
    <s v=""/>
    <s v=""/>
  </r>
  <r>
    <n v="2336"/>
    <x v="20"/>
    <s v="Maxi Sopa Nissin Cuchareable Sabor A Camaron Picante"/>
    <x v="2"/>
    <x v="16"/>
    <s v="North America"/>
    <x v="4"/>
    <x v="2"/>
    <m/>
    <s v=""/>
    <s v=""/>
  </r>
  <r>
    <n v="2335"/>
    <x v="20"/>
    <s v="Cup Noodles Gourmet Sabor A Caldo De Camaron"/>
    <x v="2"/>
    <x v="16"/>
    <s v="North America"/>
    <x v="3"/>
    <x v="0"/>
    <m/>
    <s v=""/>
    <s v=""/>
  </r>
  <r>
    <n v="2334"/>
    <x v="20"/>
    <s v="Sopa Nissin Sabor Mariscos, Habanero Y Limon"/>
    <x v="2"/>
    <x v="16"/>
    <s v="North America"/>
    <x v="0"/>
    <x v="0"/>
    <m/>
    <s v=""/>
    <s v=""/>
  </r>
  <r>
    <n v="2333"/>
    <x v="20"/>
    <s v="Maxi Sopa Nissin Cuchareable Sabor A Pollo"/>
    <x v="2"/>
    <x v="16"/>
    <s v="North America"/>
    <x v="0"/>
    <x v="0"/>
    <m/>
    <s v=""/>
    <s v=""/>
  </r>
  <r>
    <n v="2332"/>
    <x v="20"/>
    <s v="Sopa Nissin Sabor A Res Instantanea Tipo Ramen"/>
    <x v="0"/>
    <x v="16"/>
    <s v="North America"/>
    <x v="0"/>
    <x v="0"/>
    <m/>
    <s v=""/>
    <s v=""/>
  </r>
  <r>
    <n v="2331"/>
    <x v="20"/>
    <s v="Cup Noodles Sopa Nissin Hot Sauce Sabor A Pollo"/>
    <x v="2"/>
    <x v="16"/>
    <s v="North America"/>
    <x v="0"/>
    <x v="0"/>
    <m/>
    <s v=""/>
    <s v=""/>
  </r>
  <r>
    <n v="2307"/>
    <x v="150"/>
    <s v="Ramyun Sabor Pollo"/>
    <x v="0"/>
    <x v="16"/>
    <s v="North America"/>
    <x v="0"/>
    <x v="0"/>
    <m/>
    <s v=""/>
    <s v=""/>
  </r>
  <r>
    <n v="2303"/>
    <x v="34"/>
    <s v="Sopa Maruchan Sobar A Camaron"/>
    <x v="0"/>
    <x v="16"/>
    <s v="North America"/>
    <x v="4"/>
    <x v="2"/>
    <m/>
    <s v=""/>
    <s v=""/>
  </r>
  <r>
    <n v="2251"/>
    <x v="150"/>
    <s v="Ramyon Sabor Y Camaron"/>
    <x v="0"/>
    <x v="16"/>
    <s v="North America"/>
    <x v="0"/>
    <x v="0"/>
    <m/>
    <s v=""/>
    <s v=""/>
  </r>
  <r>
    <n v="2159"/>
    <x v="202"/>
    <s v="Sazon Casero Sopa Con Tomate Y Sabor Pollo"/>
    <x v="0"/>
    <x v="16"/>
    <s v="North America"/>
    <x v="4"/>
    <x v="2"/>
    <m/>
    <s v=""/>
    <s v=""/>
  </r>
  <r>
    <n v="2074"/>
    <x v="20"/>
    <s v="Cup Noodles Sabor Pollo Habanero Y Limon Sopa Instantanea"/>
    <x v="2"/>
    <x v="16"/>
    <s v="North America"/>
    <x v="2"/>
    <x v="2"/>
    <m/>
    <s v=""/>
    <s v=""/>
  </r>
  <r>
    <n v="2062"/>
    <x v="150"/>
    <s v="Ramyon Sabor Mariscos"/>
    <x v="0"/>
    <x v="16"/>
    <s v="North America"/>
    <x v="10"/>
    <x v="2"/>
    <m/>
    <s v=""/>
    <s v=""/>
  </r>
  <r>
    <n v="2057"/>
    <x v="20"/>
    <s v="RapiFideo Sabor A Chile Y Limon"/>
    <x v="2"/>
    <x v="16"/>
    <s v="North America"/>
    <x v="10"/>
    <x v="2"/>
    <m/>
    <s v=""/>
    <s v=""/>
  </r>
  <r>
    <n v="2049"/>
    <x v="150"/>
    <s v="Ramyon Sabor A Res"/>
    <x v="0"/>
    <x v="16"/>
    <s v="North America"/>
    <x v="0"/>
    <x v="0"/>
    <m/>
    <s v=""/>
    <s v=""/>
  </r>
  <r>
    <n v="2028"/>
    <x v="34"/>
    <s v="Sopa Maruchan Sabor a Camaron, Limon y Habanero"/>
    <x v="0"/>
    <x v="16"/>
    <s v="North America"/>
    <x v="2"/>
    <x v="2"/>
    <m/>
    <s v=""/>
    <s v=""/>
  </r>
  <r>
    <n v="1617"/>
    <x v="184"/>
    <s v="Penang Hokkien Prawn Noodle (New Improved Taste)"/>
    <x v="0"/>
    <x v="17"/>
    <s v="Africa"/>
    <x v="3"/>
    <x v="0"/>
    <s v="2015 #7"/>
    <s v="2015"/>
    <s v="7"/>
  </r>
  <r>
    <n v="1350"/>
    <x v="203"/>
    <s v="Chef Curry Laksa Flavour"/>
    <x v="0"/>
    <x v="17"/>
    <s v="Africa"/>
    <x v="3"/>
    <x v="0"/>
    <s v="2014 #7"/>
    <s v="2014"/>
    <s v="7"/>
  </r>
  <r>
    <n v="1508"/>
    <x v="203"/>
    <s v="Chef Gold Recipe Mi Kari Seribu Rasa"/>
    <x v="0"/>
    <x v="17"/>
    <s v="Africa"/>
    <x v="3"/>
    <x v="0"/>
    <s v="2015 #6"/>
    <s v="2015"/>
    <s v="6"/>
  </r>
  <r>
    <n v="1585"/>
    <x v="204"/>
    <s v="Nyonya Curry Laksa"/>
    <x v="0"/>
    <x v="17"/>
    <s v="Africa"/>
    <x v="3"/>
    <x v="0"/>
    <s v="2015 #4"/>
    <s v="2015"/>
    <s v="4"/>
  </r>
  <r>
    <n v="1500"/>
    <x v="184"/>
    <s v="Penang Red Tom Yum Goong Noodle"/>
    <x v="0"/>
    <x v="17"/>
    <s v="Africa"/>
    <x v="3"/>
    <x v="0"/>
    <s v="2015 #1"/>
    <s v="2015"/>
    <s v="1"/>
  </r>
  <r>
    <n v="1087"/>
    <x v="184"/>
    <s v="Penang White Curry Noodle"/>
    <x v="0"/>
    <x v="17"/>
    <s v="Africa"/>
    <x v="3"/>
    <x v="0"/>
    <s v="2014 #1"/>
    <s v="2014"/>
    <s v="1"/>
  </r>
  <r>
    <n v="2552"/>
    <x v="184"/>
    <s v="Penang White Curry Rice Vermicelli Soup"/>
    <x v="1"/>
    <x v="17"/>
    <s v="Africa"/>
    <x v="3"/>
    <x v="0"/>
    <m/>
    <s v=""/>
    <s v=""/>
  </r>
  <r>
    <n v="2510"/>
    <x v="184"/>
    <s v="Penang Red Tom Yum Goong Noodle"/>
    <x v="0"/>
    <x v="17"/>
    <s v="Africa"/>
    <x v="3"/>
    <x v="0"/>
    <m/>
    <s v=""/>
    <s v=""/>
  </r>
  <r>
    <n v="2500"/>
    <x v="205"/>
    <s v="Supreme Creamy Tom Yum Noodle"/>
    <x v="4"/>
    <x v="17"/>
    <s v="Africa"/>
    <x v="3"/>
    <x v="0"/>
    <m/>
    <s v=""/>
    <s v=""/>
  </r>
  <r>
    <n v="2479"/>
    <x v="206"/>
    <s v="Instant Noodles Chicken Flavour"/>
    <x v="0"/>
    <x v="17"/>
    <s v="Africa"/>
    <x v="0"/>
    <x v="0"/>
    <m/>
    <s v=""/>
    <s v=""/>
  </r>
  <r>
    <n v="2430"/>
    <x v="184"/>
    <s v="MeeKuali Bihun Sup Rempah Perisa Daging"/>
    <x v="0"/>
    <x v="17"/>
    <s v="Africa"/>
    <x v="3"/>
    <x v="0"/>
    <m/>
    <s v=""/>
    <s v=""/>
  </r>
  <r>
    <n v="2392"/>
    <x v="184"/>
    <s v="Penang Red Tom Yum Goong Rice Vermicelli Soup"/>
    <x v="1"/>
    <x v="17"/>
    <s v="Africa"/>
    <x v="3"/>
    <x v="0"/>
    <m/>
    <s v=""/>
    <s v=""/>
  </r>
  <r>
    <n v="2377"/>
    <x v="184"/>
    <s v="Penang White Curry Instant Noodle (Japan Version)"/>
    <x v="4"/>
    <x v="17"/>
    <s v="Africa"/>
    <x v="3"/>
    <x v="0"/>
    <m/>
    <s v=""/>
    <s v=""/>
  </r>
  <r>
    <n v="2299"/>
    <x v="207"/>
    <s v="Mi Segera Mmm... Original"/>
    <x v="0"/>
    <x v="17"/>
    <s v="Africa"/>
    <x v="4"/>
    <x v="2"/>
    <m/>
    <s v=""/>
    <s v=""/>
  </r>
  <r>
    <n v="2222"/>
    <x v="208"/>
    <s v="Vegetarian Penang White Curry"/>
    <x v="0"/>
    <x v="17"/>
    <s v="Africa"/>
    <x v="3"/>
    <x v="0"/>
    <m/>
    <s v=""/>
    <s v=""/>
  </r>
  <r>
    <n v="2192"/>
    <x v="208"/>
    <s v="Penang White Curry Instant Noodle"/>
    <x v="0"/>
    <x v="17"/>
    <s v="Africa"/>
    <x v="3"/>
    <x v="0"/>
    <m/>
    <s v=""/>
    <s v=""/>
  </r>
  <r>
    <n v="2129"/>
    <x v="204"/>
    <s v="Hot &amp; Spicy Dry Curry With Chives Soup"/>
    <x v="0"/>
    <x v="17"/>
    <s v="Africa"/>
    <x v="3"/>
    <x v="0"/>
    <m/>
    <s v=""/>
    <s v=""/>
  </r>
  <r>
    <n v="2097"/>
    <x v="204"/>
    <s v="Otentiq Cheezy Mushroom Instant Noodles (Improved Taste)"/>
    <x v="0"/>
    <x v="17"/>
    <s v="Africa"/>
    <x v="3"/>
    <x v="0"/>
    <m/>
    <s v=""/>
    <s v=""/>
  </r>
  <r>
    <n v="2091"/>
    <x v="184"/>
    <s v="Penang Hokkien Prawn Noodle Authentic Taste"/>
    <x v="2"/>
    <x v="17"/>
    <s v="Africa"/>
    <x v="3"/>
    <x v="0"/>
    <m/>
    <s v=""/>
    <s v=""/>
  </r>
  <r>
    <n v="2050"/>
    <x v="184"/>
    <s v="Penang Red Tom Yum Goong Noodle Authentic Taste"/>
    <x v="2"/>
    <x v="17"/>
    <s v="Africa"/>
    <x v="3"/>
    <x v="0"/>
    <m/>
    <s v=""/>
    <s v=""/>
  </r>
  <r>
    <n v="2046"/>
    <x v="206"/>
    <s v="Perisa Asam Pedas Mi Segera"/>
    <x v="0"/>
    <x v="17"/>
    <s v="Africa"/>
    <x v="0"/>
    <x v="0"/>
    <m/>
    <s v=""/>
    <s v=""/>
  </r>
  <r>
    <n v="2043"/>
    <x v="209"/>
    <s v="Malaysia Green Curry Noodle"/>
    <x v="1"/>
    <x v="17"/>
    <s v="Africa"/>
    <x v="3"/>
    <x v="0"/>
    <m/>
    <s v=""/>
    <s v=""/>
  </r>
  <r>
    <n v="2038"/>
    <x v="210"/>
    <s v="Vegetarian Herbal Noodle"/>
    <x v="0"/>
    <x v="17"/>
    <s v="Africa"/>
    <x v="8"/>
    <x v="1"/>
    <m/>
    <s v=""/>
    <s v=""/>
  </r>
  <r>
    <n v="2031"/>
    <x v="204"/>
    <s v="Otentiq Cheezy Curry Instant Noodles (Improved Taste)"/>
    <x v="0"/>
    <x v="17"/>
    <s v="Africa"/>
    <x v="3"/>
    <x v="0"/>
    <m/>
    <s v=""/>
    <s v=""/>
  </r>
  <r>
    <n v="2026"/>
    <x v="184"/>
    <s v="Penang White Curry Authentic Taste Cup"/>
    <x v="2"/>
    <x v="17"/>
    <s v="Africa"/>
    <x v="15"/>
    <x v="0"/>
    <m/>
    <s v=""/>
    <s v=""/>
  </r>
  <r>
    <n v="2015"/>
    <x v="206"/>
    <s v="Perisa Kari Mi Segera (Improved Taste)"/>
    <x v="0"/>
    <x v="17"/>
    <s v="Africa"/>
    <x v="3"/>
    <x v="0"/>
    <m/>
    <s v=""/>
    <s v=""/>
  </r>
  <r>
    <n v="1989"/>
    <x v="184"/>
    <s v="Penang White curry Noodle Authentic Taste"/>
    <x v="0"/>
    <x v="17"/>
    <s v="Africa"/>
    <x v="3"/>
    <x v="0"/>
    <m/>
    <s v=""/>
    <s v=""/>
  </r>
  <r>
    <n v="1981"/>
    <x v="184"/>
    <s v="Penang Red tom Yum Goong Noodle Authentic Taste"/>
    <x v="0"/>
    <x v="17"/>
    <s v="Africa"/>
    <x v="3"/>
    <x v="0"/>
    <m/>
    <s v=""/>
    <s v=""/>
  </r>
  <r>
    <n v="1978"/>
    <x v="204"/>
    <s v="Nyonya Curry Laksa (Improved Taste)"/>
    <x v="0"/>
    <x v="17"/>
    <s v="Africa"/>
    <x v="3"/>
    <x v="0"/>
    <m/>
    <s v=""/>
    <s v=""/>
  </r>
  <r>
    <n v="1977"/>
    <x v="211"/>
    <s v="Malaysia Penang Green Curry Vermicelli (New Package)"/>
    <x v="0"/>
    <x v="17"/>
    <s v="Africa"/>
    <x v="3"/>
    <x v="0"/>
    <m/>
    <s v=""/>
    <s v=""/>
  </r>
  <r>
    <n v="1970"/>
    <x v="211"/>
    <s v="Malaysia Penang Red Curry Noodle"/>
    <x v="0"/>
    <x v="17"/>
    <s v="Africa"/>
    <x v="3"/>
    <x v="0"/>
    <m/>
    <s v=""/>
    <s v=""/>
  </r>
  <r>
    <n v="1965"/>
    <x v="184"/>
    <s v="Penang Spicy Prawn Soup Noodle Authentic Taste"/>
    <x v="0"/>
    <x v="17"/>
    <s v="Africa"/>
    <x v="3"/>
    <x v="0"/>
    <m/>
    <s v=""/>
    <s v=""/>
  </r>
  <r>
    <n v="1942"/>
    <x v="212"/>
    <s v="Always Mi Goreng Perisa Sambal Udang"/>
    <x v="0"/>
    <x v="17"/>
    <s v="Africa"/>
    <x v="2"/>
    <x v="2"/>
    <m/>
    <s v=""/>
    <s v=""/>
  </r>
  <r>
    <n v="1900"/>
    <x v="212"/>
    <s v="Always Mi Goreng Perisa Kari Kapitan"/>
    <x v="0"/>
    <x v="17"/>
    <s v="Africa"/>
    <x v="3"/>
    <x v="0"/>
    <m/>
    <s v=""/>
    <s v=""/>
  </r>
  <r>
    <n v="1874"/>
    <x v="212"/>
    <s v="Always Mi Goreng Perisa Thai Tom Yam"/>
    <x v="0"/>
    <x v="17"/>
    <s v="Africa"/>
    <x v="6"/>
    <x v="1"/>
    <m/>
    <s v=""/>
    <s v=""/>
  </r>
  <r>
    <n v="1866"/>
    <x v="184"/>
    <s v="Penang Spicy Prawn Soup Noodle"/>
    <x v="0"/>
    <x v="17"/>
    <s v="Africa"/>
    <x v="3"/>
    <x v="0"/>
    <m/>
    <s v=""/>
    <s v=""/>
  </r>
  <r>
    <n v="1862"/>
    <x v="212"/>
    <s v="Always Mi Goreng Perisa Asli"/>
    <x v="0"/>
    <x v="17"/>
    <s v="Africa"/>
    <x v="10"/>
    <x v="2"/>
    <m/>
    <s v=""/>
    <s v=""/>
  </r>
  <r>
    <n v="1849"/>
    <x v="213"/>
    <s v="Instant Rice Vermicelli Clear Soup Flavour"/>
    <x v="0"/>
    <x v="17"/>
    <s v="Africa"/>
    <x v="2"/>
    <x v="2"/>
    <m/>
    <s v=""/>
    <s v=""/>
  </r>
  <r>
    <n v="1848"/>
    <x v="184"/>
    <s v="Penang Red tom Yum Goong Noodle (New Version)"/>
    <x v="0"/>
    <x v="17"/>
    <s v="Africa"/>
    <x v="3"/>
    <x v="0"/>
    <m/>
    <s v=""/>
    <s v=""/>
  </r>
  <r>
    <n v="1839"/>
    <x v="214"/>
    <s v="Taste Of Malaysia Penang White Curry Ramen"/>
    <x v="0"/>
    <x v="17"/>
    <s v="Africa"/>
    <x v="3"/>
    <x v="0"/>
    <m/>
    <s v=""/>
    <s v=""/>
  </r>
  <r>
    <n v="1838"/>
    <x v="214"/>
    <s v="Taste Of Malaysia Penang Asam Laksa Fried Instant Noodle"/>
    <x v="0"/>
    <x v="17"/>
    <s v="Africa"/>
    <x v="17"/>
    <x v="0"/>
    <m/>
    <s v=""/>
    <s v=""/>
  </r>
  <r>
    <n v="1837"/>
    <x v="214"/>
    <s v="Taste Of Malaysia Penang Hokkien Mee Ramen"/>
    <x v="0"/>
    <x v="17"/>
    <s v="Africa"/>
    <x v="3"/>
    <x v="0"/>
    <m/>
    <s v=""/>
    <s v=""/>
  </r>
  <r>
    <n v="1836"/>
    <x v="214"/>
    <s v="Taste Of Malaysia Penang White Curry Fried Instant Noodle"/>
    <x v="0"/>
    <x v="17"/>
    <s v="Africa"/>
    <x v="3"/>
    <x v="0"/>
    <m/>
    <s v=""/>
    <s v=""/>
  </r>
  <r>
    <n v="1835"/>
    <x v="214"/>
    <s v="Taste Of Malaysia Penang Asam Laksa Ramen"/>
    <x v="0"/>
    <x v="17"/>
    <s v="Africa"/>
    <x v="3"/>
    <x v="0"/>
    <m/>
    <s v=""/>
    <s v=""/>
  </r>
  <r>
    <n v="1834"/>
    <x v="214"/>
    <s v="Taste Of Malaysia Penang Hokkien Mee Fried Instant Noodle"/>
    <x v="0"/>
    <x v="17"/>
    <s v="Africa"/>
    <x v="3"/>
    <x v="0"/>
    <m/>
    <s v=""/>
    <s v=""/>
  </r>
  <r>
    <n v="1833"/>
    <x v="214"/>
    <s v="Instant Noodles With Chicken Flavour"/>
    <x v="0"/>
    <x v="17"/>
    <s v="Africa"/>
    <x v="10"/>
    <x v="2"/>
    <m/>
    <s v=""/>
    <s v=""/>
  </r>
  <r>
    <n v="1823"/>
    <x v="184"/>
    <s v="MeeKuali spicy Fried Noodle"/>
    <x v="0"/>
    <x v="17"/>
    <s v="Africa"/>
    <x v="0"/>
    <x v="0"/>
    <m/>
    <s v=""/>
    <s v=""/>
  </r>
  <r>
    <n v="1817"/>
    <x v="215"/>
    <s v="Penang Vegetarian Prawn Instant Bowl Noodles"/>
    <x v="1"/>
    <x v="17"/>
    <s v="Africa"/>
    <x v="0"/>
    <x v="0"/>
    <m/>
    <s v=""/>
    <s v=""/>
  </r>
  <r>
    <n v="1810"/>
    <x v="184"/>
    <s v="Penang White Curry Noodle (New Version)"/>
    <x v="0"/>
    <x v="17"/>
    <s v="Africa"/>
    <x v="3"/>
    <x v="0"/>
    <m/>
    <s v=""/>
    <s v=""/>
  </r>
  <r>
    <n v="1806"/>
    <x v="207"/>
    <s v="Mi Segera Mmm... Perisa Goreng Ala Indonesia"/>
    <x v="0"/>
    <x v="17"/>
    <s v="Africa"/>
    <x v="2"/>
    <x v="2"/>
    <m/>
    <s v=""/>
    <s v=""/>
  </r>
  <r>
    <n v="1794"/>
    <x v="214"/>
    <s v="Shallot Chicken Instant Noodles"/>
    <x v="0"/>
    <x v="17"/>
    <s v="Africa"/>
    <x v="4"/>
    <x v="2"/>
    <m/>
    <s v=""/>
    <s v=""/>
  </r>
  <r>
    <n v="1793"/>
    <x v="207"/>
    <s v="Mi Segera Mmm... Perisa Asam Laksa"/>
    <x v="0"/>
    <x v="17"/>
    <s v="Africa"/>
    <x v="2"/>
    <x v="2"/>
    <m/>
    <s v=""/>
    <s v=""/>
  </r>
  <r>
    <n v="1792"/>
    <x v="210"/>
    <s v="Soup Spices Noodle Mee Rempahan Sup"/>
    <x v="0"/>
    <x v="17"/>
    <s v="Africa"/>
    <x v="2"/>
    <x v="2"/>
    <m/>
    <s v=""/>
    <s v=""/>
  </r>
  <r>
    <n v="1791"/>
    <x v="214"/>
    <s v="Tom Yam Instant Noodles"/>
    <x v="0"/>
    <x v="17"/>
    <s v="Africa"/>
    <x v="12"/>
    <x v="0"/>
    <m/>
    <s v=""/>
    <s v=""/>
  </r>
  <r>
    <n v="1790"/>
    <x v="216"/>
    <s v="Kimchi"/>
    <x v="2"/>
    <x v="17"/>
    <s v="Africa"/>
    <x v="17"/>
    <x v="0"/>
    <m/>
    <s v=""/>
    <s v=""/>
  </r>
  <r>
    <n v="1789"/>
    <x v="207"/>
    <s v="Mi Segera Mmm... Perisa Ayam Cendawan"/>
    <x v="0"/>
    <x v="17"/>
    <s v="Africa"/>
    <x v="2"/>
    <x v="2"/>
    <m/>
    <s v=""/>
    <s v=""/>
  </r>
  <r>
    <n v="1788"/>
    <x v="216"/>
    <s v="Curry Flavour Noodles"/>
    <x v="2"/>
    <x v="17"/>
    <s v="Africa"/>
    <x v="4"/>
    <x v="2"/>
    <m/>
    <s v=""/>
    <s v=""/>
  </r>
  <r>
    <n v="1787"/>
    <x v="213"/>
    <s v="Kua Teaw Segera"/>
    <x v="0"/>
    <x v="17"/>
    <s v="Africa"/>
    <x v="0"/>
    <x v="0"/>
    <m/>
    <s v=""/>
    <s v=""/>
  </r>
  <r>
    <n v="1785"/>
    <x v="216"/>
    <s v="Instant Noodles Black Pepper Crab Mi Goreng"/>
    <x v="2"/>
    <x v="17"/>
    <s v="Africa"/>
    <x v="2"/>
    <x v="2"/>
    <m/>
    <s v=""/>
    <s v=""/>
  </r>
  <r>
    <n v="1781"/>
    <x v="184"/>
    <s v="Penang Hokkien Prawn Soup Rice Vermicelli (Bihun)"/>
    <x v="1"/>
    <x v="17"/>
    <s v="Africa"/>
    <x v="3"/>
    <x v="0"/>
    <m/>
    <s v=""/>
    <s v=""/>
  </r>
  <r>
    <n v="1769"/>
    <x v="203"/>
    <s v="Chef Lontong Flavour"/>
    <x v="0"/>
    <x v="17"/>
    <s v="Africa"/>
    <x v="3"/>
    <x v="0"/>
    <m/>
    <s v=""/>
    <s v=""/>
  </r>
  <r>
    <n v="1758"/>
    <x v="214"/>
    <s v="Duck Instant Noodles"/>
    <x v="0"/>
    <x v="17"/>
    <s v="Africa"/>
    <x v="2"/>
    <x v="2"/>
    <m/>
    <s v=""/>
    <s v=""/>
  </r>
  <r>
    <n v="1747"/>
    <x v="214"/>
    <s v="Curry Instant Noodles"/>
    <x v="0"/>
    <x v="17"/>
    <s v="Africa"/>
    <x v="2"/>
    <x v="2"/>
    <m/>
    <s v=""/>
    <s v=""/>
  </r>
  <r>
    <n v="1742"/>
    <x v="217"/>
    <s v="Curry Me! Penang White Curry Stir-fry Noodle"/>
    <x v="0"/>
    <x v="17"/>
    <s v="Africa"/>
    <x v="17"/>
    <x v="0"/>
    <m/>
    <s v=""/>
    <s v=""/>
  </r>
  <r>
    <n v="1736"/>
    <x v="203"/>
    <s v="Monster Snek Mi Pedas"/>
    <x v="0"/>
    <x v="17"/>
    <s v="Africa"/>
    <x v="3"/>
    <x v="0"/>
    <m/>
    <s v=""/>
    <s v=""/>
  </r>
  <r>
    <n v="1732"/>
    <x v="216"/>
    <s v="Seafood Flavour Noodles"/>
    <x v="2"/>
    <x v="17"/>
    <s v="Africa"/>
    <x v="5"/>
    <x v="2"/>
    <m/>
    <s v=""/>
    <s v=""/>
  </r>
  <r>
    <n v="1722"/>
    <x v="204"/>
    <s v="Otentiq Cheezy Curry Instant Noodles"/>
    <x v="0"/>
    <x v="17"/>
    <s v="Africa"/>
    <x v="17"/>
    <x v="0"/>
    <m/>
    <s v=""/>
    <s v=""/>
  </r>
  <r>
    <n v="1720"/>
    <x v="203"/>
    <s v="Chef Lontong Flavour"/>
    <x v="2"/>
    <x v="17"/>
    <s v="Africa"/>
    <x v="3"/>
    <x v="0"/>
    <m/>
    <s v=""/>
    <s v=""/>
  </r>
  <r>
    <n v="1713"/>
    <x v="204"/>
    <s v="Otentiq Cheezy Mushroom Instant Noodles"/>
    <x v="0"/>
    <x v="17"/>
    <s v="Africa"/>
    <x v="3"/>
    <x v="0"/>
    <m/>
    <s v=""/>
    <s v=""/>
  </r>
  <r>
    <n v="1711"/>
    <x v="215"/>
    <s v="Vegetarian Penang Laksa"/>
    <x v="0"/>
    <x v="17"/>
    <s v="Africa"/>
    <x v="0"/>
    <x v="0"/>
    <m/>
    <s v=""/>
    <s v=""/>
  </r>
  <r>
    <n v="1706"/>
    <x v="186"/>
    <s v="Hot Cup Goreng Perencah Cili Fiesta"/>
    <x v="2"/>
    <x v="17"/>
    <s v="Africa"/>
    <x v="15"/>
    <x v="0"/>
    <m/>
    <s v=""/>
    <s v=""/>
  </r>
  <r>
    <n v="1705"/>
    <x v="218"/>
    <s v="Gold Bihun Kari Heritage Instant Rice Vermicelli"/>
    <x v="0"/>
    <x v="17"/>
    <s v="Africa"/>
    <x v="17"/>
    <x v="0"/>
    <m/>
    <s v=""/>
    <s v=""/>
  </r>
  <r>
    <n v="1699"/>
    <x v="214"/>
    <s v="Mi goreng Pedas Chewy &amp; springy"/>
    <x v="0"/>
    <x v="17"/>
    <s v="Africa"/>
    <x v="2"/>
    <x v="2"/>
    <m/>
    <s v=""/>
    <s v=""/>
  </r>
  <r>
    <n v="1680"/>
    <x v="217"/>
    <s v="Curry Me! Penang White Curry Soup Noodle"/>
    <x v="0"/>
    <x v="17"/>
    <s v="Africa"/>
    <x v="17"/>
    <x v="0"/>
    <m/>
    <s v=""/>
    <s v=""/>
  </r>
  <r>
    <n v="1676"/>
    <x v="210"/>
    <s v="Emporer Herbs Chicken Noodle"/>
    <x v="0"/>
    <x v="17"/>
    <s v="Africa"/>
    <x v="12"/>
    <x v="0"/>
    <m/>
    <s v=""/>
    <s v=""/>
  </r>
  <r>
    <n v="1671"/>
    <x v="219"/>
    <s v="Penang Favourite White Curry Rice Vermicelli"/>
    <x v="0"/>
    <x v="17"/>
    <s v="Africa"/>
    <x v="3"/>
    <x v="0"/>
    <m/>
    <s v=""/>
    <s v=""/>
  </r>
  <r>
    <n v="1664"/>
    <x v="203"/>
    <s v="Oriental Noodles Prawn Flavor"/>
    <x v="0"/>
    <x v="17"/>
    <s v="Africa"/>
    <x v="11"/>
    <x v="1"/>
    <m/>
    <s v=""/>
    <s v=""/>
  </r>
  <r>
    <n v="1654"/>
    <x v="211"/>
    <s v="Malaysia Penang White Curry Noodle Super Spicy"/>
    <x v="0"/>
    <x v="17"/>
    <s v="Africa"/>
    <x v="3"/>
    <x v="0"/>
    <m/>
    <s v=""/>
    <s v=""/>
  </r>
  <r>
    <n v="1653"/>
    <x v="211"/>
    <s v="Malaysia Penang Green Curry Rice Vermicelli"/>
    <x v="0"/>
    <x v="17"/>
    <s v="Africa"/>
    <x v="3"/>
    <x v="0"/>
    <m/>
    <s v=""/>
    <s v=""/>
  </r>
  <r>
    <n v="1652"/>
    <x v="211"/>
    <s v="Malaysia Penang White Curry Noodle Original"/>
    <x v="0"/>
    <x v="17"/>
    <s v="Africa"/>
    <x v="3"/>
    <x v="0"/>
    <m/>
    <s v=""/>
    <s v=""/>
  </r>
  <r>
    <n v="1651"/>
    <x v="92"/>
    <s v="Chicken Flavour Instant Noodles"/>
    <x v="0"/>
    <x v="17"/>
    <s v="Africa"/>
    <x v="10"/>
    <x v="2"/>
    <m/>
    <s v=""/>
    <s v=""/>
  </r>
  <r>
    <n v="1644"/>
    <x v="215"/>
    <s v="Vegetarian Penang Laksa Instant Bowl Noodles"/>
    <x v="1"/>
    <x v="17"/>
    <s v="Africa"/>
    <x v="11"/>
    <x v="1"/>
    <m/>
    <s v=""/>
    <s v=""/>
  </r>
  <r>
    <n v="1639"/>
    <x v="213"/>
    <s v="Bihun Creamy Tom Yam Flavour"/>
    <x v="2"/>
    <x v="17"/>
    <s v="Africa"/>
    <x v="10"/>
    <x v="2"/>
    <m/>
    <s v=""/>
    <s v=""/>
  </r>
  <r>
    <n v="1632"/>
    <x v="207"/>
    <s v="Mi Segera Mmm... Perisa Kari"/>
    <x v="0"/>
    <x v="17"/>
    <s v="Africa"/>
    <x v="4"/>
    <x v="2"/>
    <m/>
    <s v=""/>
    <s v=""/>
  </r>
  <r>
    <n v="1629"/>
    <x v="215"/>
    <s v="Penang Laksa Instant Bowl Noodles"/>
    <x v="1"/>
    <x v="17"/>
    <s v="Africa"/>
    <x v="2"/>
    <x v="2"/>
    <m/>
    <s v=""/>
    <s v=""/>
  </r>
  <r>
    <n v="1623"/>
    <x v="184"/>
    <s v="Penang White Curry Noodle (New Improved Tatse)"/>
    <x v="0"/>
    <x v="17"/>
    <s v="Africa"/>
    <x v="3"/>
    <x v="0"/>
    <m/>
    <s v=""/>
    <s v=""/>
  </r>
  <r>
    <n v="1620"/>
    <x v="218"/>
    <s v="Gold Penang Asam Laksa Bihun"/>
    <x v="0"/>
    <x v="17"/>
    <s v="Africa"/>
    <x v="5"/>
    <x v="2"/>
    <m/>
    <s v=""/>
    <s v=""/>
  </r>
  <r>
    <n v="1614"/>
    <x v="220"/>
    <s v="Penang White Curry Noodle"/>
    <x v="0"/>
    <x v="17"/>
    <s v="Africa"/>
    <x v="3"/>
    <x v="0"/>
    <m/>
    <s v=""/>
    <s v=""/>
  </r>
  <r>
    <n v="1608"/>
    <x v="215"/>
    <s v="Penang Vegetarian Prawn Instant Noodles"/>
    <x v="0"/>
    <x v="17"/>
    <s v="Africa"/>
    <x v="17"/>
    <x v="0"/>
    <m/>
    <s v=""/>
    <s v=""/>
  </r>
  <r>
    <n v="1606"/>
    <x v="186"/>
    <s v="Perencah Kari Letup Mi Segera"/>
    <x v="0"/>
    <x v="17"/>
    <s v="Africa"/>
    <x v="0"/>
    <x v="0"/>
    <m/>
    <s v=""/>
    <s v=""/>
  </r>
  <r>
    <n v="1596"/>
    <x v="221"/>
    <s v="White Curry Noodle More Spicy"/>
    <x v="0"/>
    <x v="17"/>
    <s v="Africa"/>
    <x v="4"/>
    <x v="2"/>
    <m/>
    <s v=""/>
    <s v=""/>
  </r>
  <r>
    <n v="1591"/>
    <x v="222"/>
    <s v="Perisa Sayuran"/>
    <x v="0"/>
    <x v="17"/>
    <s v="Africa"/>
    <x v="2"/>
    <x v="2"/>
    <m/>
    <s v=""/>
    <s v=""/>
  </r>
  <r>
    <n v="1590"/>
    <x v="222"/>
    <s v="Perisa Kari Sayuran"/>
    <x v="0"/>
    <x v="17"/>
    <s v="Africa"/>
    <x v="10"/>
    <x v="2"/>
    <m/>
    <s v=""/>
    <s v=""/>
  </r>
  <r>
    <n v="1589"/>
    <x v="223"/>
    <s v="Mi Perencah Ayam Jagung"/>
    <x v="0"/>
    <x v="17"/>
    <s v="Africa"/>
    <x v="10"/>
    <x v="2"/>
    <m/>
    <s v=""/>
    <s v=""/>
  </r>
  <r>
    <n v="1588"/>
    <x v="222"/>
    <s v="Perisa Bayam"/>
    <x v="0"/>
    <x v="17"/>
    <s v="Africa"/>
    <x v="2"/>
    <x v="2"/>
    <m/>
    <s v=""/>
    <s v=""/>
  </r>
  <r>
    <n v="1587"/>
    <x v="222"/>
    <s v="Plain Noodles"/>
    <x v="0"/>
    <x v="17"/>
    <s v="Africa"/>
    <x v="35"/>
    <x v="3"/>
    <m/>
    <s v=""/>
    <s v=""/>
  </r>
  <r>
    <n v="1586"/>
    <x v="224"/>
    <s v="Snek Mi Perisa Ayam"/>
    <x v="0"/>
    <x v="17"/>
    <s v="Africa"/>
    <x v="10"/>
    <x v="2"/>
    <m/>
    <s v=""/>
    <s v=""/>
  </r>
  <r>
    <n v="1584"/>
    <x v="223"/>
    <s v="Mi Perencah Asam Pedas"/>
    <x v="0"/>
    <x v="17"/>
    <s v="Africa"/>
    <x v="10"/>
    <x v="2"/>
    <m/>
    <s v=""/>
    <s v=""/>
  </r>
  <r>
    <n v="1583"/>
    <x v="224"/>
    <s v="Snek Mi Perisa BBQ"/>
    <x v="0"/>
    <x v="17"/>
    <s v="Africa"/>
    <x v="0"/>
    <x v="0"/>
    <m/>
    <s v=""/>
    <s v=""/>
  </r>
  <r>
    <n v="1582"/>
    <x v="222"/>
    <s v="Perisa Kari / Curry Flavour"/>
    <x v="0"/>
    <x v="17"/>
    <s v="Africa"/>
    <x v="0"/>
    <x v="0"/>
    <m/>
    <s v=""/>
    <s v=""/>
  </r>
  <r>
    <n v="1579"/>
    <x v="225"/>
    <s v="Penang Authentic White Curry Noodle"/>
    <x v="0"/>
    <x v="17"/>
    <s v="Africa"/>
    <x v="0"/>
    <x v="0"/>
    <m/>
    <s v=""/>
    <s v=""/>
  </r>
  <r>
    <n v="1573"/>
    <x v="215"/>
    <s v="Penang White Curry Instant Bowl Noodles"/>
    <x v="1"/>
    <x v="17"/>
    <s v="Africa"/>
    <x v="15"/>
    <x v="0"/>
    <m/>
    <s v=""/>
    <s v=""/>
  </r>
  <r>
    <n v="1571"/>
    <x v="226"/>
    <s v="Choice Instant Noodles Curry Flavour"/>
    <x v="0"/>
    <x v="17"/>
    <s v="Africa"/>
    <x v="2"/>
    <x v="2"/>
    <m/>
    <s v=""/>
    <s v=""/>
  </r>
  <r>
    <n v="1569"/>
    <x v="186"/>
    <s v="Mi Goreng Perencah Kari Ori"/>
    <x v="0"/>
    <x v="17"/>
    <s v="Africa"/>
    <x v="0"/>
    <x v="0"/>
    <m/>
    <s v=""/>
    <s v=""/>
  </r>
  <r>
    <n v="1561"/>
    <x v="221"/>
    <s v="White Curry Noodle"/>
    <x v="0"/>
    <x v="17"/>
    <s v="Africa"/>
    <x v="17"/>
    <x v="0"/>
    <m/>
    <s v=""/>
    <s v=""/>
  </r>
  <r>
    <n v="1557"/>
    <x v="215"/>
    <s v="Penang Laksa "/>
    <x v="0"/>
    <x v="17"/>
    <s v="Africa"/>
    <x v="2"/>
    <x v="2"/>
    <m/>
    <s v=""/>
    <s v=""/>
  </r>
  <r>
    <n v="1553"/>
    <x v="203"/>
    <s v="Mi Segera Perisa Itik"/>
    <x v="0"/>
    <x v="17"/>
    <s v="Africa"/>
    <x v="10"/>
    <x v="2"/>
    <m/>
    <s v=""/>
    <s v=""/>
  </r>
  <r>
    <n v="1550"/>
    <x v="212"/>
    <s v="Penang White CurryMee"/>
    <x v="0"/>
    <x v="17"/>
    <s v="Africa"/>
    <x v="3"/>
    <x v="0"/>
    <m/>
    <s v=""/>
    <s v=""/>
  </r>
  <r>
    <n v="1545"/>
    <x v="227"/>
    <s v="Penang Asam Pedas Hot &amp; Sour Noodle"/>
    <x v="0"/>
    <x v="17"/>
    <s v="Africa"/>
    <x v="3"/>
    <x v="0"/>
    <m/>
    <s v=""/>
    <s v=""/>
  </r>
  <r>
    <n v="1534"/>
    <x v="214"/>
    <s v="Seafood Instant Noodles"/>
    <x v="0"/>
    <x v="17"/>
    <s v="Africa"/>
    <x v="10"/>
    <x v="2"/>
    <m/>
    <s v=""/>
    <s v=""/>
  </r>
  <r>
    <n v="1525"/>
    <x v="213"/>
    <s v="Instant Kua Teow Tom Yam"/>
    <x v="2"/>
    <x v="17"/>
    <s v="Africa"/>
    <x v="10"/>
    <x v="2"/>
    <m/>
    <s v=""/>
    <s v=""/>
  </r>
  <r>
    <n v="1518"/>
    <x v="203"/>
    <s v="Chef Gold Recipe Bihun Kari Seribu Rasa"/>
    <x v="0"/>
    <x v="17"/>
    <s v="Africa"/>
    <x v="17"/>
    <x v="0"/>
    <m/>
    <s v=""/>
    <s v=""/>
  </r>
  <r>
    <n v="1514"/>
    <x v="186"/>
    <s v="Royale Penang Seafood Curry"/>
    <x v="0"/>
    <x v="17"/>
    <s v="Africa"/>
    <x v="17"/>
    <x v="0"/>
    <m/>
    <s v=""/>
    <s v=""/>
  </r>
  <r>
    <n v="1495"/>
    <x v="216"/>
    <s v="Instant Noodles Mee Goreng"/>
    <x v="2"/>
    <x v="17"/>
    <s v="Africa"/>
    <x v="10"/>
    <x v="2"/>
    <m/>
    <s v=""/>
    <s v=""/>
  </r>
  <r>
    <n v="1484"/>
    <x v="212"/>
    <s v="Mee Baa..Gus Mi Goreng Spicier Original Flavour"/>
    <x v="0"/>
    <x v="17"/>
    <s v="Africa"/>
    <x v="10"/>
    <x v="2"/>
    <m/>
    <s v=""/>
    <s v=""/>
  </r>
  <r>
    <n v="1464"/>
    <x v="227"/>
    <s v="Penang White curry Noodle With Nanyang Chilli Paste"/>
    <x v="0"/>
    <x v="17"/>
    <s v="Africa"/>
    <x v="15"/>
    <x v="0"/>
    <m/>
    <s v=""/>
    <s v=""/>
  </r>
  <r>
    <n v="1445"/>
    <x v="184"/>
    <s v="Penang Hokkien Prawn Noodle"/>
    <x v="0"/>
    <x v="17"/>
    <s v="Africa"/>
    <x v="3"/>
    <x v="0"/>
    <m/>
    <s v=""/>
    <s v=""/>
  </r>
  <r>
    <n v="1439"/>
    <x v="228"/>
    <s v="Mi Segera Mi Goreng Pedas Instant Noodles"/>
    <x v="0"/>
    <x v="17"/>
    <s v="Africa"/>
    <x v="2"/>
    <x v="2"/>
    <m/>
    <s v=""/>
    <s v=""/>
  </r>
  <r>
    <n v="1434"/>
    <x v="186"/>
    <s v="Hot Cup Perisa Kari"/>
    <x v="2"/>
    <x v="17"/>
    <s v="Africa"/>
    <x v="2"/>
    <x v="2"/>
    <m/>
    <s v=""/>
    <s v=""/>
  </r>
  <r>
    <n v="1425"/>
    <x v="215"/>
    <s v="Instant Penang White Curry Noodles"/>
    <x v="0"/>
    <x v="17"/>
    <s v="Africa"/>
    <x v="17"/>
    <x v="0"/>
    <m/>
    <s v=""/>
    <s v=""/>
  </r>
  <r>
    <n v="1410"/>
    <x v="228"/>
    <s v="Mi Segera Tom Yam Instant Noodles"/>
    <x v="0"/>
    <x v="17"/>
    <s v="Africa"/>
    <x v="5"/>
    <x v="2"/>
    <m/>
    <s v=""/>
    <s v=""/>
  </r>
  <r>
    <n v="1393"/>
    <x v="229"/>
    <s v="Sajimee Curry Soup Flavour"/>
    <x v="0"/>
    <x v="17"/>
    <s v="Africa"/>
    <x v="12"/>
    <x v="0"/>
    <m/>
    <s v=""/>
    <s v=""/>
  </r>
  <r>
    <n v="1362"/>
    <x v="203"/>
    <s v="Instant Noodles Curry Flavour"/>
    <x v="0"/>
    <x v="17"/>
    <s v="Africa"/>
    <x v="2"/>
    <x v="2"/>
    <m/>
    <s v=""/>
    <s v=""/>
  </r>
  <r>
    <n v="1361"/>
    <x v="203"/>
    <s v="Chef Creamy Tom Yam Flavour"/>
    <x v="0"/>
    <x v="17"/>
    <s v="Africa"/>
    <x v="3"/>
    <x v="0"/>
    <m/>
    <s v=""/>
    <s v=""/>
  </r>
  <r>
    <n v="1360"/>
    <x v="203"/>
    <s v="Monster BBQ Flavour Snack Noodles"/>
    <x v="0"/>
    <x v="17"/>
    <s v="Africa"/>
    <x v="10"/>
    <x v="2"/>
    <m/>
    <s v=""/>
    <s v=""/>
  </r>
  <r>
    <n v="1359"/>
    <x v="203"/>
    <s v="Chef Curry Laksa Flavour"/>
    <x v="2"/>
    <x v="17"/>
    <s v="Africa"/>
    <x v="3"/>
    <x v="0"/>
    <m/>
    <s v=""/>
    <s v=""/>
  </r>
  <r>
    <n v="1358"/>
    <x v="203"/>
    <s v="SLLRRRP! Asam Laksa"/>
    <x v="0"/>
    <x v="17"/>
    <s v="Africa"/>
    <x v="0"/>
    <x v="0"/>
    <m/>
    <s v=""/>
    <s v=""/>
  </r>
  <r>
    <n v="1357"/>
    <x v="203"/>
    <s v="Mie Goreng Indonesia Spicy Sambal"/>
    <x v="2"/>
    <x v="17"/>
    <s v="Africa"/>
    <x v="3"/>
    <x v="0"/>
    <m/>
    <s v=""/>
    <s v=""/>
  </r>
  <r>
    <n v="1356"/>
    <x v="203"/>
    <s v="Chef Spicy Chicken Shiitake Flavour"/>
    <x v="0"/>
    <x v="17"/>
    <s v="Africa"/>
    <x v="5"/>
    <x v="2"/>
    <m/>
    <s v=""/>
    <s v=""/>
  </r>
  <r>
    <n v="1355"/>
    <x v="203"/>
    <s v="Instant Vermicelli Chicken Flavour"/>
    <x v="0"/>
    <x v="17"/>
    <s v="Africa"/>
    <x v="5"/>
    <x v="2"/>
    <m/>
    <s v=""/>
    <s v=""/>
  </r>
  <r>
    <n v="1354"/>
    <x v="203"/>
    <s v="Chef Creamy Tom Yam Flavour"/>
    <x v="2"/>
    <x v="17"/>
    <s v="Africa"/>
    <x v="15"/>
    <x v="0"/>
    <m/>
    <s v=""/>
    <s v=""/>
  </r>
  <r>
    <n v="1353"/>
    <x v="203"/>
    <s v="Instant Noodles Vegetarian Flavour"/>
    <x v="0"/>
    <x v="17"/>
    <s v="Africa"/>
    <x v="10"/>
    <x v="2"/>
    <m/>
    <s v=""/>
    <s v=""/>
  </r>
  <r>
    <n v="1352"/>
    <x v="203"/>
    <s v="SLLRRRP! Kari Berapi"/>
    <x v="0"/>
    <x v="17"/>
    <s v="Africa"/>
    <x v="10"/>
    <x v="2"/>
    <m/>
    <s v=""/>
    <s v=""/>
  </r>
  <r>
    <n v="1351"/>
    <x v="203"/>
    <s v="Monster Chicken Flavour Snack Noodles"/>
    <x v="0"/>
    <x v="17"/>
    <s v="Africa"/>
    <x v="0"/>
    <x v="0"/>
    <m/>
    <s v=""/>
    <s v=""/>
  </r>
  <r>
    <n v="1349"/>
    <x v="203"/>
    <s v="Mie Goreng Indonesia Original Flavour"/>
    <x v="2"/>
    <x v="17"/>
    <s v="Africa"/>
    <x v="17"/>
    <x v="0"/>
    <m/>
    <s v=""/>
    <s v=""/>
  </r>
  <r>
    <n v="1348"/>
    <x v="203"/>
    <s v="Instant Vermicelli Tom Yam Flavour"/>
    <x v="0"/>
    <x v="17"/>
    <s v="Africa"/>
    <x v="10"/>
    <x v="2"/>
    <m/>
    <s v=""/>
    <s v=""/>
  </r>
  <r>
    <n v="1342"/>
    <x v="219"/>
    <s v="White Curry Noodle"/>
    <x v="0"/>
    <x v="17"/>
    <s v="Africa"/>
    <x v="17"/>
    <x v="0"/>
    <m/>
    <s v=""/>
    <s v=""/>
  </r>
  <r>
    <n v="1326"/>
    <x v="203"/>
    <s v="Mi Segera SLLRRRP! Perencah Kari Xtra Pedas"/>
    <x v="0"/>
    <x v="17"/>
    <s v="Africa"/>
    <x v="10"/>
    <x v="2"/>
    <m/>
    <s v=""/>
    <s v=""/>
  </r>
  <r>
    <n v="1319"/>
    <x v="228"/>
    <s v="Mi Segera Kari Ayam Instant Noodles"/>
    <x v="0"/>
    <x v="17"/>
    <s v="Africa"/>
    <x v="12"/>
    <x v="0"/>
    <m/>
    <s v=""/>
    <s v=""/>
  </r>
  <r>
    <n v="1276"/>
    <x v="228"/>
    <s v="Mi Bandung Prawn Mee"/>
    <x v="0"/>
    <x v="17"/>
    <s v="Africa"/>
    <x v="12"/>
    <x v="0"/>
    <m/>
    <s v=""/>
    <s v=""/>
  </r>
  <r>
    <n v="1240"/>
    <x v="186"/>
    <s v="Big Kari Perencah (Big Curry Flavor) 2 Minute Noodles"/>
    <x v="0"/>
    <x v="17"/>
    <s v="Africa"/>
    <x v="0"/>
    <x v="0"/>
    <m/>
    <s v=""/>
    <s v=""/>
  </r>
  <r>
    <n v="1230"/>
    <x v="229"/>
    <s v="Sajimee Original Soto Soup Flavor"/>
    <x v="0"/>
    <x v="17"/>
    <s v="Africa"/>
    <x v="0"/>
    <x v="0"/>
    <m/>
    <s v=""/>
    <s v=""/>
  </r>
  <r>
    <n v="1223"/>
    <x v="75"/>
    <s v="Instant Noodles Prawn Oriental Flavour"/>
    <x v="0"/>
    <x v="17"/>
    <s v="Africa"/>
    <x v="6"/>
    <x v="1"/>
    <m/>
    <s v=""/>
    <s v=""/>
  </r>
  <r>
    <n v="1195"/>
    <x v="75"/>
    <s v="Instant Noodles Spicy Tomato Flavour"/>
    <x v="0"/>
    <x v="17"/>
    <s v="Africa"/>
    <x v="6"/>
    <x v="1"/>
    <m/>
    <s v=""/>
    <s v=""/>
  </r>
  <r>
    <n v="1059"/>
    <x v="203"/>
    <s v="Oriental Noodles Curry Flavour"/>
    <x v="0"/>
    <x v="17"/>
    <s v="Africa"/>
    <x v="5"/>
    <x v="2"/>
    <m/>
    <s v=""/>
    <s v=""/>
  </r>
  <r>
    <n v="926"/>
    <x v="212"/>
    <s v="VegeMee Vegetarian Flavour"/>
    <x v="0"/>
    <x v="17"/>
    <s v="Africa"/>
    <x v="9"/>
    <x v="2"/>
    <m/>
    <s v=""/>
    <s v=""/>
  </r>
  <r>
    <n v="923"/>
    <x v="212"/>
    <s v="LadMee Hot Pepper"/>
    <x v="0"/>
    <x v="17"/>
    <s v="Africa"/>
    <x v="2"/>
    <x v="2"/>
    <m/>
    <s v=""/>
    <s v=""/>
  </r>
  <r>
    <n v="906"/>
    <x v="230"/>
    <s v="Kari 365 Curry Flavour"/>
    <x v="0"/>
    <x v="17"/>
    <s v="Africa"/>
    <x v="3"/>
    <x v="0"/>
    <m/>
    <s v=""/>
    <s v=""/>
  </r>
  <r>
    <n v="844"/>
    <x v="186"/>
    <s v="2 Minute Noodles Perencah Asam Laksa"/>
    <x v="0"/>
    <x v="17"/>
    <s v="Africa"/>
    <x v="0"/>
    <x v="0"/>
    <m/>
    <s v=""/>
    <s v=""/>
  </r>
  <r>
    <n v="778"/>
    <x v="203"/>
    <s v="Express Cup Curry"/>
    <x v="2"/>
    <x v="17"/>
    <s v="Africa"/>
    <x v="6"/>
    <x v="1"/>
    <m/>
    <s v=""/>
    <s v=""/>
  </r>
  <r>
    <n v="743"/>
    <x v="203"/>
    <s v="Express Cup Tom Yum"/>
    <x v="2"/>
    <x v="17"/>
    <s v="Africa"/>
    <x v="10"/>
    <x v="2"/>
    <m/>
    <s v=""/>
    <s v=""/>
  </r>
  <r>
    <n v="691"/>
    <x v="203"/>
    <s v="Express Cup Vegetarian"/>
    <x v="2"/>
    <x v="17"/>
    <s v="Africa"/>
    <x v="11"/>
    <x v="1"/>
    <m/>
    <s v=""/>
    <s v=""/>
  </r>
  <r>
    <n v="679"/>
    <x v="203"/>
    <s v="Express Cup Fried Onion Chicken"/>
    <x v="2"/>
    <x v="17"/>
    <s v="Africa"/>
    <x v="5"/>
    <x v="2"/>
    <m/>
    <s v=""/>
    <s v=""/>
  </r>
  <r>
    <n v="457"/>
    <x v="212"/>
    <s v="Harmee Mee goreng Prawn"/>
    <x v="0"/>
    <x v="17"/>
    <s v="Africa"/>
    <x v="17"/>
    <x v="0"/>
    <m/>
    <s v=""/>
    <s v=""/>
  </r>
  <r>
    <n v="405"/>
    <x v="212"/>
    <s v="Harmee Prawn"/>
    <x v="0"/>
    <x v="17"/>
    <s v="Africa"/>
    <x v="5"/>
    <x v="2"/>
    <m/>
    <s v=""/>
    <s v=""/>
  </r>
  <r>
    <n v="190"/>
    <x v="186"/>
    <s v="Perencah Tom Yam"/>
    <x v="0"/>
    <x v="17"/>
    <s v="Africa"/>
    <x v="39"/>
    <x v="2"/>
    <m/>
    <s v=""/>
    <s v=""/>
  </r>
  <r>
    <n v="1521"/>
    <x v="34"/>
    <s v="Gotsumori Sauce Yakisoba"/>
    <x v="3"/>
    <x v="18"/>
    <s v="Asia"/>
    <x v="3"/>
    <x v="0"/>
    <s v="2015 #9"/>
    <s v="2015"/>
    <s v="9"/>
  </r>
  <r>
    <n v="391"/>
    <x v="25"/>
    <s v="Hyoubanya No Chukasoba Oriental"/>
    <x v="0"/>
    <x v="18"/>
    <s v="Asia"/>
    <x v="12"/>
    <x v="0"/>
    <s v="2012 #6"/>
    <s v="2012"/>
    <s v="6"/>
  </r>
  <r>
    <n v="31"/>
    <x v="25"/>
    <s v="Ippeichan Yakisoba"/>
    <x v="3"/>
    <x v="18"/>
    <s v="Asia"/>
    <x v="0"/>
    <x v="0"/>
    <s v="2013 #6"/>
    <s v="2013"/>
    <s v="6"/>
  </r>
  <r>
    <n v="1330"/>
    <x v="40"/>
    <s v="Otafuku Okonomi Sauce Yakisoba"/>
    <x v="3"/>
    <x v="18"/>
    <s v="Asia"/>
    <x v="3"/>
    <x v="0"/>
    <s v="2014 #4"/>
    <s v="2014"/>
    <s v="4"/>
  </r>
  <r>
    <n v="13"/>
    <x v="40"/>
    <s v="Chow Mein"/>
    <x v="0"/>
    <x v="18"/>
    <s v="Asia"/>
    <x v="3"/>
    <x v="0"/>
    <s v="2012 #4"/>
    <s v="2012"/>
    <s v="4"/>
  </r>
  <r>
    <n v="392"/>
    <x v="20"/>
    <s v="Yakisoba Noodles Karashi"/>
    <x v="3"/>
    <x v="18"/>
    <s v="Asia"/>
    <x v="3"/>
    <x v="0"/>
    <s v="2012 #3"/>
    <s v="2012"/>
    <s v="3"/>
  </r>
  <r>
    <n v="2580"/>
    <x v="231"/>
    <s v="T's Restaurant Tantanmen "/>
    <x v="2"/>
    <x v="18"/>
    <s v="Asia"/>
    <x v="10"/>
    <x v="2"/>
    <m/>
    <s v=""/>
    <s v=""/>
  </r>
  <r>
    <n v="2574"/>
    <x v="4"/>
    <s v="Spice Deli Tantan Men With Cilantro"/>
    <x v="2"/>
    <x v="18"/>
    <s v="Asia"/>
    <x v="0"/>
    <x v="0"/>
    <m/>
    <s v=""/>
    <s v=""/>
  </r>
  <r>
    <n v="2573"/>
    <x v="232"/>
    <s v="Nabeyaki Kitsune Udon"/>
    <x v="3"/>
    <x v="18"/>
    <s v="Asia"/>
    <x v="10"/>
    <x v="2"/>
    <m/>
    <s v=""/>
    <s v=""/>
  </r>
  <r>
    <n v="2572"/>
    <x v="233"/>
    <s v="Hokkaido Soy Sauce Ramen"/>
    <x v="0"/>
    <x v="18"/>
    <s v="Asia"/>
    <x v="20"/>
    <x v="1"/>
    <m/>
    <s v=""/>
    <s v=""/>
  </r>
  <r>
    <n v="2567"/>
    <x v="20"/>
    <s v="Deka Buto Kimchi Pork Flavor"/>
    <x v="1"/>
    <x v="18"/>
    <s v="Asia"/>
    <x v="17"/>
    <x v="0"/>
    <m/>
    <s v=""/>
    <s v=""/>
  </r>
  <r>
    <n v="2553"/>
    <x v="20"/>
    <s v="Hakata Ramen Noodle White Tonkotsu"/>
    <x v="1"/>
    <x v="18"/>
    <s v="Asia"/>
    <x v="15"/>
    <x v="0"/>
    <m/>
    <s v=""/>
    <s v=""/>
  </r>
  <r>
    <n v="2546"/>
    <x v="231"/>
    <s v="Sugo-Men Kyoto Backfat Shoyu Ramen"/>
    <x v="1"/>
    <x v="18"/>
    <s v="Asia"/>
    <x v="10"/>
    <x v="2"/>
    <m/>
    <s v=""/>
    <s v=""/>
  </r>
  <r>
    <n v="2542"/>
    <x v="4"/>
    <s v="Super Cup Yochan Ika Yakisoba"/>
    <x v="3"/>
    <x v="18"/>
    <s v="Asia"/>
    <x v="8"/>
    <x v="1"/>
    <m/>
    <s v=""/>
    <s v=""/>
  </r>
  <r>
    <n v="2534"/>
    <x v="234"/>
    <s v="Hokkaido Hakodate Shoyu Ramen"/>
    <x v="0"/>
    <x v="18"/>
    <s v="Asia"/>
    <x v="0"/>
    <x v="0"/>
    <m/>
    <s v=""/>
    <s v=""/>
  </r>
  <r>
    <n v="2532"/>
    <x v="20"/>
    <s v="Nippon Onomichi Ramen"/>
    <x v="1"/>
    <x v="18"/>
    <s v="Asia"/>
    <x v="15"/>
    <x v="0"/>
    <m/>
    <s v=""/>
    <s v=""/>
  </r>
  <r>
    <n v="2529"/>
    <x v="34"/>
    <s v="Gotsumori Chanpon Ramen"/>
    <x v="1"/>
    <x v="18"/>
    <s v="Asia"/>
    <x v="17"/>
    <x v="0"/>
    <m/>
    <s v=""/>
    <s v=""/>
  </r>
  <r>
    <n v="2525"/>
    <x v="235"/>
    <s v="Curry Udon"/>
    <x v="0"/>
    <x v="18"/>
    <s v="Asia"/>
    <x v="2"/>
    <x v="2"/>
    <m/>
    <s v=""/>
    <s v=""/>
  </r>
  <r>
    <n v="2522"/>
    <x v="236"/>
    <s v="Hearty Japanese Style Curry Udon"/>
    <x v="0"/>
    <x v="18"/>
    <s v="Asia"/>
    <x v="3"/>
    <x v="0"/>
    <m/>
    <s v=""/>
    <s v=""/>
  </r>
  <r>
    <n v="2518"/>
    <x v="237"/>
    <s v="Umami Ramen"/>
    <x v="0"/>
    <x v="18"/>
    <s v="Asia"/>
    <x v="0"/>
    <x v="0"/>
    <m/>
    <s v=""/>
    <s v=""/>
  </r>
  <r>
    <n v="2517"/>
    <x v="232"/>
    <s v="Nabeyaki Tempura Udoin"/>
    <x v="1"/>
    <x v="18"/>
    <s v="Asia"/>
    <x v="17"/>
    <x v="0"/>
    <m/>
    <s v=""/>
    <s v=""/>
  </r>
  <r>
    <n v="2516"/>
    <x v="234"/>
    <s v="Hokkaido Hakodate Miso Ramen"/>
    <x v="0"/>
    <x v="18"/>
    <s v="Asia"/>
    <x v="2"/>
    <x v="2"/>
    <m/>
    <s v=""/>
    <s v=""/>
  </r>
  <r>
    <n v="2514"/>
    <x v="238"/>
    <s v="Kirin Giraffe Shoyu Ramen"/>
    <x v="0"/>
    <x v="18"/>
    <s v="Asia"/>
    <x v="17"/>
    <x v="0"/>
    <m/>
    <s v=""/>
    <s v=""/>
  </r>
  <r>
    <n v="2505"/>
    <x v="4"/>
    <s v="Super Cup Torigawa Shoyu"/>
    <x v="1"/>
    <x v="18"/>
    <s v="Asia"/>
    <x v="2"/>
    <x v="2"/>
    <m/>
    <s v=""/>
    <s v=""/>
  </r>
  <r>
    <n v="2480"/>
    <x v="4"/>
    <s v="Pork Wantan Men"/>
    <x v="1"/>
    <x v="18"/>
    <s v="Asia"/>
    <x v="12"/>
    <x v="0"/>
    <m/>
    <s v=""/>
    <s v=""/>
  </r>
  <r>
    <n v="2475"/>
    <x v="34"/>
    <s v="Seimen Red Spicy Dandan Men"/>
    <x v="1"/>
    <x v="18"/>
    <s v="Asia"/>
    <x v="15"/>
    <x v="0"/>
    <m/>
    <s v=""/>
    <s v=""/>
  </r>
  <r>
    <n v="2473"/>
    <x v="239"/>
    <s v="Mini Instant Noodle Mild Curry Flavor"/>
    <x v="0"/>
    <x v="18"/>
    <s v="Asia"/>
    <x v="11"/>
    <x v="1"/>
    <m/>
    <s v=""/>
    <s v=""/>
  </r>
  <r>
    <n v="2468"/>
    <x v="4"/>
    <s v="Dossari Yasai Chanpon"/>
    <x v="2"/>
    <x v="18"/>
    <s v="Asia"/>
    <x v="12"/>
    <x v="0"/>
    <m/>
    <s v=""/>
    <s v=""/>
  </r>
  <r>
    <n v="2461"/>
    <x v="234"/>
    <s v="Hokkaido Hakodate Shio Ramen"/>
    <x v="0"/>
    <x v="18"/>
    <s v="Asia"/>
    <x v="17"/>
    <x v="0"/>
    <m/>
    <s v=""/>
    <s v=""/>
  </r>
  <r>
    <n v="2459"/>
    <x v="20"/>
    <s v="Cup Noodles MUG Shoyu &amp; Seafood"/>
    <x v="0"/>
    <x v="18"/>
    <s v="Asia"/>
    <x v="2"/>
    <x v="2"/>
    <m/>
    <s v=""/>
    <s v=""/>
  </r>
  <r>
    <n v="2441"/>
    <x v="184"/>
    <s v="Penang Hokkien Prawn Flavor Noodle"/>
    <x v="4"/>
    <x v="18"/>
    <s v="Asia"/>
    <x v="3"/>
    <x v="0"/>
    <m/>
    <s v=""/>
    <s v=""/>
  </r>
  <r>
    <n v="2437"/>
    <x v="20"/>
    <s v="Raoh Nojyuku Toro Tonkotsu Ramen"/>
    <x v="1"/>
    <x v="18"/>
    <s v="Asia"/>
    <x v="17"/>
    <x v="0"/>
    <m/>
    <s v=""/>
    <s v=""/>
  </r>
  <r>
    <n v="2433"/>
    <x v="20"/>
    <s v="Cup Noodles Indonesia Mie Goreng"/>
    <x v="2"/>
    <x v="18"/>
    <s v="Asia"/>
    <x v="10"/>
    <x v="2"/>
    <m/>
    <s v=""/>
    <s v=""/>
  </r>
  <r>
    <n v="2429"/>
    <x v="231"/>
    <s v="T's Restaurant Sura Tanmen"/>
    <x v="2"/>
    <x v="18"/>
    <s v="Asia"/>
    <x v="0"/>
    <x v="0"/>
    <m/>
    <s v=""/>
    <s v=""/>
  </r>
  <r>
    <n v="2427"/>
    <x v="240"/>
    <s v="HALAL Chicken Shoyu Sauce Ramen"/>
    <x v="0"/>
    <x v="18"/>
    <s v="Asia"/>
    <x v="6"/>
    <x v="1"/>
    <m/>
    <s v=""/>
    <s v=""/>
  </r>
  <r>
    <n v="2419"/>
    <x v="184"/>
    <s v="Penang Red Tom Yum Goong"/>
    <x v="4"/>
    <x v="18"/>
    <s v="Asia"/>
    <x v="3"/>
    <x v="0"/>
    <m/>
    <s v=""/>
    <s v=""/>
  </r>
  <r>
    <n v="2418"/>
    <x v="25"/>
    <s v="Yomise No Yakisoba Karashi Mentaiko Flavor"/>
    <x v="3"/>
    <x v="18"/>
    <s v="Asia"/>
    <x v="17"/>
    <x v="0"/>
    <m/>
    <s v=""/>
    <s v=""/>
  </r>
  <r>
    <n v="2415"/>
    <x v="20"/>
    <s v="Kitsune Udon Donbei (West)"/>
    <x v="1"/>
    <x v="18"/>
    <s v="Asia"/>
    <x v="3"/>
    <x v="0"/>
    <m/>
    <s v=""/>
    <s v=""/>
  </r>
  <r>
    <n v="2393"/>
    <x v="233"/>
    <s v="Hokkaido Miso Ramen"/>
    <x v="0"/>
    <x v="18"/>
    <s v="Asia"/>
    <x v="4"/>
    <x v="2"/>
    <m/>
    <s v=""/>
    <s v=""/>
  </r>
  <r>
    <n v="2371"/>
    <x v="241"/>
    <s v="Tanuki Soba"/>
    <x v="2"/>
    <x v="18"/>
    <s v="Asia"/>
    <x v="2"/>
    <x v="2"/>
    <m/>
    <s v=""/>
    <s v=""/>
  </r>
  <r>
    <n v="2359"/>
    <x v="241"/>
    <s v="Kitsune Udon"/>
    <x v="2"/>
    <x v="18"/>
    <s v="Asia"/>
    <x v="11"/>
    <x v="1"/>
    <m/>
    <s v=""/>
    <s v=""/>
  </r>
  <r>
    <n v="2355"/>
    <x v="242"/>
    <s v="Nagasaki Agodashi Shoyu Ramen"/>
    <x v="0"/>
    <x v="18"/>
    <s v="Asia"/>
    <x v="0"/>
    <x v="0"/>
    <m/>
    <s v=""/>
    <s v=""/>
  </r>
  <r>
    <n v="2353"/>
    <x v="20"/>
    <s v="Cup Noodles Rich Garlic, Egg Yolk &amp; Oxtail"/>
    <x v="2"/>
    <x v="18"/>
    <s v="Asia"/>
    <x v="0"/>
    <x v="0"/>
    <m/>
    <s v=""/>
    <s v=""/>
  </r>
  <r>
    <n v="2348"/>
    <x v="233"/>
    <s v="Hokkaido Salt Ramen"/>
    <x v="0"/>
    <x v="18"/>
    <s v="Asia"/>
    <x v="4"/>
    <x v="2"/>
    <m/>
    <s v=""/>
    <s v=""/>
  </r>
  <r>
    <n v="2323"/>
    <x v="238"/>
    <s v="Kirin Giraffe Shio Ramen"/>
    <x v="0"/>
    <x v="18"/>
    <s v="Asia"/>
    <x v="3"/>
    <x v="0"/>
    <m/>
    <s v=""/>
    <s v=""/>
  </r>
  <r>
    <n v="2322"/>
    <x v="40"/>
    <s v="Mie Kamayama Ramen Gyukotsu Misoaji"/>
    <x v="1"/>
    <x v="18"/>
    <s v="Asia"/>
    <x v="4"/>
    <x v="2"/>
    <m/>
    <s v=""/>
    <s v=""/>
  </r>
  <r>
    <n v="2320"/>
    <x v="20"/>
    <s v="Nupasta Bolognese Flavour Instant Noodle"/>
    <x v="2"/>
    <x v="18"/>
    <s v="Asia"/>
    <x v="0"/>
    <x v="0"/>
    <m/>
    <s v=""/>
    <s v=""/>
  </r>
  <r>
    <n v="2316"/>
    <x v="20"/>
    <s v="Cup Noodle Spicy Curry Chicken"/>
    <x v="2"/>
    <x v="18"/>
    <s v="Asia"/>
    <x v="3"/>
    <x v="0"/>
    <m/>
    <s v=""/>
    <s v=""/>
  </r>
  <r>
    <n v="2305"/>
    <x v="240"/>
    <s v="Chicken Flavor Ramen"/>
    <x v="0"/>
    <x v="18"/>
    <s v="Asia"/>
    <x v="0"/>
    <x v="0"/>
    <m/>
    <s v=""/>
    <s v=""/>
  </r>
  <r>
    <n v="2302"/>
    <x v="20"/>
    <s v="Yakisoba"/>
    <x v="3"/>
    <x v="18"/>
    <s v="Asia"/>
    <x v="3"/>
    <x v="0"/>
    <m/>
    <s v=""/>
    <s v=""/>
  </r>
  <r>
    <n v="2294"/>
    <x v="40"/>
    <s v="Tabimen AizuKitakata Gyokai Shoyu Ramen"/>
    <x v="1"/>
    <x v="18"/>
    <s v="Asia"/>
    <x v="0"/>
    <x v="0"/>
    <m/>
    <s v=""/>
    <s v=""/>
  </r>
  <r>
    <n v="2289"/>
    <x v="25"/>
    <s v="Shin Toyama Black Ramen"/>
    <x v="1"/>
    <x v="18"/>
    <s v="Asia"/>
    <x v="0"/>
    <x v="0"/>
    <m/>
    <s v=""/>
    <s v=""/>
  </r>
  <r>
    <n v="2283"/>
    <x v="20"/>
    <s v="Raoh Pork Bone Soy Soup Noodle"/>
    <x v="0"/>
    <x v="18"/>
    <s v="Asia"/>
    <x v="3"/>
    <x v="0"/>
    <m/>
    <s v=""/>
    <s v=""/>
  </r>
  <r>
    <n v="2278"/>
    <x v="20"/>
    <s v="Raoh Tantanmen"/>
    <x v="0"/>
    <x v="18"/>
    <s v="Asia"/>
    <x v="3"/>
    <x v="0"/>
    <m/>
    <s v=""/>
    <s v=""/>
  </r>
  <r>
    <n v="2265"/>
    <x v="20"/>
    <s v="Cup Noodles Rich Soft Shelled Turle Soup"/>
    <x v="2"/>
    <x v="18"/>
    <s v="Asia"/>
    <x v="4"/>
    <x v="2"/>
    <m/>
    <s v=""/>
    <s v=""/>
  </r>
  <r>
    <n v="2261"/>
    <x v="243"/>
    <s v="Tohokuno Aji Yonezawa Ramen"/>
    <x v="1"/>
    <x v="18"/>
    <s v="Asia"/>
    <x v="0"/>
    <x v="0"/>
    <m/>
    <s v=""/>
    <s v=""/>
  </r>
  <r>
    <n v="2255"/>
    <x v="241"/>
    <s v="Hiroshima Flavor Yakisoba"/>
    <x v="3"/>
    <x v="18"/>
    <s v="Asia"/>
    <x v="3"/>
    <x v="0"/>
    <m/>
    <s v=""/>
    <s v=""/>
  </r>
  <r>
    <n v="2252"/>
    <x v="231"/>
    <s v="Sugomen Sano Ramen"/>
    <x v="1"/>
    <x v="18"/>
    <s v="Asia"/>
    <x v="3"/>
    <x v="0"/>
    <m/>
    <s v=""/>
    <s v=""/>
  </r>
  <r>
    <n v="2247"/>
    <x v="20"/>
    <s v="Sapporo Noukou Miso Ramen"/>
    <x v="1"/>
    <x v="18"/>
    <s v="Asia"/>
    <x v="3"/>
    <x v="0"/>
    <m/>
    <s v=""/>
    <s v=""/>
  </r>
  <r>
    <n v="2237"/>
    <x v="20"/>
    <s v="Cup Noodle Light+ Bagna Cauda"/>
    <x v="2"/>
    <x v="18"/>
    <s v="Asia"/>
    <x v="3"/>
    <x v="0"/>
    <m/>
    <s v=""/>
    <s v=""/>
  </r>
  <r>
    <n v="2236"/>
    <x v="34"/>
    <s v="Gotsumori Koku Tonkotsu Ramen"/>
    <x v="1"/>
    <x v="18"/>
    <s v="Asia"/>
    <x v="0"/>
    <x v="0"/>
    <m/>
    <s v=""/>
    <s v=""/>
  </r>
  <r>
    <n v="2232"/>
    <x v="20"/>
    <s v="Spicy Chikin Donburi"/>
    <x v="1"/>
    <x v="18"/>
    <s v="Asia"/>
    <x v="3"/>
    <x v="0"/>
    <m/>
    <s v=""/>
    <s v=""/>
  </r>
  <r>
    <n v="2230"/>
    <x v="242"/>
    <s v="Kuroma-Yu Tonkotsu Kumamoto Ramen"/>
    <x v="0"/>
    <x v="18"/>
    <s v="Asia"/>
    <x v="0"/>
    <x v="0"/>
    <m/>
    <s v=""/>
    <s v=""/>
  </r>
  <r>
    <n v="2228"/>
    <x v="20"/>
    <s v="Raoh Shoyu Ramen"/>
    <x v="1"/>
    <x v="18"/>
    <s v="Asia"/>
    <x v="3"/>
    <x v="0"/>
    <m/>
    <s v=""/>
    <s v=""/>
  </r>
  <r>
    <n v="2226"/>
    <x v="244"/>
    <s v="Hiyashi Soba Taidashi Goma"/>
    <x v="0"/>
    <x v="18"/>
    <s v="Asia"/>
    <x v="4"/>
    <x v="2"/>
    <m/>
    <s v=""/>
    <s v=""/>
  </r>
  <r>
    <n v="2221"/>
    <x v="20"/>
    <s v="Cup Noodle Seafood"/>
    <x v="2"/>
    <x v="18"/>
    <s v="Asia"/>
    <x v="3"/>
    <x v="0"/>
    <m/>
    <s v=""/>
    <s v=""/>
  </r>
  <r>
    <n v="2214"/>
    <x v="40"/>
    <s v="Tabimen Nagasaki Chanpon"/>
    <x v="1"/>
    <x v="18"/>
    <s v="Asia"/>
    <x v="0"/>
    <x v="0"/>
    <m/>
    <s v=""/>
    <s v=""/>
  </r>
  <r>
    <n v="2206"/>
    <x v="20"/>
    <s v="Deka Buto Kuro M-yu Tonkotsu"/>
    <x v="1"/>
    <x v="18"/>
    <s v="Asia"/>
    <x v="3"/>
    <x v="0"/>
    <m/>
    <s v=""/>
    <s v=""/>
  </r>
  <r>
    <n v="2195"/>
    <x v="20"/>
    <s v="Gyorai Inaniwa Chuka Soba"/>
    <x v="1"/>
    <x v="18"/>
    <s v="Asia"/>
    <x v="3"/>
    <x v="0"/>
    <m/>
    <s v=""/>
    <s v=""/>
  </r>
  <r>
    <n v="2190"/>
    <x v="25"/>
    <s v="Barikata Noukou Tonkotsu Shoyu"/>
    <x v="1"/>
    <x v="18"/>
    <s v="Asia"/>
    <x v="15"/>
    <x v="0"/>
    <m/>
    <s v=""/>
    <s v=""/>
  </r>
  <r>
    <n v="2185"/>
    <x v="20"/>
    <s v="Raoh Hot &amp; Sour Ramen"/>
    <x v="0"/>
    <x v="18"/>
    <s v="Asia"/>
    <x v="3"/>
    <x v="0"/>
    <m/>
    <s v=""/>
    <s v=""/>
  </r>
  <r>
    <n v="2163"/>
    <x v="20"/>
    <s v="Piritto Karakuchi Tantan Udon"/>
    <x v="1"/>
    <x v="18"/>
    <s v="Asia"/>
    <x v="0"/>
    <x v="0"/>
    <m/>
    <s v=""/>
    <s v=""/>
  </r>
  <r>
    <n v="2160"/>
    <x v="245"/>
    <s v="Japanese Yakisoba Umami Sauce"/>
    <x v="1"/>
    <x v="18"/>
    <s v="Asia"/>
    <x v="3"/>
    <x v="0"/>
    <m/>
    <s v=""/>
    <s v=""/>
  </r>
  <r>
    <n v="2146"/>
    <x v="40"/>
    <s v="Kun Ramen Sumo-kuchikin (Smoked Chicken)"/>
    <x v="1"/>
    <x v="18"/>
    <s v="Asia"/>
    <x v="4"/>
    <x v="2"/>
    <m/>
    <s v=""/>
    <s v=""/>
  </r>
  <r>
    <n v="2141"/>
    <x v="20"/>
    <s v="Men Shokunin Kaoruyasai Shio"/>
    <x v="1"/>
    <x v="18"/>
    <s v="Asia"/>
    <x v="3"/>
    <x v="0"/>
    <m/>
    <s v=""/>
    <s v=""/>
  </r>
  <r>
    <n v="2133"/>
    <x v="20"/>
    <s v="Kimchi Chikin Ramen Donburi"/>
    <x v="1"/>
    <x v="18"/>
    <s v="Asia"/>
    <x v="3"/>
    <x v="0"/>
    <m/>
    <s v=""/>
    <s v=""/>
  </r>
  <r>
    <n v="2128"/>
    <x v="40"/>
    <s v="Taimeiken Yousyoku Yasangatsukutta Omumen"/>
    <x v="2"/>
    <x v="18"/>
    <s v="Asia"/>
    <x v="0"/>
    <x v="0"/>
    <m/>
    <s v=""/>
    <s v=""/>
  </r>
  <r>
    <n v="2126"/>
    <x v="20"/>
    <s v="Mennippon Oumi Chanpon"/>
    <x v="1"/>
    <x v="18"/>
    <s v="Asia"/>
    <x v="3"/>
    <x v="0"/>
    <m/>
    <s v=""/>
    <s v=""/>
  </r>
  <r>
    <n v="2106"/>
    <x v="246"/>
    <s v="Onion Flavor Shoyu Ramen"/>
    <x v="0"/>
    <x v="18"/>
    <s v="Asia"/>
    <x v="2"/>
    <x v="2"/>
    <m/>
    <s v=""/>
    <s v=""/>
  </r>
  <r>
    <n v="2102"/>
    <x v="20"/>
    <s v="Cup Noodles Singapore Laksa"/>
    <x v="2"/>
    <x v="18"/>
    <s v="Asia"/>
    <x v="3"/>
    <x v="0"/>
    <m/>
    <s v=""/>
    <s v=""/>
  </r>
  <r>
    <n v="2099"/>
    <x v="247"/>
    <s v="Yakibuta Ramen"/>
    <x v="1"/>
    <x v="18"/>
    <s v="Asia"/>
    <x v="0"/>
    <x v="0"/>
    <m/>
    <s v=""/>
    <s v=""/>
  </r>
  <r>
    <n v="2096"/>
    <x v="34"/>
    <s v="Seimen Noukou Toro Tonkotsu"/>
    <x v="1"/>
    <x v="18"/>
    <s v="Asia"/>
    <x v="0"/>
    <x v="0"/>
    <m/>
    <s v=""/>
    <s v=""/>
  </r>
  <r>
    <n v="2070"/>
    <x v="248"/>
    <s v="Negi Ramen"/>
    <x v="1"/>
    <x v="18"/>
    <s v="Asia"/>
    <x v="14"/>
    <x v="1"/>
    <m/>
    <s v=""/>
    <s v=""/>
  </r>
  <r>
    <n v="2066"/>
    <x v="242"/>
    <s v="Hakata Tonkotsu Ramen"/>
    <x v="0"/>
    <x v="18"/>
    <s v="Asia"/>
    <x v="3"/>
    <x v="0"/>
    <m/>
    <s v=""/>
    <s v=""/>
  </r>
  <r>
    <n v="2060"/>
    <x v="20"/>
    <s v="Cup Noodle Light+ Cheese Fondue"/>
    <x v="2"/>
    <x v="18"/>
    <s v="Asia"/>
    <x v="3"/>
    <x v="0"/>
    <m/>
    <s v=""/>
    <s v=""/>
  </r>
  <r>
    <n v="2055"/>
    <x v="20"/>
    <s v="Tokyo Tokunou Gyokai Tonkotsu"/>
    <x v="1"/>
    <x v="18"/>
    <s v="Asia"/>
    <x v="3"/>
    <x v="0"/>
    <m/>
    <s v=""/>
    <s v=""/>
  </r>
  <r>
    <n v="2048"/>
    <x v="4"/>
    <s v="Kadomen Koikoku Tonkotsu"/>
    <x v="1"/>
    <x v="18"/>
    <s v="Asia"/>
    <x v="28"/>
    <x v="2"/>
    <m/>
    <s v=""/>
    <s v=""/>
  </r>
  <r>
    <n v="2039"/>
    <x v="248"/>
    <s v="Yakibuta Ramen"/>
    <x v="1"/>
    <x v="18"/>
    <s v="Asia"/>
    <x v="3"/>
    <x v="0"/>
    <m/>
    <s v=""/>
    <s v=""/>
  </r>
  <r>
    <n v="2035"/>
    <x v="4"/>
    <s v="Maru Uma Curry Udon"/>
    <x v="2"/>
    <x v="18"/>
    <s v="Asia"/>
    <x v="2"/>
    <x v="2"/>
    <m/>
    <s v=""/>
    <s v=""/>
  </r>
  <r>
    <n v="2030"/>
    <x v="25"/>
    <s v="Charumera Atyificial Tonkotsu Shouyu Flavor"/>
    <x v="0"/>
    <x v="18"/>
    <s v="Asia"/>
    <x v="10"/>
    <x v="2"/>
    <m/>
    <s v=""/>
    <s v=""/>
  </r>
  <r>
    <n v="2027"/>
    <x v="20"/>
    <s v="Shinshu Miso Ramen"/>
    <x v="1"/>
    <x v="18"/>
    <s v="Asia"/>
    <x v="3"/>
    <x v="0"/>
    <m/>
    <s v=""/>
    <s v=""/>
  </r>
  <r>
    <n v="2019"/>
    <x v="4"/>
    <s v="Seabura Tonkotsu Ramen"/>
    <x v="2"/>
    <x v="18"/>
    <s v="Asia"/>
    <x v="10"/>
    <x v="2"/>
    <m/>
    <s v=""/>
    <s v=""/>
  </r>
  <r>
    <n v="2004"/>
    <x v="20"/>
    <s v="Donbei Dashi Shoyu Yakiudon"/>
    <x v="1"/>
    <x v="18"/>
    <s v="Asia"/>
    <x v="10"/>
    <x v="2"/>
    <m/>
    <s v=""/>
    <s v=""/>
  </r>
  <r>
    <n v="2003"/>
    <x v="20"/>
    <s v="Raoh Rich Miso Flavor"/>
    <x v="1"/>
    <x v="18"/>
    <s v="Asia"/>
    <x v="3"/>
    <x v="0"/>
    <m/>
    <s v=""/>
    <s v=""/>
  </r>
  <r>
    <n v="2002"/>
    <x v="20"/>
    <s v="Cup Noodles Tom Yum Goong"/>
    <x v="2"/>
    <x v="18"/>
    <s v="Asia"/>
    <x v="28"/>
    <x v="2"/>
    <m/>
    <s v=""/>
    <s v=""/>
  </r>
  <r>
    <n v="2001"/>
    <x v="20"/>
    <s v="Cup Noodle Big Seafood Clam Chowder"/>
    <x v="2"/>
    <x v="18"/>
    <s v="Asia"/>
    <x v="0"/>
    <x v="0"/>
    <m/>
    <s v=""/>
    <s v=""/>
  </r>
  <r>
    <n v="2000"/>
    <x v="20"/>
    <s v="Chikin Ramen Donburi"/>
    <x v="1"/>
    <x v="18"/>
    <s v="Asia"/>
    <x v="3"/>
    <x v="0"/>
    <m/>
    <s v=""/>
    <s v=""/>
  </r>
  <r>
    <n v="1999"/>
    <x v="20"/>
    <s v="Curry Udon"/>
    <x v="2"/>
    <x v="18"/>
    <s v="Asia"/>
    <x v="3"/>
    <x v="0"/>
    <m/>
    <s v=""/>
    <s v=""/>
  </r>
  <r>
    <n v="1998"/>
    <x v="20"/>
    <s v="Men Shokunin Shoyu"/>
    <x v="1"/>
    <x v="18"/>
    <s v="Asia"/>
    <x v="3"/>
    <x v="0"/>
    <m/>
    <s v=""/>
    <s v=""/>
  </r>
  <r>
    <n v="1997"/>
    <x v="20"/>
    <s v="Cup Noodle Vegeta Buta-kyabetsu Tonkotsu"/>
    <x v="2"/>
    <x v="18"/>
    <s v="Asia"/>
    <x v="29"/>
    <x v="0"/>
    <m/>
    <s v=""/>
    <s v=""/>
  </r>
  <r>
    <n v="1996"/>
    <x v="20"/>
    <s v="Cup Noodle Pasta Style Tarako Spaghetti"/>
    <x v="2"/>
    <x v="18"/>
    <s v="Asia"/>
    <x v="0"/>
    <x v="0"/>
    <m/>
    <s v=""/>
    <s v=""/>
  </r>
  <r>
    <n v="1995"/>
    <x v="20"/>
    <s v="Cup Noodle Big Cheese Mexican Chilli"/>
    <x v="2"/>
    <x v="18"/>
    <s v="Asia"/>
    <x v="3"/>
    <x v="0"/>
    <m/>
    <s v=""/>
    <s v=""/>
  </r>
  <r>
    <n v="1994"/>
    <x v="20"/>
    <s v="Gyoretsu-no-Dekiru-Mise-no-Ramen (Shrimp Tantanmen)"/>
    <x v="1"/>
    <x v="18"/>
    <s v="Asia"/>
    <x v="3"/>
    <x v="0"/>
    <m/>
    <s v=""/>
    <s v=""/>
  </r>
  <r>
    <n v="1993"/>
    <x v="20"/>
    <s v="Raoh Tonkotsu"/>
    <x v="0"/>
    <x v="18"/>
    <s v="Asia"/>
    <x v="3"/>
    <x v="0"/>
    <m/>
    <s v=""/>
    <s v=""/>
  </r>
  <r>
    <n v="1992"/>
    <x v="20"/>
    <s v="Cup Noodle Light Plus Ratatouille"/>
    <x v="2"/>
    <x v="18"/>
    <s v="Asia"/>
    <x v="17"/>
    <x v="0"/>
    <m/>
    <s v=""/>
    <s v=""/>
  </r>
  <r>
    <n v="1991"/>
    <x v="20"/>
    <s v="Cup Noodle Milk Chikin Ramen"/>
    <x v="2"/>
    <x v="18"/>
    <s v="Asia"/>
    <x v="3"/>
    <x v="0"/>
    <m/>
    <s v=""/>
    <s v=""/>
  </r>
  <r>
    <n v="1990"/>
    <x v="20"/>
    <s v="Cup Noodle"/>
    <x v="2"/>
    <x v="18"/>
    <s v="Asia"/>
    <x v="3"/>
    <x v="0"/>
    <m/>
    <s v=""/>
    <s v=""/>
  </r>
  <r>
    <n v="1987"/>
    <x v="20"/>
    <s v="Yokohama Walker Iekei Ramen"/>
    <x v="1"/>
    <x v="18"/>
    <s v="Asia"/>
    <x v="17"/>
    <x v="0"/>
    <m/>
    <s v=""/>
    <s v=""/>
  </r>
  <r>
    <n v="1983"/>
    <x v="248"/>
    <s v="Tokushima Ramen"/>
    <x v="0"/>
    <x v="18"/>
    <s v="Asia"/>
    <x v="0"/>
    <x v="0"/>
    <m/>
    <s v=""/>
    <s v=""/>
  </r>
  <r>
    <n v="1979"/>
    <x v="20"/>
    <s v="BIG Cup Noodle Ajillo"/>
    <x v="2"/>
    <x v="18"/>
    <s v="Asia"/>
    <x v="4"/>
    <x v="2"/>
    <m/>
    <s v=""/>
    <s v=""/>
  </r>
  <r>
    <n v="1976"/>
    <x v="249"/>
    <s v="Kumamoto Spicy Ramen"/>
    <x v="0"/>
    <x v="18"/>
    <s v="Asia"/>
    <x v="12"/>
    <x v="0"/>
    <m/>
    <s v=""/>
    <s v=""/>
  </r>
  <r>
    <n v="1971"/>
    <x v="234"/>
    <s v="Horse Crab Flavour Ramen"/>
    <x v="0"/>
    <x v="18"/>
    <s v="Asia"/>
    <x v="2"/>
    <x v="2"/>
    <m/>
    <s v=""/>
    <s v=""/>
  </r>
  <r>
    <n v="1967"/>
    <x v="248"/>
    <s v="Kinchan Ramen"/>
    <x v="0"/>
    <x v="18"/>
    <s v="Asia"/>
    <x v="17"/>
    <x v="0"/>
    <m/>
    <s v=""/>
    <s v=""/>
  </r>
  <r>
    <n v="1959"/>
    <x v="25"/>
    <s v="Charumera Shoyu Ramen"/>
    <x v="0"/>
    <x v="18"/>
    <s v="Asia"/>
    <x v="0"/>
    <x v="0"/>
    <m/>
    <s v=""/>
    <s v=""/>
  </r>
  <r>
    <n v="1956"/>
    <x v="34"/>
    <s v="Spicy Tomato Salsa Ramen"/>
    <x v="2"/>
    <x v="18"/>
    <s v="Asia"/>
    <x v="1"/>
    <x v="1"/>
    <m/>
    <s v=""/>
    <s v=""/>
  </r>
  <r>
    <n v="1950"/>
    <x v="234"/>
    <s v="Red King Crab Flavour Ramen"/>
    <x v="0"/>
    <x v="18"/>
    <s v="Asia"/>
    <x v="0"/>
    <x v="0"/>
    <m/>
    <s v=""/>
    <s v=""/>
  </r>
  <r>
    <n v="1946"/>
    <x v="20"/>
    <s v="Raoh Shio Ramen"/>
    <x v="0"/>
    <x v="18"/>
    <s v="Asia"/>
    <x v="15"/>
    <x v="0"/>
    <m/>
    <s v=""/>
    <s v=""/>
  </r>
  <r>
    <n v="1943"/>
    <x v="231"/>
    <s v="Sugomen Niigata Seabura Shoyu Ramen"/>
    <x v="1"/>
    <x v="18"/>
    <s v="Asia"/>
    <x v="3"/>
    <x v="0"/>
    <m/>
    <s v=""/>
    <s v=""/>
  </r>
  <r>
    <n v="1940"/>
    <x v="20"/>
    <s v="Cup Noodle Pasta Style Bolognese"/>
    <x v="2"/>
    <x v="18"/>
    <s v="Asia"/>
    <x v="3"/>
    <x v="0"/>
    <m/>
    <s v=""/>
    <s v=""/>
  </r>
  <r>
    <n v="1938"/>
    <x v="20"/>
    <s v="Donbei Kamodashi Soba"/>
    <x v="1"/>
    <x v="18"/>
    <s v="Asia"/>
    <x v="3"/>
    <x v="0"/>
    <m/>
    <s v=""/>
    <s v=""/>
  </r>
  <r>
    <n v="1927"/>
    <x v="242"/>
    <s v="Kogashi Megiiri Tonkotsu Kagoshima Ramen"/>
    <x v="1"/>
    <x v="18"/>
    <s v="Asia"/>
    <x v="2"/>
    <x v="2"/>
    <m/>
    <s v=""/>
    <s v=""/>
  </r>
  <r>
    <n v="1920"/>
    <x v="249"/>
    <s v="Ramen Tonkotudou Kumamoto Noodles"/>
    <x v="0"/>
    <x v="18"/>
    <s v="Asia"/>
    <x v="41"/>
    <x v="1"/>
    <m/>
    <s v=""/>
    <s v=""/>
  </r>
  <r>
    <n v="1919"/>
    <x v="34"/>
    <s v="Shiroi Chikara Mochi Udon"/>
    <x v="1"/>
    <x v="18"/>
    <s v="Asia"/>
    <x v="17"/>
    <x v="0"/>
    <m/>
    <s v=""/>
    <s v=""/>
  </r>
  <r>
    <n v="1915"/>
    <x v="249"/>
    <s v="Yuzu Sesame Sauce Udon"/>
    <x v="1"/>
    <x v="18"/>
    <s v="Asia"/>
    <x v="17"/>
    <x v="0"/>
    <m/>
    <s v=""/>
    <s v=""/>
  </r>
  <r>
    <n v="1911"/>
    <x v="20"/>
    <s v="Emergency Chikin Ramen Cup Noodle"/>
    <x v="2"/>
    <x v="18"/>
    <s v="Asia"/>
    <x v="3"/>
    <x v="0"/>
    <m/>
    <s v=""/>
    <s v=""/>
  </r>
  <r>
    <n v="1908"/>
    <x v="20"/>
    <s v="Kuroma-yu Tonkotsu Kumamoto Ramen"/>
    <x v="1"/>
    <x v="18"/>
    <s v="Asia"/>
    <x v="15"/>
    <x v="0"/>
    <m/>
    <s v=""/>
    <s v=""/>
  </r>
  <r>
    <n v="1903"/>
    <x v="250"/>
    <s v="Tonkotsu Ramen"/>
    <x v="0"/>
    <x v="18"/>
    <s v="Asia"/>
    <x v="17"/>
    <x v="0"/>
    <m/>
    <s v=""/>
    <s v=""/>
  </r>
  <r>
    <n v="1897"/>
    <x v="20"/>
    <s v="Cup Noodle Massaman Curry"/>
    <x v="2"/>
    <x v="18"/>
    <s v="Asia"/>
    <x v="2"/>
    <x v="2"/>
    <m/>
    <s v=""/>
    <s v=""/>
  </r>
  <r>
    <n v="1895"/>
    <x v="34"/>
    <s v="Seimen Houjyun Koku Shoyu"/>
    <x v="1"/>
    <x v="18"/>
    <s v="Asia"/>
    <x v="3"/>
    <x v="0"/>
    <m/>
    <s v=""/>
    <s v=""/>
  </r>
  <r>
    <n v="1893"/>
    <x v="20"/>
    <s v="Cup Noodle Sio"/>
    <x v="2"/>
    <x v="18"/>
    <s v="Asia"/>
    <x v="3"/>
    <x v="0"/>
    <m/>
    <s v=""/>
    <s v=""/>
  </r>
  <r>
    <n v="1890"/>
    <x v="251"/>
    <s v="Beef Tongue Shio Mayo Ramen"/>
    <x v="0"/>
    <x v="18"/>
    <s v="Asia"/>
    <x v="17"/>
    <x v="0"/>
    <m/>
    <s v=""/>
    <s v=""/>
  </r>
  <r>
    <n v="1872"/>
    <x v="249"/>
    <s v="Hakata Ossyoi"/>
    <x v="0"/>
    <x v="18"/>
    <s v="Asia"/>
    <x v="3"/>
    <x v="0"/>
    <m/>
    <s v=""/>
    <s v=""/>
  </r>
  <r>
    <n v="1868"/>
    <x v="242"/>
    <s v="Kuroma-yu Tonkotsu Kumamoto Ramen"/>
    <x v="1"/>
    <x v="18"/>
    <s v="Asia"/>
    <x v="0"/>
    <x v="0"/>
    <m/>
    <s v=""/>
    <s v=""/>
  </r>
  <r>
    <n v="1860"/>
    <x v="20"/>
    <s v="Cupo Noodle Pasta Style Vongole"/>
    <x v="2"/>
    <x v="18"/>
    <s v="Asia"/>
    <x v="9"/>
    <x v="2"/>
    <m/>
    <s v=""/>
    <s v=""/>
  </r>
  <r>
    <n v="1858"/>
    <x v="25"/>
    <s v="Wantan Men"/>
    <x v="1"/>
    <x v="18"/>
    <s v="Asia"/>
    <x v="3"/>
    <x v="0"/>
    <m/>
    <s v=""/>
    <s v=""/>
  </r>
  <r>
    <n v="1855"/>
    <x v="252"/>
    <s v="Negi Man Ramen"/>
    <x v="0"/>
    <x v="18"/>
    <s v="Asia"/>
    <x v="4"/>
    <x v="2"/>
    <m/>
    <s v=""/>
    <s v=""/>
  </r>
  <r>
    <n v="1851"/>
    <x v="234"/>
    <s v="Snow Crab Flavour Shio Ramen"/>
    <x v="0"/>
    <x v="18"/>
    <s v="Asia"/>
    <x v="2"/>
    <x v="2"/>
    <m/>
    <s v=""/>
    <s v=""/>
  </r>
  <r>
    <n v="1844"/>
    <x v="253"/>
    <s v="Gold Sumire Ramen"/>
    <x v="1"/>
    <x v="18"/>
    <s v="Asia"/>
    <x v="3"/>
    <x v="0"/>
    <m/>
    <s v=""/>
    <s v=""/>
  </r>
  <r>
    <n v="1831"/>
    <x v="251"/>
    <s v="Plum Mayo Ramen"/>
    <x v="0"/>
    <x v="18"/>
    <s v="Asia"/>
    <x v="0"/>
    <x v="0"/>
    <m/>
    <s v=""/>
    <s v=""/>
  </r>
  <r>
    <n v="1818"/>
    <x v="254"/>
    <s v="Nara Tenri Shoyu Ramen"/>
    <x v="1"/>
    <x v="18"/>
    <s v="Asia"/>
    <x v="17"/>
    <x v="0"/>
    <m/>
    <s v=""/>
    <s v=""/>
  </r>
  <r>
    <n v="1815"/>
    <x v="255"/>
    <s v="Hingya no Shio Ramen"/>
    <x v="0"/>
    <x v="18"/>
    <s v="Asia"/>
    <x v="0"/>
    <x v="0"/>
    <m/>
    <s v=""/>
    <s v=""/>
  </r>
  <r>
    <n v="1809"/>
    <x v="242"/>
    <s v="Nagahama Hakata Tonkotsu Ramen"/>
    <x v="1"/>
    <x v="18"/>
    <s v="Asia"/>
    <x v="15"/>
    <x v="0"/>
    <m/>
    <s v=""/>
    <s v=""/>
  </r>
  <r>
    <n v="1796"/>
    <x v="234"/>
    <s v="Salty Taste Chanko Noodle"/>
    <x v="0"/>
    <x v="18"/>
    <s v="Asia"/>
    <x v="15"/>
    <x v="0"/>
    <m/>
    <s v=""/>
    <s v=""/>
  </r>
  <r>
    <n v="1784"/>
    <x v="256"/>
    <s v="Hakata Tonkotsu Ramen"/>
    <x v="0"/>
    <x v="18"/>
    <s v="Asia"/>
    <x v="3"/>
    <x v="0"/>
    <m/>
    <s v=""/>
    <s v=""/>
  </r>
  <r>
    <n v="1768"/>
    <x v="231"/>
    <s v="Negi Miso No Ippin Ramen"/>
    <x v="1"/>
    <x v="18"/>
    <s v="Asia"/>
    <x v="3"/>
    <x v="0"/>
    <m/>
    <s v=""/>
    <s v=""/>
  </r>
  <r>
    <n v="1763"/>
    <x v="257"/>
    <s v="Tuna Flavor Ramen"/>
    <x v="0"/>
    <x v="18"/>
    <s v="Asia"/>
    <x v="17"/>
    <x v="0"/>
    <m/>
    <s v=""/>
    <s v=""/>
  </r>
  <r>
    <n v="1760"/>
    <x v="231"/>
    <s v="Homestyle Tonjiru"/>
    <x v="1"/>
    <x v="18"/>
    <s v="Asia"/>
    <x v="17"/>
    <x v="0"/>
    <m/>
    <s v=""/>
    <s v=""/>
  </r>
  <r>
    <n v="1752"/>
    <x v="251"/>
    <s v="Mayo Ramen"/>
    <x v="0"/>
    <x v="18"/>
    <s v="Asia"/>
    <x v="15"/>
    <x v="0"/>
    <m/>
    <s v=""/>
    <s v=""/>
  </r>
  <r>
    <n v="1746"/>
    <x v="242"/>
    <s v="Ramen Shoyu Taste"/>
    <x v="1"/>
    <x v="18"/>
    <s v="Asia"/>
    <x v="12"/>
    <x v="0"/>
    <m/>
    <s v=""/>
    <s v=""/>
  </r>
  <r>
    <n v="1739"/>
    <x v="20"/>
    <s v="Raoh Tanrei Koku Shio Ramen"/>
    <x v="1"/>
    <x v="18"/>
    <s v="Asia"/>
    <x v="17"/>
    <x v="0"/>
    <m/>
    <s v=""/>
    <s v=""/>
  </r>
  <r>
    <n v="1728"/>
    <x v="258"/>
    <s v="Tenobe Somen"/>
    <x v="1"/>
    <x v="18"/>
    <s v="Asia"/>
    <x v="5"/>
    <x v="2"/>
    <m/>
    <s v=""/>
    <s v=""/>
  </r>
  <r>
    <n v="1712"/>
    <x v="259"/>
    <s v="Organic Miso Ramen"/>
    <x v="0"/>
    <x v="18"/>
    <s v="Asia"/>
    <x v="17"/>
    <x v="0"/>
    <m/>
    <s v=""/>
    <s v=""/>
  </r>
  <r>
    <n v="1702"/>
    <x v="149"/>
    <s v="Seafood Noodle"/>
    <x v="2"/>
    <x v="18"/>
    <s v="Asia"/>
    <x v="9"/>
    <x v="2"/>
    <m/>
    <s v=""/>
    <s v=""/>
  </r>
  <r>
    <n v="1701"/>
    <x v="259"/>
    <s v="Organic Shoyu Ramen"/>
    <x v="0"/>
    <x v="18"/>
    <s v="Asia"/>
    <x v="12"/>
    <x v="0"/>
    <m/>
    <s v=""/>
    <s v=""/>
  </r>
  <r>
    <n v="1631"/>
    <x v="20"/>
    <s v="Donbei Tempura Soba Mini"/>
    <x v="1"/>
    <x v="18"/>
    <s v="Asia"/>
    <x v="0"/>
    <x v="0"/>
    <m/>
    <s v=""/>
    <s v=""/>
  </r>
  <r>
    <n v="1626"/>
    <x v="20"/>
    <s v="Gonbuto Kistune Udon"/>
    <x v="1"/>
    <x v="18"/>
    <s v="Asia"/>
    <x v="9"/>
    <x v="2"/>
    <m/>
    <s v=""/>
    <s v=""/>
  </r>
  <r>
    <n v="1621"/>
    <x v="25"/>
    <s v="MenWhite Creamy Tonkotsu"/>
    <x v="1"/>
    <x v="18"/>
    <s v="Asia"/>
    <x v="4"/>
    <x v="2"/>
    <m/>
    <s v=""/>
    <s v=""/>
  </r>
  <r>
    <n v="1613"/>
    <x v="34"/>
    <s v="Kaoru Maitake Tempura Udon"/>
    <x v="1"/>
    <x v="18"/>
    <s v="Asia"/>
    <x v="5"/>
    <x v="2"/>
    <m/>
    <s v=""/>
    <s v=""/>
  </r>
  <r>
    <n v="1609"/>
    <x v="260"/>
    <s v="Brown Rice Ramen"/>
    <x v="0"/>
    <x v="18"/>
    <s v="Asia"/>
    <x v="20"/>
    <x v="1"/>
    <m/>
    <s v=""/>
    <s v=""/>
  </r>
  <r>
    <n v="1607"/>
    <x v="25"/>
    <s v="Nyumen Desse Shoyu"/>
    <x v="1"/>
    <x v="18"/>
    <s v="Asia"/>
    <x v="9"/>
    <x v="2"/>
    <m/>
    <s v=""/>
    <s v=""/>
  </r>
  <r>
    <n v="1604"/>
    <x v="261"/>
    <s v="Mushroom Honpo Shiitake Nutritious Noodle"/>
    <x v="0"/>
    <x v="18"/>
    <s v="Asia"/>
    <x v="19"/>
    <x v="1"/>
    <m/>
    <s v=""/>
    <s v=""/>
  </r>
  <r>
    <n v="1594"/>
    <x v="4"/>
    <s v="Jan Jan Dashi Shoyu Yakisoba"/>
    <x v="2"/>
    <x v="18"/>
    <s v="Asia"/>
    <x v="13"/>
    <x v="1"/>
    <m/>
    <s v=""/>
    <s v=""/>
  </r>
  <r>
    <n v="1578"/>
    <x v="20"/>
    <s v="Gonbuto Tempura Udon"/>
    <x v="1"/>
    <x v="18"/>
    <s v="Asia"/>
    <x v="0"/>
    <x v="0"/>
    <m/>
    <s v=""/>
    <s v=""/>
  </r>
  <r>
    <n v="1570"/>
    <x v="34"/>
    <s v="Big Cup Ramen Corn, Salt &amp; Butter Flavor"/>
    <x v="1"/>
    <x v="18"/>
    <s v="Asia"/>
    <x v="3"/>
    <x v="0"/>
    <m/>
    <s v=""/>
    <s v=""/>
  </r>
  <r>
    <n v="1567"/>
    <x v="20"/>
    <s v="Emergency Cup Noodle"/>
    <x v="2"/>
    <x v="18"/>
    <s v="Asia"/>
    <x v="12"/>
    <x v="0"/>
    <m/>
    <s v=""/>
    <s v=""/>
  </r>
  <r>
    <n v="1565"/>
    <x v="262"/>
    <s v="Baby Star Snack Noodle Chicken Flavour"/>
    <x v="0"/>
    <x v="18"/>
    <s v="Asia"/>
    <x v="6"/>
    <x v="1"/>
    <m/>
    <s v=""/>
    <s v=""/>
  </r>
  <r>
    <n v="1551"/>
    <x v="25"/>
    <s v="Men Black Seafood Tonkotsu"/>
    <x v="1"/>
    <x v="18"/>
    <s v="Asia"/>
    <x v="2"/>
    <x v="2"/>
    <m/>
    <s v=""/>
    <s v=""/>
  </r>
  <r>
    <n v="1548"/>
    <x v="149"/>
    <s v="Curry Noodle"/>
    <x v="2"/>
    <x v="18"/>
    <s v="Asia"/>
    <x v="10"/>
    <x v="2"/>
    <m/>
    <s v=""/>
    <s v=""/>
  </r>
  <r>
    <n v="1539"/>
    <x v="231"/>
    <s v="Kimchi Noodle"/>
    <x v="1"/>
    <x v="18"/>
    <s v="Asia"/>
    <x v="2"/>
    <x v="2"/>
    <m/>
    <s v=""/>
    <s v=""/>
  </r>
  <r>
    <n v="1516"/>
    <x v="263"/>
    <s v="Miso Ramen"/>
    <x v="0"/>
    <x v="18"/>
    <s v="Asia"/>
    <x v="10"/>
    <x v="2"/>
    <m/>
    <s v=""/>
    <s v=""/>
  </r>
  <r>
    <n v="1509"/>
    <x v="20"/>
    <s v="Donbei Kitsune Udon Mini"/>
    <x v="1"/>
    <x v="18"/>
    <s v="Asia"/>
    <x v="2"/>
    <x v="2"/>
    <m/>
    <s v=""/>
    <s v=""/>
  </r>
  <r>
    <n v="1501"/>
    <x v="4"/>
    <s v="Ohmori Chukafu Yakisoba"/>
    <x v="3"/>
    <x v="18"/>
    <s v="Asia"/>
    <x v="5"/>
    <x v="2"/>
    <m/>
    <s v=""/>
    <s v=""/>
  </r>
  <r>
    <n v="1493"/>
    <x v="34"/>
    <s v="Magomi-an Kitsune Udon (Eastern Japan Flavor)"/>
    <x v="1"/>
    <x v="18"/>
    <s v="Asia"/>
    <x v="12"/>
    <x v="0"/>
    <m/>
    <s v=""/>
    <s v=""/>
  </r>
  <r>
    <n v="1482"/>
    <x v="34"/>
    <s v="I Want To Eat Ramen' Shoyu Flavor"/>
    <x v="0"/>
    <x v="18"/>
    <s v="Asia"/>
    <x v="0"/>
    <x v="0"/>
    <m/>
    <s v=""/>
    <s v=""/>
  </r>
  <r>
    <n v="1446"/>
    <x v="25"/>
    <s v="Ippei-Chan Jumbo Night Market Style Yakisoba"/>
    <x v="3"/>
    <x v="18"/>
    <s v="Asia"/>
    <x v="17"/>
    <x v="0"/>
    <m/>
    <s v=""/>
    <s v=""/>
  </r>
  <r>
    <n v="1438"/>
    <x v="34"/>
    <s v="Old Style Miso Ramen"/>
    <x v="0"/>
    <x v="18"/>
    <s v="Asia"/>
    <x v="2"/>
    <x v="2"/>
    <m/>
    <s v=""/>
    <s v=""/>
  </r>
  <r>
    <n v="1428"/>
    <x v="25"/>
    <s v="Chukazanmai Beijing Style Salt Ramen"/>
    <x v="0"/>
    <x v="18"/>
    <s v="Asia"/>
    <x v="4"/>
    <x v="2"/>
    <m/>
    <s v=""/>
    <s v=""/>
  </r>
  <r>
    <n v="1420"/>
    <x v="34"/>
    <s v="I Want To Eat Ramen Shio"/>
    <x v="0"/>
    <x v="18"/>
    <s v="Asia"/>
    <x v="10"/>
    <x v="2"/>
    <m/>
    <s v=""/>
    <s v=""/>
  </r>
  <r>
    <n v="1416"/>
    <x v="25"/>
    <s v="Chukazanmai Szechuan Style Miso"/>
    <x v="0"/>
    <x v="18"/>
    <s v="Asia"/>
    <x v="11"/>
    <x v="1"/>
    <m/>
    <s v=""/>
    <s v=""/>
  </r>
  <r>
    <n v="1401"/>
    <x v="25"/>
    <s v="Yomise No Yakisoba Shiodare Flavor With Black Pepper Mayonnaise"/>
    <x v="3"/>
    <x v="18"/>
    <s v="Asia"/>
    <x v="10"/>
    <x v="2"/>
    <m/>
    <s v=""/>
    <s v=""/>
  </r>
  <r>
    <n v="1396"/>
    <x v="262"/>
    <s v="Baby Star Snack Noodle Yakisoba Flavor"/>
    <x v="0"/>
    <x v="18"/>
    <s v="Asia"/>
    <x v="15"/>
    <x v="0"/>
    <m/>
    <s v=""/>
    <s v=""/>
  </r>
  <r>
    <n v="1387"/>
    <x v="264"/>
    <s v="Red Pepper 7 Garlic Peperoncino"/>
    <x v="0"/>
    <x v="18"/>
    <s v="Asia"/>
    <x v="0"/>
    <x v="0"/>
    <m/>
    <s v=""/>
    <s v=""/>
  </r>
  <r>
    <n v="1386"/>
    <x v="264"/>
    <s v="Sukiyaki Style Noodle Stew"/>
    <x v="0"/>
    <x v="18"/>
    <s v="Asia"/>
    <x v="17"/>
    <x v="0"/>
    <m/>
    <s v=""/>
    <s v=""/>
  </r>
  <r>
    <n v="1385"/>
    <x v="264"/>
    <s v="Yaki-Udon Roast Soy Sauce"/>
    <x v="0"/>
    <x v="18"/>
    <s v="Asia"/>
    <x v="10"/>
    <x v="2"/>
    <m/>
    <s v=""/>
    <s v=""/>
  </r>
  <r>
    <n v="1384"/>
    <x v="264"/>
    <s v="Hiyashi Udon Bonito Sauce"/>
    <x v="0"/>
    <x v="18"/>
    <s v="Asia"/>
    <x v="4"/>
    <x v="2"/>
    <m/>
    <s v=""/>
    <s v=""/>
  </r>
  <r>
    <n v="1383"/>
    <x v="264"/>
    <s v="Futomen Yakisoba"/>
    <x v="0"/>
    <x v="18"/>
    <s v="Asia"/>
    <x v="15"/>
    <x v="0"/>
    <m/>
    <s v=""/>
    <s v=""/>
  </r>
  <r>
    <n v="1382"/>
    <x v="264"/>
    <s v="Hiyashi Chuka Lemon Sauce"/>
    <x v="0"/>
    <x v="18"/>
    <s v="Asia"/>
    <x v="15"/>
    <x v="0"/>
    <m/>
    <s v=""/>
    <s v=""/>
  </r>
  <r>
    <n v="1381"/>
    <x v="264"/>
    <s v="Curry Udon"/>
    <x v="0"/>
    <x v="18"/>
    <s v="Asia"/>
    <x v="3"/>
    <x v="0"/>
    <m/>
    <s v=""/>
    <s v=""/>
  </r>
  <r>
    <n v="1380"/>
    <x v="264"/>
    <s v="Chanpon"/>
    <x v="0"/>
    <x v="18"/>
    <s v="Asia"/>
    <x v="10"/>
    <x v="2"/>
    <m/>
    <s v=""/>
    <s v=""/>
  </r>
  <r>
    <n v="1379"/>
    <x v="264"/>
    <s v="Shio Yakisoba"/>
    <x v="0"/>
    <x v="18"/>
    <s v="Asia"/>
    <x v="0"/>
    <x v="0"/>
    <m/>
    <s v=""/>
    <s v=""/>
  </r>
  <r>
    <n v="1378"/>
    <x v="264"/>
    <s v="Yakisoba"/>
    <x v="0"/>
    <x v="18"/>
    <s v="Asia"/>
    <x v="3"/>
    <x v="0"/>
    <m/>
    <s v=""/>
    <s v=""/>
  </r>
  <r>
    <n v="1377"/>
    <x v="264"/>
    <s v="Yaki-Udon Mild Spicy Sauce"/>
    <x v="0"/>
    <x v="18"/>
    <s v="Asia"/>
    <x v="12"/>
    <x v="0"/>
    <m/>
    <s v=""/>
    <s v=""/>
  </r>
  <r>
    <n v="1376"/>
    <x v="264"/>
    <s v="Katsuo Dashi Udon"/>
    <x v="0"/>
    <x v="18"/>
    <s v="Asia"/>
    <x v="10"/>
    <x v="2"/>
    <m/>
    <s v=""/>
    <s v=""/>
  </r>
  <r>
    <n v="1375"/>
    <x v="264"/>
    <s v="Spaghetti Napolitan"/>
    <x v="0"/>
    <x v="18"/>
    <s v="Asia"/>
    <x v="0"/>
    <x v="0"/>
    <m/>
    <s v=""/>
    <s v=""/>
  </r>
  <r>
    <n v="1374"/>
    <x v="239"/>
    <s v="Spicy Garlic Ramen"/>
    <x v="0"/>
    <x v="18"/>
    <s v="Asia"/>
    <x v="5"/>
    <x v="2"/>
    <m/>
    <s v=""/>
    <s v=""/>
  </r>
  <r>
    <n v="1346"/>
    <x v="262"/>
    <s v="Baby Star Ramen Round Consomme Mini"/>
    <x v="0"/>
    <x v="18"/>
    <s v="Asia"/>
    <x v="10"/>
    <x v="2"/>
    <m/>
    <s v=""/>
    <s v=""/>
  </r>
  <r>
    <n v="1321"/>
    <x v="264"/>
    <s v="Fresh Chow Mein Noodles With Seasoning"/>
    <x v="0"/>
    <x v="18"/>
    <s v="Asia"/>
    <x v="10"/>
    <x v="2"/>
    <m/>
    <s v=""/>
    <s v=""/>
  </r>
  <r>
    <n v="1318"/>
    <x v="20"/>
    <s v="Spa Oh Tarako Spaghetti"/>
    <x v="1"/>
    <x v="18"/>
    <s v="Asia"/>
    <x v="0"/>
    <x v="0"/>
    <m/>
    <s v=""/>
    <s v=""/>
  </r>
  <r>
    <n v="1312"/>
    <x v="34"/>
    <s v="I Want To Eat Ramen Miso Flavor"/>
    <x v="0"/>
    <x v="18"/>
    <s v="Asia"/>
    <x v="10"/>
    <x v="2"/>
    <m/>
    <s v=""/>
    <s v=""/>
  </r>
  <r>
    <n v="1307"/>
    <x v="20"/>
    <s v="Cup Noodle Cheese Curry"/>
    <x v="2"/>
    <x v="18"/>
    <s v="Asia"/>
    <x v="10"/>
    <x v="2"/>
    <m/>
    <s v=""/>
    <s v=""/>
  </r>
  <r>
    <n v="1287"/>
    <x v="265"/>
    <s v="Kumamoto Tonkotsu Ramen"/>
    <x v="0"/>
    <x v="18"/>
    <s v="Asia"/>
    <x v="3"/>
    <x v="0"/>
    <m/>
    <s v=""/>
    <s v=""/>
  </r>
  <r>
    <n v="1281"/>
    <x v="266"/>
    <s v="Jet Black Sesame Oil Pork Tonkotsu"/>
    <x v="1"/>
    <x v="18"/>
    <s v="Asia"/>
    <x v="13"/>
    <x v="1"/>
    <m/>
    <s v=""/>
    <s v=""/>
  </r>
  <r>
    <n v="1263"/>
    <x v="20"/>
    <s v="Cup Noodle Curry X Gunpla RX-78-2 Gundam"/>
    <x v="2"/>
    <x v="18"/>
    <s v="Asia"/>
    <x v="12"/>
    <x v="0"/>
    <m/>
    <s v=""/>
    <s v=""/>
  </r>
  <r>
    <n v="1247"/>
    <x v="34"/>
    <s v="I Want To Eat Ramen Pork Tonkotsu Flavor"/>
    <x v="0"/>
    <x v="18"/>
    <s v="Asia"/>
    <x v="0"/>
    <x v="0"/>
    <m/>
    <s v=""/>
    <s v=""/>
  </r>
  <r>
    <n v="1241"/>
    <x v="20"/>
    <s v="Donbei Kansai Soy Sauce Flavor Udon"/>
    <x v="0"/>
    <x v="18"/>
    <s v="Asia"/>
    <x v="10"/>
    <x v="2"/>
    <m/>
    <s v=""/>
    <s v=""/>
  </r>
  <r>
    <n v="1238"/>
    <x v="40"/>
    <s v="Sesame Ramen"/>
    <x v="0"/>
    <x v="18"/>
    <s v="Asia"/>
    <x v="3"/>
    <x v="0"/>
    <m/>
    <s v=""/>
    <s v=""/>
  </r>
  <r>
    <n v="1229"/>
    <x v="267"/>
    <s v="Tonkotsu Ramen MEGA Dragon"/>
    <x v="0"/>
    <x v="18"/>
    <s v="Asia"/>
    <x v="6"/>
    <x v="1"/>
    <m/>
    <s v=""/>
    <s v=""/>
  </r>
  <r>
    <n v="1228"/>
    <x v="34"/>
    <s v="Seimen Japanese Instant Ramen Noodles Shio Aji"/>
    <x v="0"/>
    <x v="18"/>
    <s v="Asia"/>
    <x v="10"/>
    <x v="2"/>
    <m/>
    <s v=""/>
    <s v=""/>
  </r>
  <r>
    <n v="1220"/>
    <x v="20"/>
    <s v="Ultraman Instant Noodle Pork Flavour"/>
    <x v="2"/>
    <x v="18"/>
    <s v="Asia"/>
    <x v="4"/>
    <x v="2"/>
    <m/>
    <s v=""/>
    <s v=""/>
  </r>
  <r>
    <n v="1219"/>
    <x v="239"/>
    <s v="Mini Instant Noodle Spicy Flavor"/>
    <x v="0"/>
    <x v="18"/>
    <s v="Asia"/>
    <x v="2"/>
    <x v="2"/>
    <m/>
    <s v=""/>
    <s v=""/>
  </r>
  <r>
    <n v="1207"/>
    <x v="20"/>
    <s v="UFO Yakisoba With Wasabi Mayonnaise"/>
    <x v="1"/>
    <x v="18"/>
    <s v="Asia"/>
    <x v="3"/>
    <x v="0"/>
    <m/>
    <s v=""/>
    <s v=""/>
  </r>
  <r>
    <n v="1202"/>
    <x v="254"/>
    <s v="Udon Miso Stew"/>
    <x v="0"/>
    <x v="18"/>
    <s v="Asia"/>
    <x v="5"/>
    <x v="2"/>
    <m/>
    <s v=""/>
    <s v=""/>
  </r>
  <r>
    <n v="1200"/>
    <x v="263"/>
    <s v="Tonkotsu Ramen"/>
    <x v="0"/>
    <x v="18"/>
    <s v="Asia"/>
    <x v="10"/>
    <x v="2"/>
    <m/>
    <s v=""/>
    <s v=""/>
  </r>
  <r>
    <n v="1197"/>
    <x v="20"/>
    <s v="Cup Noodle Chilli Tomato"/>
    <x v="2"/>
    <x v="18"/>
    <s v="Asia"/>
    <x v="17"/>
    <x v="0"/>
    <m/>
    <s v=""/>
    <s v=""/>
  </r>
  <r>
    <n v="1190"/>
    <x v="268"/>
    <s v="Hello Kitty Hakata Shoyutonkotsu Ramen"/>
    <x v="1"/>
    <x v="18"/>
    <s v="Asia"/>
    <x v="10"/>
    <x v="2"/>
    <m/>
    <s v=""/>
    <s v=""/>
  </r>
  <r>
    <n v="1189"/>
    <x v="4"/>
    <s v="Comet Mori Yukino Tan-tan men"/>
    <x v="1"/>
    <x v="18"/>
    <s v="Asia"/>
    <x v="3"/>
    <x v="0"/>
    <m/>
    <s v=""/>
    <s v=""/>
  </r>
  <r>
    <n v="1184"/>
    <x v="40"/>
    <s v="Pokemon Shoyu Ramen"/>
    <x v="2"/>
    <x v="18"/>
    <s v="Asia"/>
    <x v="2"/>
    <x v="2"/>
    <m/>
    <s v=""/>
    <s v=""/>
  </r>
  <r>
    <n v="1179"/>
    <x v="25"/>
    <s v="Chukazanmai Guangdong Style Ramen"/>
    <x v="0"/>
    <x v="18"/>
    <s v="Asia"/>
    <x v="12"/>
    <x v="0"/>
    <m/>
    <s v=""/>
    <s v=""/>
  </r>
  <r>
    <n v="1176"/>
    <x v="34"/>
    <s v="Old Style Shio Ramen"/>
    <x v="0"/>
    <x v="18"/>
    <s v="Asia"/>
    <x v="2"/>
    <x v="2"/>
    <m/>
    <s v=""/>
    <s v=""/>
  </r>
  <r>
    <n v="1174"/>
    <x v="246"/>
    <s v="Crab Flavor Instant Ramen"/>
    <x v="0"/>
    <x v="18"/>
    <s v="Asia"/>
    <x v="0"/>
    <x v="0"/>
    <m/>
    <s v=""/>
    <s v=""/>
  </r>
  <r>
    <n v="1170"/>
    <x v="4"/>
    <s v="Jan Jan Yakisoba"/>
    <x v="2"/>
    <x v="18"/>
    <s v="Asia"/>
    <x v="10"/>
    <x v="2"/>
    <m/>
    <s v=""/>
    <s v=""/>
  </r>
  <r>
    <n v="1168"/>
    <x v="20"/>
    <s v="Donbei Curry Udon (West Japanese)"/>
    <x v="1"/>
    <x v="18"/>
    <s v="Asia"/>
    <x v="5"/>
    <x v="2"/>
    <m/>
    <s v=""/>
    <s v=""/>
  </r>
  <r>
    <n v="1162"/>
    <x v="20"/>
    <s v="Chanpon Ramen"/>
    <x v="0"/>
    <x v="18"/>
    <s v="Asia"/>
    <x v="15"/>
    <x v="0"/>
    <m/>
    <s v=""/>
    <s v=""/>
  </r>
  <r>
    <n v="1159"/>
    <x v="269"/>
    <s v="Yakisoba"/>
    <x v="3"/>
    <x v="18"/>
    <s v="Asia"/>
    <x v="3"/>
    <x v="0"/>
    <m/>
    <s v=""/>
    <s v=""/>
  </r>
  <r>
    <n v="1152"/>
    <x v="40"/>
    <s v="Tomato &amp; Basil Shio Ramen"/>
    <x v="0"/>
    <x v="18"/>
    <s v="Asia"/>
    <x v="0"/>
    <x v="0"/>
    <m/>
    <s v=""/>
    <s v=""/>
  </r>
  <r>
    <n v="1138"/>
    <x v="243"/>
    <s v="Downtown Ramen Shop Shoyu"/>
    <x v="0"/>
    <x v="18"/>
    <s v="Asia"/>
    <x v="15"/>
    <x v="0"/>
    <m/>
    <s v=""/>
    <s v=""/>
  </r>
  <r>
    <n v="1136"/>
    <x v="20"/>
    <s v="Yakisoba"/>
    <x v="0"/>
    <x v="18"/>
    <s v="Asia"/>
    <x v="3"/>
    <x v="0"/>
    <m/>
    <s v=""/>
    <s v=""/>
  </r>
  <r>
    <n v="1129"/>
    <x v="262"/>
    <s v="Baby Star Ramen Round Chikinmini"/>
    <x v="0"/>
    <x v="18"/>
    <s v="Asia"/>
    <x v="2"/>
    <x v="2"/>
    <m/>
    <s v=""/>
    <s v=""/>
  </r>
  <r>
    <n v="1123"/>
    <x v="34"/>
    <s v="Fresh Yaki-Soba Stir Fry Noodles With Seasoning Sauce Base"/>
    <x v="0"/>
    <x v="18"/>
    <s v="Asia"/>
    <x v="12"/>
    <x v="0"/>
    <m/>
    <s v=""/>
    <s v=""/>
  </r>
  <r>
    <n v="1122"/>
    <x v="270"/>
    <s v="Ramen Kamen Thasos Galle Pork Bone"/>
    <x v="0"/>
    <x v="18"/>
    <s v="Asia"/>
    <x v="12"/>
    <x v="0"/>
    <m/>
    <s v=""/>
    <s v=""/>
  </r>
  <r>
    <n v="1116"/>
    <x v="239"/>
    <s v="Mini Instant Noodles Artificial Chicken Flavor"/>
    <x v="0"/>
    <x v="18"/>
    <s v="Asia"/>
    <x v="3"/>
    <x v="0"/>
    <m/>
    <s v=""/>
    <s v=""/>
  </r>
  <r>
    <n v="1106"/>
    <x v="20"/>
    <s v="Raoh Rich Soy Sauce With Roast Pork (2 Slices)"/>
    <x v="1"/>
    <x v="18"/>
    <s v="Asia"/>
    <x v="17"/>
    <x v="0"/>
    <m/>
    <s v=""/>
    <s v=""/>
  </r>
  <r>
    <n v="1103"/>
    <x v="25"/>
    <s v="Ippei-chan Yomise No Yakisoba Teriyaki Mayo Flavor"/>
    <x v="3"/>
    <x v="18"/>
    <s v="Asia"/>
    <x v="3"/>
    <x v="0"/>
    <m/>
    <s v=""/>
    <s v=""/>
  </r>
  <r>
    <n v="1083"/>
    <x v="20"/>
    <s v="GooTa Demi Hamburg-Men"/>
    <x v="2"/>
    <x v="18"/>
    <s v="Asia"/>
    <x v="15"/>
    <x v="0"/>
    <m/>
    <s v=""/>
    <s v=""/>
  </r>
  <r>
    <n v="1071"/>
    <x v="20"/>
    <s v="Raoh Soy Sauce Taste"/>
    <x v="0"/>
    <x v="18"/>
    <s v="Asia"/>
    <x v="0"/>
    <x v="0"/>
    <m/>
    <s v=""/>
    <s v=""/>
  </r>
  <r>
    <n v="1069"/>
    <x v="20"/>
    <s v="Raoh Rich Miso Flavor"/>
    <x v="1"/>
    <x v="18"/>
    <s v="Asia"/>
    <x v="3"/>
    <x v="0"/>
    <m/>
    <s v=""/>
    <s v=""/>
  </r>
  <r>
    <n v="1067"/>
    <x v="20"/>
    <s v="Cup Noodle Red Shock"/>
    <x v="2"/>
    <x v="18"/>
    <s v="Asia"/>
    <x v="10"/>
    <x v="2"/>
    <m/>
    <s v=""/>
    <s v=""/>
  </r>
  <r>
    <n v="1051"/>
    <x v="34"/>
    <s v="Seimen Japanese Instant Ramen Noodles Soy Sauce Taste"/>
    <x v="0"/>
    <x v="18"/>
    <s v="Asia"/>
    <x v="10"/>
    <x v="2"/>
    <m/>
    <s v=""/>
    <s v=""/>
  </r>
  <r>
    <n v="1047"/>
    <x v="231"/>
    <s v="Yakisoba Noodle"/>
    <x v="3"/>
    <x v="18"/>
    <s v="Asia"/>
    <x v="0"/>
    <x v="0"/>
    <m/>
    <s v=""/>
    <s v=""/>
  </r>
  <r>
    <n v="1038"/>
    <x v="246"/>
    <s v="Chanponmen"/>
    <x v="0"/>
    <x v="18"/>
    <s v="Asia"/>
    <x v="12"/>
    <x v="0"/>
    <m/>
    <s v=""/>
    <s v=""/>
  </r>
  <r>
    <n v="1033"/>
    <x v="20"/>
    <s v="King Cup Noodle BBQ Chicken &amp; Onion"/>
    <x v="2"/>
    <x v="18"/>
    <s v="Asia"/>
    <x v="10"/>
    <x v="2"/>
    <m/>
    <s v=""/>
    <s v=""/>
  </r>
  <r>
    <n v="1014"/>
    <x v="20"/>
    <s v="King Spa Oh Peperoncino Spaghetti (Êó•Ê∏ÖÁîü„Çø„Ç§„ÉóSpaÁéã „Éö„Éö„É≠„É≥„ÉÅ„Éº„Éé)"/>
    <x v="1"/>
    <x v="18"/>
    <s v="Asia"/>
    <x v="12"/>
    <x v="0"/>
    <m/>
    <s v=""/>
    <s v=""/>
  </r>
  <r>
    <n v="997"/>
    <x v="259"/>
    <s v="Miso Stew Instant Udon (Winter)"/>
    <x v="0"/>
    <x v="18"/>
    <s v="Asia"/>
    <x v="12"/>
    <x v="0"/>
    <m/>
    <s v=""/>
    <s v=""/>
  </r>
  <r>
    <n v="976"/>
    <x v="20"/>
    <s v="Donbei Tensoba"/>
    <x v="1"/>
    <x v="18"/>
    <s v="Asia"/>
    <x v="0"/>
    <x v="0"/>
    <m/>
    <s v=""/>
    <s v=""/>
  </r>
  <r>
    <n v="964"/>
    <x v="20"/>
    <s v="Raoh Backfat Rich Soy Sauce Flavor"/>
    <x v="1"/>
    <x v="18"/>
    <s v="Asia"/>
    <x v="3"/>
    <x v="0"/>
    <m/>
    <s v=""/>
    <s v=""/>
  </r>
  <r>
    <n v="959"/>
    <x v="259"/>
    <s v="ARCHE Naturk√ºche Ramen Mit Ingwer"/>
    <x v="0"/>
    <x v="18"/>
    <s v="Asia"/>
    <x v="5"/>
    <x v="2"/>
    <m/>
    <s v=""/>
    <s v=""/>
  </r>
  <r>
    <n v="958"/>
    <x v="259"/>
    <s v="Soy Sauce Ramen"/>
    <x v="1"/>
    <x v="18"/>
    <s v="Asia"/>
    <x v="12"/>
    <x v="0"/>
    <m/>
    <s v=""/>
    <s v=""/>
  </r>
  <r>
    <n v="957"/>
    <x v="259"/>
    <s v="100% Vegetarian Soy Sauce Flavor"/>
    <x v="0"/>
    <x v="18"/>
    <s v="Asia"/>
    <x v="12"/>
    <x v="0"/>
    <m/>
    <s v=""/>
    <s v=""/>
  </r>
  <r>
    <n v="956"/>
    <x v="259"/>
    <s v="Sesame Noodles"/>
    <x v="0"/>
    <x v="18"/>
    <s v="Asia"/>
    <x v="3"/>
    <x v="0"/>
    <m/>
    <s v=""/>
    <s v=""/>
  </r>
  <r>
    <n v="955"/>
    <x v="259"/>
    <s v="Miso Ramen"/>
    <x v="1"/>
    <x v="18"/>
    <s v="Asia"/>
    <x v="0"/>
    <x v="0"/>
    <m/>
    <s v=""/>
    <s v=""/>
  </r>
  <r>
    <n v="954"/>
    <x v="259"/>
    <s v="ARCHE Naturk√ºche Japanische Nudelsuppe"/>
    <x v="0"/>
    <x v="18"/>
    <s v="Asia"/>
    <x v="5"/>
    <x v="2"/>
    <m/>
    <s v=""/>
    <s v=""/>
  </r>
  <r>
    <n v="953"/>
    <x v="259"/>
    <s v="Soy Sauce Ramen"/>
    <x v="0"/>
    <x v="18"/>
    <s v="Asia"/>
    <x v="15"/>
    <x v="0"/>
    <m/>
    <s v=""/>
    <s v=""/>
  </r>
  <r>
    <n v="916"/>
    <x v="271"/>
    <s v="Seafood Flavor Japanese Noodles"/>
    <x v="1"/>
    <x v="18"/>
    <s v="Asia"/>
    <x v="12"/>
    <x v="0"/>
    <m/>
    <s v=""/>
    <s v=""/>
  </r>
  <r>
    <n v="914"/>
    <x v="20"/>
    <s v="Ramen Shop Sapporo Miso"/>
    <x v="0"/>
    <x v="18"/>
    <s v="Asia"/>
    <x v="0"/>
    <x v="0"/>
    <m/>
    <s v=""/>
    <s v=""/>
  </r>
  <r>
    <n v="904"/>
    <x v="25"/>
    <s v="Ippei-chan Yomise-No Yakisoba Oriental"/>
    <x v="3"/>
    <x v="18"/>
    <s v="Asia"/>
    <x v="15"/>
    <x v="0"/>
    <m/>
    <s v=""/>
    <s v=""/>
  </r>
  <r>
    <n v="874"/>
    <x v="272"/>
    <s v="Nabeyaki Udon"/>
    <x v="1"/>
    <x v="18"/>
    <s v="Asia"/>
    <x v="2"/>
    <x v="2"/>
    <m/>
    <s v=""/>
    <s v=""/>
  </r>
  <r>
    <n v="847"/>
    <x v="246"/>
    <s v="Sansai Soba Edible Wld Plant"/>
    <x v="1"/>
    <x v="18"/>
    <s v="Asia"/>
    <x v="5"/>
    <x v="2"/>
    <m/>
    <s v=""/>
    <s v=""/>
  </r>
  <r>
    <n v="830"/>
    <x v="273"/>
    <s v="Seven &amp; I Shoyu"/>
    <x v="2"/>
    <x v="18"/>
    <s v="Asia"/>
    <x v="17"/>
    <x v="0"/>
    <m/>
    <s v=""/>
    <s v=""/>
  </r>
  <r>
    <n v="825"/>
    <x v="148"/>
    <s v="Shoyu"/>
    <x v="2"/>
    <x v="18"/>
    <s v="Asia"/>
    <x v="5"/>
    <x v="2"/>
    <m/>
    <s v=""/>
    <s v=""/>
  </r>
  <r>
    <n v="819"/>
    <x v="34"/>
    <s v="Tempura Soba"/>
    <x v="0"/>
    <x v="18"/>
    <s v="Asia"/>
    <x v="0"/>
    <x v="0"/>
    <m/>
    <s v=""/>
    <s v=""/>
  </r>
  <r>
    <n v="805"/>
    <x v="4"/>
    <s v="Super Big Ramen Soy Sauce"/>
    <x v="1"/>
    <x v="18"/>
    <s v="Asia"/>
    <x v="7"/>
    <x v="1"/>
    <m/>
    <s v=""/>
    <s v=""/>
  </r>
  <r>
    <n v="791"/>
    <x v="4"/>
    <s v="Super Big Ramen Tonkotsu"/>
    <x v="1"/>
    <x v="18"/>
    <s v="Asia"/>
    <x v="19"/>
    <x v="1"/>
    <m/>
    <s v=""/>
    <s v=""/>
  </r>
  <r>
    <n v="756"/>
    <x v="241"/>
    <s v="Bikkuchigekara Big Chige"/>
    <x v="1"/>
    <x v="18"/>
    <s v="Asia"/>
    <x v="10"/>
    <x v="2"/>
    <m/>
    <s v=""/>
    <s v=""/>
  </r>
  <r>
    <n v="738"/>
    <x v="20"/>
    <s v="U.F.O. Yakiosoba"/>
    <x v="1"/>
    <x v="18"/>
    <s v="Asia"/>
    <x v="10"/>
    <x v="2"/>
    <m/>
    <s v=""/>
    <s v=""/>
  </r>
  <r>
    <n v="722"/>
    <x v="274"/>
    <s v="Seafood Ramen"/>
    <x v="1"/>
    <x v="18"/>
    <s v="Asia"/>
    <x v="2"/>
    <x v="2"/>
    <m/>
    <s v=""/>
    <s v=""/>
  </r>
  <r>
    <n v="702"/>
    <x v="20"/>
    <s v="Demae Ramen Black Garlic Oil Tonkotsu"/>
    <x v="0"/>
    <x v="18"/>
    <s v="Asia"/>
    <x v="17"/>
    <x v="0"/>
    <m/>
    <s v=""/>
    <s v=""/>
  </r>
  <r>
    <n v="700"/>
    <x v="20"/>
    <s v="Chikin Ramen (Local)"/>
    <x v="0"/>
    <x v="18"/>
    <s v="Asia"/>
    <x v="3"/>
    <x v="0"/>
    <m/>
    <s v=""/>
    <s v=""/>
  </r>
  <r>
    <n v="695"/>
    <x v="275"/>
    <s v="Japanese Style Noodle Curry"/>
    <x v="1"/>
    <x v="18"/>
    <s v="Asia"/>
    <x v="17"/>
    <x v="0"/>
    <m/>
    <s v=""/>
    <s v=""/>
  </r>
  <r>
    <n v="669"/>
    <x v="20"/>
    <s v="Gozen Tempura"/>
    <x v="1"/>
    <x v="18"/>
    <s v="Asia"/>
    <x v="0"/>
    <x v="0"/>
    <m/>
    <s v=""/>
    <s v=""/>
  </r>
  <r>
    <n v="662"/>
    <x v="241"/>
    <s v="Shokuh Kitsune Udon"/>
    <x v="1"/>
    <x v="18"/>
    <s v="Asia"/>
    <x v="12"/>
    <x v="0"/>
    <m/>
    <s v=""/>
    <s v=""/>
  </r>
  <r>
    <n v="661"/>
    <x v="274"/>
    <s v="Ponpoko Tempura Soba"/>
    <x v="1"/>
    <x v="18"/>
    <s v="Asia"/>
    <x v="12"/>
    <x v="0"/>
    <m/>
    <s v=""/>
    <s v=""/>
  </r>
  <r>
    <n v="652"/>
    <x v="40"/>
    <s v="Shio"/>
    <x v="0"/>
    <x v="18"/>
    <s v="Asia"/>
    <x v="3"/>
    <x v="0"/>
    <m/>
    <s v=""/>
    <s v=""/>
  </r>
  <r>
    <n v="646"/>
    <x v="274"/>
    <s v="Shoyu"/>
    <x v="1"/>
    <x v="18"/>
    <s v="Asia"/>
    <x v="12"/>
    <x v="0"/>
    <m/>
    <s v=""/>
    <s v=""/>
  </r>
  <r>
    <n v="639"/>
    <x v="20"/>
    <s v="Gozen Kitsune Udon"/>
    <x v="1"/>
    <x v="18"/>
    <s v="Asia"/>
    <x v="3"/>
    <x v="0"/>
    <m/>
    <s v=""/>
    <s v=""/>
  </r>
  <r>
    <n v="636"/>
    <x v="276"/>
    <s v="Tom Yam Ramen Pork"/>
    <x v="0"/>
    <x v="18"/>
    <s v="Asia"/>
    <x v="15"/>
    <x v="0"/>
    <m/>
    <s v=""/>
    <s v=""/>
  </r>
  <r>
    <n v="622"/>
    <x v="241"/>
    <s v="My Friend Vic Tanuki Udon"/>
    <x v="1"/>
    <x v="18"/>
    <s v="Asia"/>
    <x v="15"/>
    <x v="0"/>
    <m/>
    <s v=""/>
    <s v=""/>
  </r>
  <r>
    <n v="619"/>
    <x v="274"/>
    <s v="Ponpoko Tempura Udon"/>
    <x v="1"/>
    <x v="18"/>
    <s v="Asia"/>
    <x v="15"/>
    <x v="0"/>
    <m/>
    <s v=""/>
    <s v=""/>
  </r>
  <r>
    <n v="617"/>
    <x v="20"/>
    <s v="Demae Iccho Sesame Oil Chicken Macaroni"/>
    <x v="0"/>
    <x v="18"/>
    <s v="Asia"/>
    <x v="10"/>
    <x v="2"/>
    <m/>
    <s v=""/>
    <s v=""/>
  </r>
  <r>
    <n v="615"/>
    <x v="276"/>
    <s v="Tom Yam Prawn"/>
    <x v="0"/>
    <x v="18"/>
    <s v="Asia"/>
    <x v="17"/>
    <x v="0"/>
    <m/>
    <s v=""/>
    <s v=""/>
  </r>
  <r>
    <n v="576"/>
    <x v="245"/>
    <s v="Tempura Soba"/>
    <x v="1"/>
    <x v="18"/>
    <s v="Asia"/>
    <x v="10"/>
    <x v="2"/>
    <m/>
    <s v=""/>
    <s v=""/>
  </r>
  <r>
    <n v="571"/>
    <x v="29"/>
    <s v="Japanese Style Tokusen Sio"/>
    <x v="0"/>
    <x v="18"/>
    <s v="Asia"/>
    <x v="5"/>
    <x v="2"/>
    <m/>
    <s v=""/>
    <s v=""/>
  </r>
  <r>
    <n v="567"/>
    <x v="271"/>
    <s v="Soy Sauce"/>
    <x v="1"/>
    <x v="18"/>
    <s v="Asia"/>
    <x v="2"/>
    <x v="2"/>
    <m/>
    <s v=""/>
    <s v=""/>
  </r>
  <r>
    <n v="560"/>
    <x v="25"/>
    <s v="Ippeichan Soy Sauce"/>
    <x v="1"/>
    <x v="18"/>
    <s v="Asia"/>
    <x v="0"/>
    <x v="0"/>
    <m/>
    <s v=""/>
    <s v=""/>
  </r>
  <r>
    <n v="550"/>
    <x v="20"/>
    <s v="Taisho Fried Noodle Yakisoba"/>
    <x v="0"/>
    <x v="18"/>
    <s v="Asia"/>
    <x v="12"/>
    <x v="0"/>
    <m/>
    <s v=""/>
    <s v=""/>
  </r>
  <r>
    <n v="543"/>
    <x v="245"/>
    <s v="Curry Udon"/>
    <x v="1"/>
    <x v="18"/>
    <s v="Asia"/>
    <x v="15"/>
    <x v="0"/>
    <m/>
    <s v=""/>
    <s v=""/>
  </r>
  <r>
    <n v="539"/>
    <x v="20"/>
    <s v="Demae Ramen Chicken"/>
    <x v="0"/>
    <x v="18"/>
    <s v="Asia"/>
    <x v="4"/>
    <x v="2"/>
    <m/>
    <s v=""/>
    <s v=""/>
  </r>
  <r>
    <n v="521"/>
    <x v="245"/>
    <s v="Soy Sauce"/>
    <x v="1"/>
    <x v="18"/>
    <s v="Asia"/>
    <x v="12"/>
    <x v="0"/>
    <m/>
    <s v=""/>
    <s v=""/>
  </r>
  <r>
    <n v="514"/>
    <x v="29"/>
    <s v="Sanukiya Fresh Spicy Ramen"/>
    <x v="1"/>
    <x v="18"/>
    <s v="Asia"/>
    <x v="4"/>
    <x v="2"/>
    <m/>
    <s v=""/>
    <s v=""/>
  </r>
  <r>
    <n v="511"/>
    <x v="245"/>
    <s v="Miso"/>
    <x v="1"/>
    <x v="18"/>
    <s v="Asia"/>
    <x v="9"/>
    <x v="2"/>
    <m/>
    <s v=""/>
    <s v=""/>
  </r>
  <r>
    <n v="497"/>
    <x v="20"/>
    <s v="Demae Iccho Seafood &amp; Abalone Macaroni"/>
    <x v="0"/>
    <x v="18"/>
    <s v="Asia"/>
    <x v="0"/>
    <x v="0"/>
    <m/>
    <s v=""/>
    <s v=""/>
  </r>
  <r>
    <n v="483"/>
    <x v="246"/>
    <s v="Yellow Buckwheat"/>
    <x v="1"/>
    <x v="18"/>
    <s v="Asia"/>
    <x v="17"/>
    <x v="0"/>
    <m/>
    <s v=""/>
    <s v=""/>
  </r>
  <r>
    <n v="482"/>
    <x v="245"/>
    <s v="Shio"/>
    <x v="1"/>
    <x v="18"/>
    <s v="Asia"/>
    <x v="17"/>
    <x v="0"/>
    <m/>
    <s v=""/>
    <s v=""/>
  </r>
  <r>
    <n v="473"/>
    <x v="25"/>
    <s v="Ramen-Desse Miso Soybean Paste"/>
    <x v="1"/>
    <x v="18"/>
    <s v="Asia"/>
    <x v="17"/>
    <x v="0"/>
    <m/>
    <s v=""/>
    <s v=""/>
  </r>
  <r>
    <n v="460"/>
    <x v="245"/>
    <s v="Tempura Udon"/>
    <x v="1"/>
    <x v="18"/>
    <s v="Asia"/>
    <x v="3"/>
    <x v="0"/>
    <m/>
    <s v=""/>
    <s v=""/>
  </r>
  <r>
    <n v="452"/>
    <x v="25"/>
    <s v="Hyoubanya No Chukasoba Soy Sauce"/>
    <x v="0"/>
    <x v="18"/>
    <s v="Asia"/>
    <x v="0"/>
    <x v="0"/>
    <m/>
    <s v=""/>
    <s v=""/>
  </r>
  <r>
    <n v="451"/>
    <x v="25"/>
    <s v="Ippeichan Soybean Paste"/>
    <x v="1"/>
    <x v="18"/>
    <s v="Asia"/>
    <x v="0"/>
    <x v="0"/>
    <m/>
    <s v=""/>
    <s v=""/>
  </r>
  <r>
    <n v="421"/>
    <x v="25"/>
    <s v="Kakesoba Desse Soy Sauce"/>
    <x v="1"/>
    <x v="18"/>
    <s v="Asia"/>
    <x v="9"/>
    <x v="2"/>
    <m/>
    <s v=""/>
    <s v=""/>
  </r>
  <r>
    <n v="419"/>
    <x v="25"/>
    <s v="Ramen Desse Shio"/>
    <x v="1"/>
    <x v="18"/>
    <s v="Asia"/>
    <x v="12"/>
    <x v="0"/>
    <m/>
    <s v=""/>
    <s v=""/>
  </r>
  <r>
    <n v="412"/>
    <x v="34"/>
    <s v="Midori No Tanuki"/>
    <x v="1"/>
    <x v="18"/>
    <s v="Asia"/>
    <x v="38"/>
    <x v="0"/>
    <m/>
    <s v=""/>
    <s v=""/>
  </r>
  <r>
    <n v="401"/>
    <x v="25"/>
    <s v="Suudon Desse Soy Sauce"/>
    <x v="1"/>
    <x v="18"/>
    <s v="Asia"/>
    <x v="12"/>
    <x v="0"/>
    <m/>
    <s v=""/>
    <s v=""/>
  </r>
  <r>
    <n v="390"/>
    <x v="245"/>
    <s v="Curry Soba"/>
    <x v="1"/>
    <x v="18"/>
    <s v="Asia"/>
    <x v="0"/>
    <x v="0"/>
    <m/>
    <s v=""/>
    <s v=""/>
  </r>
  <r>
    <n v="384"/>
    <x v="20"/>
    <s v="Demae Iccho Tom Yam Goong Macaroni"/>
    <x v="0"/>
    <x v="18"/>
    <s v="Asia"/>
    <x v="0"/>
    <x v="0"/>
    <m/>
    <s v=""/>
    <s v=""/>
  </r>
  <r>
    <n v="363"/>
    <x v="20"/>
    <s v="Demae Iccho Tonkotsu Macaroni"/>
    <x v="0"/>
    <x v="18"/>
    <s v="Asia"/>
    <x v="2"/>
    <x v="2"/>
    <m/>
    <s v=""/>
    <s v=""/>
  </r>
  <r>
    <n v="345"/>
    <x v="25"/>
    <s v="Charumera Shoyu"/>
    <x v="0"/>
    <x v="18"/>
    <s v="Asia"/>
    <x v="2"/>
    <x v="2"/>
    <m/>
    <s v=""/>
    <s v=""/>
  </r>
  <r>
    <n v="340"/>
    <x v="29"/>
    <s v="Japanese Style Tokusen Shoyu"/>
    <x v="0"/>
    <x v="18"/>
    <s v="Asia"/>
    <x v="0"/>
    <x v="0"/>
    <m/>
    <s v=""/>
    <s v=""/>
  </r>
  <r>
    <n v="335"/>
    <x v="271"/>
    <s v="Hot &amp; Spicy Beef"/>
    <x v="1"/>
    <x v="18"/>
    <s v="Asia"/>
    <x v="2"/>
    <x v="2"/>
    <m/>
    <s v=""/>
    <s v=""/>
  </r>
  <r>
    <n v="295"/>
    <x v="243"/>
    <s v="Soybean Paste"/>
    <x v="1"/>
    <x v="18"/>
    <s v="Asia"/>
    <x v="17"/>
    <x v="0"/>
    <m/>
    <s v=""/>
    <s v=""/>
  </r>
  <r>
    <n v="286"/>
    <x v="25"/>
    <s v="Hyoubanya No Yakisoba Oriental"/>
    <x v="3"/>
    <x v="18"/>
    <s v="Asia"/>
    <x v="0"/>
    <x v="0"/>
    <m/>
    <s v=""/>
    <s v=""/>
  </r>
  <r>
    <n v="247"/>
    <x v="25"/>
    <s v="Udon Mushroom"/>
    <x v="0"/>
    <x v="18"/>
    <s v="Asia"/>
    <x v="4"/>
    <x v="2"/>
    <m/>
    <s v=""/>
    <s v=""/>
  </r>
  <r>
    <n v="244"/>
    <x v="20"/>
    <s v="Karashi Mayo Yakisoba"/>
    <x v="3"/>
    <x v="18"/>
    <s v="Asia"/>
    <x v="15"/>
    <x v="0"/>
    <m/>
    <s v=""/>
    <s v=""/>
  </r>
  <r>
    <n v="243"/>
    <x v="25"/>
    <s v="Udon Hot &amp; Spicy"/>
    <x v="0"/>
    <x v="18"/>
    <s v="Asia"/>
    <x v="17"/>
    <x v="0"/>
    <m/>
    <s v=""/>
    <s v=""/>
  </r>
  <r>
    <n v="240"/>
    <x v="277"/>
    <s v="Aunt Mentaiko Durum Spaghetti"/>
    <x v="1"/>
    <x v="18"/>
    <s v="Asia"/>
    <x v="17"/>
    <x v="0"/>
    <m/>
    <s v=""/>
    <s v=""/>
  </r>
  <r>
    <n v="234"/>
    <x v="25"/>
    <s v="Udon Shrimp"/>
    <x v="0"/>
    <x v="18"/>
    <s v="Asia"/>
    <x v="10"/>
    <x v="2"/>
    <m/>
    <s v=""/>
    <s v=""/>
  </r>
  <r>
    <n v="229"/>
    <x v="25"/>
    <s v="Udon Chicken"/>
    <x v="0"/>
    <x v="18"/>
    <s v="Asia"/>
    <x v="10"/>
    <x v="2"/>
    <m/>
    <s v=""/>
    <s v=""/>
  </r>
  <r>
    <n v="222"/>
    <x v="25"/>
    <s v="Udon Crab"/>
    <x v="0"/>
    <x v="18"/>
    <s v="Asia"/>
    <x v="4"/>
    <x v="2"/>
    <m/>
    <s v=""/>
    <s v=""/>
  </r>
  <r>
    <n v="198"/>
    <x v="29"/>
    <s v="Sanukiya Somen"/>
    <x v="1"/>
    <x v="18"/>
    <s v="Asia"/>
    <x v="12"/>
    <x v="0"/>
    <m/>
    <s v=""/>
    <s v=""/>
  </r>
  <r>
    <n v="195"/>
    <x v="25"/>
    <s v="Chukazanmai Served Cool Sesame Flavored Rice Vinegar Sesame"/>
    <x v="0"/>
    <x v="18"/>
    <s v="Asia"/>
    <x v="4"/>
    <x v="2"/>
    <m/>
    <s v=""/>
    <s v=""/>
  </r>
  <r>
    <n v="185"/>
    <x v="29"/>
    <s v="Sanukiya Udon"/>
    <x v="1"/>
    <x v="18"/>
    <s v="Asia"/>
    <x v="10"/>
    <x v="2"/>
    <m/>
    <s v=""/>
    <s v=""/>
  </r>
  <r>
    <n v="184"/>
    <x v="25"/>
    <s v="Chukazanmai Soy Sauce"/>
    <x v="0"/>
    <x v="18"/>
    <s v="Asia"/>
    <x v="10"/>
    <x v="2"/>
    <m/>
    <s v=""/>
    <s v=""/>
  </r>
  <r>
    <n v="182"/>
    <x v="25"/>
    <s v="Chukazanmai Soy Sauce chili Oil"/>
    <x v="0"/>
    <x v="18"/>
    <s v="Asia"/>
    <x v="5"/>
    <x v="2"/>
    <m/>
    <s v=""/>
    <s v=""/>
  </r>
  <r>
    <n v="180"/>
    <x v="25"/>
    <s v="Hyobanya No Yakisoba Sauce Flavor"/>
    <x v="3"/>
    <x v="18"/>
    <s v="Asia"/>
    <x v="15"/>
    <x v="0"/>
    <m/>
    <s v=""/>
    <s v=""/>
  </r>
  <r>
    <n v="170"/>
    <x v="25"/>
    <s v="Chukazanmai Soybean Paste"/>
    <x v="0"/>
    <x v="18"/>
    <s v="Asia"/>
    <x v="2"/>
    <x v="2"/>
    <m/>
    <s v=""/>
    <s v=""/>
  </r>
  <r>
    <n v="168"/>
    <x v="275"/>
    <s v="Japanese Style Noodle Fresh Udon"/>
    <x v="1"/>
    <x v="18"/>
    <s v="Asia"/>
    <x v="10"/>
    <x v="2"/>
    <m/>
    <s v=""/>
    <s v=""/>
  </r>
  <r>
    <n v="162"/>
    <x v="25"/>
    <s v="Chukazanmai Oriental"/>
    <x v="0"/>
    <x v="18"/>
    <s v="Asia"/>
    <x v="10"/>
    <x v="2"/>
    <m/>
    <s v=""/>
    <s v=""/>
  </r>
  <r>
    <n v="160"/>
    <x v="25"/>
    <s v="Ramen Desse Soy Sauce"/>
    <x v="1"/>
    <x v="18"/>
    <s v="Asia"/>
    <x v="8"/>
    <x v="1"/>
    <m/>
    <s v=""/>
    <s v=""/>
  </r>
  <r>
    <n v="151"/>
    <x v="29"/>
    <s v="Japanese Style Tokusen Miso"/>
    <x v="0"/>
    <x v="18"/>
    <s v="Asia"/>
    <x v="4"/>
    <x v="2"/>
    <m/>
    <s v=""/>
    <s v=""/>
  </r>
  <r>
    <n v="149"/>
    <x v="34"/>
    <s v="Akai Kitsune Udon"/>
    <x v="1"/>
    <x v="18"/>
    <s v="Asia"/>
    <x v="0"/>
    <x v="0"/>
    <m/>
    <s v=""/>
    <s v=""/>
  </r>
  <r>
    <n v="148"/>
    <x v="25"/>
    <s v="Okinawa Soba"/>
    <x v="0"/>
    <x v="18"/>
    <s v="Asia"/>
    <x v="10"/>
    <x v="2"/>
    <m/>
    <s v=""/>
    <s v=""/>
  </r>
  <r>
    <n v="147"/>
    <x v="278"/>
    <s v="Nagasaki Sara Udon"/>
    <x v="0"/>
    <x v="18"/>
    <s v="Asia"/>
    <x v="3"/>
    <x v="0"/>
    <m/>
    <s v=""/>
    <s v=""/>
  </r>
  <r>
    <n v="145"/>
    <x v="279"/>
    <s v="Vegetarian Flavor"/>
    <x v="0"/>
    <x v="18"/>
    <s v="Asia"/>
    <x v="2"/>
    <x v="2"/>
    <m/>
    <s v=""/>
    <s v=""/>
  </r>
  <r>
    <n v="130"/>
    <x v="40"/>
    <s v="Miso Soybean Paste"/>
    <x v="0"/>
    <x v="18"/>
    <s v="Asia"/>
    <x v="2"/>
    <x v="2"/>
    <m/>
    <s v=""/>
    <s v=""/>
  </r>
  <r>
    <n v="125"/>
    <x v="29"/>
    <s v="Japanese Style Tokusen Karami"/>
    <x v="0"/>
    <x v="18"/>
    <s v="Asia"/>
    <x v="4"/>
    <x v="2"/>
    <m/>
    <s v=""/>
    <s v=""/>
  </r>
  <r>
    <n v="124"/>
    <x v="20"/>
    <s v="Yakisoba With Mayonnaise/Mustard Packet"/>
    <x v="3"/>
    <x v="18"/>
    <s v="Asia"/>
    <x v="3"/>
    <x v="0"/>
    <m/>
    <s v=""/>
    <s v=""/>
  </r>
  <r>
    <n v="85"/>
    <x v="20"/>
    <s v="Demae Ramen Sesame"/>
    <x v="0"/>
    <x v="18"/>
    <s v="Asia"/>
    <x v="10"/>
    <x v="2"/>
    <m/>
    <s v=""/>
    <s v=""/>
  </r>
  <r>
    <n v="83"/>
    <x v="20"/>
    <s v="Demae Ramen Spicy Flavor"/>
    <x v="0"/>
    <x v="18"/>
    <s v="Asia"/>
    <x v="11"/>
    <x v="1"/>
    <m/>
    <s v=""/>
    <s v=""/>
  </r>
  <r>
    <n v="82"/>
    <x v="20"/>
    <s v="Demae Ramen Miso"/>
    <x v="0"/>
    <x v="18"/>
    <s v="Asia"/>
    <x v="9"/>
    <x v="2"/>
    <m/>
    <s v=""/>
    <s v=""/>
  </r>
  <r>
    <n v="79"/>
    <x v="40"/>
    <s v="Kitsune Udon"/>
    <x v="0"/>
    <x v="18"/>
    <s v="Asia"/>
    <x v="5"/>
    <x v="2"/>
    <m/>
    <s v=""/>
    <s v=""/>
  </r>
  <r>
    <n v="78"/>
    <x v="20"/>
    <s v="Demae Ramen Seafood"/>
    <x v="0"/>
    <x v="18"/>
    <s v="Asia"/>
    <x v="6"/>
    <x v="1"/>
    <m/>
    <s v=""/>
    <s v=""/>
  </r>
  <r>
    <n v="77"/>
    <x v="20"/>
    <s v="Demae Ramen Prawn"/>
    <x v="0"/>
    <x v="18"/>
    <s v="Asia"/>
    <x v="5"/>
    <x v="2"/>
    <m/>
    <s v=""/>
    <s v=""/>
  </r>
  <r>
    <n v="74"/>
    <x v="20"/>
    <s v="Demae Ramen Shoyu"/>
    <x v="0"/>
    <x v="18"/>
    <s v="Asia"/>
    <x v="0"/>
    <x v="0"/>
    <m/>
    <s v=""/>
    <s v=""/>
  </r>
  <r>
    <n v="73"/>
    <x v="20"/>
    <s v="Demae Ramen Five Spices Artificial Beef"/>
    <x v="0"/>
    <x v="18"/>
    <s v="Asia"/>
    <x v="2"/>
    <x v="2"/>
    <m/>
    <s v=""/>
    <s v=""/>
  </r>
  <r>
    <n v="72"/>
    <x v="20"/>
    <s v="Demae Ramen Tonkatsu Artificial Pork"/>
    <x v="0"/>
    <x v="18"/>
    <s v="Asia"/>
    <x v="2"/>
    <x v="2"/>
    <m/>
    <s v=""/>
    <s v=""/>
  </r>
  <r>
    <n v="71"/>
    <x v="20"/>
    <s v="Demae Ramen Satay"/>
    <x v="0"/>
    <x v="18"/>
    <s v="Asia"/>
    <x v="6"/>
    <x v="1"/>
    <m/>
    <s v=""/>
    <s v=""/>
  </r>
  <r>
    <n v="70"/>
    <x v="20"/>
    <s v="Demae Ramen XO Sauce Seafood"/>
    <x v="0"/>
    <x v="18"/>
    <s v="Asia"/>
    <x v="0"/>
    <x v="0"/>
    <m/>
    <s v=""/>
    <s v=""/>
  </r>
  <r>
    <n v="63"/>
    <x v="20"/>
    <s v="Souper Meal Chicken Flavor With Vegetable Medley"/>
    <x v="1"/>
    <x v="18"/>
    <s v="Asia"/>
    <x v="4"/>
    <x v="2"/>
    <m/>
    <s v=""/>
    <s v=""/>
  </r>
  <r>
    <n v="30"/>
    <x v="25"/>
    <s v="Special Duck"/>
    <x v="0"/>
    <x v="18"/>
    <s v="Asia"/>
    <x v="19"/>
    <x v="1"/>
    <m/>
    <s v=""/>
    <s v=""/>
  </r>
  <r>
    <n v="28"/>
    <x v="20"/>
    <s v="Chikin Ramen"/>
    <x v="0"/>
    <x v="18"/>
    <s v="Asia"/>
    <x v="3"/>
    <x v="0"/>
    <m/>
    <s v=""/>
    <s v=""/>
  </r>
  <r>
    <n v="27"/>
    <x v="20"/>
    <s v="Demae Ramen Curry Flavor"/>
    <x v="0"/>
    <x v="18"/>
    <s v="Asia"/>
    <x v="0"/>
    <x v="0"/>
    <m/>
    <s v=""/>
    <s v=""/>
  </r>
  <r>
    <n v="26"/>
    <x v="20"/>
    <s v="Soba Noodles With Mayo Mustard Squirt"/>
    <x v="0"/>
    <x v="18"/>
    <s v="Asia"/>
    <x v="0"/>
    <x v="0"/>
    <m/>
    <s v=""/>
    <s v=""/>
  </r>
  <r>
    <n v="25"/>
    <x v="20"/>
    <s v="Demae Ramen Spicy Flavor"/>
    <x v="0"/>
    <x v="18"/>
    <s v="Asia"/>
    <x v="4"/>
    <x v="2"/>
    <m/>
    <s v=""/>
    <s v=""/>
  </r>
  <r>
    <n v="24"/>
    <x v="20"/>
    <s v="Demae Ramen Spicy Seafood With Chili Pepper"/>
    <x v="0"/>
    <x v="18"/>
    <s v="Asia"/>
    <x v="11"/>
    <x v="1"/>
    <m/>
    <s v=""/>
    <s v=""/>
  </r>
  <r>
    <n v="12"/>
    <x v="40"/>
    <s v="Shrimp Flavor"/>
    <x v="0"/>
    <x v="18"/>
    <s v="Asia"/>
    <x v="6"/>
    <x v="1"/>
    <m/>
    <s v=""/>
    <s v=""/>
  </r>
  <r>
    <n v="434"/>
    <x v="280"/>
    <s v="Kari Spesial"/>
    <x v="0"/>
    <x v="19"/>
    <s v="Asia"/>
    <x v="17"/>
    <x v="0"/>
    <s v="2012 #5"/>
    <s v="2012"/>
    <s v="5"/>
  </r>
  <r>
    <n v="715"/>
    <x v="196"/>
    <s v="Mi Goreng Rendang (Import)"/>
    <x v="0"/>
    <x v="19"/>
    <s v="Asia"/>
    <x v="3"/>
    <x v="0"/>
    <s v="2013 #3"/>
    <s v="2013"/>
    <s v="3"/>
  </r>
  <r>
    <n v="47"/>
    <x v="196"/>
    <s v="Mi Goreng Jumbo Barbecue Chicken"/>
    <x v="0"/>
    <x v="19"/>
    <s v="Asia"/>
    <x v="3"/>
    <x v="0"/>
    <s v="2012 #2"/>
    <s v="2012"/>
    <s v="2"/>
  </r>
  <r>
    <n v="105"/>
    <x v="196"/>
    <s v="Special Fried Curly Noodle"/>
    <x v="0"/>
    <x v="19"/>
    <s v="Asia"/>
    <x v="3"/>
    <x v="0"/>
    <s v="2012 #1"/>
    <s v="2012"/>
    <s v="1"/>
  </r>
  <r>
    <n v="734"/>
    <x v="196"/>
    <s v="Mi Goreng Rasa Ayam Panggang Jumbo (Local)"/>
    <x v="0"/>
    <x v="19"/>
    <s v="Asia"/>
    <x v="3"/>
    <x v="0"/>
    <m/>
    <s v=""/>
    <s v=""/>
  </r>
  <r>
    <n v="45"/>
    <x v="196"/>
    <s v="Mi Goreng Sate"/>
    <x v="0"/>
    <x v="19"/>
    <s v="Asia"/>
    <x v="3"/>
    <x v="0"/>
    <m/>
    <s v=""/>
    <s v=""/>
  </r>
  <r>
    <n v="2549"/>
    <x v="20"/>
    <s v="Gekikara Ramen Extra Hot Ramen Goreng"/>
    <x v="0"/>
    <x v="19"/>
    <s v="Asia"/>
    <x v="17"/>
    <x v="0"/>
    <m/>
    <s v=""/>
    <s v=""/>
  </r>
  <r>
    <n v="2507"/>
    <x v="196"/>
    <s v="RMy Noodlez Rumput Laut"/>
    <x v="0"/>
    <x v="19"/>
    <s v="Asia"/>
    <x v="0"/>
    <x v="0"/>
    <m/>
    <s v=""/>
    <s v=""/>
  </r>
  <r>
    <n v="2463"/>
    <x v="20"/>
    <s v="Gekikara Ramen Rasa Pedas"/>
    <x v="0"/>
    <x v="19"/>
    <s v="Asia"/>
    <x v="5"/>
    <x v="2"/>
    <m/>
    <s v=""/>
    <s v=""/>
  </r>
  <r>
    <n v="2438"/>
    <x v="281"/>
    <s v="Mi Goreng Original Flavour Fried Noodles"/>
    <x v="0"/>
    <x v="19"/>
    <s v="Asia"/>
    <x v="3"/>
    <x v="0"/>
    <m/>
    <s v=""/>
    <s v=""/>
  </r>
  <r>
    <n v="2417"/>
    <x v="282"/>
    <s v="Bihun Kuah Rasa Baso Sapi"/>
    <x v="0"/>
    <x v="19"/>
    <s v="Asia"/>
    <x v="10"/>
    <x v="2"/>
    <m/>
    <s v=""/>
    <s v=""/>
  </r>
  <r>
    <n v="2399"/>
    <x v="196"/>
    <s v="My Noodles Mi Goreng Pizza Cheese"/>
    <x v="0"/>
    <x v="19"/>
    <s v="Asia"/>
    <x v="0"/>
    <x v="0"/>
    <m/>
    <s v=""/>
    <s v=""/>
  </r>
  <r>
    <n v="2374"/>
    <x v="281"/>
    <s v="Mi Goreng Garlic Flavour Fried Noodles"/>
    <x v="0"/>
    <x v="19"/>
    <s v="Asia"/>
    <x v="17"/>
    <x v="0"/>
    <m/>
    <s v=""/>
    <s v=""/>
  </r>
  <r>
    <n v="2075"/>
    <x v="280"/>
    <s v="Mi Segera Mi Goreng Ayam Krispi"/>
    <x v="0"/>
    <x v="19"/>
    <s v="Asia"/>
    <x v="17"/>
    <x v="0"/>
    <m/>
    <s v=""/>
    <s v=""/>
  </r>
  <r>
    <n v="2052"/>
    <x v="196"/>
    <s v="Pop Mie Mi Instan Cup Rasa Ayam"/>
    <x v="2"/>
    <x v="19"/>
    <s v="Asia"/>
    <x v="2"/>
    <x v="2"/>
    <m/>
    <s v=""/>
    <s v=""/>
  </r>
  <r>
    <n v="1922"/>
    <x v="283"/>
    <s v="Instant Cup Mi Kuah Rasa Baso Spesial"/>
    <x v="2"/>
    <x v="19"/>
    <s v="Asia"/>
    <x v="8"/>
    <x v="1"/>
    <m/>
    <s v=""/>
    <s v=""/>
  </r>
  <r>
    <n v="1856"/>
    <x v="196"/>
    <s v="Instant Cup Noodles Mi Goreng Fried Noodles"/>
    <x v="2"/>
    <x v="19"/>
    <s v="Asia"/>
    <x v="3"/>
    <x v="0"/>
    <m/>
    <s v=""/>
    <s v=""/>
  </r>
  <r>
    <n v="1822"/>
    <x v="280"/>
    <s v="Mi Kuah Rasa Baso Spesial"/>
    <x v="0"/>
    <x v="19"/>
    <s v="Asia"/>
    <x v="2"/>
    <x v="2"/>
    <m/>
    <s v=""/>
    <s v=""/>
  </r>
  <r>
    <n v="1750"/>
    <x v="280"/>
    <s v="Instant Cup Mi Kuah Rasa Soto"/>
    <x v="2"/>
    <x v="19"/>
    <s v="Asia"/>
    <x v="3"/>
    <x v="0"/>
    <m/>
    <s v=""/>
    <s v=""/>
  </r>
  <r>
    <n v="1737"/>
    <x v="280"/>
    <s v="Instant Cup Mi Goreng"/>
    <x v="2"/>
    <x v="19"/>
    <s v="Asia"/>
    <x v="10"/>
    <x v="2"/>
    <m/>
    <s v=""/>
    <s v=""/>
  </r>
  <r>
    <n v="1721"/>
    <x v="284"/>
    <s v="Mi Goreng Dengan Abon"/>
    <x v="0"/>
    <x v="19"/>
    <s v="Asia"/>
    <x v="12"/>
    <x v="0"/>
    <m/>
    <s v=""/>
    <s v=""/>
  </r>
  <r>
    <n v="1670"/>
    <x v="285"/>
    <s v="Less Fat Noodles Grilled Chicken"/>
    <x v="0"/>
    <x v="19"/>
    <s v="Asia"/>
    <x v="10"/>
    <x v="2"/>
    <m/>
    <s v=""/>
    <s v=""/>
  </r>
  <r>
    <n v="1603"/>
    <x v="284"/>
    <s v="Mi Goreng Ala Jawa Dengan Sambal Cabe Asli"/>
    <x v="0"/>
    <x v="19"/>
    <s v="Asia"/>
    <x v="3"/>
    <x v="0"/>
    <m/>
    <s v=""/>
    <s v=""/>
  </r>
  <r>
    <n v="1494"/>
    <x v="196"/>
    <s v="Pop Mie Chicken Flavour Cup Noodles"/>
    <x v="2"/>
    <x v="19"/>
    <s v="Asia"/>
    <x v="2"/>
    <x v="2"/>
    <m/>
    <s v=""/>
    <s v=""/>
  </r>
  <r>
    <n v="1406"/>
    <x v="286"/>
    <s v="Spaghetti With Mushroom Sauce"/>
    <x v="0"/>
    <x v="19"/>
    <s v="Asia"/>
    <x v="10"/>
    <x v="2"/>
    <m/>
    <s v=""/>
    <s v=""/>
  </r>
  <r>
    <n v="1402"/>
    <x v="287"/>
    <s v="Spesial Rasa Kari Ayam Pedas"/>
    <x v="0"/>
    <x v="19"/>
    <s v="Asia"/>
    <x v="10"/>
    <x v="2"/>
    <m/>
    <s v=""/>
    <s v=""/>
  </r>
  <r>
    <n v="1390"/>
    <x v="196"/>
    <s v="Mi Goreng Rasa Iga Penyet"/>
    <x v="0"/>
    <x v="19"/>
    <s v="Asia"/>
    <x v="15"/>
    <x v="0"/>
    <m/>
    <s v=""/>
    <s v=""/>
  </r>
  <r>
    <n v="1340"/>
    <x v="196"/>
    <s v="Taste Of Asia Mi Goreng Rasa Bulgogi Ala Korea"/>
    <x v="0"/>
    <x v="19"/>
    <s v="Asia"/>
    <x v="9"/>
    <x v="2"/>
    <m/>
    <s v=""/>
    <s v=""/>
  </r>
  <r>
    <n v="1331"/>
    <x v="196"/>
    <s v="Taste Of Asia Mi Kuah Rasa Tom Yum Ala Thailand"/>
    <x v="0"/>
    <x v="19"/>
    <s v="Asia"/>
    <x v="10"/>
    <x v="2"/>
    <m/>
    <s v=""/>
    <s v=""/>
  </r>
  <r>
    <n v="1313"/>
    <x v="288"/>
    <s v="Green Barley Noodle Vegetable Soup"/>
    <x v="0"/>
    <x v="19"/>
    <s v="Asia"/>
    <x v="5"/>
    <x v="2"/>
    <m/>
    <s v=""/>
    <s v=""/>
  </r>
  <r>
    <n v="1311"/>
    <x v="287"/>
    <s v="Spesial Rasa Soto Ayam"/>
    <x v="0"/>
    <x v="19"/>
    <s v="Asia"/>
    <x v="0"/>
    <x v="0"/>
    <m/>
    <s v=""/>
    <s v=""/>
  </r>
  <r>
    <n v="1297"/>
    <x v="289"/>
    <s v="Mie Gepeng Kuah Rasa Ayam Lada Hitam"/>
    <x v="0"/>
    <x v="19"/>
    <s v="Asia"/>
    <x v="5"/>
    <x v="2"/>
    <m/>
    <s v=""/>
    <s v=""/>
  </r>
  <r>
    <n v="1267"/>
    <x v="290"/>
    <s v="Mi Cup Rasa Soto Ayam Chicken Soto Flavour"/>
    <x v="2"/>
    <x v="19"/>
    <s v="Asia"/>
    <x v="10"/>
    <x v="2"/>
    <m/>
    <s v=""/>
    <s v=""/>
  </r>
  <r>
    <n v="1266"/>
    <x v="290"/>
    <s v="Selera Pedas Mi Goreng Cup Rasa Gulai Ayam Pedas Hot Gulai Chicken"/>
    <x v="2"/>
    <x v="19"/>
    <s v="Asia"/>
    <x v="0"/>
    <x v="0"/>
    <m/>
    <s v=""/>
    <s v=""/>
  </r>
  <r>
    <n v="1265"/>
    <x v="290"/>
    <s v="Rasa Ayam Bawang Chicken Onion Flavour"/>
    <x v="2"/>
    <x v="19"/>
    <s v="Asia"/>
    <x v="10"/>
    <x v="2"/>
    <m/>
    <s v=""/>
    <s v=""/>
  </r>
  <r>
    <n v="1264"/>
    <x v="290"/>
    <s v="Selera Pedas Mi Goreng Cup Rasa Ayam Pedas Limau Hot Chicken Lemon Flavour"/>
    <x v="2"/>
    <x v="19"/>
    <s v="Asia"/>
    <x v="12"/>
    <x v="0"/>
    <m/>
    <s v=""/>
    <s v=""/>
  </r>
  <r>
    <n v="1262"/>
    <x v="290"/>
    <s v="Mi Cup Rasa Kari Ayam Chicken Curry Flavour"/>
    <x v="2"/>
    <x v="19"/>
    <s v="Asia"/>
    <x v="10"/>
    <x v="2"/>
    <m/>
    <s v=""/>
    <s v=""/>
  </r>
  <r>
    <n v="1261"/>
    <x v="291"/>
    <s v="Rasa Baso Sapi Meat Ball Mi Instan Cup"/>
    <x v="2"/>
    <x v="19"/>
    <s v="Asia"/>
    <x v="10"/>
    <x v="2"/>
    <m/>
    <s v=""/>
    <s v=""/>
  </r>
  <r>
    <n v="1260"/>
    <x v="290"/>
    <s v="Mi Goreng Pangsit Fried Noodle With Dumpling"/>
    <x v="0"/>
    <x v="19"/>
    <s v="Asia"/>
    <x v="3"/>
    <x v="0"/>
    <m/>
    <s v=""/>
    <s v=""/>
  </r>
  <r>
    <n v="1259"/>
    <x v="291"/>
    <s v="Chicken Onion Mi Instan Cup"/>
    <x v="2"/>
    <x v="19"/>
    <s v="Asia"/>
    <x v="10"/>
    <x v="2"/>
    <m/>
    <s v=""/>
    <s v=""/>
  </r>
  <r>
    <n v="1258"/>
    <x v="292"/>
    <s v="Mi Goreng Rasa Ayam Chicken Flavoured Fried Noodle"/>
    <x v="0"/>
    <x v="19"/>
    <s v="Asia"/>
    <x v="17"/>
    <x v="0"/>
    <m/>
    <s v=""/>
    <s v=""/>
  </r>
  <r>
    <n v="1257"/>
    <x v="290"/>
    <s v="Mi Goreng Spesial Special Fried Noodle"/>
    <x v="2"/>
    <x v="19"/>
    <s v="Asia"/>
    <x v="0"/>
    <x v="0"/>
    <m/>
    <s v=""/>
    <s v=""/>
  </r>
  <r>
    <n v="1256"/>
    <x v="291"/>
    <s v="Curry Chicken Mi Instan Cup"/>
    <x v="2"/>
    <x v="19"/>
    <s v="Asia"/>
    <x v="12"/>
    <x v="0"/>
    <m/>
    <s v=""/>
    <s v=""/>
  </r>
  <r>
    <n v="1239"/>
    <x v="293"/>
    <s v="Rasa Ayam Spesial"/>
    <x v="0"/>
    <x v="19"/>
    <s v="Asia"/>
    <x v="0"/>
    <x v="0"/>
    <m/>
    <s v=""/>
    <s v=""/>
  </r>
  <r>
    <n v="1232"/>
    <x v="289"/>
    <s v="Mie Gepeng Kuah Rasa Ayam Bawang Pedas"/>
    <x v="0"/>
    <x v="19"/>
    <s v="Asia"/>
    <x v="5"/>
    <x v="2"/>
    <m/>
    <s v=""/>
    <s v=""/>
  </r>
  <r>
    <n v="1221"/>
    <x v="290"/>
    <s v="Selera Pedas Hot Semur Chicken Flavour"/>
    <x v="0"/>
    <x v="19"/>
    <s v="Asia"/>
    <x v="17"/>
    <x v="0"/>
    <m/>
    <s v=""/>
    <s v=""/>
  </r>
  <r>
    <n v="1215"/>
    <x v="289"/>
    <s v="Mi Instan Cup Milk Chicken Soup"/>
    <x v="2"/>
    <x v="19"/>
    <s v="Asia"/>
    <x v="15"/>
    <x v="0"/>
    <m/>
    <s v=""/>
    <s v=""/>
  </r>
  <r>
    <n v="1214"/>
    <x v="291"/>
    <s v="Rendang Beef Flavour Fried Instant Noodle"/>
    <x v="2"/>
    <x v="19"/>
    <s v="Asia"/>
    <x v="3"/>
    <x v="0"/>
    <m/>
    <s v=""/>
    <s v=""/>
  </r>
  <r>
    <n v="1203"/>
    <x v="289"/>
    <s v="Mie Gepeng Kuah Rasa Soto Cabe Hijau"/>
    <x v="0"/>
    <x v="19"/>
    <s v="Asia"/>
    <x v="2"/>
    <x v="2"/>
    <m/>
    <s v=""/>
    <s v=""/>
  </r>
  <r>
    <n v="1191"/>
    <x v="289"/>
    <s v="Seribu 1000 Goreng Spesial"/>
    <x v="0"/>
    <x v="19"/>
    <s v="Asia"/>
    <x v="0"/>
    <x v="0"/>
    <m/>
    <s v=""/>
    <s v=""/>
  </r>
  <r>
    <n v="1177"/>
    <x v="290"/>
    <s v="Mi ABC Rasa Ayam Bawang (Onion Chicken)"/>
    <x v="0"/>
    <x v="19"/>
    <s v="Asia"/>
    <x v="0"/>
    <x v="0"/>
    <m/>
    <s v=""/>
    <s v=""/>
  </r>
  <r>
    <n v="1175"/>
    <x v="288"/>
    <s v="Green Barley Noodle Milk Chicken Soup"/>
    <x v="0"/>
    <x v="19"/>
    <s v="Asia"/>
    <x v="12"/>
    <x v="0"/>
    <m/>
    <s v=""/>
    <s v=""/>
  </r>
  <r>
    <n v="1173"/>
    <x v="287"/>
    <s v="Spesial Goreng Special"/>
    <x v="0"/>
    <x v="19"/>
    <s v="Asia"/>
    <x v="2"/>
    <x v="2"/>
    <m/>
    <s v=""/>
    <s v=""/>
  </r>
  <r>
    <n v="1161"/>
    <x v="289"/>
    <s v="100 Green Chilli Soto Flavour"/>
    <x v="0"/>
    <x v="19"/>
    <s v="Asia"/>
    <x v="10"/>
    <x v="2"/>
    <m/>
    <s v=""/>
    <s v=""/>
  </r>
  <r>
    <n v="1135"/>
    <x v="196"/>
    <s v="Instant Noodle Beef &amp; Lime Flavour"/>
    <x v="0"/>
    <x v="19"/>
    <s v="Asia"/>
    <x v="12"/>
    <x v="0"/>
    <m/>
    <s v=""/>
    <s v=""/>
  </r>
  <r>
    <n v="1126"/>
    <x v="289"/>
    <s v="Mie Jepeng Goreng Rasa Ayam Lada Hitam"/>
    <x v="0"/>
    <x v="19"/>
    <s v="Asia"/>
    <x v="0"/>
    <x v="0"/>
    <m/>
    <s v=""/>
    <s v=""/>
  </r>
  <r>
    <n v="1120"/>
    <x v="290"/>
    <s v="Selera Pedas Mi Rebus Hot Gulai Flavor"/>
    <x v="0"/>
    <x v="19"/>
    <s v="Asia"/>
    <x v="15"/>
    <x v="0"/>
    <m/>
    <s v=""/>
    <s v=""/>
  </r>
  <r>
    <n v="1114"/>
    <x v="294"/>
    <s v="Vegetarian Fried Noodles (Mie Goreng)"/>
    <x v="0"/>
    <x v="19"/>
    <s v="Asia"/>
    <x v="0"/>
    <x v="0"/>
    <m/>
    <s v=""/>
    <s v=""/>
  </r>
  <r>
    <n v="1109"/>
    <x v="286"/>
    <s v="Spaghetti With Bolognese Sauce"/>
    <x v="4"/>
    <x v="19"/>
    <s v="Asia"/>
    <x v="12"/>
    <x v="0"/>
    <m/>
    <s v=""/>
    <s v=""/>
  </r>
  <r>
    <n v="1101"/>
    <x v="291"/>
    <s v="Spicy Chicken Mi Instan Cup"/>
    <x v="2"/>
    <x v="19"/>
    <s v="Asia"/>
    <x v="12"/>
    <x v="0"/>
    <m/>
    <s v=""/>
    <s v=""/>
  </r>
  <r>
    <n v="1098"/>
    <x v="285"/>
    <s v="Low Fat Noodles Hainan Chicken"/>
    <x v="0"/>
    <x v="19"/>
    <s v="Asia"/>
    <x v="10"/>
    <x v="2"/>
    <m/>
    <s v=""/>
    <s v=""/>
  </r>
  <r>
    <n v="1082"/>
    <x v="196"/>
    <s v="Mi Goreng Cabe Ijo"/>
    <x v="0"/>
    <x v="19"/>
    <s v="Asia"/>
    <x v="17"/>
    <x v="0"/>
    <m/>
    <s v=""/>
    <s v=""/>
  </r>
  <r>
    <n v="909"/>
    <x v="196"/>
    <s v="Kriuuk Bawang"/>
    <x v="0"/>
    <x v="19"/>
    <s v="Asia"/>
    <x v="12"/>
    <x v="0"/>
    <m/>
    <s v=""/>
    <s v=""/>
  </r>
  <r>
    <n v="901"/>
    <x v="295"/>
    <s v="Rasa Ayam Bawang"/>
    <x v="0"/>
    <x v="19"/>
    <s v="Asia"/>
    <x v="2"/>
    <x v="2"/>
    <m/>
    <s v=""/>
    <s v=""/>
  </r>
  <r>
    <n v="895"/>
    <x v="293"/>
    <s v="Sedaaap Mi Goreng"/>
    <x v="0"/>
    <x v="19"/>
    <s v="Asia"/>
    <x v="3"/>
    <x v="0"/>
    <m/>
    <s v=""/>
    <s v=""/>
  </r>
  <r>
    <n v="892"/>
    <x v="290"/>
    <s v="Selera Pedas Hot Tomato Soup Flavor"/>
    <x v="0"/>
    <x v="19"/>
    <s v="Asia"/>
    <x v="17"/>
    <x v="0"/>
    <m/>
    <s v=""/>
    <s v=""/>
  </r>
  <r>
    <n v="882"/>
    <x v="293"/>
    <s v="GoBang"/>
    <x v="0"/>
    <x v="19"/>
    <s v="Asia"/>
    <x v="3"/>
    <x v="0"/>
    <m/>
    <s v=""/>
    <s v=""/>
  </r>
  <r>
    <n v="876"/>
    <x v="295"/>
    <s v="Soto Koya Pedasss"/>
    <x v="0"/>
    <x v="19"/>
    <s v="Asia"/>
    <x v="5"/>
    <x v="2"/>
    <m/>
    <s v=""/>
    <s v=""/>
  </r>
  <r>
    <n v="870"/>
    <x v="293"/>
    <s v="Mi Keriting Rasa Ayam Bawang"/>
    <x v="0"/>
    <x v="19"/>
    <s v="Asia"/>
    <x v="10"/>
    <x v="2"/>
    <m/>
    <s v=""/>
    <s v=""/>
  </r>
  <r>
    <n v="867"/>
    <x v="196"/>
    <s v="Rasa Coto Makassar"/>
    <x v="0"/>
    <x v="19"/>
    <s v="Asia"/>
    <x v="0"/>
    <x v="0"/>
    <m/>
    <s v=""/>
    <s v=""/>
  </r>
  <r>
    <n v="863"/>
    <x v="196"/>
    <s v="Special Fried Curly Noodle (Local)"/>
    <x v="0"/>
    <x v="19"/>
    <s v="Asia"/>
    <x v="3"/>
    <x v="0"/>
    <m/>
    <s v=""/>
    <s v=""/>
  </r>
  <r>
    <n v="858"/>
    <x v="196"/>
    <s v="Rasa Mi Cakalang"/>
    <x v="0"/>
    <x v="19"/>
    <s v="Asia"/>
    <x v="17"/>
    <x v="0"/>
    <m/>
    <s v=""/>
    <s v=""/>
  </r>
  <r>
    <n v="852"/>
    <x v="293"/>
    <s v="Sedaaap Mi Kuah Rasa Kari Ayam"/>
    <x v="0"/>
    <x v="19"/>
    <s v="Asia"/>
    <x v="0"/>
    <x v="0"/>
    <m/>
    <s v=""/>
    <s v=""/>
  </r>
  <r>
    <n v="838"/>
    <x v="295"/>
    <s v="Soto Koya Gurih"/>
    <x v="0"/>
    <x v="19"/>
    <s v="Asia"/>
    <x v="0"/>
    <x v="0"/>
    <m/>
    <s v=""/>
    <s v=""/>
  </r>
  <r>
    <n v="834"/>
    <x v="196"/>
    <s v="Mi Goreng Kriuuk Pedas"/>
    <x v="0"/>
    <x v="19"/>
    <s v="Asia"/>
    <x v="10"/>
    <x v="2"/>
    <m/>
    <s v=""/>
    <s v=""/>
  </r>
  <r>
    <n v="818"/>
    <x v="293"/>
    <s v="Sedaaap Mi Kuah Rasa Soto"/>
    <x v="0"/>
    <x v="19"/>
    <s v="Asia"/>
    <x v="0"/>
    <x v="0"/>
    <m/>
    <s v=""/>
    <s v=""/>
  </r>
  <r>
    <n v="814"/>
    <x v="196"/>
    <s v="Beef"/>
    <x v="0"/>
    <x v="19"/>
    <s v="Asia"/>
    <x v="2"/>
    <x v="2"/>
    <m/>
    <s v=""/>
    <s v=""/>
  </r>
  <r>
    <n v="810"/>
    <x v="290"/>
    <s v="Selera Pedas Mi Goreng Hot Chicken Lemon"/>
    <x v="0"/>
    <x v="19"/>
    <s v="Asia"/>
    <x v="12"/>
    <x v="0"/>
    <m/>
    <s v=""/>
    <s v=""/>
  </r>
  <r>
    <n v="807"/>
    <x v="293"/>
    <s v="Super Rasa Ayam Bawang"/>
    <x v="0"/>
    <x v="19"/>
    <s v="Asia"/>
    <x v="0"/>
    <x v="0"/>
    <m/>
    <s v=""/>
    <s v=""/>
  </r>
  <r>
    <n v="802"/>
    <x v="295"/>
    <s v="Isi 2 Mi Goreng Rasa Ayam Kecap"/>
    <x v="0"/>
    <x v="19"/>
    <s v="Asia"/>
    <x v="17"/>
    <x v="0"/>
    <m/>
    <s v=""/>
    <s v=""/>
  </r>
  <r>
    <n v="794"/>
    <x v="295"/>
    <s v="Soto Koya Jeruk Nipis"/>
    <x v="0"/>
    <x v="19"/>
    <s v="Asia"/>
    <x v="15"/>
    <x v="0"/>
    <m/>
    <s v=""/>
    <s v=""/>
  </r>
  <r>
    <n v="789"/>
    <x v="293"/>
    <s v="GoKar"/>
    <x v="0"/>
    <x v="19"/>
    <s v="Asia"/>
    <x v="0"/>
    <x v="0"/>
    <m/>
    <s v=""/>
    <s v=""/>
  </r>
  <r>
    <n v="785"/>
    <x v="295"/>
    <s v="Isi 2 Rasa Soto"/>
    <x v="0"/>
    <x v="19"/>
    <s v="Asia"/>
    <x v="2"/>
    <x v="2"/>
    <m/>
    <s v=""/>
    <s v=""/>
  </r>
  <r>
    <n v="779"/>
    <x v="196"/>
    <s v="Mi Goreng Kriuuk Ayam"/>
    <x v="0"/>
    <x v="19"/>
    <s v="Asia"/>
    <x v="10"/>
    <x v="2"/>
    <m/>
    <s v=""/>
    <s v=""/>
  </r>
  <r>
    <n v="776"/>
    <x v="295"/>
    <s v="Isi 2 Rasa Kari spesial"/>
    <x v="0"/>
    <x v="19"/>
    <s v="Asia"/>
    <x v="10"/>
    <x v="2"/>
    <m/>
    <s v=""/>
    <s v=""/>
  </r>
  <r>
    <n v="774"/>
    <x v="196"/>
    <s v="Rasa Sup Sayuran Vegan"/>
    <x v="0"/>
    <x v="19"/>
    <s v="Asia"/>
    <x v="13"/>
    <x v="1"/>
    <m/>
    <s v=""/>
    <s v=""/>
  </r>
  <r>
    <n v="771"/>
    <x v="280"/>
    <s v="Mi Kuah Rasa Ayam Bawang"/>
    <x v="0"/>
    <x v="19"/>
    <s v="Asia"/>
    <x v="0"/>
    <x v="0"/>
    <m/>
    <s v=""/>
    <s v=""/>
  </r>
  <r>
    <n v="765"/>
    <x v="282"/>
    <s v="Kuah Rice Noodles"/>
    <x v="0"/>
    <x v="19"/>
    <s v="Asia"/>
    <x v="17"/>
    <x v="0"/>
    <m/>
    <s v=""/>
    <s v=""/>
  </r>
  <r>
    <n v="757"/>
    <x v="196"/>
    <s v="Mi Goreng Vegan"/>
    <x v="0"/>
    <x v="19"/>
    <s v="Asia"/>
    <x v="12"/>
    <x v="0"/>
    <m/>
    <s v=""/>
    <s v=""/>
  </r>
  <r>
    <n v="740"/>
    <x v="196"/>
    <s v="Mi Goreng Sate (Local)"/>
    <x v="0"/>
    <x v="19"/>
    <s v="Asia"/>
    <x v="3"/>
    <x v="0"/>
    <m/>
    <s v=""/>
    <s v=""/>
  </r>
  <r>
    <n v="733"/>
    <x v="196"/>
    <s v="Rasa Soto Betawi"/>
    <x v="0"/>
    <x v="19"/>
    <s v="Asia"/>
    <x v="17"/>
    <x v="0"/>
    <m/>
    <s v=""/>
    <s v=""/>
  </r>
  <r>
    <n v="732"/>
    <x v="196"/>
    <s v="Curly Noodle With Chicken Chilli Paddi"/>
    <x v="0"/>
    <x v="19"/>
    <s v="Asia"/>
    <x v="12"/>
    <x v="0"/>
    <m/>
    <s v=""/>
    <s v=""/>
  </r>
  <r>
    <n v="731"/>
    <x v="196"/>
    <s v="Rasa Mi Kocok Bandung"/>
    <x v="0"/>
    <x v="19"/>
    <s v="Asia"/>
    <x v="5"/>
    <x v="2"/>
    <m/>
    <s v=""/>
    <s v=""/>
  </r>
  <r>
    <n v="730"/>
    <x v="196"/>
    <s v="Rasa Soto Banjar Limau Kulit"/>
    <x v="0"/>
    <x v="19"/>
    <s v="Asia"/>
    <x v="3"/>
    <x v="0"/>
    <m/>
    <s v=""/>
    <s v=""/>
  </r>
  <r>
    <n v="729"/>
    <x v="196"/>
    <s v="Mi Goreng Jumbo Beef"/>
    <x v="0"/>
    <x v="19"/>
    <s v="Asia"/>
    <x v="3"/>
    <x v="0"/>
    <m/>
    <s v=""/>
    <s v=""/>
  </r>
  <r>
    <n v="728"/>
    <x v="196"/>
    <s v="Rasa Kari Ayam Medan"/>
    <x v="0"/>
    <x v="19"/>
    <s v="Asia"/>
    <x v="3"/>
    <x v="0"/>
    <m/>
    <s v=""/>
    <s v=""/>
  </r>
  <r>
    <n v="727"/>
    <x v="196"/>
    <s v="Rasa Empal Gentong"/>
    <x v="0"/>
    <x v="19"/>
    <s v="Asia"/>
    <x v="0"/>
    <x v="0"/>
    <m/>
    <s v=""/>
    <s v=""/>
  </r>
  <r>
    <n v="726"/>
    <x v="196"/>
    <s v="Mi Goreng Cakalang"/>
    <x v="0"/>
    <x v="19"/>
    <s v="Asia"/>
    <x v="0"/>
    <x v="0"/>
    <m/>
    <s v=""/>
    <s v=""/>
  </r>
  <r>
    <n v="725"/>
    <x v="196"/>
    <s v="Mi Goreng Instant Cup Noodles"/>
    <x v="2"/>
    <x v="19"/>
    <s v="Asia"/>
    <x v="3"/>
    <x v="0"/>
    <m/>
    <s v=""/>
    <s v=""/>
  </r>
  <r>
    <n v="724"/>
    <x v="196"/>
    <s v="Curly Noodle With Laksa Chilli"/>
    <x v="0"/>
    <x v="19"/>
    <s v="Asia"/>
    <x v="2"/>
    <x v="2"/>
    <m/>
    <s v=""/>
    <s v=""/>
  </r>
  <r>
    <n v="723"/>
    <x v="196"/>
    <s v="Mi Goreng Barbecue Chicken"/>
    <x v="0"/>
    <x v="19"/>
    <s v="Asia"/>
    <x v="3"/>
    <x v="0"/>
    <m/>
    <s v=""/>
    <s v=""/>
  </r>
  <r>
    <n v="686"/>
    <x v="280"/>
    <s v="Mi Segera Mi Goreng Perisa Sambal Goreng"/>
    <x v="0"/>
    <x v="19"/>
    <s v="Asia"/>
    <x v="17"/>
    <x v="0"/>
    <m/>
    <s v=""/>
    <s v=""/>
  </r>
  <r>
    <n v="685"/>
    <x v="196"/>
    <s v="Rasa Sup Buntut Oxtail Soup"/>
    <x v="0"/>
    <x v="19"/>
    <s v="Asia"/>
    <x v="9"/>
    <x v="2"/>
    <m/>
    <s v=""/>
    <s v=""/>
  </r>
  <r>
    <n v="682"/>
    <x v="196"/>
    <s v="Instant Cup Noodles Mi Goreng Satay"/>
    <x v="2"/>
    <x v="19"/>
    <s v="Asia"/>
    <x v="12"/>
    <x v="0"/>
    <m/>
    <s v=""/>
    <s v=""/>
  </r>
  <r>
    <n v="676"/>
    <x v="196"/>
    <s v="Spicy Coconut Shrimp"/>
    <x v="0"/>
    <x v="19"/>
    <s v="Asia"/>
    <x v="15"/>
    <x v="0"/>
    <m/>
    <s v=""/>
    <s v=""/>
  </r>
  <r>
    <n v="655"/>
    <x v="296"/>
    <s v="Mie Telor Asli"/>
    <x v="0"/>
    <x v="19"/>
    <s v="Asia"/>
    <x v="4"/>
    <x v="2"/>
    <m/>
    <s v=""/>
    <s v=""/>
  </r>
  <r>
    <n v="651"/>
    <x v="280"/>
    <s v="Mi Segera Mi Sup Perisa Kari Ayam"/>
    <x v="0"/>
    <x v="19"/>
    <s v="Asia"/>
    <x v="0"/>
    <x v="0"/>
    <m/>
    <s v=""/>
    <s v=""/>
  </r>
  <r>
    <n v="556"/>
    <x v="280"/>
    <s v="Mi Goreng Perisa Asli"/>
    <x v="0"/>
    <x v="19"/>
    <s v="Asia"/>
    <x v="15"/>
    <x v="0"/>
    <m/>
    <s v=""/>
    <s v=""/>
  </r>
  <r>
    <n v="552"/>
    <x v="282"/>
    <s v="Kuah Rasa Baso Sapi Rice Noodles"/>
    <x v="0"/>
    <x v="19"/>
    <s v="Asia"/>
    <x v="4"/>
    <x v="2"/>
    <m/>
    <s v=""/>
    <s v=""/>
  </r>
  <r>
    <n v="549"/>
    <x v="280"/>
    <s v="Supreme Soto"/>
    <x v="0"/>
    <x v="19"/>
    <s v="Asia"/>
    <x v="0"/>
    <x v="0"/>
    <m/>
    <s v=""/>
    <s v=""/>
  </r>
  <r>
    <n v="542"/>
    <x v="280"/>
    <s v="Mi SupArtificial Chicken Special"/>
    <x v="0"/>
    <x v="19"/>
    <s v="Asia"/>
    <x v="4"/>
    <x v="2"/>
    <m/>
    <s v=""/>
    <s v=""/>
  </r>
  <r>
    <n v="435"/>
    <x v="280"/>
    <s v="Mie Sambal Goreng"/>
    <x v="0"/>
    <x v="19"/>
    <s v="Asia"/>
    <x v="12"/>
    <x v="0"/>
    <m/>
    <s v=""/>
    <s v=""/>
  </r>
  <r>
    <n v="343"/>
    <x v="282"/>
    <s v="Goreng Rice Noodles"/>
    <x v="0"/>
    <x v="19"/>
    <s v="Asia"/>
    <x v="17"/>
    <x v="0"/>
    <m/>
    <s v=""/>
    <s v=""/>
  </r>
  <r>
    <n v="232"/>
    <x v="196"/>
    <s v="Mi Goreng Jumbo Beef"/>
    <x v="0"/>
    <x v="19"/>
    <s v="Asia"/>
    <x v="3"/>
    <x v="0"/>
    <m/>
    <s v=""/>
    <s v=""/>
  </r>
  <r>
    <n v="231"/>
    <x v="196"/>
    <s v="Onion Chicken"/>
    <x v="0"/>
    <x v="19"/>
    <s v="Asia"/>
    <x v="17"/>
    <x v="0"/>
    <m/>
    <s v=""/>
    <s v=""/>
  </r>
  <r>
    <n v="102"/>
    <x v="196"/>
    <s v="Soto Mie"/>
    <x v="0"/>
    <x v="19"/>
    <s v="Asia"/>
    <x v="8"/>
    <x v="1"/>
    <m/>
    <s v=""/>
    <s v=""/>
  </r>
  <r>
    <n v="76"/>
    <x v="196"/>
    <s v="Meatball Flavor"/>
    <x v="0"/>
    <x v="19"/>
    <s v="Asia"/>
    <x v="6"/>
    <x v="1"/>
    <m/>
    <s v=""/>
    <s v=""/>
  </r>
  <r>
    <n v="75"/>
    <x v="196"/>
    <s v="Mi Goreng Rendang"/>
    <x v="0"/>
    <x v="19"/>
    <s v="Asia"/>
    <x v="17"/>
    <x v="0"/>
    <m/>
    <s v=""/>
    <s v=""/>
  </r>
  <r>
    <n v="53"/>
    <x v="196"/>
    <s v="Chicken"/>
    <x v="2"/>
    <x v="19"/>
    <s v="Asia"/>
    <x v="11"/>
    <x v="1"/>
    <m/>
    <s v=""/>
    <s v=""/>
  </r>
  <r>
    <n v="52"/>
    <x v="196"/>
    <s v="Chicken Curry"/>
    <x v="0"/>
    <x v="19"/>
    <s v="Asia"/>
    <x v="0"/>
    <x v="0"/>
    <m/>
    <s v=""/>
    <s v=""/>
  </r>
  <r>
    <n v="51"/>
    <x v="196"/>
    <s v="Curly Noodles With Grilled Chicken"/>
    <x v="0"/>
    <x v="19"/>
    <s v="Asia"/>
    <x v="3"/>
    <x v="0"/>
    <m/>
    <s v=""/>
    <s v=""/>
  </r>
  <r>
    <n v="50"/>
    <x v="196"/>
    <s v="Mi Goreng"/>
    <x v="0"/>
    <x v="19"/>
    <s v="Asia"/>
    <x v="3"/>
    <x v="0"/>
    <m/>
    <s v=""/>
    <s v=""/>
  </r>
  <r>
    <n v="49"/>
    <x v="196"/>
    <s v="Mi Goreng Pedas Hot"/>
    <x v="0"/>
    <x v="19"/>
    <s v="Asia"/>
    <x v="17"/>
    <x v="0"/>
    <m/>
    <s v=""/>
    <s v=""/>
  </r>
  <r>
    <n v="48"/>
    <x v="196"/>
    <s v="Shrimp Flavor"/>
    <x v="0"/>
    <x v="19"/>
    <s v="Asia"/>
    <x v="4"/>
    <x v="2"/>
    <m/>
    <s v=""/>
    <s v=""/>
  </r>
  <r>
    <n v="46"/>
    <x v="196"/>
    <s v="Mi Goreng Jumbo Meatball"/>
    <x v="0"/>
    <x v="19"/>
    <s v="Asia"/>
    <x v="4"/>
    <x v="2"/>
    <m/>
    <s v=""/>
    <s v=""/>
  </r>
  <r>
    <n v="44"/>
    <x v="196"/>
    <s v="Special Chicken"/>
    <x v="0"/>
    <x v="19"/>
    <s v="Asia"/>
    <x v="12"/>
    <x v="0"/>
    <m/>
    <s v=""/>
    <s v=""/>
  </r>
  <r>
    <n v="2576"/>
    <x v="297"/>
    <s v="Singapore Curry"/>
    <x v="0"/>
    <x v="20"/>
    <s v="Asia"/>
    <x v="10"/>
    <x v="2"/>
    <m/>
    <s v=""/>
    <s v=""/>
  </r>
  <r>
    <n v="2564"/>
    <x v="298"/>
    <s v="Mario Masala Noodles"/>
    <x v="0"/>
    <x v="20"/>
    <s v="Asia"/>
    <x v="10"/>
    <x v="2"/>
    <m/>
    <s v=""/>
    <s v=""/>
  </r>
  <r>
    <n v="2556"/>
    <x v="297"/>
    <s v="Hot Garlic Instant Noodles"/>
    <x v="0"/>
    <x v="20"/>
    <s v="Asia"/>
    <x v="12"/>
    <x v="0"/>
    <m/>
    <s v=""/>
    <s v=""/>
  </r>
  <r>
    <n v="2509"/>
    <x v="186"/>
    <s v="Hot Heads Green Chilli Noodles"/>
    <x v="0"/>
    <x v="20"/>
    <s v="Asia"/>
    <x v="2"/>
    <x v="2"/>
    <m/>
    <s v=""/>
    <s v=""/>
  </r>
  <r>
    <n v="2402"/>
    <x v="186"/>
    <s v="Nutri-licious Pazzta Tomato Twist"/>
    <x v="0"/>
    <x v="20"/>
    <s v="Asia"/>
    <x v="10"/>
    <x v="2"/>
    <m/>
    <s v=""/>
    <s v=""/>
  </r>
  <r>
    <n v="2373"/>
    <x v="20"/>
    <s v="Top Ramen Atta Nooldes Masala"/>
    <x v="0"/>
    <x v="20"/>
    <s v="Asia"/>
    <x v="17"/>
    <x v="0"/>
    <m/>
    <s v=""/>
    <s v=""/>
  </r>
  <r>
    <n v="2360"/>
    <x v="88"/>
    <s v="Instant Noodles Artificial Chicken Flavoured"/>
    <x v="0"/>
    <x v="20"/>
    <s v="Asia"/>
    <x v="11"/>
    <x v="1"/>
    <m/>
    <s v=""/>
    <s v=""/>
  </r>
  <r>
    <n v="2351"/>
    <x v="299"/>
    <s v="Chatpat Masala"/>
    <x v="0"/>
    <x v="20"/>
    <s v="Asia"/>
    <x v="0"/>
    <x v="0"/>
    <m/>
    <s v=""/>
    <s v=""/>
  </r>
  <r>
    <n v="2329"/>
    <x v="300"/>
    <s v="Atta Noodles Jhatpat Banao Befikr Khao"/>
    <x v="0"/>
    <x v="20"/>
    <s v="Asia"/>
    <x v="3"/>
    <x v="0"/>
    <m/>
    <s v=""/>
    <s v=""/>
  </r>
  <r>
    <n v="2304"/>
    <x v="186"/>
    <s v="2 Minute Noodles Masala Spicy"/>
    <x v="0"/>
    <x v="20"/>
    <s v="Asia"/>
    <x v="3"/>
    <x v="0"/>
    <m/>
    <s v=""/>
    <s v=""/>
  </r>
  <r>
    <n v="2269"/>
    <x v="88"/>
    <s v="Instant Noodles Veg Masala Flavour"/>
    <x v="0"/>
    <x v="20"/>
    <s v="Asia"/>
    <x v="0"/>
    <x v="0"/>
    <m/>
    <s v=""/>
    <s v=""/>
  </r>
  <r>
    <n v="2224"/>
    <x v="88"/>
    <s v="X-Press Flavour Of Pizza In Noodles Proprietary Food"/>
    <x v="0"/>
    <x v="20"/>
    <s v="Asia"/>
    <x v="0"/>
    <x v="0"/>
    <m/>
    <s v=""/>
    <s v=""/>
  </r>
  <r>
    <n v="2033"/>
    <x v="301"/>
    <s v="Instant Noodles Artificial Chicken &amp; Shrimp Flavored"/>
    <x v="0"/>
    <x v="20"/>
    <s v="Asia"/>
    <x v="6"/>
    <x v="1"/>
    <m/>
    <s v=""/>
    <s v=""/>
  </r>
  <r>
    <n v="1599"/>
    <x v="20"/>
    <s v="Top Ramen Super Noodles Tomato"/>
    <x v="0"/>
    <x v="20"/>
    <s v="Asia"/>
    <x v="2"/>
    <x v="2"/>
    <m/>
    <s v=""/>
    <s v=""/>
  </r>
  <r>
    <n v="1576"/>
    <x v="186"/>
    <s v="Authentic Indian Noodles Vegetable Atta Masala"/>
    <x v="0"/>
    <x v="20"/>
    <s v="Asia"/>
    <x v="10"/>
    <x v="2"/>
    <m/>
    <s v=""/>
    <s v=""/>
  </r>
  <r>
    <n v="1566"/>
    <x v="20"/>
    <s v="Cup Noodles Tomato Enjoy Noodles With Hot Soup"/>
    <x v="2"/>
    <x v="20"/>
    <s v="Asia"/>
    <x v="5"/>
    <x v="2"/>
    <m/>
    <s v=""/>
    <s v=""/>
  </r>
  <r>
    <n v="1556"/>
    <x v="297"/>
    <s v="Hot Garlic Instant Noodles"/>
    <x v="0"/>
    <x v="20"/>
    <s v="Asia"/>
    <x v="10"/>
    <x v="2"/>
    <m/>
    <s v=""/>
    <s v=""/>
  </r>
  <r>
    <n v="1543"/>
    <x v="186"/>
    <s v="2 Minute Noodles Hungrooo Masala Spicy"/>
    <x v="0"/>
    <x v="20"/>
    <s v="Asia"/>
    <x v="10"/>
    <x v="2"/>
    <m/>
    <s v=""/>
    <s v=""/>
  </r>
  <r>
    <n v="1519"/>
    <x v="297"/>
    <s v="Manchurian Instant Noodles"/>
    <x v="0"/>
    <x v="20"/>
    <s v="Asia"/>
    <x v="2"/>
    <x v="2"/>
    <m/>
    <s v=""/>
    <s v=""/>
  </r>
  <r>
    <n v="1506"/>
    <x v="20"/>
    <s v="Cup Noodles Mug Noodles Spicy Vegetable"/>
    <x v="0"/>
    <x v="20"/>
    <s v="Asia"/>
    <x v="10"/>
    <x v="2"/>
    <m/>
    <s v=""/>
    <s v=""/>
  </r>
  <r>
    <n v="1489"/>
    <x v="186"/>
    <s v="Multigrainz Noodles Spice Remix"/>
    <x v="0"/>
    <x v="20"/>
    <s v="Asia"/>
    <x v="5"/>
    <x v="2"/>
    <m/>
    <s v=""/>
    <s v=""/>
  </r>
  <r>
    <n v="1405"/>
    <x v="186"/>
    <s v="Masala Dumdaar Noodles"/>
    <x v="0"/>
    <x v="20"/>
    <s v="Asia"/>
    <x v="10"/>
    <x v="2"/>
    <m/>
    <s v=""/>
    <s v=""/>
  </r>
  <r>
    <n v="763"/>
    <x v="186"/>
    <s v="2 Minute Noodles Tricky Tomato"/>
    <x v="0"/>
    <x v="20"/>
    <s v="Asia"/>
    <x v="5"/>
    <x v="2"/>
    <m/>
    <s v=""/>
    <s v=""/>
  </r>
  <r>
    <n v="616"/>
    <x v="186"/>
    <s v="2 Minute Noodles Thrillin' Curry"/>
    <x v="0"/>
    <x v="20"/>
    <s v="Asia"/>
    <x v="11"/>
    <x v="1"/>
    <m/>
    <s v=""/>
    <s v=""/>
  </r>
  <r>
    <n v="574"/>
    <x v="186"/>
    <s v="2 Minute Noodles Tricky Tomato"/>
    <x v="0"/>
    <x v="20"/>
    <s v="Asia"/>
    <x v="10"/>
    <x v="2"/>
    <m/>
    <s v=""/>
    <s v=""/>
  </r>
  <r>
    <n v="196"/>
    <x v="20"/>
    <s v="Cup Noodles Pani Puri"/>
    <x v="2"/>
    <x v="20"/>
    <s v="Asia"/>
    <x v="8"/>
    <x v="1"/>
    <m/>
    <s v=""/>
    <s v=""/>
  </r>
  <r>
    <n v="189"/>
    <x v="20"/>
    <s v="Cup Noodles Manchurian"/>
    <x v="2"/>
    <x v="20"/>
    <s v="Asia"/>
    <x v="4"/>
    <x v="2"/>
    <m/>
    <s v=""/>
    <s v=""/>
  </r>
  <r>
    <n v="62"/>
    <x v="186"/>
    <s v="Rice Noodle Mania Lemon Masala"/>
    <x v="0"/>
    <x v="20"/>
    <s v="Asia"/>
    <x v="8"/>
    <x v="1"/>
    <m/>
    <s v=""/>
    <s v=""/>
  </r>
  <r>
    <n v="61"/>
    <x v="186"/>
    <s v="2 Minute Noodles Curry"/>
    <x v="0"/>
    <x v="20"/>
    <s v="Asia"/>
    <x v="6"/>
    <x v="1"/>
    <m/>
    <s v=""/>
    <s v=""/>
  </r>
  <r>
    <n v="60"/>
    <x v="186"/>
    <s v="Vegetable Atta Noodles Masala"/>
    <x v="0"/>
    <x v="20"/>
    <s v="Asia"/>
    <x v="11"/>
    <x v="1"/>
    <m/>
    <s v=""/>
    <s v=""/>
  </r>
  <r>
    <n v="59"/>
    <x v="186"/>
    <s v="Chinese Noodles Lemon Chicken Flavor"/>
    <x v="0"/>
    <x v="20"/>
    <s v="Asia"/>
    <x v="2"/>
    <x v="2"/>
    <m/>
    <s v=""/>
    <s v=""/>
  </r>
  <r>
    <n v="2492"/>
    <x v="20"/>
    <s v="Smack Chili"/>
    <x v="0"/>
    <x v="21"/>
    <s v="Europe"/>
    <x v="10"/>
    <x v="2"/>
    <m/>
    <s v=""/>
    <s v=""/>
  </r>
  <r>
    <n v="1931"/>
    <x v="302"/>
    <s v="Instant Noodles chicken Flavour"/>
    <x v="0"/>
    <x v="21"/>
    <s v="Europe"/>
    <x v="10"/>
    <x v="2"/>
    <m/>
    <s v=""/>
    <s v=""/>
  </r>
  <r>
    <n v="1909"/>
    <x v="303"/>
    <s v="Instant Noodles With Chicken Flavouring"/>
    <x v="0"/>
    <x v="21"/>
    <s v="Europe"/>
    <x v="2"/>
    <x v="2"/>
    <m/>
    <s v=""/>
    <s v=""/>
  </r>
  <r>
    <n v="1904"/>
    <x v="302"/>
    <s v="Instant Noodles Duck Flavour"/>
    <x v="0"/>
    <x v="21"/>
    <s v="Europe"/>
    <x v="4"/>
    <x v="2"/>
    <m/>
    <s v=""/>
    <s v=""/>
  </r>
  <r>
    <n v="1896"/>
    <x v="303"/>
    <s v="Instant Noodles Duck Flavour"/>
    <x v="0"/>
    <x v="21"/>
    <s v="Europe"/>
    <x v="2"/>
    <x v="2"/>
    <m/>
    <s v=""/>
    <s v=""/>
  </r>
  <r>
    <n v="1870"/>
    <x v="303"/>
    <s v="Instant Noodles With Beef Flavouring"/>
    <x v="0"/>
    <x v="21"/>
    <s v="Europe"/>
    <x v="9"/>
    <x v="2"/>
    <m/>
    <s v=""/>
    <s v=""/>
  </r>
  <r>
    <n v="1853"/>
    <x v="302"/>
    <s v="Instant Noodles Shrimp Flavour"/>
    <x v="0"/>
    <x v="21"/>
    <s v="Europe"/>
    <x v="2"/>
    <x v="2"/>
    <m/>
    <s v=""/>
    <s v=""/>
  </r>
  <r>
    <n v="1804"/>
    <x v="304"/>
    <s v="Oriental Style Instant Noodles Shrimp Creamy Tom Yum Flavour"/>
    <x v="0"/>
    <x v="21"/>
    <s v="Europe"/>
    <x v="15"/>
    <x v="0"/>
    <m/>
    <s v=""/>
    <s v=""/>
  </r>
  <r>
    <n v="1709"/>
    <x v="303"/>
    <s v="Instant Noodles With Shrimp Flavouring"/>
    <x v="0"/>
    <x v="21"/>
    <s v="Europe"/>
    <x v="0"/>
    <x v="0"/>
    <m/>
    <s v=""/>
    <s v=""/>
  </r>
  <r>
    <n v="285"/>
    <x v="305"/>
    <s v="Artificial Chicken"/>
    <x v="0"/>
    <x v="22"/>
    <s v="Asia"/>
    <x v="17"/>
    <x v="0"/>
    <s v="2012 #9"/>
    <s v="2012"/>
    <s v="9"/>
  </r>
  <r>
    <n v="2566"/>
    <x v="20"/>
    <s v="Demae Ramen Bar Noodle Aka Tonkotsu Flavour Instant Noodle"/>
    <x v="0"/>
    <x v="22"/>
    <s v="Asia"/>
    <x v="3"/>
    <x v="0"/>
    <m/>
    <s v=""/>
    <s v=""/>
  </r>
  <r>
    <n v="2560"/>
    <x v="20"/>
    <s v="Cup Noodles Laksa Flavour"/>
    <x v="2"/>
    <x v="22"/>
    <s v="Asia"/>
    <x v="12"/>
    <x v="0"/>
    <m/>
    <s v=""/>
    <s v=""/>
  </r>
  <r>
    <n v="2539"/>
    <x v="20"/>
    <s v="Demae Iccho Tonkotsu Flavour Instant Noodle"/>
    <x v="2"/>
    <x v="22"/>
    <s v="Asia"/>
    <x v="10"/>
    <x v="2"/>
    <m/>
    <s v=""/>
    <s v=""/>
  </r>
  <r>
    <n v="2471"/>
    <x v="20"/>
    <s v="Cup Noodles Mini Seafood Flavour"/>
    <x v="2"/>
    <x v="22"/>
    <s v="Asia"/>
    <x v="3"/>
    <x v="0"/>
    <m/>
    <s v=""/>
    <s v=""/>
  </r>
  <r>
    <n v="2466"/>
    <x v="127"/>
    <s v="Instant Noodle King Pepper Duck Flavour Soup"/>
    <x v="0"/>
    <x v="22"/>
    <s v="Asia"/>
    <x v="0"/>
    <x v="0"/>
    <m/>
    <s v=""/>
    <s v=""/>
  </r>
  <r>
    <n v="2436"/>
    <x v="306"/>
    <s v="Artificial Dongpo's Braised Pork Flavour"/>
    <x v="0"/>
    <x v="22"/>
    <s v="Asia"/>
    <x v="15"/>
    <x v="0"/>
    <m/>
    <s v=""/>
    <s v=""/>
  </r>
  <r>
    <n v="2425"/>
    <x v="20"/>
    <s v="Seafood Flavour Rice Vermicelli"/>
    <x v="2"/>
    <x v="22"/>
    <s v="Asia"/>
    <x v="3"/>
    <x v="0"/>
    <m/>
    <s v=""/>
    <s v=""/>
  </r>
  <r>
    <n v="2413"/>
    <x v="20"/>
    <s v="Cup Noodles Beef Flavour"/>
    <x v="2"/>
    <x v="22"/>
    <s v="Asia"/>
    <x v="6"/>
    <x v="1"/>
    <m/>
    <s v=""/>
    <s v=""/>
  </r>
  <r>
    <n v="2405"/>
    <x v="20"/>
    <s v="Cup Noodles Mini Spicy Seafood"/>
    <x v="2"/>
    <x v="22"/>
    <s v="Asia"/>
    <x v="0"/>
    <x v="0"/>
    <m/>
    <s v=""/>
    <s v=""/>
  </r>
  <r>
    <n v="2394"/>
    <x v="20"/>
    <s v="Cup Noodles Prawn Flavour"/>
    <x v="2"/>
    <x v="22"/>
    <s v="Asia"/>
    <x v="10"/>
    <x v="2"/>
    <m/>
    <s v=""/>
    <s v=""/>
  </r>
  <r>
    <n v="2390"/>
    <x v="20"/>
    <s v="Rice Vermicelli Pickled Vegetable Pork Flavour"/>
    <x v="2"/>
    <x v="22"/>
    <s v="Asia"/>
    <x v="10"/>
    <x v="2"/>
    <m/>
    <s v=""/>
    <s v=""/>
  </r>
  <r>
    <n v="2387"/>
    <x v="20"/>
    <s v="Demae Iccho Sesame Oil Flavour Instant Noodle"/>
    <x v="1"/>
    <x v="22"/>
    <s v="Asia"/>
    <x v="2"/>
    <x v="2"/>
    <m/>
    <s v=""/>
    <s v=""/>
  </r>
  <r>
    <n v="2381"/>
    <x v="20"/>
    <s v="Demae Iccho Seafood Flavour Instant Noodle"/>
    <x v="2"/>
    <x v="22"/>
    <s v="Asia"/>
    <x v="15"/>
    <x v="0"/>
    <m/>
    <s v=""/>
    <s v=""/>
  </r>
  <r>
    <n v="2378"/>
    <x v="127"/>
    <s v="Non-Fried Mix Noodle Black Pepper XO Sauce Flavoured"/>
    <x v="0"/>
    <x v="22"/>
    <s v="Asia"/>
    <x v="17"/>
    <x v="0"/>
    <m/>
    <s v=""/>
    <s v=""/>
  </r>
  <r>
    <n v="2361"/>
    <x v="20"/>
    <s v="Demae Iccho Chicken Flavour Instant Noodle (Bowl Noodle)"/>
    <x v="1"/>
    <x v="22"/>
    <s v="Asia"/>
    <x v="3"/>
    <x v="0"/>
    <m/>
    <s v=""/>
    <s v=""/>
  </r>
  <r>
    <n v="2357"/>
    <x v="307"/>
    <s v="Noodle King Artificial Wonton Soup Flavored"/>
    <x v="1"/>
    <x v="22"/>
    <s v="Asia"/>
    <x v="3"/>
    <x v="0"/>
    <m/>
    <s v=""/>
    <s v=""/>
  </r>
  <r>
    <n v="2350"/>
    <x v="20"/>
    <s v="Cup Noodles BIG XO Sauce Seafood Flavour"/>
    <x v="2"/>
    <x v="22"/>
    <s v="Asia"/>
    <x v="0"/>
    <x v="0"/>
    <m/>
    <s v=""/>
    <s v=""/>
  </r>
  <r>
    <n v="2347"/>
    <x v="20"/>
    <s v="Demae Iccho Tonkotsu Flavour Instant Noodle (Bowl Noodle)"/>
    <x v="1"/>
    <x v="22"/>
    <s v="Asia"/>
    <x v="4"/>
    <x v="2"/>
    <m/>
    <s v=""/>
    <s v=""/>
  </r>
  <r>
    <n v="2326"/>
    <x v="20"/>
    <s v="Demae Iccho Tokyo Shoru Tonkotsu Instant Noodle"/>
    <x v="2"/>
    <x v="22"/>
    <s v="Asia"/>
    <x v="0"/>
    <x v="0"/>
    <m/>
    <s v=""/>
    <s v=""/>
  </r>
  <r>
    <n v="2321"/>
    <x v="127"/>
    <s v="Black Pepper XO Sauce Flavour"/>
    <x v="1"/>
    <x v="22"/>
    <s v="Asia"/>
    <x v="3"/>
    <x v="0"/>
    <m/>
    <s v=""/>
    <s v=""/>
  </r>
  <r>
    <n v="2314"/>
    <x v="20"/>
    <s v="Cup Noodles Spicy Beef Flavour"/>
    <x v="2"/>
    <x v="22"/>
    <s v="Asia"/>
    <x v="0"/>
    <x v="0"/>
    <m/>
    <s v=""/>
    <s v=""/>
  </r>
  <r>
    <n v="2309"/>
    <x v="20"/>
    <s v="Cup Noodles Big Seafood Flavour"/>
    <x v="2"/>
    <x v="22"/>
    <s v="Asia"/>
    <x v="0"/>
    <x v="0"/>
    <m/>
    <s v=""/>
    <s v=""/>
  </r>
  <r>
    <n v="2306"/>
    <x v="20"/>
    <s v="Demae Iccho Black Garlic Oil Tonkotsu Flavour Instant Noodles"/>
    <x v="2"/>
    <x v="22"/>
    <s v="Asia"/>
    <x v="0"/>
    <x v="0"/>
    <m/>
    <s v=""/>
    <s v=""/>
  </r>
  <r>
    <n v="2300"/>
    <x v="20"/>
    <s v="Demae Ramen Spicy Xo Sauce Seafood Flavour Instant Noodle"/>
    <x v="0"/>
    <x v="22"/>
    <s v="Asia"/>
    <x v="0"/>
    <x v="0"/>
    <m/>
    <s v=""/>
    <s v=""/>
  </r>
  <r>
    <n v="2293"/>
    <x v="20"/>
    <s v="Nupasta Bacon In Carbonara Sauce Flavour Instant Noodle"/>
    <x v="0"/>
    <x v="22"/>
    <s v="Asia"/>
    <x v="3"/>
    <x v="0"/>
    <m/>
    <s v=""/>
    <s v=""/>
  </r>
  <r>
    <n v="2290"/>
    <x v="20"/>
    <s v="Demae Ramen Straight Noodle Black Garlic Oil Tonkotsu Flavour Instant Noodle"/>
    <x v="0"/>
    <x v="22"/>
    <s v="Asia"/>
    <x v="3"/>
    <x v="0"/>
    <m/>
    <s v=""/>
    <s v=""/>
  </r>
  <r>
    <n v="2288"/>
    <x v="20"/>
    <s v="Cup Noodles Tom Yum Goong Flavour"/>
    <x v="2"/>
    <x v="22"/>
    <s v="Asia"/>
    <x v="0"/>
    <x v="0"/>
    <m/>
    <s v=""/>
    <s v=""/>
  </r>
  <r>
    <n v="2286"/>
    <x v="307"/>
    <s v="Noodle King Artificial Abalone And Chicken Soup Flavored"/>
    <x v="1"/>
    <x v="22"/>
    <s v="Asia"/>
    <x v="0"/>
    <x v="0"/>
    <m/>
    <s v=""/>
    <s v=""/>
  </r>
  <r>
    <n v="2284"/>
    <x v="20"/>
    <s v="Korean Kimchi Flavour Vermicelli"/>
    <x v="2"/>
    <x v="22"/>
    <s v="Asia"/>
    <x v="0"/>
    <x v="0"/>
    <m/>
    <s v=""/>
    <s v=""/>
  </r>
  <r>
    <n v="2281"/>
    <x v="20"/>
    <s v="Demae Iccho Red Hot Seafood Flavour Instant Noodle"/>
    <x v="2"/>
    <x v="22"/>
    <s v="Asia"/>
    <x v="0"/>
    <x v="0"/>
    <m/>
    <s v=""/>
    <s v=""/>
  </r>
  <r>
    <n v="2279"/>
    <x v="20"/>
    <s v="Demae Iccho Spicy Tonkotsu Flavour Instant Noodle (Bowl Noodle)"/>
    <x v="1"/>
    <x v="22"/>
    <s v="Asia"/>
    <x v="3"/>
    <x v="0"/>
    <m/>
    <s v=""/>
    <s v=""/>
  </r>
  <r>
    <n v="2272"/>
    <x v="20"/>
    <s v="Demae Iccho Spicy Kimchi Pot Flavour Instant Noodle (Bowl Noodle)"/>
    <x v="1"/>
    <x v="22"/>
    <s v="Asia"/>
    <x v="0"/>
    <x v="0"/>
    <m/>
    <s v=""/>
    <s v=""/>
  </r>
  <r>
    <n v="2268"/>
    <x v="20"/>
    <s v="Nupasta Neapolitan Flavour Instant Noodle"/>
    <x v="0"/>
    <x v="22"/>
    <s v="Asia"/>
    <x v="3"/>
    <x v="0"/>
    <m/>
    <s v=""/>
    <s v=""/>
  </r>
  <r>
    <n v="2258"/>
    <x v="307"/>
    <s v="Instant Wonton Noodles Scallop Lobster Soup Flavour"/>
    <x v="1"/>
    <x v="22"/>
    <s v="Asia"/>
    <x v="29"/>
    <x v="0"/>
    <m/>
    <s v=""/>
    <s v=""/>
  </r>
  <r>
    <n v="2257"/>
    <x v="308"/>
    <s v="Tom Yam Soup Instant Noodle"/>
    <x v="0"/>
    <x v="22"/>
    <s v="Asia"/>
    <x v="42"/>
    <x v="1"/>
    <m/>
    <s v=""/>
    <s v=""/>
  </r>
  <r>
    <n v="2250"/>
    <x v="20"/>
    <s v="Demae Iccho Spicy XO Sauce Seafood Flavour"/>
    <x v="0"/>
    <x v="22"/>
    <s v="Asia"/>
    <x v="0"/>
    <x v="0"/>
    <m/>
    <s v=""/>
    <s v=""/>
  </r>
  <r>
    <n v="2245"/>
    <x v="20"/>
    <s v="Vietnamese Chicken Coriander Flavour Vermicelli"/>
    <x v="2"/>
    <x v="22"/>
    <s v="Asia"/>
    <x v="0"/>
    <x v="0"/>
    <m/>
    <s v=""/>
    <s v=""/>
  </r>
  <r>
    <n v="2244"/>
    <x v="306"/>
    <s v="Artificial Spicy Beef Flavour"/>
    <x v="0"/>
    <x v="22"/>
    <s v="Asia"/>
    <x v="0"/>
    <x v="0"/>
    <m/>
    <s v=""/>
    <s v=""/>
  </r>
  <r>
    <n v="2243"/>
    <x v="20"/>
    <s v="Cup Noodles Black Pepper Crab Flavour"/>
    <x v="2"/>
    <x v="22"/>
    <s v="Asia"/>
    <x v="0"/>
    <x v="0"/>
    <m/>
    <s v=""/>
    <s v=""/>
  </r>
  <r>
    <n v="2241"/>
    <x v="308"/>
    <s v="Spicy Soup Instant Noodle Beef Flavour"/>
    <x v="0"/>
    <x v="22"/>
    <s v="Asia"/>
    <x v="0"/>
    <x v="0"/>
    <m/>
    <s v=""/>
    <s v=""/>
  </r>
  <r>
    <n v="2233"/>
    <x v="20"/>
    <s v="Cup Noodles Milk Seafood Flavour"/>
    <x v="2"/>
    <x v="22"/>
    <s v="Asia"/>
    <x v="0"/>
    <x v="0"/>
    <m/>
    <s v=""/>
    <s v=""/>
  </r>
  <r>
    <n v="2229"/>
    <x v="306"/>
    <s v="Artificial Beef With Sauerkraut Flavour"/>
    <x v="0"/>
    <x v="22"/>
    <s v="Asia"/>
    <x v="0"/>
    <x v="0"/>
    <m/>
    <s v=""/>
    <s v=""/>
  </r>
  <r>
    <n v="2225"/>
    <x v="308"/>
    <s v="Bowl Chicken Flavour Instant Rice Vermicelli"/>
    <x v="1"/>
    <x v="22"/>
    <s v="Asia"/>
    <x v="0"/>
    <x v="0"/>
    <m/>
    <s v=""/>
    <s v=""/>
  </r>
  <r>
    <n v="2217"/>
    <x v="20"/>
    <s v="Demae Ramen Spicy Seafood Flavour Instant Noodle"/>
    <x v="0"/>
    <x v="22"/>
    <s v="Asia"/>
    <x v="3"/>
    <x v="0"/>
    <m/>
    <s v=""/>
    <s v=""/>
  </r>
  <r>
    <n v="2209"/>
    <x v="20"/>
    <s v="Demae Ramen Spicy Hot tonkotsu Flavour Instant Noodle"/>
    <x v="0"/>
    <x v="22"/>
    <s v="Asia"/>
    <x v="3"/>
    <x v="0"/>
    <m/>
    <s v=""/>
    <s v=""/>
  </r>
  <r>
    <n v="2207"/>
    <x v="20"/>
    <s v="Big Cup Noodles Tonkotsu Flavour"/>
    <x v="2"/>
    <x v="22"/>
    <s v="Asia"/>
    <x v="4"/>
    <x v="2"/>
    <m/>
    <s v=""/>
    <s v=""/>
  </r>
  <r>
    <n v="2202"/>
    <x v="20"/>
    <s v="Nupasta Vongole Flavour Instant Noodle"/>
    <x v="2"/>
    <x v="22"/>
    <s v="Asia"/>
    <x v="0"/>
    <x v="0"/>
    <m/>
    <s v=""/>
    <s v=""/>
  </r>
  <r>
    <n v="2194"/>
    <x v="308"/>
    <s v="Chicken Flavour Instant Noodle"/>
    <x v="0"/>
    <x v="22"/>
    <s v="Asia"/>
    <x v="0"/>
    <x v="0"/>
    <m/>
    <s v=""/>
    <s v=""/>
  </r>
  <r>
    <n v="2189"/>
    <x v="20"/>
    <s v="Demae Ramen Sesame Oil Flavour Cup"/>
    <x v="2"/>
    <x v="22"/>
    <s v="Asia"/>
    <x v="0"/>
    <x v="0"/>
    <m/>
    <s v=""/>
    <s v=""/>
  </r>
  <r>
    <n v="2139"/>
    <x v="308"/>
    <s v="Superior Soup Instant Noodles (Mfg in Thailand)"/>
    <x v="0"/>
    <x v="22"/>
    <s v="Asia"/>
    <x v="0"/>
    <x v="0"/>
    <m/>
    <s v=""/>
    <s v=""/>
  </r>
  <r>
    <n v="2138"/>
    <x v="308"/>
    <s v="Superior Soup Instant Noodles (Mfg in Vietnam)"/>
    <x v="0"/>
    <x v="22"/>
    <s v="Asia"/>
    <x v="0"/>
    <x v="0"/>
    <m/>
    <s v=""/>
    <s v=""/>
  </r>
  <r>
    <n v="2137"/>
    <x v="20"/>
    <s v="Demae Ramen Spicy Curry Flavour Instant Noodles"/>
    <x v="0"/>
    <x v="22"/>
    <s v="Asia"/>
    <x v="0"/>
    <x v="0"/>
    <m/>
    <s v=""/>
    <s v=""/>
  </r>
  <r>
    <n v="2136"/>
    <x v="20"/>
    <s v="Demae Ramen Roast Beef Flavour Instant Noodles"/>
    <x v="0"/>
    <x v="22"/>
    <s v="Asia"/>
    <x v="0"/>
    <x v="0"/>
    <m/>
    <s v=""/>
    <s v=""/>
  </r>
  <r>
    <n v="2135"/>
    <x v="305"/>
    <s v="Instant Noodle Supreme Abalone And Chicken Flavour"/>
    <x v="0"/>
    <x v="22"/>
    <s v="Asia"/>
    <x v="11"/>
    <x v="1"/>
    <m/>
    <s v=""/>
    <s v=""/>
  </r>
  <r>
    <n v="2134"/>
    <x v="309"/>
    <s v="Chicken Flavour Instant Noodle"/>
    <x v="0"/>
    <x v="22"/>
    <s v="Asia"/>
    <x v="0"/>
    <x v="0"/>
    <m/>
    <s v=""/>
    <s v=""/>
  </r>
  <r>
    <n v="2130"/>
    <x v="306"/>
    <s v="Artificial Salted Beef With Mushrooms Flavour"/>
    <x v="0"/>
    <x v="22"/>
    <s v="Asia"/>
    <x v="0"/>
    <x v="0"/>
    <m/>
    <s v=""/>
    <s v=""/>
  </r>
  <r>
    <n v="2111"/>
    <x v="20"/>
    <s v="Cup Noodles Chilli Crab Flavour"/>
    <x v="2"/>
    <x v="22"/>
    <s v="Asia"/>
    <x v="10"/>
    <x v="2"/>
    <m/>
    <s v=""/>
    <s v=""/>
  </r>
  <r>
    <n v="2092"/>
    <x v="305"/>
    <s v="Instant Noodle Preserved Vegetable Flavour"/>
    <x v="0"/>
    <x v="22"/>
    <s v="Asia"/>
    <x v="0"/>
    <x v="0"/>
    <m/>
    <s v=""/>
    <s v=""/>
  </r>
  <r>
    <n v="2090"/>
    <x v="20"/>
    <s v="Nupasta Salmon In White Sauce Flavour Instant Noodle"/>
    <x v="0"/>
    <x v="22"/>
    <s v="Asia"/>
    <x v="3"/>
    <x v="0"/>
    <m/>
    <s v=""/>
    <s v=""/>
  </r>
  <r>
    <n v="2089"/>
    <x v="20"/>
    <s v="Big Cup Noodles Seafood Curry Flavour"/>
    <x v="2"/>
    <x v="22"/>
    <s v="Asia"/>
    <x v="3"/>
    <x v="0"/>
    <m/>
    <s v=""/>
    <s v=""/>
  </r>
  <r>
    <n v="2088"/>
    <x v="20"/>
    <s v="Demae Iccho Beef Flavour Instant Noodle"/>
    <x v="1"/>
    <x v="22"/>
    <s v="Asia"/>
    <x v="0"/>
    <x v="0"/>
    <m/>
    <s v=""/>
    <s v=""/>
  </r>
  <r>
    <n v="2087"/>
    <x v="20"/>
    <s v="Mie Goreng Indonesia Stir Noodle Original Flavour"/>
    <x v="0"/>
    <x v="22"/>
    <s v="Asia"/>
    <x v="0"/>
    <x v="0"/>
    <m/>
    <s v=""/>
    <s v=""/>
  </r>
  <r>
    <n v="2086"/>
    <x v="20"/>
    <s v="Demae Ramen Sesame Flavour Instant Noodles"/>
    <x v="0"/>
    <x v="22"/>
    <s v="Asia"/>
    <x v="3"/>
    <x v="0"/>
    <m/>
    <s v=""/>
    <s v=""/>
  </r>
  <r>
    <n v="2085"/>
    <x v="308"/>
    <s v="Superior Soup Instant Rice Vermicelli"/>
    <x v="1"/>
    <x v="22"/>
    <s v="Asia"/>
    <x v="3"/>
    <x v="0"/>
    <m/>
    <s v=""/>
    <s v=""/>
  </r>
  <r>
    <n v="2084"/>
    <x v="20"/>
    <s v="Demae Ramen Straight Noodle Kyushu Tonkotsu Instant Noodle"/>
    <x v="0"/>
    <x v="22"/>
    <s v="Asia"/>
    <x v="3"/>
    <x v="0"/>
    <m/>
    <s v=""/>
    <s v=""/>
  </r>
  <r>
    <n v="2083"/>
    <x v="20"/>
    <s v="Taisho Fried Noodle Sesame Paste Flavour Instant Noodle"/>
    <x v="0"/>
    <x v="22"/>
    <s v="Asia"/>
    <x v="3"/>
    <x v="0"/>
    <m/>
    <s v=""/>
    <s v=""/>
  </r>
  <r>
    <n v="2082"/>
    <x v="20"/>
    <s v="Cup Noodles Pork Chowder Flavour"/>
    <x v="2"/>
    <x v="22"/>
    <s v="Asia"/>
    <x v="0"/>
    <x v="0"/>
    <m/>
    <s v=""/>
    <s v=""/>
  </r>
  <r>
    <n v="2081"/>
    <x v="20"/>
    <s v="Cup Mifun Spicy Beef Flavour"/>
    <x v="2"/>
    <x v="22"/>
    <s v="Asia"/>
    <x v="0"/>
    <x v="0"/>
    <m/>
    <s v=""/>
    <s v=""/>
  </r>
  <r>
    <n v="2080"/>
    <x v="308"/>
    <s v="Non-Fried Superior Soup Noodle"/>
    <x v="0"/>
    <x v="22"/>
    <s v="Asia"/>
    <x v="0"/>
    <x v="0"/>
    <m/>
    <s v=""/>
    <s v=""/>
  </r>
  <r>
    <n v="2079"/>
    <x v="20"/>
    <s v="Nupasta Carbonara Flavour Instant Noodle"/>
    <x v="2"/>
    <x v="22"/>
    <s v="Asia"/>
    <x v="3"/>
    <x v="0"/>
    <m/>
    <s v=""/>
    <s v=""/>
  </r>
  <r>
    <n v="2078"/>
    <x v="20"/>
    <s v="Demae Iccho Curry Beef Flavour"/>
    <x v="2"/>
    <x v="22"/>
    <s v="Asia"/>
    <x v="0"/>
    <x v="0"/>
    <m/>
    <s v=""/>
    <s v=""/>
  </r>
  <r>
    <n v="2077"/>
    <x v="20"/>
    <s v="Cup Noodles Big Spicy Seafood Flavour"/>
    <x v="2"/>
    <x v="22"/>
    <s v="Asia"/>
    <x v="3"/>
    <x v="0"/>
    <m/>
    <s v=""/>
    <s v=""/>
  </r>
  <r>
    <n v="2076"/>
    <x v="20"/>
    <s v="Demae Iccho Black Garlic Oil Tonkotsu"/>
    <x v="1"/>
    <x v="22"/>
    <s v="Asia"/>
    <x v="10"/>
    <x v="2"/>
    <m/>
    <s v=""/>
    <s v=""/>
  </r>
  <r>
    <n v="2069"/>
    <x v="305"/>
    <s v="Instant Noodle Vegetarian Flavour"/>
    <x v="0"/>
    <x v="22"/>
    <s v="Asia"/>
    <x v="10"/>
    <x v="2"/>
    <m/>
    <s v=""/>
    <s v=""/>
  </r>
  <r>
    <n v="2065"/>
    <x v="309"/>
    <s v="Kung Tak Lam Vegetarian Noodle (Mushroom)"/>
    <x v="0"/>
    <x v="22"/>
    <s v="Asia"/>
    <x v="4"/>
    <x v="2"/>
    <m/>
    <s v=""/>
    <s v=""/>
  </r>
  <r>
    <n v="2063"/>
    <x v="203"/>
    <s v="Pepper Noodles Vegetarian"/>
    <x v="0"/>
    <x v="22"/>
    <s v="Asia"/>
    <x v="5"/>
    <x v="2"/>
    <m/>
    <s v=""/>
    <s v=""/>
  </r>
  <r>
    <n v="2061"/>
    <x v="307"/>
    <s v="Dried Mix Noodles Scallop Seafood Flavoured"/>
    <x v="3"/>
    <x v="22"/>
    <s v="Asia"/>
    <x v="12"/>
    <x v="0"/>
    <m/>
    <s v=""/>
    <s v=""/>
  </r>
  <r>
    <n v="2059"/>
    <x v="309"/>
    <s v="Beef And Radish Flavour Instant Noodle"/>
    <x v="0"/>
    <x v="22"/>
    <s v="Asia"/>
    <x v="6"/>
    <x v="1"/>
    <m/>
    <s v=""/>
    <s v=""/>
  </r>
  <r>
    <n v="2044"/>
    <x v="305"/>
    <s v="Hello Kitty Dim Sum Noodle Japanese Soy Sauce Flavour"/>
    <x v="2"/>
    <x v="22"/>
    <s v="Asia"/>
    <x v="4"/>
    <x v="2"/>
    <m/>
    <s v=""/>
    <s v=""/>
  </r>
  <r>
    <n v="2032"/>
    <x v="307"/>
    <s v="Noodle King Artificial Beef Soup Flavored"/>
    <x v="1"/>
    <x v="22"/>
    <s v="Asia"/>
    <x v="10"/>
    <x v="2"/>
    <m/>
    <s v=""/>
    <s v=""/>
  </r>
  <r>
    <n v="2006"/>
    <x v="307"/>
    <s v="Wonton Noodles Beef Flavour"/>
    <x v="1"/>
    <x v="22"/>
    <s v="Asia"/>
    <x v="10"/>
    <x v="2"/>
    <m/>
    <s v=""/>
    <s v=""/>
  </r>
  <r>
    <n v="1984"/>
    <x v="20"/>
    <s v="Chinese Tan Tan Vermicelli"/>
    <x v="2"/>
    <x v="22"/>
    <s v="Asia"/>
    <x v="3"/>
    <x v="0"/>
    <m/>
    <s v=""/>
    <s v=""/>
  </r>
  <r>
    <n v="1972"/>
    <x v="305"/>
    <s v="Spicy Flavour Instant Mifun"/>
    <x v="0"/>
    <x v="22"/>
    <s v="Asia"/>
    <x v="9"/>
    <x v="2"/>
    <m/>
    <s v=""/>
    <s v=""/>
  </r>
  <r>
    <n v="1660"/>
    <x v="127"/>
    <s v="Ho Fan Wonton Soup Flavored"/>
    <x v="0"/>
    <x v="22"/>
    <s v="Asia"/>
    <x v="4"/>
    <x v="2"/>
    <m/>
    <s v=""/>
    <s v=""/>
  </r>
  <r>
    <n v="1605"/>
    <x v="20"/>
    <s v="Demae Iccho Mushroom With Vegetables Flavour Macaroni"/>
    <x v="0"/>
    <x v="22"/>
    <s v="Asia"/>
    <x v="2"/>
    <x v="2"/>
    <m/>
    <s v=""/>
    <s v=""/>
  </r>
  <r>
    <n v="1546"/>
    <x v="20"/>
    <s v="Demae Rice Vermicelli Beef Flavour"/>
    <x v="0"/>
    <x v="22"/>
    <s v="Asia"/>
    <x v="2"/>
    <x v="2"/>
    <m/>
    <s v=""/>
    <s v=""/>
  </r>
  <r>
    <n v="1538"/>
    <x v="127"/>
    <s v="Oat Noodle Tomato Soup Flavored"/>
    <x v="0"/>
    <x v="22"/>
    <s v="Asia"/>
    <x v="17"/>
    <x v="0"/>
    <m/>
    <s v=""/>
    <s v=""/>
  </r>
  <r>
    <n v="1535"/>
    <x v="127"/>
    <s v="Oat Noodle Pork Rib Flavored"/>
    <x v="0"/>
    <x v="22"/>
    <s v="Asia"/>
    <x v="2"/>
    <x v="2"/>
    <m/>
    <s v=""/>
    <s v=""/>
  </r>
  <r>
    <n v="1512"/>
    <x v="310"/>
    <s v="Japanese Fried Ramen Noodles Kyoto Barbecue Sauce Flavour"/>
    <x v="0"/>
    <x v="22"/>
    <s v="Asia"/>
    <x v="14"/>
    <x v="1"/>
    <m/>
    <s v=""/>
    <s v=""/>
  </r>
  <r>
    <n v="1510"/>
    <x v="100"/>
    <s v="Quick Serve Macaroni Wonton Broth"/>
    <x v="0"/>
    <x v="22"/>
    <s v="Asia"/>
    <x v="5"/>
    <x v="2"/>
    <m/>
    <s v=""/>
    <s v=""/>
  </r>
  <r>
    <n v="1483"/>
    <x v="309"/>
    <s v="Hot &amp; Spicy Instant Noodle (Mushroom &amp; Beef Flavour)"/>
    <x v="0"/>
    <x v="22"/>
    <s v="Asia"/>
    <x v="0"/>
    <x v="0"/>
    <m/>
    <s v=""/>
    <s v=""/>
  </r>
  <r>
    <n v="1437"/>
    <x v="100"/>
    <s v="Quick Serve Macaroni Abalone &amp; Chicken Flavour"/>
    <x v="0"/>
    <x v="22"/>
    <s v="Asia"/>
    <x v="4"/>
    <x v="2"/>
    <m/>
    <s v=""/>
    <s v=""/>
  </r>
  <r>
    <n v="1415"/>
    <x v="310"/>
    <s v="Instant Rice Vermicelli Original Flavour"/>
    <x v="0"/>
    <x v="22"/>
    <s v="Asia"/>
    <x v="16"/>
    <x v="1"/>
    <m/>
    <s v=""/>
    <s v=""/>
  </r>
  <r>
    <n v="1412"/>
    <x v="310"/>
    <s v="Non-Fried Ramen Noodles Taiwan Roast Pork Flavour"/>
    <x v="0"/>
    <x v="22"/>
    <s v="Asia"/>
    <x v="0"/>
    <x v="0"/>
    <m/>
    <s v=""/>
    <s v=""/>
  </r>
  <r>
    <n v="1365"/>
    <x v="309"/>
    <s v="Seaweed Hot &amp; Spicy Instant Noodle Mushroom &amp; Beef Flavour"/>
    <x v="1"/>
    <x v="22"/>
    <s v="Asia"/>
    <x v="2"/>
    <x v="2"/>
    <m/>
    <s v=""/>
    <s v=""/>
  </r>
  <r>
    <n v="1363"/>
    <x v="127"/>
    <s v="Instant Noodle King Won Ton Flavor"/>
    <x v="0"/>
    <x v="22"/>
    <s v="Asia"/>
    <x v="9"/>
    <x v="2"/>
    <m/>
    <s v=""/>
    <s v=""/>
  </r>
  <r>
    <n v="1304"/>
    <x v="20"/>
    <s v="Demae Ramen Shoyu Tonkotsu Artificial Pork Flavour"/>
    <x v="0"/>
    <x v="22"/>
    <s v="Asia"/>
    <x v="15"/>
    <x v="0"/>
    <m/>
    <s v=""/>
    <s v=""/>
  </r>
  <r>
    <n v="1301"/>
    <x v="100"/>
    <s v="Quick Serve Macaroni Shrimp Broth"/>
    <x v="0"/>
    <x v="22"/>
    <s v="Asia"/>
    <x v="5"/>
    <x v="2"/>
    <m/>
    <s v=""/>
    <s v=""/>
  </r>
  <r>
    <n v="1288"/>
    <x v="127"/>
    <s v="QQ Scallop Seafood Vermicelli"/>
    <x v="1"/>
    <x v="22"/>
    <s v="Asia"/>
    <x v="10"/>
    <x v="2"/>
    <m/>
    <s v=""/>
    <s v=""/>
  </r>
  <r>
    <n v="1269"/>
    <x v="310"/>
    <s v="Rice Vermicelli Scallop With XO Sauce Flavour"/>
    <x v="0"/>
    <x v="22"/>
    <s v="Asia"/>
    <x v="6"/>
    <x v="1"/>
    <m/>
    <s v=""/>
    <s v=""/>
  </r>
  <r>
    <n v="1254"/>
    <x v="309"/>
    <s v="Sesame Oil Chicken Flavour Instant Noodle"/>
    <x v="1"/>
    <x v="22"/>
    <s v="Asia"/>
    <x v="9"/>
    <x v="2"/>
    <m/>
    <s v=""/>
    <s v=""/>
  </r>
  <r>
    <n v="1245"/>
    <x v="127"/>
    <s v="Instant Noodle King Abalone &amp; Chicken Flavoured"/>
    <x v="0"/>
    <x v="22"/>
    <s v="Asia"/>
    <x v="2"/>
    <x v="2"/>
    <m/>
    <s v=""/>
    <s v=""/>
  </r>
  <r>
    <n v="1243"/>
    <x v="20"/>
    <s v="Demae Rice Vermicelli Chicken Flavour Instant Rice Vermicelli With Soup Base"/>
    <x v="0"/>
    <x v="22"/>
    <s v="Asia"/>
    <x v="14"/>
    <x v="1"/>
    <m/>
    <s v=""/>
    <s v=""/>
  </r>
  <r>
    <n v="1235"/>
    <x v="20"/>
    <s v="Demae Ramen Miso Tonkotsu Artificial Pork Flavor Ramen Noodle"/>
    <x v="0"/>
    <x v="22"/>
    <s v="Asia"/>
    <x v="10"/>
    <x v="2"/>
    <m/>
    <s v=""/>
    <s v=""/>
  </r>
  <r>
    <n v="1217"/>
    <x v="305"/>
    <s v="Hello Kitty Dim Sum Noodle Japanese Curry Flavour"/>
    <x v="2"/>
    <x v="22"/>
    <s v="Asia"/>
    <x v="2"/>
    <x v="2"/>
    <m/>
    <s v=""/>
    <s v=""/>
  </r>
  <r>
    <n v="1211"/>
    <x v="20"/>
    <s v="Demae Iccho Instant Noodle With Soup Base Artificial Chicken Flavour"/>
    <x v="1"/>
    <x v="22"/>
    <s v="Asia"/>
    <x v="4"/>
    <x v="2"/>
    <m/>
    <s v=""/>
    <s v=""/>
  </r>
  <r>
    <n v="1158"/>
    <x v="20"/>
    <s v="Demae Iccho XO Sauce Seafood Flavour"/>
    <x v="1"/>
    <x v="22"/>
    <s v="Asia"/>
    <x v="0"/>
    <x v="0"/>
    <m/>
    <s v=""/>
    <s v=""/>
  </r>
  <r>
    <n v="1133"/>
    <x v="307"/>
    <s v="E-Men Noodles Abalone Soup Flavor"/>
    <x v="0"/>
    <x v="22"/>
    <s v="Asia"/>
    <x v="10"/>
    <x v="2"/>
    <m/>
    <s v=""/>
    <s v=""/>
  </r>
  <r>
    <n v="1107"/>
    <x v="20"/>
    <s v="Demae Ramen Kimchi Flavour Instant Noodle With Soup Base"/>
    <x v="1"/>
    <x v="22"/>
    <s v="Asia"/>
    <x v="2"/>
    <x v="2"/>
    <m/>
    <s v=""/>
    <s v=""/>
  </r>
  <r>
    <n v="1050"/>
    <x v="100"/>
    <s v="Japanese Pork Bone Flavour Quick Serve Macaroni"/>
    <x v="0"/>
    <x v="22"/>
    <s v="Asia"/>
    <x v="4"/>
    <x v="2"/>
    <m/>
    <s v=""/>
    <s v=""/>
  </r>
  <r>
    <n v="1007"/>
    <x v="20"/>
    <s v="Demae Ramen Sesame Oil Flavour Noodles With Soup Base"/>
    <x v="1"/>
    <x v="22"/>
    <s v="Asia"/>
    <x v="17"/>
    <x v="0"/>
    <m/>
    <s v=""/>
    <s v=""/>
  </r>
  <r>
    <n v="770"/>
    <x v="311"/>
    <s v="Chicken"/>
    <x v="0"/>
    <x v="22"/>
    <s v="Asia"/>
    <x v="2"/>
    <x v="2"/>
    <m/>
    <s v=""/>
    <s v=""/>
  </r>
  <r>
    <n v="712"/>
    <x v="309"/>
    <s v="Seaweed"/>
    <x v="1"/>
    <x v="22"/>
    <s v="Asia"/>
    <x v="5"/>
    <x v="2"/>
    <m/>
    <s v=""/>
    <s v=""/>
  </r>
  <r>
    <n v="687"/>
    <x v="20"/>
    <s v="Cup Noodles Xo Sauce Seafood"/>
    <x v="2"/>
    <x v="22"/>
    <s v="Asia"/>
    <x v="10"/>
    <x v="2"/>
    <m/>
    <s v=""/>
    <s v=""/>
  </r>
  <r>
    <n v="614"/>
    <x v="308"/>
    <s v="Superior Soup Rice Noodle"/>
    <x v="0"/>
    <x v="22"/>
    <s v="Asia"/>
    <x v="6"/>
    <x v="1"/>
    <m/>
    <s v=""/>
    <s v=""/>
  </r>
  <r>
    <n v="532"/>
    <x v="305"/>
    <s v="Spicy Tomkotsu"/>
    <x v="0"/>
    <x v="22"/>
    <s v="Asia"/>
    <x v="12"/>
    <x v="0"/>
    <m/>
    <s v=""/>
    <s v=""/>
  </r>
  <r>
    <n v="524"/>
    <x v="20"/>
    <s v="Cup Noodles Spicy Seafood"/>
    <x v="2"/>
    <x v="22"/>
    <s v="Asia"/>
    <x v="10"/>
    <x v="2"/>
    <m/>
    <s v=""/>
    <s v=""/>
  </r>
  <r>
    <n v="488"/>
    <x v="311"/>
    <s v="Big Bowl Crab "/>
    <x v="1"/>
    <x v="22"/>
    <s v="Asia"/>
    <x v="2"/>
    <x v="2"/>
    <m/>
    <s v=""/>
    <s v=""/>
  </r>
  <r>
    <n v="487"/>
    <x v="311"/>
    <s v="Big Bowl Artificial Chicken"/>
    <x v="1"/>
    <x v="22"/>
    <s v="Asia"/>
    <x v="9"/>
    <x v="2"/>
    <m/>
    <s v=""/>
    <s v=""/>
  </r>
  <r>
    <n v="446"/>
    <x v="312"/>
    <s v="Noodle King Hong Koing Style Wonton"/>
    <x v="1"/>
    <x v="22"/>
    <s v="Asia"/>
    <x v="13"/>
    <x v="1"/>
    <m/>
    <s v=""/>
    <s v=""/>
  </r>
  <r>
    <n v="414"/>
    <x v="305"/>
    <s v="Artificial Beef Flavor"/>
    <x v="0"/>
    <x v="22"/>
    <s v="Asia"/>
    <x v="6"/>
    <x v="1"/>
    <m/>
    <s v=""/>
    <s v=""/>
  </r>
  <r>
    <n v="402"/>
    <x v="312"/>
    <s v="Noodle King Scallop Thick"/>
    <x v="1"/>
    <x v="22"/>
    <s v="Asia"/>
    <x v="4"/>
    <x v="2"/>
    <m/>
    <s v=""/>
    <s v=""/>
  </r>
  <r>
    <n v="400"/>
    <x v="20"/>
    <s v="Cup Noodles Seafood Curry"/>
    <x v="2"/>
    <x v="22"/>
    <s v="Asia"/>
    <x v="12"/>
    <x v="0"/>
    <m/>
    <s v=""/>
    <s v=""/>
  </r>
  <r>
    <n v="377"/>
    <x v="127"/>
    <s v="Ho Fan Abalone Chicken"/>
    <x v="1"/>
    <x v="22"/>
    <s v="Asia"/>
    <x v="0"/>
    <x v="0"/>
    <m/>
    <s v=""/>
    <s v=""/>
  </r>
  <r>
    <n v="376"/>
    <x v="127"/>
    <s v="Noodle King Lobster Thick"/>
    <x v="1"/>
    <x v="22"/>
    <s v="Asia"/>
    <x v="9"/>
    <x v="2"/>
    <m/>
    <s v=""/>
    <s v=""/>
  </r>
  <r>
    <n v="370"/>
    <x v="308"/>
    <s v="Superior Soup"/>
    <x v="0"/>
    <x v="22"/>
    <s v="Asia"/>
    <x v="3"/>
    <x v="0"/>
    <m/>
    <s v=""/>
    <s v=""/>
  </r>
  <r>
    <n v="364"/>
    <x v="312"/>
    <s v="Noodle King Beef Hong Kong Style"/>
    <x v="1"/>
    <x v="22"/>
    <s v="Asia"/>
    <x v="6"/>
    <x v="1"/>
    <m/>
    <s v=""/>
    <s v=""/>
  </r>
  <r>
    <n v="358"/>
    <x v="305"/>
    <s v="Spicy Artificial Pork"/>
    <x v="0"/>
    <x v="22"/>
    <s v="Asia"/>
    <x v="10"/>
    <x v="2"/>
    <m/>
    <s v=""/>
    <s v=""/>
  </r>
  <r>
    <n v="296"/>
    <x v="20"/>
    <s v="Cup Noodles Crab"/>
    <x v="2"/>
    <x v="22"/>
    <s v="Asia"/>
    <x v="5"/>
    <x v="2"/>
    <m/>
    <s v=""/>
    <s v=""/>
  </r>
  <r>
    <n v="290"/>
    <x v="305"/>
    <s v="Spicy Artificial Beef"/>
    <x v="0"/>
    <x v="22"/>
    <s v="Asia"/>
    <x v="4"/>
    <x v="2"/>
    <m/>
    <s v=""/>
    <s v=""/>
  </r>
  <r>
    <n v="284"/>
    <x v="20"/>
    <s v="Cup Noodles Seafood"/>
    <x v="2"/>
    <x v="22"/>
    <s v="Asia"/>
    <x v="17"/>
    <x v="0"/>
    <m/>
    <s v=""/>
    <s v=""/>
  </r>
  <r>
    <n v="282"/>
    <x v="305"/>
    <s v="Pickled Vegetable"/>
    <x v="0"/>
    <x v="22"/>
    <s v="Asia"/>
    <x v="12"/>
    <x v="0"/>
    <m/>
    <s v=""/>
    <s v=""/>
  </r>
  <r>
    <n v="165"/>
    <x v="305"/>
    <s v="Sesame Oil"/>
    <x v="0"/>
    <x v="22"/>
    <s v="Asia"/>
    <x v="2"/>
    <x v="2"/>
    <m/>
    <s v=""/>
    <s v=""/>
  </r>
  <r>
    <n v="122"/>
    <x v="305"/>
    <s v="Shrimp Wonton"/>
    <x v="0"/>
    <x v="22"/>
    <s v="Asia"/>
    <x v="0"/>
    <x v="0"/>
    <m/>
    <s v=""/>
    <s v=""/>
  </r>
  <r>
    <n v="57"/>
    <x v="305"/>
    <s v="Instant Fried Noodles With Chili Sauce"/>
    <x v="3"/>
    <x v="22"/>
    <s v="Asia"/>
    <x v="4"/>
    <x v="2"/>
    <m/>
    <s v=""/>
    <s v=""/>
  </r>
  <r>
    <n v="56"/>
    <x v="305"/>
    <s v="Instant Noodles With Sesame Oil &amp; Soup Base"/>
    <x v="0"/>
    <x v="22"/>
    <s v="Asia"/>
    <x v="19"/>
    <x v="1"/>
    <m/>
    <s v=""/>
    <s v=""/>
  </r>
  <r>
    <n v="1012"/>
    <x v="199"/>
    <s v="Good Noodles Oosterse Kip (Oriental Chicken)"/>
    <x v="0"/>
    <x v="23"/>
    <s v="Europe"/>
    <x v="2"/>
    <x v="2"/>
    <m/>
    <s v=""/>
    <s v=""/>
  </r>
  <r>
    <n v="993"/>
    <x v="199"/>
    <s v="Sate"/>
    <x v="0"/>
    <x v="23"/>
    <s v="Europe"/>
    <x v="2"/>
    <x v="2"/>
    <m/>
    <s v=""/>
    <s v=""/>
  </r>
  <r>
    <n v="544"/>
    <x v="199"/>
    <s v="Good Noodles Chicken"/>
    <x v="0"/>
    <x v="23"/>
    <s v="Europe"/>
    <x v="2"/>
    <x v="2"/>
    <m/>
    <s v=""/>
    <s v=""/>
  </r>
  <r>
    <n v="528"/>
    <x v="199"/>
    <s v="Good Noodles Vegetable"/>
    <x v="0"/>
    <x v="23"/>
    <s v="Europe"/>
    <x v="10"/>
    <x v="2"/>
    <m/>
    <s v=""/>
    <s v=""/>
  </r>
  <r>
    <n v="2554"/>
    <x v="313"/>
    <s v="Instant Noodles Beef In Light Soup Flavour"/>
    <x v="0"/>
    <x v="24"/>
    <s v="Asia"/>
    <x v="2"/>
    <x v="2"/>
    <m/>
    <s v=""/>
    <s v=""/>
  </r>
  <r>
    <n v="2536"/>
    <x v="314"/>
    <s v="Instant Noodles Beef"/>
    <x v="0"/>
    <x v="24"/>
    <s v="Asia"/>
    <x v="2"/>
    <x v="2"/>
    <m/>
    <s v=""/>
    <s v=""/>
  </r>
  <r>
    <n v="2498"/>
    <x v="20"/>
    <s v="Demae Ramen Spicy Beef"/>
    <x v="0"/>
    <x v="25"/>
    <s v="Europe"/>
    <x v="10"/>
    <x v="2"/>
    <m/>
    <s v=""/>
    <s v=""/>
  </r>
  <r>
    <n v="2497"/>
    <x v="20"/>
    <s v="Cup Noodles Spicy"/>
    <x v="2"/>
    <x v="25"/>
    <s v="Europe"/>
    <x v="10"/>
    <x v="2"/>
    <m/>
    <s v=""/>
    <s v=""/>
  </r>
  <r>
    <n v="2496"/>
    <x v="20"/>
    <s v="Soba Thai"/>
    <x v="0"/>
    <x v="25"/>
    <s v="Europe"/>
    <x v="17"/>
    <x v="0"/>
    <m/>
    <s v=""/>
    <s v=""/>
  </r>
  <r>
    <n v="2495"/>
    <x v="20"/>
    <s v="Cup Noodles Huhn (Chicken)"/>
    <x v="2"/>
    <x v="25"/>
    <s v="Europe"/>
    <x v="10"/>
    <x v="2"/>
    <m/>
    <s v=""/>
    <s v=""/>
  </r>
  <r>
    <n v="2494"/>
    <x v="20"/>
    <s v="Demae Ramen Korean Kimchi"/>
    <x v="0"/>
    <x v="25"/>
    <s v="Europe"/>
    <x v="2"/>
    <x v="2"/>
    <m/>
    <s v=""/>
    <s v=""/>
  </r>
  <r>
    <n v="2493"/>
    <x v="20"/>
    <s v="Cup Noodles Curry"/>
    <x v="2"/>
    <x v="25"/>
    <s v="Europe"/>
    <x v="10"/>
    <x v="2"/>
    <m/>
    <s v=""/>
    <s v=""/>
  </r>
  <r>
    <n v="2491"/>
    <x v="20"/>
    <s v="Soba Yakitori Chicken"/>
    <x v="2"/>
    <x v="25"/>
    <s v="Europe"/>
    <x v="3"/>
    <x v="0"/>
    <m/>
    <s v=""/>
    <s v=""/>
  </r>
  <r>
    <n v="2490"/>
    <x v="20"/>
    <s v="Demae Ramen Garlic Chicken"/>
    <x v="0"/>
    <x v="25"/>
    <s v="Europe"/>
    <x v="2"/>
    <x v="2"/>
    <m/>
    <s v=""/>
    <s v=""/>
  </r>
  <r>
    <n v="2489"/>
    <x v="20"/>
    <s v="Cup Noodles Ente (Duck)"/>
    <x v="2"/>
    <x v="25"/>
    <s v="Europe"/>
    <x v="4"/>
    <x v="2"/>
    <m/>
    <s v=""/>
    <s v=""/>
  </r>
  <r>
    <n v="2488"/>
    <x v="20"/>
    <s v="Demae Ramen Thai Tom Yum"/>
    <x v="0"/>
    <x v="25"/>
    <s v="Europe"/>
    <x v="10"/>
    <x v="2"/>
    <m/>
    <s v=""/>
    <s v=""/>
  </r>
  <r>
    <n v="2487"/>
    <x v="20"/>
    <s v="Soba Sukiyaki Beef"/>
    <x v="2"/>
    <x v="25"/>
    <s v="Europe"/>
    <x v="17"/>
    <x v="0"/>
    <m/>
    <s v=""/>
    <s v=""/>
  </r>
  <r>
    <n v="2486"/>
    <x v="20"/>
    <s v="Demae Ramen Spicy"/>
    <x v="0"/>
    <x v="25"/>
    <s v="Europe"/>
    <x v="2"/>
    <x v="2"/>
    <m/>
    <s v=""/>
    <s v=""/>
  </r>
  <r>
    <n v="2485"/>
    <x v="20"/>
    <s v="Cup Noodles Shrimps"/>
    <x v="2"/>
    <x v="25"/>
    <s v="Europe"/>
    <x v="4"/>
    <x v="2"/>
    <m/>
    <s v=""/>
    <s v=""/>
  </r>
  <r>
    <n v="2484"/>
    <x v="20"/>
    <s v="Demae Ramen Tokyo Soy Sauce"/>
    <x v="0"/>
    <x v="25"/>
    <s v="Europe"/>
    <x v="0"/>
    <x v="0"/>
    <m/>
    <s v=""/>
    <s v=""/>
  </r>
  <r>
    <n v="1975"/>
    <x v="20"/>
    <s v="Soba Fried Noodles Classic"/>
    <x v="0"/>
    <x v="25"/>
    <s v="Europe"/>
    <x v="5"/>
    <x v="2"/>
    <m/>
    <s v=""/>
    <s v=""/>
  </r>
  <r>
    <n v="1916"/>
    <x v="20"/>
    <s v="Soba Fried Noodles Teriyaki"/>
    <x v="0"/>
    <x v="25"/>
    <s v="Europe"/>
    <x v="4"/>
    <x v="2"/>
    <m/>
    <s v=""/>
    <s v=""/>
  </r>
  <r>
    <n v="1869"/>
    <x v="20"/>
    <s v="Soba Fried Noodles Chili"/>
    <x v="0"/>
    <x v="25"/>
    <s v="Europe"/>
    <x v="2"/>
    <x v="2"/>
    <m/>
    <s v=""/>
    <s v=""/>
  </r>
  <r>
    <n v="1813"/>
    <x v="20"/>
    <s v="Soba Fried Noodles Curry"/>
    <x v="0"/>
    <x v="25"/>
    <s v="Europe"/>
    <x v="12"/>
    <x v="0"/>
    <m/>
    <s v=""/>
    <s v=""/>
  </r>
  <r>
    <n v="1733"/>
    <x v="302"/>
    <s v="Instant Noodles Beef Flavour"/>
    <x v="0"/>
    <x v="25"/>
    <s v="Europe"/>
    <x v="10"/>
    <x v="2"/>
    <m/>
    <s v=""/>
    <s v=""/>
  </r>
  <r>
    <n v="1637"/>
    <x v="304"/>
    <s v="Instant Nudelsuppe Huhn Geschmack"/>
    <x v="0"/>
    <x v="25"/>
    <s v="Europe"/>
    <x v="4"/>
    <x v="2"/>
    <m/>
    <s v=""/>
    <s v=""/>
  </r>
  <r>
    <n v="1490"/>
    <x v="20"/>
    <s v="Soba Chili Noodles With Japanese Yakisoba Sauce"/>
    <x v="2"/>
    <x v="25"/>
    <s v="Europe"/>
    <x v="2"/>
    <x v="2"/>
    <m/>
    <s v=""/>
    <s v=""/>
  </r>
  <r>
    <n v="1476"/>
    <x v="304"/>
    <s v="Instant Nudelsuppe Shrimp Flavour"/>
    <x v="0"/>
    <x v="25"/>
    <s v="Europe"/>
    <x v="2"/>
    <x v="2"/>
    <m/>
    <s v=""/>
    <s v=""/>
  </r>
  <r>
    <n v="1469"/>
    <x v="86"/>
    <s v="Oriental Style Instant Noodles Beef Flavour"/>
    <x v="0"/>
    <x v="25"/>
    <s v="Europe"/>
    <x v="5"/>
    <x v="2"/>
    <m/>
    <s v=""/>
    <s v=""/>
  </r>
  <r>
    <n v="1465"/>
    <x v="304"/>
    <s v="Shrimp &quot;Tom Yum&quot; Instant Nudelsuppe"/>
    <x v="0"/>
    <x v="25"/>
    <s v="Europe"/>
    <x v="2"/>
    <x v="2"/>
    <m/>
    <s v=""/>
    <s v=""/>
  </r>
  <r>
    <n v="1368"/>
    <x v="20"/>
    <s v="Soba Teriyaki Noodles With Japanese Yakisoba Sauce"/>
    <x v="2"/>
    <x v="25"/>
    <s v="Europe"/>
    <x v="4"/>
    <x v="2"/>
    <m/>
    <s v=""/>
    <s v=""/>
  </r>
  <r>
    <n v="1222"/>
    <x v="20"/>
    <s v="Soba Classic Noodles With Japanese Yakisoba Sauce"/>
    <x v="2"/>
    <x v="25"/>
    <s v="Europe"/>
    <x v="10"/>
    <x v="2"/>
    <m/>
    <s v=""/>
    <s v=""/>
  </r>
  <r>
    <n v="1193"/>
    <x v="20"/>
    <s v="Soba Curry Noodles With Japanese Yakisoba Sauce"/>
    <x v="2"/>
    <x v="25"/>
    <s v="Europe"/>
    <x v="10"/>
    <x v="2"/>
    <m/>
    <s v=""/>
    <s v=""/>
  </r>
  <r>
    <n v="1905"/>
    <x v="315"/>
    <s v="Nuudeli Kana Nudlar Kyckling"/>
    <x v="0"/>
    <x v="26"/>
    <s v="Europe"/>
    <x v="2"/>
    <x v="2"/>
    <m/>
    <s v=""/>
    <s v=""/>
  </r>
  <r>
    <n v="1764"/>
    <x v="315"/>
    <s v="Nuudeli Tom Yum Katkarapu"/>
    <x v="0"/>
    <x v="26"/>
    <s v="Europe"/>
    <x v="10"/>
    <x v="2"/>
    <m/>
    <s v=""/>
    <s v=""/>
  </r>
  <r>
    <n v="1724"/>
    <x v="315"/>
    <s v="Nuudeli Liha Nudlar Kott"/>
    <x v="0"/>
    <x v="26"/>
    <s v="Europe"/>
    <x v="2"/>
    <x v="2"/>
    <m/>
    <s v=""/>
    <s v=""/>
  </r>
  <r>
    <n v="2396"/>
    <x v="186"/>
    <s v="2 Minute Noodles Chicken Flavour"/>
    <x v="0"/>
    <x v="27"/>
    <s v="Oceania"/>
    <x v="5"/>
    <x v="2"/>
    <m/>
    <s v=""/>
    <s v=""/>
  </r>
  <r>
    <n v="2386"/>
    <x v="186"/>
    <s v="2 Minute Noodles Curry Flavour"/>
    <x v="0"/>
    <x v="27"/>
    <s v="Oceania"/>
    <x v="0"/>
    <x v="0"/>
    <m/>
    <s v=""/>
    <s v=""/>
  </r>
  <r>
    <n v="899"/>
    <x v="316"/>
    <s v="Chow Tomato "/>
    <x v="0"/>
    <x v="27"/>
    <s v="Oceania"/>
    <x v="12"/>
    <x v="0"/>
    <m/>
    <s v=""/>
    <s v=""/>
  </r>
  <r>
    <n v="897"/>
    <x v="316"/>
    <s v="Chow Masala"/>
    <x v="0"/>
    <x v="27"/>
    <s v="Oceania"/>
    <x v="0"/>
    <x v="0"/>
    <m/>
    <s v=""/>
    <s v=""/>
  </r>
  <r>
    <n v="1100"/>
    <x v="317"/>
    <s v="Instant Noodles With Chicken Flavour Broth"/>
    <x v="0"/>
    <x v="28"/>
    <s v="Europe"/>
    <x v="10"/>
    <x v="2"/>
    <m/>
    <s v=""/>
    <s v=""/>
  </r>
  <r>
    <n v="1099"/>
    <x v="317"/>
    <s v="Instant Noodles With Beef Flavour Broth"/>
    <x v="0"/>
    <x v="28"/>
    <s v="Europe"/>
    <x v="5"/>
    <x v="2"/>
    <m/>
    <s v=""/>
    <s v=""/>
  </r>
  <r>
    <n v="797"/>
    <x v="318"/>
    <s v="Vegetable"/>
    <x v="0"/>
    <x v="29"/>
    <s v="Middle East"/>
    <x v="10"/>
    <x v="2"/>
    <m/>
    <s v=""/>
    <s v=""/>
  </r>
  <r>
    <n v="742"/>
    <x v="318"/>
    <s v="chicken"/>
    <x v="0"/>
    <x v="29"/>
    <s v="Middle East"/>
    <x v="5"/>
    <x v="2"/>
    <m/>
    <s v=""/>
    <s v=""/>
  </r>
  <r>
    <n v="720"/>
    <x v="318"/>
    <s v="Chicken Curry"/>
    <x v="0"/>
    <x v="29"/>
    <s v="Middle East"/>
    <x v="10"/>
    <x v="2"/>
    <m/>
    <s v=""/>
    <s v=""/>
  </r>
  <r>
    <n v="1429"/>
    <x v="20"/>
    <s v="Sabor A Gallina Fideos Con Instantanea"/>
    <x v="0"/>
    <x v="30"/>
    <s v="South America"/>
    <x v="2"/>
    <x v="2"/>
    <m/>
    <s v=""/>
    <s v=""/>
  </r>
  <r>
    <n v="1292"/>
    <x v="20"/>
    <s v="Cup Noodles Sabor A Carne Sopa Con Fideos"/>
    <x v="2"/>
    <x v="30"/>
    <s v="South America"/>
    <x v="4"/>
    <x v="2"/>
    <m/>
    <s v=""/>
    <s v=""/>
  </r>
  <r>
    <n v="1249"/>
    <x v="20"/>
    <s v="Sabor A Pollo Sopa Con Fideos"/>
    <x v="2"/>
    <x v="30"/>
    <s v="South America"/>
    <x v="9"/>
    <x v="2"/>
    <m/>
    <s v=""/>
    <s v=""/>
  </r>
  <r>
    <n v="1233"/>
    <x v="20"/>
    <s v="Sabor A Pollo Sopa Instant√°nea Con Fideos"/>
    <x v="0"/>
    <x v="30"/>
    <s v="South America"/>
    <x v="5"/>
    <x v="2"/>
    <m/>
    <s v=""/>
    <s v=""/>
  </r>
  <r>
    <n v="1204"/>
    <x v="20"/>
    <s v="Cup Noodles Sabor A Gallina"/>
    <x v="2"/>
    <x v="30"/>
    <s v="South America"/>
    <x v="2"/>
    <x v="2"/>
    <m/>
    <s v=""/>
    <s v=""/>
  </r>
  <r>
    <n v="1186"/>
    <x v="20"/>
    <s v="Sabor A Carne Sopa Instant√°nea Con Fideos"/>
    <x v="0"/>
    <x v="30"/>
    <s v="South America"/>
    <x v="10"/>
    <x v="2"/>
    <m/>
    <s v=""/>
    <s v=""/>
  </r>
  <r>
    <n v="1689"/>
    <x v="319"/>
    <s v="Tomato Beef Brisket Flavor Purple Potato Noodle"/>
    <x v="0"/>
    <x v="31"/>
    <s v="Asia"/>
    <x v="3"/>
    <x v="0"/>
    <s v="2016 #7"/>
    <s v="2016"/>
    <s v="7"/>
  </r>
  <r>
    <n v="2547"/>
    <x v="320"/>
    <s v="Chongqing Spicy Hot Noodles"/>
    <x v="1"/>
    <x v="31"/>
    <s v="Asia"/>
    <x v="0"/>
    <x v="0"/>
    <m/>
    <s v=""/>
    <s v=""/>
  </r>
  <r>
    <n v="2531"/>
    <x v="1"/>
    <s v="Pickled Cabbage Beef"/>
    <x v="0"/>
    <x v="31"/>
    <s v="Asia"/>
    <x v="12"/>
    <x v="0"/>
    <m/>
    <s v=""/>
    <s v=""/>
  </r>
  <r>
    <n v="2503"/>
    <x v="320"/>
    <s v="Sweet Potato Instant Noodle Sout-Hot Flavor"/>
    <x v="1"/>
    <x v="31"/>
    <s v="Asia"/>
    <x v="1"/>
    <x v="1"/>
    <m/>
    <s v=""/>
    <s v=""/>
  </r>
  <r>
    <n v="2465"/>
    <x v="20"/>
    <s v="Cup Noodles XO Sauce Seafood"/>
    <x v="2"/>
    <x v="31"/>
    <s v="Asia"/>
    <x v="10"/>
    <x v="2"/>
    <m/>
    <s v=""/>
    <s v=""/>
  </r>
  <r>
    <n v="2440"/>
    <x v="321"/>
    <s v="Roasted Pork Noodle"/>
    <x v="0"/>
    <x v="31"/>
    <s v="Asia"/>
    <x v="17"/>
    <x v="0"/>
    <m/>
    <s v=""/>
    <s v=""/>
  </r>
  <r>
    <n v="2420"/>
    <x v="20"/>
    <s v="Cup Noodles Spicy Seafood Flavor"/>
    <x v="2"/>
    <x v="31"/>
    <s v="Asia"/>
    <x v="10"/>
    <x v="2"/>
    <m/>
    <s v=""/>
    <s v=""/>
  </r>
  <r>
    <n v="2416"/>
    <x v="322"/>
    <s v="Hot &amp; Sour Beef Noodles"/>
    <x v="1"/>
    <x v="31"/>
    <s v="Asia"/>
    <x v="12"/>
    <x v="0"/>
    <m/>
    <s v=""/>
    <s v=""/>
  </r>
  <r>
    <n v="2406"/>
    <x v="320"/>
    <s v="Sweet Potato Instant Noodle Braised Spicy Chitterling Flavor"/>
    <x v="0"/>
    <x v="31"/>
    <s v="Asia"/>
    <x v="20"/>
    <x v="1"/>
    <m/>
    <s v=""/>
    <s v=""/>
  </r>
  <r>
    <n v="2401"/>
    <x v="323"/>
    <s v="Chongqing Noodles Burning Dry Noodles"/>
    <x v="1"/>
    <x v="31"/>
    <s v="Asia"/>
    <x v="3"/>
    <x v="0"/>
    <m/>
    <s v=""/>
    <s v=""/>
  </r>
  <r>
    <n v="2398"/>
    <x v="324"/>
    <s v="Shaanxi Cold Noodle: Mustard Spicy"/>
    <x v="3"/>
    <x v="31"/>
    <s v="Asia"/>
    <x v="19"/>
    <x v="1"/>
    <m/>
    <s v=""/>
    <s v=""/>
  </r>
  <r>
    <n v="2395"/>
    <x v="321"/>
    <s v="Chicken Flavor Instant Noolde"/>
    <x v="0"/>
    <x v="31"/>
    <s v="Asia"/>
    <x v="12"/>
    <x v="0"/>
    <m/>
    <s v=""/>
    <s v=""/>
  </r>
  <r>
    <n v="2388"/>
    <x v="325"/>
    <s v="Three Fresh Delicacies Instant Noodle"/>
    <x v="0"/>
    <x v="31"/>
    <s v="Asia"/>
    <x v="12"/>
    <x v="0"/>
    <m/>
    <s v=""/>
    <s v=""/>
  </r>
  <r>
    <n v="2384"/>
    <x v="320"/>
    <s v="9999 Chongqing Artificial Beef Flavor Instant Noodle"/>
    <x v="0"/>
    <x v="31"/>
    <s v="Asia"/>
    <x v="12"/>
    <x v="0"/>
    <m/>
    <s v=""/>
    <s v=""/>
  </r>
  <r>
    <n v="2372"/>
    <x v="326"/>
    <s v="Instant Spicy Rice Noodle"/>
    <x v="1"/>
    <x v="31"/>
    <s v="Asia"/>
    <x v="0"/>
    <x v="0"/>
    <m/>
    <s v=""/>
    <s v=""/>
  </r>
  <r>
    <n v="2362"/>
    <x v="327"/>
    <s v="Bowl Instant Noodles Artificial Spicy Beef Flavor"/>
    <x v="1"/>
    <x v="31"/>
    <s v="Asia"/>
    <x v="0"/>
    <x v="0"/>
    <m/>
    <s v=""/>
    <s v=""/>
  </r>
  <r>
    <n v="2358"/>
    <x v="323"/>
    <s v="Pickled Cabbage Flavor Instant Vermicelli"/>
    <x v="1"/>
    <x v="31"/>
    <s v="Asia"/>
    <x v="0"/>
    <x v="0"/>
    <m/>
    <s v=""/>
    <s v=""/>
  </r>
  <r>
    <n v="2328"/>
    <x v="328"/>
    <s v="Shaanxi Cold Noot Hot &amp; Sour Flavor"/>
    <x v="0"/>
    <x v="31"/>
    <s v="Asia"/>
    <x v="4"/>
    <x v="2"/>
    <m/>
    <s v=""/>
    <s v=""/>
  </r>
  <r>
    <n v="2297"/>
    <x v="327"/>
    <s v="Bowl Instant Noodles Artificial Beef With Sauerkraut Flavor"/>
    <x v="1"/>
    <x v="31"/>
    <s v="Asia"/>
    <x v="4"/>
    <x v="2"/>
    <m/>
    <s v=""/>
    <s v=""/>
  </r>
  <r>
    <n v="2295"/>
    <x v="20"/>
    <s v="Cup Noodles Seafood"/>
    <x v="2"/>
    <x v="31"/>
    <s v="Asia"/>
    <x v="0"/>
    <x v="0"/>
    <m/>
    <s v=""/>
    <s v=""/>
  </r>
  <r>
    <n v="2292"/>
    <x v="323"/>
    <s v="Chongqing Noodles Spicy Hot Flavor"/>
    <x v="0"/>
    <x v="31"/>
    <s v="Asia"/>
    <x v="3"/>
    <x v="0"/>
    <m/>
    <s v=""/>
    <s v=""/>
  </r>
  <r>
    <n v="2287"/>
    <x v="321"/>
    <s v="Artificial Abalone Crab Flavor Instant Noodle"/>
    <x v="0"/>
    <x v="31"/>
    <s v="Asia"/>
    <x v="1"/>
    <x v="1"/>
    <m/>
    <s v=""/>
    <s v=""/>
  </r>
  <r>
    <n v="2280"/>
    <x v="323"/>
    <s v="Chongqing Noodles Hot &amp; Sour Flavor"/>
    <x v="0"/>
    <x v="31"/>
    <s v="Asia"/>
    <x v="0"/>
    <x v="0"/>
    <m/>
    <s v=""/>
    <s v=""/>
  </r>
  <r>
    <n v="2275"/>
    <x v="329"/>
    <s v="Hot &amp; Sour Beef Noodles"/>
    <x v="0"/>
    <x v="31"/>
    <s v="Asia"/>
    <x v="0"/>
    <x v="0"/>
    <m/>
    <s v=""/>
    <s v=""/>
  </r>
  <r>
    <n v="2271"/>
    <x v="323"/>
    <s v="Chongqing Noodles Burning Dry Noodles"/>
    <x v="0"/>
    <x v="31"/>
    <s v="Asia"/>
    <x v="3"/>
    <x v="0"/>
    <m/>
    <s v=""/>
    <s v=""/>
  </r>
  <r>
    <n v="2263"/>
    <x v="323"/>
    <s v="Broad Noodle Artificial Beef Flavor Hot Pot"/>
    <x v="0"/>
    <x v="31"/>
    <s v="Asia"/>
    <x v="0"/>
    <x v="0"/>
    <m/>
    <s v=""/>
    <s v=""/>
  </r>
  <r>
    <n v="2186"/>
    <x v="321"/>
    <s v="Assorted Seafood Noodles"/>
    <x v="0"/>
    <x v="31"/>
    <s v="Asia"/>
    <x v="0"/>
    <x v="0"/>
    <m/>
    <s v=""/>
    <s v=""/>
  </r>
  <r>
    <n v="2166"/>
    <x v="329"/>
    <s v="Instant Noodle Artificial Beef Flavor 7 sour Pickled Cabbage"/>
    <x v="0"/>
    <x v="31"/>
    <s v="Asia"/>
    <x v="0"/>
    <x v="0"/>
    <m/>
    <s v=""/>
    <s v=""/>
  </r>
  <r>
    <n v="2157"/>
    <x v="321"/>
    <s v="Artificial Mushroom Chicken Flavor Instant Noodle"/>
    <x v="0"/>
    <x v="31"/>
    <s v="Asia"/>
    <x v="0"/>
    <x v="0"/>
    <m/>
    <s v=""/>
    <s v=""/>
  </r>
  <r>
    <n v="2051"/>
    <x v="321"/>
    <s v="Artificial Pork Ribs Flavour Instant Noodle"/>
    <x v="0"/>
    <x v="31"/>
    <s v="Asia"/>
    <x v="2"/>
    <x v="2"/>
    <m/>
    <s v=""/>
    <s v=""/>
  </r>
  <r>
    <n v="2041"/>
    <x v="321"/>
    <s v="Tomato Sauce Instant Noodle"/>
    <x v="0"/>
    <x v="31"/>
    <s v="Asia"/>
    <x v="17"/>
    <x v="0"/>
    <m/>
    <s v=""/>
    <s v=""/>
  </r>
  <r>
    <n v="2020"/>
    <x v="306"/>
    <s v="Artificial Roasted Beef"/>
    <x v="0"/>
    <x v="31"/>
    <s v="Asia"/>
    <x v="2"/>
    <x v="2"/>
    <m/>
    <s v=""/>
    <s v=""/>
  </r>
  <r>
    <n v="2008"/>
    <x v="323"/>
    <s v="Hot spicy Flavor Instant Vermicelli"/>
    <x v="1"/>
    <x v="31"/>
    <s v="Asia"/>
    <x v="2"/>
    <x v="2"/>
    <m/>
    <s v=""/>
    <s v=""/>
  </r>
  <r>
    <n v="1982"/>
    <x v="321"/>
    <s v="Assorted Pork Bone Noodle"/>
    <x v="0"/>
    <x v="31"/>
    <s v="Asia"/>
    <x v="0"/>
    <x v="0"/>
    <m/>
    <s v=""/>
    <s v=""/>
  </r>
  <r>
    <n v="1948"/>
    <x v="323"/>
    <s v="Artificial Pickled Cabbage Fish Flavor Instant Vermicelli"/>
    <x v="0"/>
    <x v="31"/>
    <s v="Asia"/>
    <x v="8"/>
    <x v="1"/>
    <m/>
    <s v=""/>
    <s v=""/>
  </r>
  <r>
    <n v="1924"/>
    <x v="323"/>
    <s v="Broad Noodle Artificial Beef Flavor"/>
    <x v="0"/>
    <x v="31"/>
    <s v="Asia"/>
    <x v="2"/>
    <x v="2"/>
    <m/>
    <s v=""/>
    <s v=""/>
  </r>
  <r>
    <n v="1898"/>
    <x v="321"/>
    <s v="Spicy Fish Noodle"/>
    <x v="1"/>
    <x v="31"/>
    <s v="Asia"/>
    <x v="4"/>
    <x v="2"/>
    <m/>
    <s v=""/>
    <s v=""/>
  </r>
  <r>
    <n v="1863"/>
    <x v="330"/>
    <s v="Broad Noodle Pickled Vegetable Artificial Beef Flavor"/>
    <x v="0"/>
    <x v="31"/>
    <s v="Asia"/>
    <x v="1"/>
    <x v="1"/>
    <m/>
    <s v=""/>
    <s v=""/>
  </r>
  <r>
    <n v="1825"/>
    <x v="323"/>
    <s v="Broad Noodle Chilli Oil Flavor"/>
    <x v="0"/>
    <x v="31"/>
    <s v="Asia"/>
    <x v="17"/>
    <x v="0"/>
    <m/>
    <s v=""/>
    <s v=""/>
  </r>
  <r>
    <n v="1812"/>
    <x v="321"/>
    <s v="Mushroom Instant Noodle"/>
    <x v="1"/>
    <x v="31"/>
    <s v="Asia"/>
    <x v="12"/>
    <x v="0"/>
    <m/>
    <s v=""/>
    <s v=""/>
  </r>
  <r>
    <n v="1801"/>
    <x v="330"/>
    <s v="Spicy Artificial Fei Chang Instant Vermicelli (New Recipe)"/>
    <x v="0"/>
    <x v="31"/>
    <s v="Asia"/>
    <x v="10"/>
    <x v="2"/>
    <m/>
    <s v=""/>
    <s v=""/>
  </r>
  <r>
    <n v="1778"/>
    <x v="329"/>
    <s v="Spicy King Spicy Chicken"/>
    <x v="0"/>
    <x v="31"/>
    <s v="Asia"/>
    <x v="3"/>
    <x v="0"/>
    <m/>
    <s v=""/>
    <s v=""/>
  </r>
  <r>
    <n v="1777"/>
    <x v="329"/>
    <s v="Supereme Bowl Noodles With Stewed Egg Spicy Flavour"/>
    <x v="1"/>
    <x v="31"/>
    <s v="Asia"/>
    <x v="2"/>
    <x v="2"/>
    <m/>
    <s v=""/>
    <s v=""/>
  </r>
  <r>
    <n v="1776"/>
    <x v="329"/>
    <s v="Spicy King Bowl Noodle Spicy Chicken"/>
    <x v="1"/>
    <x v="31"/>
    <s v="Asia"/>
    <x v="3"/>
    <x v="0"/>
    <m/>
    <s v=""/>
    <s v=""/>
  </r>
  <r>
    <n v="1775"/>
    <x v="329"/>
    <s v="Spicy King Bowl Noodle Spicy Beef"/>
    <x v="1"/>
    <x v="31"/>
    <s v="Asia"/>
    <x v="12"/>
    <x v="0"/>
    <m/>
    <s v=""/>
    <s v=""/>
  </r>
  <r>
    <n v="1774"/>
    <x v="329"/>
    <s v="Spicy King Spicy Pork"/>
    <x v="0"/>
    <x v="31"/>
    <s v="Asia"/>
    <x v="3"/>
    <x v="0"/>
    <m/>
    <s v=""/>
    <s v=""/>
  </r>
  <r>
    <n v="1773"/>
    <x v="329"/>
    <s v="Supreme Bowl Noodles With Stewed Egg Sour Beans With Pork Flavour"/>
    <x v="1"/>
    <x v="31"/>
    <s v="Asia"/>
    <x v="0"/>
    <x v="0"/>
    <m/>
    <s v=""/>
    <s v=""/>
  </r>
  <r>
    <n v="1772"/>
    <x v="329"/>
    <s v="Spicy King Spicy Beef"/>
    <x v="0"/>
    <x v="31"/>
    <s v="Asia"/>
    <x v="3"/>
    <x v="0"/>
    <m/>
    <s v=""/>
    <s v=""/>
  </r>
  <r>
    <n v="1771"/>
    <x v="329"/>
    <s v="Supreme Bowl Noodles With Stewed Egg Braised Beef Flavour"/>
    <x v="1"/>
    <x v="31"/>
    <s v="Asia"/>
    <x v="2"/>
    <x v="2"/>
    <m/>
    <s v=""/>
    <s v=""/>
  </r>
  <r>
    <n v="1770"/>
    <x v="329"/>
    <s v="Spicy King Bowl Noodle Spicy Pork"/>
    <x v="1"/>
    <x v="31"/>
    <s v="Asia"/>
    <x v="17"/>
    <x v="0"/>
    <m/>
    <s v=""/>
    <s v=""/>
  </r>
  <r>
    <n v="1740"/>
    <x v="321"/>
    <s v="Braised Beef Noodle"/>
    <x v="0"/>
    <x v="31"/>
    <s v="Asia"/>
    <x v="12"/>
    <x v="0"/>
    <m/>
    <s v=""/>
    <s v=""/>
  </r>
  <r>
    <n v="1735"/>
    <x v="321"/>
    <s v="Tomato Sauce Instant Noodle"/>
    <x v="1"/>
    <x v="31"/>
    <s v="Asia"/>
    <x v="0"/>
    <x v="0"/>
    <m/>
    <s v=""/>
    <s v=""/>
  </r>
  <r>
    <n v="1723"/>
    <x v="331"/>
    <s v="Artificial Beef Instant Noodles With Soup Base"/>
    <x v="0"/>
    <x v="31"/>
    <s v="Asia"/>
    <x v="10"/>
    <x v="2"/>
    <m/>
    <s v=""/>
    <s v=""/>
  </r>
  <r>
    <n v="1714"/>
    <x v="321"/>
    <s v="Sichuan Hot Spicy Fish"/>
    <x v="0"/>
    <x v="31"/>
    <s v="Asia"/>
    <x v="10"/>
    <x v="2"/>
    <m/>
    <s v=""/>
    <s v=""/>
  </r>
  <r>
    <n v="1704"/>
    <x v="331"/>
    <s v="Sour &amp; Spicy Flavour"/>
    <x v="0"/>
    <x v="31"/>
    <s v="Asia"/>
    <x v="10"/>
    <x v="2"/>
    <m/>
    <s v=""/>
    <s v=""/>
  </r>
  <r>
    <n v="1690"/>
    <x v="319"/>
    <s v="Sour Bamboo Shoot &amp; Beef If Hot Pot Flavor Noodles"/>
    <x v="1"/>
    <x v="31"/>
    <s v="Asia"/>
    <x v="0"/>
    <x v="0"/>
    <m/>
    <s v=""/>
    <s v=""/>
  </r>
  <r>
    <n v="1688"/>
    <x v="319"/>
    <s v="Sea Tangle &amp; Sparerins Flavor Noodles"/>
    <x v="1"/>
    <x v="31"/>
    <s v="Asia"/>
    <x v="10"/>
    <x v="2"/>
    <m/>
    <s v=""/>
    <s v=""/>
  </r>
  <r>
    <n v="1687"/>
    <x v="319"/>
    <s v="Chef's Grains Millet Noodle"/>
    <x v="0"/>
    <x v="31"/>
    <s v="Asia"/>
    <x v="10"/>
    <x v="2"/>
    <m/>
    <s v=""/>
    <s v=""/>
  </r>
  <r>
    <n v="1686"/>
    <x v="319"/>
    <s v="Chef's Grains Buckwheat Noodle"/>
    <x v="0"/>
    <x v="31"/>
    <s v="Asia"/>
    <x v="2"/>
    <x v="2"/>
    <m/>
    <s v=""/>
    <s v=""/>
  </r>
  <r>
    <n v="1685"/>
    <x v="319"/>
    <s v="Chef's Grains Pea Noodle"/>
    <x v="0"/>
    <x v="31"/>
    <s v="Asia"/>
    <x v="0"/>
    <x v="0"/>
    <m/>
    <s v=""/>
    <s v=""/>
  </r>
  <r>
    <n v="1684"/>
    <x v="319"/>
    <s v="Sichuan Pepper &amp; Chicken Flavor Noodle"/>
    <x v="1"/>
    <x v="31"/>
    <s v="Asia"/>
    <x v="17"/>
    <x v="0"/>
    <m/>
    <s v=""/>
    <s v=""/>
  </r>
  <r>
    <n v="1683"/>
    <x v="319"/>
    <s v="Sour Soup &amp; Minced Meat Flavor Chef's Grain Naked Oat Noodles"/>
    <x v="0"/>
    <x v="31"/>
    <s v="Asia"/>
    <x v="3"/>
    <x v="0"/>
    <m/>
    <s v=""/>
    <s v=""/>
  </r>
  <r>
    <n v="1682"/>
    <x v="319"/>
    <s v="Sour Bamboo Shoot &amp; Beef If Hot Pot Flavor Noodles"/>
    <x v="0"/>
    <x v="31"/>
    <s v="Asia"/>
    <x v="0"/>
    <x v="0"/>
    <m/>
    <s v=""/>
    <s v=""/>
  </r>
  <r>
    <n v="1681"/>
    <x v="319"/>
    <s v="Sea Tangle &amp; Sparerins Flavor Noodles"/>
    <x v="1"/>
    <x v="31"/>
    <s v="Asia"/>
    <x v="10"/>
    <x v="2"/>
    <m/>
    <s v=""/>
    <s v=""/>
  </r>
  <r>
    <n v="1675"/>
    <x v="331"/>
    <s v="Sauerkraut Flavor"/>
    <x v="0"/>
    <x v="31"/>
    <s v="Asia"/>
    <x v="17"/>
    <x v="0"/>
    <m/>
    <s v=""/>
    <s v=""/>
  </r>
  <r>
    <n v="1661"/>
    <x v="332"/>
    <s v="Senior Food Rice Noodle Fragrant Peppery Beef"/>
    <x v="2"/>
    <x v="31"/>
    <s v="Asia"/>
    <x v="10"/>
    <x v="2"/>
    <m/>
    <s v=""/>
    <s v=""/>
  </r>
  <r>
    <n v="1655"/>
    <x v="330"/>
    <s v="Artificial Pickled Vegetable Beef Flavor"/>
    <x v="0"/>
    <x v="31"/>
    <s v="Asia"/>
    <x v="4"/>
    <x v="2"/>
    <m/>
    <s v=""/>
    <s v=""/>
  </r>
  <r>
    <n v="1649"/>
    <x v="321"/>
    <s v="Seafood Flavour Instant Cooking Noodles"/>
    <x v="0"/>
    <x v="31"/>
    <s v="Asia"/>
    <x v="12"/>
    <x v="0"/>
    <m/>
    <s v=""/>
    <s v=""/>
  </r>
  <r>
    <n v="1630"/>
    <x v="19"/>
    <s v="Korean Clay Pot Ramyun"/>
    <x v="1"/>
    <x v="31"/>
    <s v="Asia"/>
    <x v="6"/>
    <x v="1"/>
    <m/>
    <s v=""/>
    <s v=""/>
  </r>
  <r>
    <n v="1624"/>
    <x v="331"/>
    <s v="Artificial Pork Flavour"/>
    <x v="0"/>
    <x v="31"/>
    <s v="Asia"/>
    <x v="4"/>
    <x v="2"/>
    <m/>
    <s v=""/>
    <s v=""/>
  </r>
  <r>
    <n v="1616"/>
    <x v="333"/>
    <s v="Instant Noodles Artificial Spicy Beef Flavor (New Package)"/>
    <x v="0"/>
    <x v="31"/>
    <s v="Asia"/>
    <x v="2"/>
    <x v="2"/>
    <m/>
    <s v=""/>
    <s v=""/>
  </r>
  <r>
    <n v="1615"/>
    <x v="334"/>
    <s v="Shanghai Kaiyang Noodle"/>
    <x v="0"/>
    <x v="31"/>
    <s v="Asia"/>
    <x v="0"/>
    <x v="0"/>
    <m/>
    <s v=""/>
    <s v=""/>
  </r>
  <r>
    <n v="1595"/>
    <x v="329"/>
    <s v="Emporer Instant Noodles Spicy Chicken"/>
    <x v="0"/>
    <x v="31"/>
    <s v="Asia"/>
    <x v="3"/>
    <x v="0"/>
    <m/>
    <s v=""/>
    <s v=""/>
  </r>
  <r>
    <n v="1572"/>
    <x v="321"/>
    <s v="Artificial Seafood Flavor Instant Noodle"/>
    <x v="0"/>
    <x v="31"/>
    <s v="Asia"/>
    <x v="10"/>
    <x v="2"/>
    <m/>
    <s v=""/>
    <s v=""/>
  </r>
  <r>
    <n v="1559"/>
    <x v="321"/>
    <s v="Spicy Beef Flavor Instant Noodle"/>
    <x v="0"/>
    <x v="31"/>
    <s v="Asia"/>
    <x v="0"/>
    <x v="0"/>
    <m/>
    <s v=""/>
    <s v=""/>
  </r>
  <r>
    <n v="1540"/>
    <x v="333"/>
    <s v="Instant Noodles Artificial Shallot Beef Flavour"/>
    <x v="0"/>
    <x v="31"/>
    <s v="Asia"/>
    <x v="12"/>
    <x v="0"/>
    <m/>
    <s v=""/>
    <s v=""/>
  </r>
  <r>
    <n v="1504"/>
    <x v="321"/>
    <s v="Stewed Beef Flavor Cooking Noodle"/>
    <x v="0"/>
    <x v="31"/>
    <s v="Asia"/>
    <x v="12"/>
    <x v="0"/>
    <m/>
    <s v=""/>
    <s v=""/>
  </r>
  <r>
    <n v="1502"/>
    <x v="329"/>
    <s v="Artificial Pork Flavor Noodles"/>
    <x v="0"/>
    <x v="31"/>
    <s v="Asia"/>
    <x v="0"/>
    <x v="0"/>
    <m/>
    <s v=""/>
    <s v=""/>
  </r>
  <r>
    <n v="1496"/>
    <x v="321"/>
    <s v="Mianba Pork Ribs Flavor Instant Noodles"/>
    <x v="0"/>
    <x v="31"/>
    <s v="Asia"/>
    <x v="17"/>
    <x v="0"/>
    <m/>
    <s v=""/>
    <s v=""/>
  </r>
  <r>
    <n v="1481"/>
    <x v="321"/>
    <s v="Mushroom Stew Chicken Ramen"/>
    <x v="0"/>
    <x v="31"/>
    <s v="Asia"/>
    <x v="2"/>
    <x v="2"/>
    <m/>
    <s v=""/>
    <s v=""/>
  </r>
  <r>
    <n v="1436"/>
    <x v="332"/>
    <s v="Rice Noodle Beef With Brown Sauce"/>
    <x v="2"/>
    <x v="31"/>
    <s v="Asia"/>
    <x v="2"/>
    <x v="2"/>
    <m/>
    <s v=""/>
    <s v=""/>
  </r>
  <r>
    <n v="1421"/>
    <x v="19"/>
    <s v="Korean Clay Pot Ramyun Noodle"/>
    <x v="2"/>
    <x v="31"/>
    <s v="Asia"/>
    <x v="9"/>
    <x v="2"/>
    <m/>
    <s v=""/>
    <s v=""/>
  </r>
  <r>
    <n v="1409"/>
    <x v="331"/>
    <s v="Spicy Artificial Beef Flavour Instant Noodles With Soup Base"/>
    <x v="0"/>
    <x v="31"/>
    <s v="Asia"/>
    <x v="2"/>
    <x v="2"/>
    <m/>
    <s v=""/>
    <s v=""/>
  </r>
  <r>
    <n v="1364"/>
    <x v="335"/>
    <s v="Korean Style Stew Pork Flavour Noodle Soup"/>
    <x v="1"/>
    <x v="31"/>
    <s v="Asia"/>
    <x v="14"/>
    <x v="1"/>
    <m/>
    <s v=""/>
    <s v=""/>
  </r>
  <r>
    <n v="1327"/>
    <x v="129"/>
    <s v="Unif-100 Instant Noodles Artificial Tart Beef Flavor"/>
    <x v="0"/>
    <x v="31"/>
    <s v="Asia"/>
    <x v="4"/>
    <x v="2"/>
    <m/>
    <s v=""/>
    <s v=""/>
  </r>
  <r>
    <n v="1323"/>
    <x v="335"/>
    <s v="Korean Style Mushroom Chicken Flavour Cooking Noodle"/>
    <x v="0"/>
    <x v="31"/>
    <s v="Asia"/>
    <x v="11"/>
    <x v="1"/>
    <m/>
    <s v=""/>
    <s v=""/>
  </r>
  <r>
    <n v="1289"/>
    <x v="329"/>
    <s v="Braised Beef Noodles"/>
    <x v="0"/>
    <x v="31"/>
    <s v="Asia"/>
    <x v="0"/>
    <x v="0"/>
    <m/>
    <s v=""/>
    <s v=""/>
  </r>
  <r>
    <n v="1244"/>
    <x v="129"/>
    <s v="Unif-100 Pickled Cayenne Flavor Beef Ramen"/>
    <x v="0"/>
    <x v="31"/>
    <s v="Asia"/>
    <x v="10"/>
    <x v="2"/>
    <m/>
    <s v=""/>
    <s v=""/>
  </r>
  <r>
    <n v="1226"/>
    <x v="321"/>
    <s v="Artificial Braised Beef Flavor Instant Noodle"/>
    <x v="1"/>
    <x v="31"/>
    <s v="Asia"/>
    <x v="10"/>
    <x v="2"/>
    <m/>
    <s v=""/>
    <s v=""/>
  </r>
  <r>
    <n v="1218"/>
    <x v="127"/>
    <s v="Ho Fan Beef Soup Flavored"/>
    <x v="0"/>
    <x v="31"/>
    <s v="Asia"/>
    <x v="10"/>
    <x v="2"/>
    <m/>
    <s v=""/>
    <s v=""/>
  </r>
  <r>
    <n v="1213"/>
    <x v="336"/>
    <s v="Hot -Dry Instant Noodles Chilli Flavour"/>
    <x v="3"/>
    <x v="31"/>
    <s v="Asia"/>
    <x v="16"/>
    <x v="1"/>
    <m/>
    <s v=""/>
    <s v=""/>
  </r>
  <r>
    <n v="1208"/>
    <x v="335"/>
    <s v="Korean Style Stew Prok Flavour Cooking Noodle"/>
    <x v="0"/>
    <x v="31"/>
    <s v="Asia"/>
    <x v="2"/>
    <x v="2"/>
    <m/>
    <s v=""/>
    <s v=""/>
  </r>
  <r>
    <n v="1188"/>
    <x v="332"/>
    <s v="Braised Pork Ribs"/>
    <x v="2"/>
    <x v="31"/>
    <s v="Asia"/>
    <x v="4"/>
    <x v="2"/>
    <m/>
    <s v=""/>
    <s v=""/>
  </r>
  <r>
    <n v="1163"/>
    <x v="310"/>
    <s v="Rice Vermicelli Spicy Beef With Chilli Flavour"/>
    <x v="0"/>
    <x v="31"/>
    <s v="Asia"/>
    <x v="5"/>
    <x v="2"/>
    <m/>
    <s v=""/>
    <s v=""/>
  </r>
  <r>
    <n v="1154"/>
    <x v="335"/>
    <s v="Korean Style Shrimp Flavour Cooking Noodle"/>
    <x v="0"/>
    <x v="31"/>
    <s v="Asia"/>
    <x v="2"/>
    <x v="2"/>
    <m/>
    <s v=""/>
    <s v=""/>
  </r>
  <r>
    <n v="1121"/>
    <x v="127"/>
    <s v="Oat Noodle Sesame Oil Flavored"/>
    <x v="0"/>
    <x v="31"/>
    <s v="Asia"/>
    <x v="10"/>
    <x v="2"/>
    <m/>
    <s v=""/>
    <s v=""/>
  </r>
  <r>
    <n v="1111"/>
    <x v="335"/>
    <s v="Korean Style Stew Beef Cooking Noodle"/>
    <x v="0"/>
    <x v="31"/>
    <s v="Asia"/>
    <x v="5"/>
    <x v="2"/>
    <m/>
    <s v=""/>
    <s v=""/>
  </r>
  <r>
    <n v="1108"/>
    <x v="332"/>
    <s v="Spicy Beef"/>
    <x v="2"/>
    <x v="31"/>
    <s v="Asia"/>
    <x v="2"/>
    <x v="2"/>
    <m/>
    <s v=""/>
    <s v=""/>
  </r>
  <r>
    <n v="1044"/>
    <x v="19"/>
    <s v="Shin Ramyun Noodle Spicy Mushroom"/>
    <x v="1"/>
    <x v="31"/>
    <s v="Asia"/>
    <x v="5"/>
    <x v="2"/>
    <m/>
    <s v=""/>
    <s v=""/>
  </r>
  <r>
    <n v="1043"/>
    <x v="310"/>
    <s v="Rice Vermicelli Satay Chicken"/>
    <x v="0"/>
    <x v="31"/>
    <s v="Asia"/>
    <x v="4"/>
    <x v="2"/>
    <m/>
    <s v=""/>
    <s v=""/>
  </r>
  <r>
    <n v="1042"/>
    <x v="19"/>
    <s v="Potato Pork Ramyun"/>
    <x v="0"/>
    <x v="31"/>
    <s v="Asia"/>
    <x v="3"/>
    <x v="0"/>
    <m/>
    <s v=""/>
    <s v=""/>
  </r>
  <r>
    <n v="1036"/>
    <x v="335"/>
    <s v="Korean Style Spicy Shrimp Noodle Soup"/>
    <x v="1"/>
    <x v="31"/>
    <s v="Asia"/>
    <x v="2"/>
    <x v="2"/>
    <m/>
    <s v=""/>
    <s v=""/>
  </r>
  <r>
    <n v="1010"/>
    <x v="335"/>
    <s v="Korean Style Spicy Beef Noodle Soup"/>
    <x v="1"/>
    <x v="31"/>
    <s v="Asia"/>
    <x v="10"/>
    <x v="2"/>
    <m/>
    <s v=""/>
    <s v=""/>
  </r>
  <r>
    <n v="1005"/>
    <x v="309"/>
    <s v="Chicken Flavour"/>
    <x v="1"/>
    <x v="31"/>
    <s v="Asia"/>
    <x v="9"/>
    <x v="2"/>
    <m/>
    <s v=""/>
    <s v=""/>
  </r>
  <r>
    <n v="972"/>
    <x v="337"/>
    <s v="Spinach With Organic Noodles"/>
    <x v="0"/>
    <x v="31"/>
    <s v="Asia"/>
    <x v="4"/>
    <x v="2"/>
    <m/>
    <s v=""/>
    <s v=""/>
  </r>
  <r>
    <n v="942"/>
    <x v="307"/>
    <s v="E-men Lobster Soup"/>
    <x v="0"/>
    <x v="31"/>
    <s v="Asia"/>
    <x v="5"/>
    <x v="2"/>
    <m/>
    <s v=""/>
    <s v=""/>
  </r>
  <r>
    <n v="931"/>
    <x v="307"/>
    <s v="dried Mix Noodles Soya Bean Paste"/>
    <x v="3"/>
    <x v="31"/>
    <s v="Asia"/>
    <x v="10"/>
    <x v="2"/>
    <m/>
    <s v=""/>
    <s v=""/>
  </r>
  <r>
    <n v="928"/>
    <x v="307"/>
    <s v="Dried Mix Noodles Artificial Spicy Pork"/>
    <x v="3"/>
    <x v="31"/>
    <s v="Asia"/>
    <x v="0"/>
    <x v="0"/>
    <m/>
    <s v=""/>
    <s v=""/>
  </r>
  <r>
    <n v="898"/>
    <x v="132"/>
    <s v="Crystal Noodles Savory Shoyu"/>
    <x v="2"/>
    <x v="31"/>
    <s v="Asia"/>
    <x v="8"/>
    <x v="1"/>
    <m/>
    <s v=""/>
    <s v=""/>
  </r>
  <r>
    <n v="880"/>
    <x v="335"/>
    <s v="South Korean Style Seafood"/>
    <x v="2"/>
    <x v="31"/>
    <s v="Asia"/>
    <x v="9"/>
    <x v="2"/>
    <m/>
    <s v=""/>
    <s v=""/>
  </r>
  <r>
    <n v="871"/>
    <x v="338"/>
    <s v="Artificial Hot &amp; Sour Shrimp"/>
    <x v="0"/>
    <x v="31"/>
    <s v="Asia"/>
    <x v="0"/>
    <x v="0"/>
    <m/>
    <s v=""/>
    <s v=""/>
  </r>
  <r>
    <n v="866"/>
    <x v="321"/>
    <s v="Mianba"/>
    <x v="0"/>
    <x v="31"/>
    <s v="Asia"/>
    <x v="0"/>
    <x v="0"/>
    <m/>
    <s v=""/>
    <s v=""/>
  </r>
  <r>
    <n v="860"/>
    <x v="330"/>
    <s v="Artificial Pickled Cabbage Fish"/>
    <x v="0"/>
    <x v="31"/>
    <s v="Asia"/>
    <x v="9"/>
    <x v="2"/>
    <m/>
    <s v=""/>
    <s v=""/>
  </r>
  <r>
    <n v="854"/>
    <x v="132"/>
    <s v="Crystal Noodles Hot &amp; Sour"/>
    <x v="1"/>
    <x v="31"/>
    <s v="Asia"/>
    <x v="2"/>
    <x v="2"/>
    <m/>
    <s v=""/>
    <s v=""/>
  </r>
  <r>
    <n v="851"/>
    <x v="338"/>
    <s v="Artificial Pork Ribs"/>
    <x v="1"/>
    <x v="31"/>
    <s v="Asia"/>
    <x v="2"/>
    <x v="2"/>
    <m/>
    <s v=""/>
    <s v=""/>
  </r>
  <r>
    <n v="848"/>
    <x v="335"/>
    <s v="South Korean Style Spicy Pork"/>
    <x v="2"/>
    <x v="31"/>
    <s v="Asia"/>
    <x v="2"/>
    <x v="2"/>
    <m/>
    <s v=""/>
    <s v=""/>
  </r>
  <r>
    <n v="842"/>
    <x v="329"/>
    <s v="Artificial Stew Beef"/>
    <x v="1"/>
    <x v="31"/>
    <s v="Asia"/>
    <x v="10"/>
    <x v="2"/>
    <m/>
    <s v=""/>
    <s v=""/>
  </r>
  <r>
    <n v="840"/>
    <x v="310"/>
    <s v="Stir Rice Vermicelli Singaporean Laksa"/>
    <x v="3"/>
    <x v="31"/>
    <s v="Asia"/>
    <x v="10"/>
    <x v="2"/>
    <m/>
    <s v=""/>
    <s v=""/>
  </r>
  <r>
    <n v="832"/>
    <x v="338"/>
    <s v="Mee Goreng Dry Ramen Noodles"/>
    <x v="0"/>
    <x v="31"/>
    <s v="Asia"/>
    <x v="10"/>
    <x v="2"/>
    <m/>
    <s v=""/>
    <s v=""/>
  </r>
  <r>
    <n v="821"/>
    <x v="321"/>
    <s v="Potatoes &amp; Stewed Beef"/>
    <x v="0"/>
    <x v="31"/>
    <s v="Asia"/>
    <x v="3"/>
    <x v="0"/>
    <m/>
    <s v=""/>
    <s v=""/>
  </r>
  <r>
    <n v="815"/>
    <x v="332"/>
    <s v="Stewde Chicken Of Mushroom"/>
    <x v="2"/>
    <x v="31"/>
    <s v="Asia"/>
    <x v="5"/>
    <x v="2"/>
    <m/>
    <s v=""/>
    <s v=""/>
  </r>
  <r>
    <n v="812"/>
    <x v="321"/>
    <s v="Spicy Beef"/>
    <x v="0"/>
    <x v="31"/>
    <s v="Asia"/>
    <x v="10"/>
    <x v="2"/>
    <m/>
    <s v=""/>
    <s v=""/>
  </r>
  <r>
    <n v="803"/>
    <x v="321"/>
    <s v="Premium Taste Roasted Beef"/>
    <x v="1"/>
    <x v="31"/>
    <s v="Asia"/>
    <x v="0"/>
    <x v="0"/>
    <m/>
    <s v=""/>
    <s v=""/>
  </r>
  <r>
    <n v="798"/>
    <x v="335"/>
    <s v="South Korean Style Pork"/>
    <x v="2"/>
    <x v="31"/>
    <s v="Asia"/>
    <x v="4"/>
    <x v="2"/>
    <m/>
    <s v=""/>
    <s v=""/>
  </r>
  <r>
    <n v="795"/>
    <x v="321"/>
    <s v="Red Oil Dan Dan"/>
    <x v="3"/>
    <x v="31"/>
    <s v="Asia"/>
    <x v="9"/>
    <x v="2"/>
    <m/>
    <s v=""/>
    <s v=""/>
  </r>
  <r>
    <n v="784"/>
    <x v="334"/>
    <s v="Cai Lin Ji Dry Noodles"/>
    <x v="3"/>
    <x v="31"/>
    <s v="Asia"/>
    <x v="5"/>
    <x v="2"/>
    <m/>
    <s v=""/>
    <s v=""/>
  </r>
  <r>
    <n v="775"/>
    <x v="329"/>
    <s v="Seafood"/>
    <x v="1"/>
    <x v="31"/>
    <s v="Asia"/>
    <x v="4"/>
    <x v="2"/>
    <m/>
    <s v=""/>
    <s v=""/>
  </r>
  <r>
    <n v="758"/>
    <x v="329"/>
    <s v="Artificial Stew Pork"/>
    <x v="1"/>
    <x v="31"/>
    <s v="Asia"/>
    <x v="5"/>
    <x v="2"/>
    <m/>
    <s v=""/>
    <s v=""/>
  </r>
  <r>
    <n v="746"/>
    <x v="329"/>
    <s v="Artificial Mushroom Chicken"/>
    <x v="1"/>
    <x v="31"/>
    <s v="Asia"/>
    <x v="7"/>
    <x v="1"/>
    <m/>
    <s v=""/>
    <s v=""/>
  </r>
  <r>
    <n v="739"/>
    <x v="329"/>
    <s v="Artificial Spicy Beef"/>
    <x v="1"/>
    <x v="31"/>
    <s v="Asia"/>
    <x v="2"/>
    <x v="2"/>
    <m/>
    <s v=""/>
    <s v=""/>
  </r>
  <r>
    <n v="705"/>
    <x v="335"/>
    <s v="South Korean Style Beef"/>
    <x v="2"/>
    <x v="31"/>
    <s v="Asia"/>
    <x v="2"/>
    <x v="2"/>
    <m/>
    <s v=""/>
    <s v=""/>
  </r>
  <r>
    <n v="693"/>
    <x v="310"/>
    <s v="Stir Rice Vermicelli Indonesian Gado Gado"/>
    <x v="3"/>
    <x v="31"/>
    <s v="Asia"/>
    <x v="13"/>
    <x v="1"/>
    <m/>
    <s v=""/>
    <s v=""/>
  </r>
  <r>
    <n v="684"/>
    <x v="338"/>
    <s v="Artificial Seafood"/>
    <x v="0"/>
    <x v="31"/>
    <s v="Asia"/>
    <x v="10"/>
    <x v="2"/>
    <m/>
    <s v=""/>
    <s v=""/>
  </r>
  <r>
    <n v="677"/>
    <x v="19"/>
    <s v="Shin Ramyun Shrimp"/>
    <x v="0"/>
    <x v="31"/>
    <s v="Asia"/>
    <x v="17"/>
    <x v="0"/>
    <m/>
    <s v=""/>
    <s v=""/>
  </r>
  <r>
    <n v="657"/>
    <x v="338"/>
    <s v="Onion"/>
    <x v="0"/>
    <x v="31"/>
    <s v="Asia"/>
    <x v="10"/>
    <x v="2"/>
    <m/>
    <s v=""/>
    <s v=""/>
  </r>
  <r>
    <n v="653"/>
    <x v="338"/>
    <s v="Artificial Pork Ribs"/>
    <x v="0"/>
    <x v="31"/>
    <s v="Asia"/>
    <x v="0"/>
    <x v="0"/>
    <m/>
    <s v=""/>
    <s v=""/>
  </r>
  <r>
    <n v="650"/>
    <x v="338"/>
    <s v="Artificial Chicken"/>
    <x v="0"/>
    <x v="31"/>
    <s v="Asia"/>
    <x v="0"/>
    <x v="0"/>
    <m/>
    <s v=""/>
    <s v=""/>
  </r>
  <r>
    <n v="640"/>
    <x v="321"/>
    <s v="Artificial Spicy Beef"/>
    <x v="0"/>
    <x v="31"/>
    <s v="Asia"/>
    <x v="12"/>
    <x v="0"/>
    <m/>
    <s v=""/>
    <s v=""/>
  </r>
  <r>
    <n v="634"/>
    <x v="330"/>
    <s v="Sichuan Hot Pot Sweet Potato Thread"/>
    <x v="1"/>
    <x v="31"/>
    <s v="Asia"/>
    <x v="16"/>
    <x v="1"/>
    <m/>
    <s v=""/>
    <s v=""/>
  </r>
  <r>
    <n v="629"/>
    <x v="321"/>
    <s v="Artificial Braised Beef"/>
    <x v="0"/>
    <x v="31"/>
    <s v="Asia"/>
    <x v="12"/>
    <x v="0"/>
    <m/>
    <s v=""/>
    <s v=""/>
  </r>
  <r>
    <n v="624"/>
    <x v="321"/>
    <s v="Artificial Pork"/>
    <x v="0"/>
    <x v="31"/>
    <s v="Asia"/>
    <x v="10"/>
    <x v="2"/>
    <m/>
    <s v=""/>
    <s v=""/>
  </r>
  <r>
    <n v="584"/>
    <x v="330"/>
    <s v="Single Noble Black Bone Chicken Sweet Potato Thread"/>
    <x v="2"/>
    <x v="31"/>
    <s v="Asia"/>
    <x v="1"/>
    <x v="1"/>
    <m/>
    <s v=""/>
    <s v=""/>
  </r>
  <r>
    <n v="580"/>
    <x v="330"/>
    <s v="Hot &amp; Sour Casserole Stewed Rice Noodle"/>
    <x v="0"/>
    <x v="31"/>
    <s v="Asia"/>
    <x v="1"/>
    <x v="1"/>
    <m/>
    <s v=""/>
    <s v=""/>
  </r>
  <r>
    <n v="579"/>
    <x v="330"/>
    <s v="Sichuan Pickled Sweet Potato Thread"/>
    <x v="0"/>
    <x v="31"/>
    <s v="Asia"/>
    <x v="14"/>
    <x v="1"/>
    <m/>
    <s v=""/>
    <s v=""/>
  </r>
  <r>
    <n v="558"/>
    <x v="132"/>
    <s v="Crystal Noodles Vegetables"/>
    <x v="1"/>
    <x v="31"/>
    <s v="Asia"/>
    <x v="8"/>
    <x v="1"/>
    <m/>
    <s v=""/>
    <s v=""/>
  </r>
  <r>
    <n v="545"/>
    <x v="335"/>
    <s v="South Korean Style Spicy Beef"/>
    <x v="0"/>
    <x v="31"/>
    <s v="Asia"/>
    <x v="2"/>
    <x v="2"/>
    <m/>
    <s v=""/>
    <s v=""/>
  </r>
  <r>
    <n v="525"/>
    <x v="329"/>
    <s v="Artificial Spicy Hot Beef"/>
    <x v="0"/>
    <x v="31"/>
    <s v="Asia"/>
    <x v="10"/>
    <x v="2"/>
    <m/>
    <s v=""/>
    <s v=""/>
  </r>
  <r>
    <n v="523"/>
    <x v="338"/>
    <s v="Artificial Hot &amp; Sour Shrimp"/>
    <x v="1"/>
    <x v="31"/>
    <s v="Asia"/>
    <x v="17"/>
    <x v="0"/>
    <m/>
    <s v=""/>
    <s v=""/>
  </r>
  <r>
    <n v="518"/>
    <x v="338"/>
    <s v="Artificial Chicken"/>
    <x v="1"/>
    <x v="31"/>
    <s v="Asia"/>
    <x v="17"/>
    <x v="0"/>
    <m/>
    <s v=""/>
    <s v=""/>
  </r>
  <r>
    <n v="513"/>
    <x v="338"/>
    <s v="Artificial Onion"/>
    <x v="1"/>
    <x v="31"/>
    <s v="Asia"/>
    <x v="0"/>
    <x v="0"/>
    <m/>
    <s v=""/>
    <s v=""/>
  </r>
  <r>
    <n v="507"/>
    <x v="338"/>
    <s v="Artificial Seafood"/>
    <x v="1"/>
    <x v="31"/>
    <s v="Asia"/>
    <x v="10"/>
    <x v="2"/>
    <m/>
    <s v=""/>
    <s v=""/>
  </r>
  <r>
    <n v="505"/>
    <x v="329"/>
    <s v="Artificial Spicy Beef"/>
    <x v="0"/>
    <x v="31"/>
    <s v="Asia"/>
    <x v="2"/>
    <x v="2"/>
    <m/>
    <s v=""/>
    <s v=""/>
  </r>
  <r>
    <n v="499"/>
    <x v="338"/>
    <s v="Artificial Beef"/>
    <x v="1"/>
    <x v="31"/>
    <s v="Asia"/>
    <x v="15"/>
    <x v="0"/>
    <m/>
    <s v=""/>
    <s v=""/>
  </r>
  <r>
    <n v="491"/>
    <x v="329"/>
    <s v="Artificial Stew Beef"/>
    <x v="0"/>
    <x v="31"/>
    <s v="Asia"/>
    <x v="10"/>
    <x v="2"/>
    <m/>
    <s v=""/>
    <s v=""/>
  </r>
  <r>
    <n v="489"/>
    <x v="329"/>
    <s v="Stew Pork"/>
    <x v="0"/>
    <x v="31"/>
    <s v="Asia"/>
    <x v="5"/>
    <x v="2"/>
    <m/>
    <s v=""/>
    <s v=""/>
  </r>
  <r>
    <n v="486"/>
    <x v="307"/>
    <s v="Japanese U-Don Lobster Scallop"/>
    <x v="0"/>
    <x v="31"/>
    <s v="Asia"/>
    <x v="4"/>
    <x v="2"/>
    <m/>
    <s v=""/>
    <s v=""/>
  </r>
  <r>
    <n v="455"/>
    <x v="330"/>
    <s v="Single Noble Pickled Radish &amp; Duck"/>
    <x v="2"/>
    <x v="31"/>
    <s v="Asia"/>
    <x v="20"/>
    <x v="1"/>
    <m/>
    <s v=""/>
    <s v=""/>
  </r>
  <r>
    <n v="428"/>
    <x v="307"/>
    <s v="E Menm Chicken"/>
    <x v="7"/>
    <x v="31"/>
    <s v="Asia"/>
    <x v="10"/>
    <x v="2"/>
    <m/>
    <s v=""/>
    <s v=""/>
  </r>
  <r>
    <n v="393"/>
    <x v="307"/>
    <s v="Dried Mix Noodles XO Sauce"/>
    <x v="3"/>
    <x v="31"/>
    <s v="Asia"/>
    <x v="11"/>
    <x v="1"/>
    <m/>
    <s v=""/>
    <s v=""/>
  </r>
  <r>
    <n v="301"/>
    <x v="338"/>
    <s v="Guilin Style Rice Vermicelli"/>
    <x v="1"/>
    <x v="31"/>
    <s v="Asia"/>
    <x v="17"/>
    <x v="0"/>
    <m/>
    <s v=""/>
    <s v=""/>
  </r>
  <r>
    <n v="210"/>
    <x v="339"/>
    <s v="Satoimo Noodles"/>
    <x v="0"/>
    <x v="31"/>
    <s v="Asia"/>
    <x v="6"/>
    <x v="1"/>
    <m/>
    <s v=""/>
    <s v=""/>
  </r>
  <r>
    <n v="208"/>
    <x v="312"/>
    <s v="Ramen King Scallop Seafood"/>
    <x v="0"/>
    <x v="31"/>
    <s v="Asia"/>
    <x v="12"/>
    <x v="0"/>
    <m/>
    <s v=""/>
    <s v=""/>
  </r>
  <r>
    <n v="181"/>
    <x v="307"/>
    <s v="Noodle King Thin Wonton"/>
    <x v="0"/>
    <x v="31"/>
    <s v="Asia"/>
    <x v="11"/>
    <x v="1"/>
    <m/>
    <s v=""/>
    <s v=""/>
  </r>
  <r>
    <n v="139"/>
    <x v="307"/>
    <s v="Noodle King Beef"/>
    <x v="0"/>
    <x v="31"/>
    <s v="Asia"/>
    <x v="14"/>
    <x v="1"/>
    <m/>
    <s v=""/>
    <s v=""/>
  </r>
  <r>
    <n v="133"/>
    <x v="330"/>
    <s v="Hot &amp; Sour Rice Noodle"/>
    <x v="0"/>
    <x v="31"/>
    <s v="Asia"/>
    <x v="1"/>
    <x v="1"/>
    <m/>
    <s v=""/>
    <s v=""/>
  </r>
  <r>
    <n v="90"/>
    <x v="132"/>
    <s v="Crystal Noodle Six Kinds Of Mushrooms"/>
    <x v="0"/>
    <x v="31"/>
    <s v="Asia"/>
    <x v="42"/>
    <x v="1"/>
    <m/>
    <s v=""/>
    <s v=""/>
  </r>
  <r>
    <n v="69"/>
    <x v="330"/>
    <s v="Spicy Fei- Chang Sweet Potato Noodle"/>
    <x v="0"/>
    <x v="31"/>
    <s v="Asia"/>
    <x v="14"/>
    <x v="1"/>
    <m/>
    <s v=""/>
    <s v=""/>
  </r>
  <r>
    <n v="55"/>
    <x v="340"/>
    <s v="Favoury Pork Flavor"/>
    <x v="0"/>
    <x v="31"/>
    <s v="Asia"/>
    <x v="19"/>
    <x v="1"/>
    <m/>
    <s v=""/>
    <s v=""/>
  </r>
  <r>
    <n v="54"/>
    <x v="340"/>
    <s v="Spicy Seafood Flavor"/>
    <x v="0"/>
    <x v="31"/>
    <s v="Asia"/>
    <x v="4"/>
    <x v="2"/>
    <m/>
    <s v=""/>
    <s v=""/>
  </r>
  <r>
    <n v="2242"/>
    <x v="341"/>
    <s v="Beef Style Noodles With Vegetables"/>
    <x v="2"/>
    <x v="32"/>
    <s v="North America"/>
    <x v="4"/>
    <x v="2"/>
    <m/>
    <s v=""/>
    <s v=""/>
  </r>
  <r>
    <n v="2167"/>
    <x v="341"/>
    <s v="Vegetable Flavour Noodles With Vegetables"/>
    <x v="2"/>
    <x v="32"/>
    <s v="North America"/>
    <x v="4"/>
    <x v="2"/>
    <m/>
    <s v=""/>
    <s v=""/>
  </r>
  <r>
    <n v="2110"/>
    <x v="341"/>
    <s v="Vegetarian Flavour Ramen Noodles"/>
    <x v="0"/>
    <x v="32"/>
    <s v="North America"/>
    <x v="4"/>
    <x v="2"/>
    <m/>
    <s v=""/>
    <s v=""/>
  </r>
  <r>
    <n v="2073"/>
    <x v="341"/>
    <s v="Spicy Ramen Noodles"/>
    <x v="0"/>
    <x v="32"/>
    <s v="North America"/>
    <x v="0"/>
    <x v="0"/>
    <m/>
    <s v=""/>
    <s v=""/>
  </r>
  <r>
    <n v="2045"/>
    <x v="341"/>
    <s v="Chicken Style Ramen Noodles"/>
    <x v="0"/>
    <x v="32"/>
    <s v="North America"/>
    <x v="2"/>
    <x v="2"/>
    <m/>
    <s v=""/>
    <s v=""/>
  </r>
  <r>
    <n v="2016"/>
    <x v="341"/>
    <s v="Chicken Style Noodles With Vegetables"/>
    <x v="2"/>
    <x v="32"/>
    <s v="North America"/>
    <x v="2"/>
    <x v="2"/>
    <m/>
    <s v=""/>
    <s v=""/>
  </r>
  <r>
    <n v="2013"/>
    <x v="341"/>
    <s v="Beef Style Ramen Noodles"/>
    <x v="0"/>
    <x v="32"/>
    <s v="North America"/>
    <x v="2"/>
    <x v="2"/>
    <m/>
    <s v=""/>
    <s v=""/>
  </r>
  <r>
    <n v="1795"/>
    <x v="342"/>
    <s v="Kimchee Flavour Noodle Soup"/>
    <x v="0"/>
    <x v="32"/>
    <s v="North America"/>
    <x v="1"/>
    <x v="1"/>
    <m/>
    <s v=""/>
    <s v=""/>
  </r>
  <r>
    <n v="1782"/>
    <x v="343"/>
    <s v="Beef Flavour Instant Noodles"/>
    <x v="0"/>
    <x v="32"/>
    <s v="North America"/>
    <x v="1"/>
    <x v="1"/>
    <m/>
    <s v=""/>
    <s v=""/>
  </r>
  <r>
    <n v="1748"/>
    <x v="342"/>
    <s v="Chili Chicken Flavour Noodle Soup"/>
    <x v="2"/>
    <x v="32"/>
    <s v="North America"/>
    <x v="4"/>
    <x v="2"/>
    <m/>
    <s v=""/>
    <s v=""/>
  </r>
  <r>
    <n v="1707"/>
    <x v="342"/>
    <s v="Hot &amp; Spicy Flavour Noodle Soup"/>
    <x v="1"/>
    <x v="32"/>
    <s v="North America"/>
    <x v="2"/>
    <x v="2"/>
    <m/>
    <s v=""/>
    <s v=""/>
  </r>
  <r>
    <n v="1672"/>
    <x v="342"/>
    <s v="Chili Seafood Flavor Noodle Soup"/>
    <x v="2"/>
    <x v="32"/>
    <s v="North America"/>
    <x v="5"/>
    <x v="2"/>
    <m/>
    <s v=""/>
    <s v=""/>
  </r>
  <r>
    <n v="1647"/>
    <x v="344"/>
    <s v="Shrimp Flavour Oriental Noodles And Soup Mix"/>
    <x v="2"/>
    <x v="32"/>
    <s v="North America"/>
    <x v="9"/>
    <x v="2"/>
    <m/>
    <s v=""/>
    <s v=""/>
  </r>
  <r>
    <n v="1642"/>
    <x v="345"/>
    <s v="Hearty Noodles Savoury Beef Flavour"/>
    <x v="2"/>
    <x v="32"/>
    <s v="North America"/>
    <x v="20"/>
    <x v="1"/>
    <m/>
    <s v=""/>
    <s v=""/>
  </r>
  <r>
    <n v="1628"/>
    <x v="342"/>
    <s v="Kimchee Noodle Soup"/>
    <x v="2"/>
    <x v="32"/>
    <s v="North America"/>
    <x v="1"/>
    <x v="1"/>
    <m/>
    <s v=""/>
    <s v=""/>
  </r>
  <r>
    <n v="1558"/>
    <x v="344"/>
    <s v="Beef Flavour Oriental Noodles And Soup Mix"/>
    <x v="2"/>
    <x v="32"/>
    <s v="North America"/>
    <x v="11"/>
    <x v="1"/>
    <m/>
    <s v=""/>
    <s v=""/>
  </r>
  <r>
    <n v="1549"/>
    <x v="40"/>
    <s v="Chow Mein Japanese Style Noodles Yakisoba"/>
    <x v="0"/>
    <x v="32"/>
    <s v="North America"/>
    <x v="3"/>
    <x v="0"/>
    <m/>
    <s v=""/>
    <s v=""/>
  </r>
  <r>
    <n v="1371"/>
    <x v="345"/>
    <s v="Hearty Noodles Thai Flavour"/>
    <x v="2"/>
    <x v="32"/>
    <s v="North America"/>
    <x v="1"/>
    <x v="1"/>
    <m/>
    <s v=""/>
    <s v=""/>
  </r>
  <r>
    <n v="1341"/>
    <x v="346"/>
    <s v="Cuisine Adventures Chicken Pho Soup"/>
    <x v="1"/>
    <x v="32"/>
    <s v="North America"/>
    <x v="3"/>
    <x v="0"/>
    <m/>
    <s v=""/>
    <s v=""/>
  </r>
  <r>
    <n v="1303"/>
    <x v="343"/>
    <s v="Instant Noodles In A Cup Chicken Flavour"/>
    <x v="2"/>
    <x v="32"/>
    <s v="North America"/>
    <x v="8"/>
    <x v="1"/>
    <m/>
    <s v=""/>
    <s v=""/>
  </r>
  <r>
    <n v="1299"/>
    <x v="347"/>
    <s v="Noodles In A Cup Spicy Chicken Simulated Flavour"/>
    <x v="2"/>
    <x v="32"/>
    <s v="North America"/>
    <x v="19"/>
    <x v="1"/>
    <m/>
    <s v=""/>
    <s v=""/>
  </r>
  <r>
    <n v="1227"/>
    <x v="347"/>
    <s v="Chicken Kimchi Oriental Style Noodles With Soup Base"/>
    <x v="1"/>
    <x v="32"/>
    <s v="North America"/>
    <x v="16"/>
    <x v="1"/>
    <m/>
    <s v=""/>
    <s v=""/>
  </r>
  <r>
    <n v="1169"/>
    <x v="347"/>
    <s v="Noodles In A Cup Beef Simulated Flavour"/>
    <x v="2"/>
    <x v="32"/>
    <s v="North America"/>
    <x v="14"/>
    <x v="1"/>
    <m/>
    <s v=""/>
    <s v=""/>
  </r>
  <r>
    <n v="1164"/>
    <x v="347"/>
    <s v="Bowl Chicken Simulated Flavour"/>
    <x v="1"/>
    <x v="32"/>
    <s v="North America"/>
    <x v="11"/>
    <x v="1"/>
    <m/>
    <s v=""/>
    <s v=""/>
  </r>
  <r>
    <n v="1127"/>
    <x v="345"/>
    <s v="Hearty Noodles Chicken Flavour"/>
    <x v="2"/>
    <x v="32"/>
    <s v="North America"/>
    <x v="9"/>
    <x v="2"/>
    <m/>
    <s v=""/>
    <s v=""/>
  </r>
  <r>
    <n v="1118"/>
    <x v="347"/>
    <s v="Kimchi Bowl Noodles Oriental Noodle With Soup Base"/>
    <x v="1"/>
    <x v="32"/>
    <s v="North America"/>
    <x v="9"/>
    <x v="2"/>
    <m/>
    <s v=""/>
    <s v=""/>
  </r>
  <r>
    <n v="1104"/>
    <x v="343"/>
    <s v="Instant Noodles Chicken Flavour"/>
    <x v="0"/>
    <x v="32"/>
    <s v="North America"/>
    <x v="2"/>
    <x v="2"/>
    <m/>
    <s v=""/>
    <s v=""/>
  </r>
  <r>
    <n v="1084"/>
    <x v="347"/>
    <s v="Noodles In A Cup Chicken Simulated Flavour"/>
    <x v="2"/>
    <x v="32"/>
    <s v="North America"/>
    <x v="8"/>
    <x v="1"/>
    <m/>
    <s v=""/>
    <s v=""/>
  </r>
  <r>
    <n v="1049"/>
    <x v="347"/>
    <s v="Bowl Beef Simulated Flavor"/>
    <x v="1"/>
    <x v="32"/>
    <s v="North America"/>
    <x v="11"/>
    <x v="1"/>
    <m/>
    <s v=""/>
    <s v=""/>
  </r>
  <r>
    <n v="1040"/>
    <x v="343"/>
    <s v="Instant Noodles Vegetable Flavour"/>
    <x v="0"/>
    <x v="32"/>
    <s v="North America"/>
    <x v="19"/>
    <x v="1"/>
    <m/>
    <s v=""/>
    <s v=""/>
  </r>
  <r>
    <n v="1034"/>
    <x v="343"/>
    <s v="Instant Noodles In A Cup Spicy Chicken"/>
    <x v="2"/>
    <x v="32"/>
    <s v="North America"/>
    <x v="13"/>
    <x v="1"/>
    <m/>
    <s v=""/>
    <s v=""/>
  </r>
  <r>
    <n v="1009"/>
    <x v="343"/>
    <s v="Instant Noodles In A Cup Oriental"/>
    <x v="2"/>
    <x v="32"/>
    <s v="North America"/>
    <x v="11"/>
    <x v="1"/>
    <m/>
    <s v=""/>
    <s v=""/>
  </r>
  <r>
    <n v="1002"/>
    <x v="347"/>
    <s v="Bowl Spicy Chicken Simulated Flavour"/>
    <x v="1"/>
    <x v="32"/>
    <s v="North America"/>
    <x v="11"/>
    <x v="1"/>
    <m/>
    <s v=""/>
    <s v=""/>
  </r>
  <r>
    <n v="835"/>
    <x v="347"/>
    <s v="Shrimp"/>
    <x v="0"/>
    <x v="32"/>
    <s v="North America"/>
    <x v="6"/>
    <x v="1"/>
    <m/>
    <s v=""/>
    <s v=""/>
  </r>
  <r>
    <n v="813"/>
    <x v="347"/>
    <s v="Spicy Chicken"/>
    <x v="0"/>
    <x v="32"/>
    <s v="North America"/>
    <x v="11"/>
    <x v="1"/>
    <m/>
    <s v=""/>
    <s v=""/>
  </r>
  <r>
    <n v="811"/>
    <x v="347"/>
    <s v="Vegetable"/>
    <x v="0"/>
    <x v="32"/>
    <s v="North America"/>
    <x v="14"/>
    <x v="1"/>
    <m/>
    <s v=""/>
    <s v=""/>
  </r>
  <r>
    <n v="800"/>
    <x v="347"/>
    <s v="Chicken"/>
    <x v="0"/>
    <x v="32"/>
    <s v="North America"/>
    <x v="4"/>
    <x v="2"/>
    <m/>
    <s v=""/>
    <s v=""/>
  </r>
  <r>
    <n v="793"/>
    <x v="347"/>
    <s v="Spicy Beef"/>
    <x v="0"/>
    <x v="32"/>
    <s v="North America"/>
    <x v="14"/>
    <x v="1"/>
    <m/>
    <s v=""/>
    <s v=""/>
  </r>
  <r>
    <n v="786"/>
    <x v="347"/>
    <s v="Beef"/>
    <x v="0"/>
    <x v="32"/>
    <s v="North America"/>
    <x v="4"/>
    <x v="2"/>
    <m/>
    <s v=""/>
    <s v=""/>
  </r>
  <r>
    <n v="777"/>
    <x v="347"/>
    <s v="Oriental"/>
    <x v="0"/>
    <x v="32"/>
    <s v="North America"/>
    <x v="9"/>
    <x v="2"/>
    <m/>
    <s v=""/>
    <s v=""/>
  </r>
  <r>
    <n v="372"/>
    <x v="175"/>
    <s v="Spicy Thai"/>
    <x v="1"/>
    <x v="32"/>
    <s v="North America"/>
    <x v="16"/>
    <x v="1"/>
    <m/>
    <s v=""/>
    <s v=""/>
  </r>
  <r>
    <n v="1929"/>
    <x v="80"/>
    <s v="Instant Noodles Minced Pork Flavour"/>
    <x v="0"/>
    <x v="33"/>
    <s v="Asia"/>
    <x v="2"/>
    <x v="2"/>
    <m/>
    <s v=""/>
    <s v=""/>
  </r>
  <r>
    <n v="1859"/>
    <x v="80"/>
    <s v="Instant Noodles chicken Green Curry Flavour"/>
    <x v="0"/>
    <x v="33"/>
    <s v="Asia"/>
    <x v="3"/>
    <x v="0"/>
    <m/>
    <s v=""/>
    <s v=""/>
  </r>
  <r>
    <n v="1826"/>
    <x v="80"/>
    <s v="Instant Noodles Stewed Beef Flavour"/>
    <x v="0"/>
    <x v="33"/>
    <s v="Asia"/>
    <x v="2"/>
    <x v="2"/>
    <m/>
    <s v=""/>
    <s v=""/>
  </r>
  <r>
    <n v="1767"/>
    <x v="80"/>
    <s v="Instant Noodles Shrimp Tom Yum Flavour"/>
    <x v="0"/>
    <x v="33"/>
    <s v="Asia"/>
    <x v="0"/>
    <x v="0"/>
    <m/>
    <s v=""/>
    <s v=""/>
  </r>
  <r>
    <n v="1731"/>
    <x v="80"/>
    <s v="Instant Noodles Creamy Shrimp Tom Yum Flavour"/>
    <x v="0"/>
    <x v="33"/>
    <s v="Asia"/>
    <x v="3"/>
    <x v="0"/>
    <m/>
    <s v=""/>
    <s v=""/>
  </r>
  <r>
    <n v="2204"/>
    <x v="20"/>
    <s v="Cup Noodles Sabor Galinha Caipira"/>
    <x v="2"/>
    <x v="34"/>
    <s v="South America"/>
    <x v="0"/>
    <x v="0"/>
    <m/>
    <s v=""/>
    <s v=""/>
  </r>
  <r>
    <n v="2144"/>
    <x v="20"/>
    <s v="Lamen Sabor Picanha"/>
    <x v="0"/>
    <x v="34"/>
    <s v="South America"/>
    <x v="0"/>
    <x v="0"/>
    <m/>
    <s v=""/>
    <s v=""/>
  </r>
  <r>
    <n v="2107"/>
    <x v="20"/>
    <s v="Lamen Sabor Frango Assado Com Toque De Limao"/>
    <x v="0"/>
    <x v="34"/>
    <s v="South America"/>
    <x v="17"/>
    <x v="0"/>
    <m/>
    <s v=""/>
    <s v=""/>
  </r>
  <r>
    <n v="2040"/>
    <x v="20"/>
    <s v="Cup Noodles Sabor Franhp Com Requeijao"/>
    <x v="2"/>
    <x v="34"/>
    <s v="South America"/>
    <x v="3"/>
    <x v="0"/>
    <m/>
    <s v=""/>
    <s v=""/>
  </r>
  <r>
    <n v="1973"/>
    <x v="20"/>
    <s v="Cup Noodles Sabor Calabresa"/>
    <x v="0"/>
    <x v="34"/>
    <s v="South America"/>
    <x v="12"/>
    <x v="0"/>
    <m/>
    <s v=""/>
    <s v=""/>
  </r>
  <r>
    <n v="2325"/>
    <x v="348"/>
    <s v="Mr. Noodles Curry Flavor Instant Noodles"/>
    <x v="0"/>
    <x v="35"/>
    <s v="Asia"/>
    <x v="0"/>
    <x v="0"/>
    <m/>
    <s v=""/>
    <s v=""/>
  </r>
  <r>
    <n v="2310"/>
    <x v="348"/>
    <s v="Mr. Noodles Instant Noodles Beef Flavour"/>
    <x v="0"/>
    <x v="35"/>
    <s v="Asia"/>
    <x v="0"/>
    <x v="0"/>
    <m/>
    <s v=""/>
    <s v=""/>
  </r>
  <r>
    <n v="1945"/>
    <x v="80"/>
    <s v="Oriental Style Instant Noodles Masala Flavour"/>
    <x v="0"/>
    <x v="35"/>
    <s v="Asia"/>
    <x v="2"/>
    <x v="2"/>
    <m/>
    <s v=""/>
    <s v=""/>
  </r>
  <r>
    <n v="1845"/>
    <x v="80"/>
    <s v="Oriental Style Instant Noodles Shrimp Flavour"/>
    <x v="0"/>
    <x v="35"/>
    <s v="Asia"/>
    <x v="5"/>
    <x v="2"/>
    <m/>
    <s v=""/>
    <s v=""/>
  </r>
  <r>
    <n v="1805"/>
    <x v="80"/>
    <s v="Oriental Style Instant Noodles Tandoori Flavour"/>
    <x v="0"/>
    <x v="35"/>
    <s v="Asia"/>
    <x v="0"/>
    <x v="0"/>
    <m/>
    <s v=""/>
    <s v=""/>
  </r>
  <r>
    <n v="1755"/>
    <x v="80"/>
    <s v="Oriental Style Instant Noodles Hot &amp; Spicy Flavour"/>
    <x v="0"/>
    <x v="35"/>
    <s v="Asia"/>
    <x v="0"/>
    <x v="0"/>
    <m/>
    <s v=""/>
    <s v=""/>
  </r>
  <r>
    <n v="1692"/>
    <x v="80"/>
    <s v="Oriental Style Instant Noodles Chicken Flavour"/>
    <x v="0"/>
    <x v="35"/>
    <s v="Asia"/>
    <x v="5"/>
    <x v="2"/>
    <m/>
    <s v=""/>
    <s v=""/>
  </r>
  <r>
    <n v="2349"/>
    <x v="349"/>
    <s v="Noodles Chicken &amp; Corn Flavour"/>
    <x v="2"/>
    <x v="36"/>
    <s v="Oceania"/>
    <x v="4"/>
    <x v="2"/>
    <m/>
    <s v=""/>
    <s v=""/>
  </r>
  <r>
    <n v="2308"/>
    <x v="349"/>
    <s v="Noodles Chicken Chow Mein Flavour"/>
    <x v="2"/>
    <x v="36"/>
    <s v="Oceania"/>
    <x v="0"/>
    <x v="0"/>
    <m/>
    <s v=""/>
    <s v=""/>
  </r>
  <r>
    <n v="2301"/>
    <x v="350"/>
    <s v="Noodle With Oriental Chicken Flavour"/>
    <x v="2"/>
    <x v="36"/>
    <s v="Oceania"/>
    <x v="4"/>
    <x v="2"/>
    <m/>
    <s v=""/>
    <s v=""/>
  </r>
  <r>
    <n v="2296"/>
    <x v="350"/>
    <s v="Noodles With Chicken Flavour"/>
    <x v="2"/>
    <x v="36"/>
    <s v="Oceania"/>
    <x v="4"/>
    <x v="2"/>
    <m/>
    <s v=""/>
    <s v=""/>
  </r>
  <r>
    <n v="2285"/>
    <x v="349"/>
    <s v="Noodles Beef Flavour"/>
    <x v="2"/>
    <x v="36"/>
    <s v="Oceania"/>
    <x v="4"/>
    <x v="2"/>
    <m/>
    <s v=""/>
    <s v=""/>
  </r>
  <r>
    <n v="2274"/>
    <x v="350"/>
    <s v="Noodles With Braised Beef Flavour"/>
    <x v="2"/>
    <x v="36"/>
    <s v="Oceania"/>
    <x v="0"/>
    <x v="0"/>
    <m/>
    <s v=""/>
    <s v=""/>
  </r>
  <r>
    <n v="2253"/>
    <x v="351"/>
    <s v="Instant Noodles Mi Goreng Flavour"/>
    <x v="2"/>
    <x v="36"/>
    <s v="Oceania"/>
    <x v="0"/>
    <x v="0"/>
    <m/>
    <s v=""/>
    <s v=""/>
  </r>
  <r>
    <n v="2231"/>
    <x v="349"/>
    <s v="Noodle Chicken Flavour"/>
    <x v="2"/>
    <x v="36"/>
    <s v="Oceania"/>
    <x v="0"/>
    <x v="0"/>
    <m/>
    <s v=""/>
    <s v=""/>
  </r>
  <r>
    <n v="2219"/>
    <x v="349"/>
    <s v="Noodles Crispy Bacon Flavour"/>
    <x v="2"/>
    <x v="36"/>
    <s v="Oceania"/>
    <x v="19"/>
    <x v="1"/>
    <m/>
    <s v=""/>
    <s v=""/>
  </r>
  <r>
    <n v="2188"/>
    <x v="351"/>
    <s v="Instant Noodles Chicken Flavour"/>
    <x v="2"/>
    <x v="36"/>
    <s v="Oceania"/>
    <x v="6"/>
    <x v="1"/>
    <m/>
    <s v=""/>
    <s v=""/>
  </r>
  <r>
    <n v="2165"/>
    <x v="350"/>
    <s v="Noodles With Hot &amp; Spicy Flavour"/>
    <x v="2"/>
    <x v="36"/>
    <s v="Oceania"/>
    <x v="4"/>
    <x v="2"/>
    <m/>
    <s v=""/>
    <s v=""/>
  </r>
  <r>
    <n v="2127"/>
    <x v="350"/>
    <s v="Noodles With Chicken &amp; Sweet Corn Flavour"/>
    <x v="2"/>
    <x v="36"/>
    <s v="Oceania"/>
    <x v="13"/>
    <x v="1"/>
    <m/>
    <s v=""/>
    <s v=""/>
  </r>
  <r>
    <n v="2068"/>
    <x v="186"/>
    <s v="Fusian Special Edition Ow... Ow... Spicy Cow Mi Goreng"/>
    <x v="0"/>
    <x v="36"/>
    <s v="Oceania"/>
    <x v="3"/>
    <x v="0"/>
    <m/>
    <s v=""/>
    <s v=""/>
  </r>
  <r>
    <n v="2054"/>
    <x v="350"/>
    <s v="Noodles Curried Prawn Flavour"/>
    <x v="2"/>
    <x v="36"/>
    <s v="Oceania"/>
    <x v="5"/>
    <x v="2"/>
    <m/>
    <s v=""/>
    <s v=""/>
  </r>
  <r>
    <n v="2042"/>
    <x v="350"/>
    <s v="Noodles Mi Goreng"/>
    <x v="2"/>
    <x v="36"/>
    <s v="Oceania"/>
    <x v="29"/>
    <x v="0"/>
    <m/>
    <s v=""/>
    <s v=""/>
  </r>
  <r>
    <n v="2034"/>
    <x v="349"/>
    <s v="Noodles Oriental Flavour"/>
    <x v="2"/>
    <x v="36"/>
    <s v="Oceania"/>
    <x v="5"/>
    <x v="2"/>
    <m/>
    <s v=""/>
    <s v=""/>
  </r>
  <r>
    <n v="2029"/>
    <x v="351"/>
    <s v="Instant Noodles Beef Flavour"/>
    <x v="2"/>
    <x v="36"/>
    <s v="Oceania"/>
    <x v="11"/>
    <x v="1"/>
    <m/>
    <s v=""/>
    <s v=""/>
  </r>
  <r>
    <n v="2011"/>
    <x v="352"/>
    <s v="2 Minute Laksa Flavour Noodles"/>
    <x v="0"/>
    <x v="36"/>
    <s v="Oceania"/>
    <x v="11"/>
    <x v="1"/>
    <m/>
    <s v=""/>
    <s v=""/>
  </r>
  <r>
    <n v="1980"/>
    <x v="350"/>
    <s v="Noodles Witrh Prawn &amp; Chicken Flavour"/>
    <x v="2"/>
    <x v="36"/>
    <s v="Oceania"/>
    <x v="2"/>
    <x v="2"/>
    <m/>
    <s v=""/>
    <s v=""/>
  </r>
  <r>
    <n v="987"/>
    <x v="352"/>
    <s v="Singapore Soft Noodles"/>
    <x v="0"/>
    <x v="36"/>
    <s v="Oceania"/>
    <x v="9"/>
    <x v="2"/>
    <m/>
    <s v=""/>
    <s v=""/>
  </r>
  <r>
    <n v="961"/>
    <x v="352"/>
    <s v="Chow Mein Soft Noodles"/>
    <x v="0"/>
    <x v="36"/>
    <s v="Oceania"/>
    <x v="9"/>
    <x v="2"/>
    <m/>
    <s v=""/>
    <s v=""/>
  </r>
  <r>
    <n v="948"/>
    <x v="352"/>
    <s v="Hot &amp; Spicy 2 Minute Noodles"/>
    <x v="0"/>
    <x v="36"/>
    <s v="Oceania"/>
    <x v="2"/>
    <x v="2"/>
    <m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6F12FB-B26A-490A-8DFA-288CF1DC39B7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 rowHeaderCaption="Country">
  <location ref="A6:B44" firstHeaderRow="1" firstDataRow="1" firstDataCol="1"/>
  <pivotFields count="1">
    <pivotField axis="axisRow" dataField="1" showAll="0" sortType="ascending" countASubtotal="1">
      <items count="40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m="1" x="38"/>
        <item x="1"/>
        <item x="0"/>
        <item h="1" x="37"/>
        <item t="countA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38">
    <i>
      <x v="24"/>
    </i>
    <i>
      <x v="8"/>
    </i>
    <i>
      <x v="12"/>
    </i>
    <i>
      <x v="31"/>
    </i>
    <i>
      <x v="10"/>
    </i>
    <i>
      <x v="28"/>
    </i>
    <i>
      <x v="7"/>
    </i>
    <i>
      <x v="9"/>
    </i>
    <i>
      <x v="13"/>
    </i>
    <i>
      <x v="27"/>
    </i>
    <i>
      <x v="3"/>
    </i>
    <i>
      <x v="2"/>
    </i>
    <i>
      <x v="6"/>
    </i>
    <i>
      <x v="1"/>
    </i>
    <i>
      <x v="15"/>
    </i>
    <i>
      <x v="25"/>
    </i>
    <i>
      <x v="21"/>
    </i>
    <i>
      <x v="22"/>
    </i>
    <i>
      <x v="23"/>
    </i>
    <i>
      <x/>
    </i>
    <i>
      <x v="20"/>
    </i>
    <i>
      <x v="11"/>
    </i>
    <i>
      <x v="16"/>
    </i>
    <i>
      <x v="4"/>
    </i>
    <i>
      <x v="26"/>
    </i>
    <i>
      <x v="34"/>
    </i>
    <i>
      <x v="37"/>
    </i>
    <i>
      <x v="29"/>
    </i>
    <i>
      <x v="17"/>
    </i>
    <i>
      <x v="14"/>
    </i>
    <i>
      <x v="19"/>
    </i>
    <i>
      <x v="5"/>
    </i>
    <i>
      <x v="33"/>
    </i>
    <i>
      <x v="32"/>
    </i>
    <i>
      <x v="30"/>
    </i>
    <i>
      <x v="36"/>
    </i>
    <i>
      <x v="18"/>
    </i>
    <i t="grand">
      <x/>
    </i>
  </rowItems>
  <colItems count="1">
    <i/>
  </colItems>
  <dataFields count="1">
    <dataField name="Count of Country" fld="0" subtotal="count" baseField="0" baseItem="0"/>
  </dataFields>
  <chartFormats count="38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23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25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26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27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28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29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0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2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3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4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5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6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7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6CFEA8-EE55-45D7-8478-92B0DC815C37}" name="PivotTable2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0" rowHeaderCaption="Country">
  <location ref="A1:B39" firstHeaderRow="1" firstDataRow="1" firstDataCol="1"/>
  <pivotFields count="11">
    <pivotField showAll="0"/>
    <pivotField showAll="0" sortType="descending">
      <items count="354">
        <item x="299"/>
        <item x="84"/>
        <item x="90"/>
        <item x="210"/>
        <item x="290"/>
        <item x="4"/>
        <item x="228"/>
        <item x="219"/>
        <item x="240"/>
        <item x="130"/>
        <item x="189"/>
        <item x="46"/>
        <item x="7"/>
        <item x="217"/>
        <item x="104"/>
        <item x="303"/>
        <item x="201"/>
        <item x="42"/>
        <item x="342"/>
        <item x="330"/>
        <item x="331"/>
        <item x="317"/>
        <item x="86"/>
        <item x="76"/>
        <item x="0"/>
        <item x="177"/>
        <item x="302"/>
        <item x="102"/>
        <item x="345"/>
        <item x="296"/>
        <item x="204"/>
        <item x="301"/>
        <item x="332"/>
        <item x="122"/>
        <item x="310"/>
        <item x="61"/>
        <item x="128"/>
        <item x="297"/>
        <item x="178"/>
        <item x="157"/>
        <item x="115"/>
        <item x="327"/>
        <item x="207"/>
        <item x="164"/>
        <item x="197"/>
        <item x="41"/>
        <item x="225"/>
        <item x="230"/>
        <item x="26"/>
        <item x="241"/>
        <item x="252"/>
        <item x="125"/>
        <item x="305"/>
        <item x="165"/>
        <item x="28"/>
        <item x="338"/>
        <item x="27"/>
        <item x="291"/>
        <item x="226"/>
        <item x="156"/>
        <item x="223"/>
        <item x="206"/>
        <item x="349"/>
        <item x="33"/>
        <item x="82"/>
        <item x="98"/>
        <item x="316"/>
        <item x="173"/>
        <item x="120"/>
        <item x="38"/>
        <item x="309"/>
        <item x="64"/>
        <item x="272"/>
        <item x="234"/>
        <item x="308"/>
        <item x="289"/>
        <item x="13"/>
        <item x="32"/>
        <item x="111"/>
        <item x="179"/>
        <item x="271"/>
        <item x="31"/>
        <item x="318"/>
        <item x="335"/>
        <item x="77"/>
        <item x="18"/>
        <item x="159"/>
        <item x="341"/>
        <item x="97"/>
        <item x="161"/>
        <item x="151"/>
        <item x="171"/>
        <item x="334"/>
        <item x="162"/>
        <item x="215"/>
        <item x="108"/>
        <item x="185"/>
        <item x="288"/>
        <item x="278"/>
        <item x="250"/>
        <item x="158"/>
        <item x="160"/>
        <item x="59"/>
        <item x="139"/>
        <item x="325"/>
        <item x="340"/>
        <item x="212"/>
        <item x="37"/>
        <item x="146"/>
        <item x="232"/>
        <item x="200"/>
        <item x="196"/>
        <item x="140"/>
        <item x="257"/>
        <item x="246"/>
        <item x="249"/>
        <item x="224"/>
        <item x="22"/>
        <item x="275"/>
        <item x="116"/>
        <item x="329"/>
        <item x="105"/>
        <item x="70"/>
        <item x="311"/>
        <item x="307"/>
        <item x="306"/>
        <item x="147"/>
        <item x="110"/>
        <item x="144"/>
        <item x="96"/>
        <item x="265"/>
        <item x="91"/>
        <item x="100"/>
        <item x="198"/>
        <item x="183"/>
        <item x="71"/>
        <item x="52"/>
        <item x="36"/>
        <item x="267"/>
        <item x="251"/>
        <item x="286"/>
        <item x="202"/>
        <item x="187"/>
        <item x="314"/>
        <item x="324"/>
        <item x="23"/>
        <item x="134"/>
        <item x="124"/>
        <item x="89"/>
        <item x="326"/>
        <item x="126"/>
        <item x="132"/>
        <item x="49"/>
        <item x="114"/>
        <item x="190"/>
        <item x="186"/>
        <item x="294"/>
        <item x="80"/>
        <item x="30"/>
        <item x="203"/>
        <item x="34"/>
        <item x="242"/>
        <item x="321"/>
        <item x="99"/>
        <item x="245"/>
        <item x="263"/>
        <item x="60"/>
        <item x="222"/>
        <item x="280"/>
        <item x="283"/>
        <item x="155"/>
        <item x="11"/>
        <item x="48"/>
        <item x="260"/>
        <item x="107"/>
        <item x="194"/>
        <item x="68"/>
        <item x="347"/>
        <item x="169"/>
        <item x="79"/>
        <item x="2"/>
        <item x="184"/>
        <item x="25"/>
        <item x="211"/>
        <item x="270"/>
        <item x="244"/>
        <item x="255"/>
        <item x="138"/>
        <item x="336"/>
        <item x="227"/>
        <item x="231"/>
        <item x="10"/>
        <item x="20"/>
        <item x="344"/>
        <item x="16"/>
        <item x="19"/>
        <item x="175"/>
        <item x="208"/>
        <item x="172"/>
        <item x="238"/>
        <item x="166"/>
        <item x="15"/>
        <item x="43"/>
        <item x="117"/>
        <item x="209"/>
        <item x="45"/>
        <item x="150"/>
        <item x="262"/>
        <item x="148"/>
        <item x="8"/>
        <item x="213"/>
        <item x="191"/>
        <item x="94"/>
        <item x="300"/>
        <item x="192"/>
        <item x="269"/>
        <item x="315"/>
        <item x="346"/>
        <item x="287"/>
        <item x="78"/>
        <item x="348"/>
        <item x="218"/>
        <item x="292"/>
        <item x="83"/>
        <item x="181"/>
        <item x="182"/>
        <item x="24"/>
        <item x="153"/>
        <item x="141"/>
        <item x="328"/>
        <item x="193"/>
        <item x="176"/>
        <item x="58"/>
        <item x="233"/>
        <item x="339"/>
        <item x="35"/>
        <item x="101"/>
        <item x="92"/>
        <item x="57"/>
        <item x="174"/>
        <item x="14"/>
        <item x="72"/>
        <item x="229"/>
        <item x="50"/>
        <item x="279"/>
        <item x="259"/>
        <item x="284"/>
        <item x="237"/>
        <item x="167"/>
        <item x="149"/>
        <item x="247"/>
        <item x="268"/>
        <item x="277"/>
        <item x="312"/>
        <item x="40"/>
        <item x="295"/>
        <item x="127"/>
        <item x="75"/>
        <item x="154"/>
        <item x="253"/>
        <item x="273"/>
        <item x="195"/>
        <item x="29"/>
        <item x="323"/>
        <item x="320"/>
        <item x="351"/>
        <item x="170"/>
        <item x="66"/>
        <item x="47"/>
        <item x="235"/>
        <item x="163"/>
        <item x="131"/>
        <item x="337"/>
        <item x="54"/>
        <item x="254"/>
        <item x="350"/>
        <item x="56"/>
        <item x="95"/>
        <item x="137"/>
        <item x="142"/>
        <item x="216"/>
        <item x="282"/>
        <item x="293"/>
        <item x="168"/>
        <item x="180"/>
        <item x="243"/>
        <item x="236"/>
        <item x="264"/>
        <item x="81"/>
        <item x="53"/>
        <item x="63"/>
        <item x="121"/>
        <item x="65"/>
        <item x="73"/>
        <item x="304"/>
        <item x="93"/>
        <item x="51"/>
        <item x="44"/>
        <item x="39"/>
        <item x="220"/>
        <item x="188"/>
        <item x="205"/>
        <item x="5"/>
        <item x="143"/>
        <item x="74"/>
        <item x="266"/>
        <item x="248"/>
        <item x="239"/>
        <item x="256"/>
        <item x="55"/>
        <item x="298"/>
        <item x="352"/>
        <item x="285"/>
        <item x="103"/>
        <item x="109"/>
        <item x="145"/>
        <item x="221"/>
        <item x="129"/>
        <item x="12"/>
        <item x="113"/>
        <item x="333"/>
        <item x="1"/>
        <item x="9"/>
        <item x="199"/>
        <item x="261"/>
        <item x="69"/>
        <item x="62"/>
        <item x="17"/>
        <item x="119"/>
        <item x="3"/>
        <item x="6"/>
        <item x="214"/>
        <item x="88"/>
        <item x="152"/>
        <item x="118"/>
        <item x="135"/>
        <item x="106"/>
        <item x="136"/>
        <item x="67"/>
        <item x="343"/>
        <item x="281"/>
        <item x="133"/>
        <item x="319"/>
        <item x="123"/>
        <item x="112"/>
        <item x="322"/>
        <item x="21"/>
        <item x="258"/>
        <item x="276"/>
        <item x="274"/>
        <item x="87"/>
        <item x="313"/>
        <item x="8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Row" showAll="0" sortType="ascending">
      <items count="38">
        <item sd="0" x="36"/>
        <item sd="0" x="35"/>
        <item sd="0" x="34"/>
        <item sd="0" x="33"/>
        <item sd="0" x="32"/>
        <item sd="0" x="31"/>
        <item sd="0" x="30"/>
        <item sd="0" x="29"/>
        <item sd="0" x="28"/>
        <item sd="0" x="27"/>
        <item sd="0" x="26"/>
        <item sd="0" x="25"/>
        <item sd="0" x="24"/>
        <item sd="0" x="23"/>
        <item sd="0" x="22"/>
        <item sd="0" x="21"/>
        <item sd="0" x="20"/>
        <item sd="0" x="19"/>
        <item sd="0" x="18"/>
        <item sd="0" x="17"/>
        <item sd="0" x="16"/>
        <item sd="0" x="15"/>
        <item sd="0" x="14"/>
        <item sd="0" x="13"/>
        <item sd="0" x="12"/>
        <item sd="0" x="11"/>
        <item sd="0" x="10"/>
        <item sd="0" x="9"/>
        <item sd="0" x="8"/>
        <item sd="0" x="7"/>
        <item sd="0" x="6"/>
        <item sd="0" x="5"/>
        <item sd="0" x="4"/>
        <item sd="0" x="3"/>
        <item sd="0" x="2"/>
        <item sd="0" x="1"/>
        <item sd="0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  <pivotField showAll="0"/>
    <pivotField showAll="0"/>
  </pivotFields>
  <rowFields count="1">
    <field x="4"/>
  </rowFields>
  <rowItems count="38">
    <i>
      <x v="24"/>
    </i>
    <i>
      <x v="4"/>
    </i>
    <i>
      <x v="23"/>
    </i>
    <i>
      <x v="34"/>
    </i>
    <i>
      <x v="25"/>
    </i>
    <i>
      <x/>
    </i>
    <i>
      <x v="36"/>
    </i>
    <i>
      <x v="31"/>
    </i>
    <i>
      <x v="6"/>
    </i>
    <i>
      <x v="26"/>
    </i>
    <i>
      <x v="33"/>
    </i>
    <i>
      <x v="16"/>
    </i>
    <i>
      <x v="5"/>
    </i>
    <i>
      <x v="35"/>
    </i>
    <i>
      <x v="8"/>
    </i>
    <i>
      <x v="12"/>
    </i>
    <i>
      <x v="22"/>
    </i>
    <i>
      <x v="13"/>
    </i>
    <i>
      <x v="10"/>
    </i>
    <i>
      <x v="7"/>
    </i>
    <i>
      <x v="15"/>
    </i>
    <i>
      <x v="27"/>
    </i>
    <i>
      <x v="11"/>
    </i>
    <i>
      <x v="32"/>
    </i>
    <i>
      <x v="1"/>
    </i>
    <i>
      <x v="20"/>
    </i>
    <i>
      <x v="30"/>
    </i>
    <i>
      <x v="14"/>
    </i>
    <i>
      <x v="9"/>
    </i>
    <i>
      <x v="21"/>
    </i>
    <i>
      <x v="18"/>
    </i>
    <i>
      <x v="17"/>
    </i>
    <i>
      <x v="29"/>
    </i>
    <i>
      <x v="19"/>
    </i>
    <i>
      <x v="3"/>
    </i>
    <i>
      <x v="28"/>
    </i>
    <i>
      <x v="2"/>
    </i>
    <i t="grand">
      <x/>
    </i>
  </rowItems>
  <colItems count="1">
    <i/>
  </colItems>
  <dataFields count="1">
    <dataField name="Average of Stars" fld="6" subtotal="average" baseField="4" baseItem="0" numFmtId="2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38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4"/>
          </reference>
        </references>
      </pivotArea>
    </chartFormat>
    <chartFormat chart="9" format="2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3">
      <pivotArea type="data" outline="0" fieldPosition="0">
        <references count="2">
          <reference field="4294967294" count="1" selected="0">
            <x v="0"/>
          </reference>
          <reference field="4" count="1" selected="0">
            <x v="23"/>
          </reference>
        </references>
      </pivotArea>
    </chartFormat>
    <chartFormat chart="9" format="4">
      <pivotArea type="data" outline="0" fieldPosition="0">
        <references count="2">
          <reference field="4294967294" count="1" selected="0">
            <x v="0"/>
          </reference>
          <reference field="4" count="1" selected="0">
            <x v="34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4" count="1" selected="0">
            <x v="25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9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36"/>
          </reference>
        </references>
      </pivotArea>
    </chartFormat>
    <chartFormat chart="9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31"/>
          </reference>
        </references>
      </pivotArea>
    </chartFormat>
    <chartFormat chart="9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26"/>
          </reference>
        </references>
      </pivotArea>
    </chartFormat>
    <chartFormat chart="9" format="11">
      <pivotArea type="data" outline="0" fieldPosition="0">
        <references count="2">
          <reference field="4294967294" count="1" selected="0">
            <x v="0"/>
          </reference>
          <reference field="4" count="1" selected="0">
            <x v="33"/>
          </reference>
        </references>
      </pivotArea>
    </chartFormat>
    <chartFormat chart="9" format="12">
      <pivotArea type="data" outline="0" fieldPosition="0">
        <references count="2">
          <reference field="4294967294" count="1" selected="0">
            <x v="0"/>
          </reference>
          <reference field="4" count="1" selected="0">
            <x v="16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14">
      <pivotArea type="data" outline="0" fieldPosition="0">
        <references count="2">
          <reference field="4294967294" count="1" selected="0">
            <x v="0"/>
          </reference>
          <reference field="4" count="1" selected="0">
            <x v="35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9" format="16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9" format="17">
      <pivotArea type="data" outline="0" fieldPosition="0">
        <references count="2">
          <reference field="4294967294" count="1" selected="0">
            <x v="0"/>
          </reference>
          <reference field="4" count="1" selected="0">
            <x v="22"/>
          </reference>
        </references>
      </pivotArea>
    </chartFormat>
    <chartFormat chart="9" format="18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9" format="19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9" format="20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21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9" format="22">
      <pivotArea type="data" outline="0" fieldPosition="0">
        <references count="2">
          <reference field="4294967294" count="1" selected="0">
            <x v="0"/>
          </reference>
          <reference field="4" count="1" selected="0">
            <x v="27"/>
          </reference>
        </references>
      </pivotArea>
    </chartFormat>
    <chartFormat chart="9" format="23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9" format="24">
      <pivotArea type="data" outline="0" fieldPosition="0">
        <references count="2">
          <reference field="4294967294" count="1" selected="0">
            <x v="0"/>
          </reference>
          <reference field="4" count="1" selected="0">
            <x v="32"/>
          </reference>
        </references>
      </pivotArea>
    </chartFormat>
    <chartFormat chart="9" format="25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26">
      <pivotArea type="data" outline="0" fieldPosition="0">
        <references count="2">
          <reference field="4294967294" count="1" selected="0">
            <x v="0"/>
          </reference>
          <reference field="4" count="1" selected="0">
            <x v="20"/>
          </reference>
        </references>
      </pivotArea>
    </chartFormat>
    <chartFormat chart="9" format="27">
      <pivotArea type="data" outline="0" fieldPosition="0">
        <references count="2">
          <reference field="4294967294" count="1" selected="0">
            <x v="0"/>
          </reference>
          <reference field="4" count="1" selected="0">
            <x v="30"/>
          </reference>
        </references>
      </pivotArea>
    </chartFormat>
    <chartFormat chart="9" format="28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9" format="29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9" format="30">
      <pivotArea type="data" outline="0" fieldPosition="0">
        <references count="2">
          <reference field="4294967294" count="1" selected="0">
            <x v="0"/>
          </reference>
          <reference field="4" count="1" selected="0">
            <x v="21"/>
          </reference>
        </references>
      </pivotArea>
    </chartFormat>
    <chartFormat chart="9" format="31">
      <pivotArea type="data" outline="0" fieldPosition="0">
        <references count="2">
          <reference field="4294967294" count="1" selected="0">
            <x v="0"/>
          </reference>
          <reference field="4" count="1" selected="0">
            <x v="18"/>
          </reference>
        </references>
      </pivotArea>
    </chartFormat>
    <chartFormat chart="9" format="32">
      <pivotArea type="data" outline="0" fieldPosition="0">
        <references count="2">
          <reference field="4294967294" count="1" selected="0">
            <x v="0"/>
          </reference>
          <reference field="4" count="1" selected="0">
            <x v="17"/>
          </reference>
        </references>
      </pivotArea>
    </chartFormat>
    <chartFormat chart="9" format="33">
      <pivotArea type="data" outline="0" fieldPosition="0">
        <references count="2">
          <reference field="4294967294" count="1" selected="0">
            <x v="0"/>
          </reference>
          <reference field="4" count="1" selected="0">
            <x v="29"/>
          </reference>
        </references>
      </pivotArea>
    </chartFormat>
    <chartFormat chart="9" format="34">
      <pivotArea type="data" outline="0" fieldPosition="0">
        <references count="2">
          <reference field="4294967294" count="1" selected="0">
            <x v="0"/>
          </reference>
          <reference field="4" count="1" selected="0">
            <x v="19"/>
          </reference>
        </references>
      </pivotArea>
    </chartFormat>
    <chartFormat chart="9" format="35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36">
      <pivotArea type="data" outline="0" fieldPosition="0">
        <references count="2">
          <reference field="4294967294" count="1" selected="0">
            <x v="0"/>
          </reference>
          <reference field="4" count="1" selected="0">
            <x v="28"/>
          </reference>
        </references>
      </pivotArea>
    </chartFormat>
    <chartFormat chart="9" format="37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C96E21-7A00-478F-9DDB-0AE1CAE3B587}" name="PivotTable6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A3:B9" firstHeaderRow="1" firstDataRow="1" firstDataCol="1" rowPageCount="1" colPageCount="1"/>
  <pivotFields count="11">
    <pivotField showAll="0"/>
    <pivotField showAll="0"/>
    <pivotField showAll="0"/>
    <pivotField axis="axisRow" dataField="1" showAll="0" sortType="ascending">
      <items count="9">
        <item x="6"/>
        <item x="1"/>
        <item x="4"/>
        <item x="5"/>
        <item x="2"/>
        <item x="0"/>
        <item x="3"/>
        <item x="7"/>
        <item t="default"/>
      </items>
    </pivotField>
    <pivotField showAll="0"/>
    <pivotField showAll="0"/>
    <pivotField showAll="0"/>
    <pivotField axis="axisPage" showAll="0">
      <items count="5">
        <item x="1"/>
        <item x="2"/>
        <item x="0"/>
        <item x="3"/>
        <item t="default"/>
      </items>
    </pivotField>
    <pivotField showAll="0"/>
    <pivotField showAll="0"/>
    <pivotField showAll="0"/>
  </pivotFields>
  <rowFields count="1">
    <field x="3"/>
  </rowFields>
  <rowItems count="6">
    <i>
      <x v="1"/>
    </i>
    <i>
      <x v="2"/>
    </i>
    <i>
      <x v="4"/>
    </i>
    <i>
      <x v="5"/>
    </i>
    <i>
      <x v="6"/>
    </i>
    <i t="grand">
      <x/>
    </i>
  </rowItems>
  <colItems count="1">
    <i/>
  </colItems>
  <pageFields count="1">
    <pageField fld="7" item="0" hier="-1"/>
  </pageFields>
  <dataFields count="1">
    <dataField name="Count of Style" fld="3" subtotal="count" baseField="0" baseItem="0"/>
  </dataFields>
  <chartFormats count="7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Ramen_Ratings" displayName="Ramen_Ratings" ref="A1:K2581" totalsRowShown="0">
  <autoFilter ref="A1:K2581" xr:uid="{00000000-0009-0000-0100-000002000000}"/>
  <sortState xmlns:xlrd2="http://schemas.microsoft.com/office/spreadsheetml/2017/richdata2" ref="A2:K2581">
    <sortCondition descending="1" ref="E1:E2581"/>
  </sortState>
  <tableColumns count="11">
    <tableColumn id="1" xr3:uid="{00000000-0010-0000-0100-000001000000}" name="Review #"/>
    <tableColumn id="2" xr3:uid="{00000000-0010-0000-0100-000002000000}" name="Brand"/>
    <tableColumn id="3" xr3:uid="{00000000-0010-0000-0100-000003000000}" name="Variety"/>
    <tableColumn id="4" xr3:uid="{00000000-0010-0000-0100-000004000000}" name="Style"/>
    <tableColumn id="5" xr3:uid="{00000000-0010-0000-0100-000005000000}" name="Country"/>
    <tableColumn id="8" xr3:uid="{00000000-0010-0000-0100-000008000000}" name="Region" dataDxfId="5">
      <calculatedColumnFormula>VLOOKUP(Ramen_Ratings[[#This Row],[Country]],Country_Region[#All],2,FALSE)</calculatedColumnFormula>
    </tableColumn>
    <tableColumn id="6" xr3:uid="{00000000-0010-0000-0100-000006000000}" name="Stars"/>
    <tableColumn id="9" xr3:uid="{F4F9C9BB-7ADE-49EB-9996-4539D666A3AB}" name="Quality" dataDxfId="4">
      <calculatedColumnFormula array="1">_xlfn.IFS(Ramen_Ratings[[#This Row],[Stars]] = "Unrated", "NA",Ramen_Ratings[[#This Row],[Stars]]&gt;=4, "Good", Ramen_Ratings[[#This Row],[Stars]]&gt;2.5, "Fair", Ramen_Ratings[[#This Row],[Stars]] &gt;= 0, "Bad")</calculatedColumnFormula>
    </tableColumn>
    <tableColumn id="7" xr3:uid="{00000000-0010-0000-0100-000007000000}" name="Top Ten"/>
    <tableColumn id="10" xr3:uid="{8D2C8470-99D1-441B-B310-47F857811873}" name="Top Ten Year" dataDxfId="3">
      <calculatedColumnFormula>LEFT(Ramen_Ratings[[#This Row],[Top Ten]],4)</calculatedColumnFormula>
    </tableColumn>
    <tableColumn id="11" xr3:uid="{32E98EE9-C735-4AE5-AEA8-48C57DFB92C8}" name="Top Ten Rank" dataDxfId="2">
      <calculatedColumnFormula>IF(Ramen_Ratings[[#This Row],[Top Ten]]="", "",RIGHT(Ramen_Ratings[[#This Row],[Top Ten]],LEN(Ramen_Ratings[[#This Row],[Top Ten]])-6))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ountry_Region" displayName="Country_Region" ref="A1:B39" totalsRowShown="0">
  <autoFilter ref="A1:B39" xr:uid="{00000000-0009-0000-0100-000001000000}"/>
  <tableColumns count="2">
    <tableColumn id="1" xr3:uid="{00000000-0010-0000-0000-000001000000}" name="Country"/>
    <tableColumn id="2" xr3:uid="{00000000-0010-0000-0000-000002000000}" name="Reg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130AAF4-D80E-4B25-91E6-AE5D70860D68}" name="Unique_Counts" displayName="Unique_Counts" ref="A1:D2" totalsRowShown="0">
  <autoFilter ref="A1:D2" xr:uid="{870B1CE4-AAC2-440B-A3E7-D865425E9134}"/>
  <tableColumns count="4">
    <tableColumn id="1" xr3:uid="{2D48B207-1359-4028-B92C-A04F93F18D61}" name="Unique Brands">
      <calculatedColumnFormula>COUNTA(_xlfn.UNIQUE(Ramen_Ratings[Brand],FALSE,FALSE))</calculatedColumnFormula>
    </tableColumn>
    <tableColumn id="2" xr3:uid="{AC25CB4B-AA7D-4959-9548-71859E56AEA0}" name="Unique Varieties">
      <calculatedColumnFormula>COUNTA(_xlfn.UNIQUE(Ramen_Ratings[Variety],FALSE,FALSE))</calculatedColumnFormula>
    </tableColumn>
    <tableColumn id="3" xr3:uid="{A23CE7C4-AF40-43D8-BA4D-D30B62CC312F}" name="Unique Countries">
      <calculatedColumnFormula>COUNTA(_xlfn.UNIQUE(Ramen_Ratings[Country],FALSE,FALSE))</calculatedColumnFormula>
    </tableColumn>
    <tableColumn id="4" xr3:uid="{5DF109BB-7363-42BA-BA20-164D85B316E2}" name="Unique Styles">
      <calculatedColumnFormula>COUNTA(_xlfn.UNIQUE(Ramen_Ratings[Style],FALSE,FALSE))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6743408-4B0A-4E56-9078-3CCB8E2877D8}" name="Table3" displayName="Table3" ref="A1:B2581" totalsRowShown="0">
  <autoFilter ref="A1:B2581" xr:uid="{C6743408-4B0A-4E56-9078-3CCB8E2877D8}"/>
  <tableColumns count="2">
    <tableColumn id="1" xr3:uid="{09278640-F381-4F29-8D22-68306B2074F7}" name="Country"/>
    <tableColumn id="2" xr3:uid="{6C9031BA-509F-4650-8698-D529A7D63046}" name="Sta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2581"/>
  <sheetViews>
    <sheetView workbookViewId="0">
      <selection activeCell="H16" sqref="H16"/>
    </sheetView>
  </sheetViews>
  <sheetFormatPr defaultColWidth="11" defaultRowHeight="15.7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>
        <v>2580</v>
      </c>
      <c r="B2" t="s">
        <v>7</v>
      </c>
      <c r="C2" t="s">
        <v>8</v>
      </c>
      <c r="D2" t="s">
        <v>9</v>
      </c>
      <c r="E2" t="s">
        <v>10</v>
      </c>
      <c r="F2">
        <v>3.75</v>
      </c>
    </row>
    <row r="3" spans="1:7" x14ac:dyDescent="0.25">
      <c r="A3">
        <v>2579</v>
      </c>
      <c r="B3" t="s">
        <v>11</v>
      </c>
      <c r="C3" t="s">
        <v>12</v>
      </c>
      <c r="D3" t="s">
        <v>13</v>
      </c>
      <c r="E3" t="s">
        <v>14</v>
      </c>
      <c r="F3">
        <v>1</v>
      </c>
    </row>
    <row r="4" spans="1:7" x14ac:dyDescent="0.25">
      <c r="A4">
        <v>2578</v>
      </c>
      <c r="B4" t="s">
        <v>15</v>
      </c>
      <c r="C4" t="s">
        <v>16</v>
      </c>
      <c r="D4" t="s">
        <v>9</v>
      </c>
      <c r="E4" t="s">
        <v>17</v>
      </c>
      <c r="F4">
        <v>2.25</v>
      </c>
    </row>
    <row r="5" spans="1:7" x14ac:dyDescent="0.25">
      <c r="A5">
        <v>2577</v>
      </c>
      <c r="B5" t="s">
        <v>18</v>
      </c>
      <c r="C5" t="s">
        <v>19</v>
      </c>
      <c r="D5" t="s">
        <v>13</v>
      </c>
      <c r="E5" t="s">
        <v>14</v>
      </c>
      <c r="F5">
        <v>2.75</v>
      </c>
    </row>
    <row r="6" spans="1:7" x14ac:dyDescent="0.25">
      <c r="A6">
        <v>2576</v>
      </c>
      <c r="B6" t="s">
        <v>20</v>
      </c>
      <c r="C6" t="s">
        <v>21</v>
      </c>
      <c r="D6" t="s">
        <v>13</v>
      </c>
      <c r="E6" t="s">
        <v>22</v>
      </c>
      <c r="F6">
        <v>3.75</v>
      </c>
    </row>
    <row r="7" spans="1:7" x14ac:dyDescent="0.25">
      <c r="A7">
        <v>2575</v>
      </c>
      <c r="B7" t="s">
        <v>23</v>
      </c>
      <c r="C7" t="s">
        <v>24</v>
      </c>
      <c r="D7" t="s">
        <v>13</v>
      </c>
      <c r="E7" t="s">
        <v>25</v>
      </c>
      <c r="F7">
        <v>4.75</v>
      </c>
    </row>
    <row r="8" spans="1:7" x14ac:dyDescent="0.25">
      <c r="A8">
        <v>2574</v>
      </c>
      <c r="B8" t="s">
        <v>26</v>
      </c>
      <c r="C8" t="s">
        <v>27</v>
      </c>
      <c r="D8" t="s">
        <v>9</v>
      </c>
      <c r="E8" t="s">
        <v>10</v>
      </c>
      <c r="F8">
        <v>4</v>
      </c>
    </row>
    <row r="9" spans="1:7" x14ac:dyDescent="0.25">
      <c r="A9">
        <v>2573</v>
      </c>
      <c r="B9" t="s">
        <v>28</v>
      </c>
      <c r="C9" t="s">
        <v>29</v>
      </c>
      <c r="D9" t="s">
        <v>30</v>
      </c>
      <c r="E9" t="s">
        <v>10</v>
      </c>
      <c r="F9">
        <v>3.75</v>
      </c>
    </row>
    <row r="10" spans="1:7" x14ac:dyDescent="0.25">
      <c r="A10">
        <v>2572</v>
      </c>
      <c r="B10" t="s">
        <v>31</v>
      </c>
      <c r="C10" t="s">
        <v>32</v>
      </c>
      <c r="D10" t="s">
        <v>13</v>
      </c>
      <c r="E10" t="s">
        <v>10</v>
      </c>
      <c r="F10">
        <v>0.25</v>
      </c>
    </row>
    <row r="11" spans="1:7" x14ac:dyDescent="0.25">
      <c r="A11">
        <v>2571</v>
      </c>
      <c r="B11" t="s">
        <v>33</v>
      </c>
      <c r="C11" t="s">
        <v>34</v>
      </c>
      <c r="D11" t="s">
        <v>13</v>
      </c>
      <c r="E11" t="s">
        <v>35</v>
      </c>
      <c r="F11">
        <v>2.5</v>
      </c>
    </row>
    <row r="12" spans="1:7" x14ac:dyDescent="0.25">
      <c r="A12">
        <v>2570</v>
      </c>
      <c r="B12" t="s">
        <v>36</v>
      </c>
      <c r="C12" t="s">
        <v>37</v>
      </c>
      <c r="D12" t="s">
        <v>13</v>
      </c>
      <c r="E12" t="s">
        <v>38</v>
      </c>
      <c r="F12">
        <v>5</v>
      </c>
    </row>
    <row r="13" spans="1:7" x14ac:dyDescent="0.25">
      <c r="A13">
        <v>2569</v>
      </c>
      <c r="B13" t="s">
        <v>39</v>
      </c>
      <c r="C13" t="s">
        <v>40</v>
      </c>
      <c r="D13" t="s">
        <v>13</v>
      </c>
      <c r="E13" t="s">
        <v>17</v>
      </c>
      <c r="F13">
        <v>5</v>
      </c>
    </row>
    <row r="14" spans="1:7" x14ac:dyDescent="0.25">
      <c r="A14">
        <v>2568</v>
      </c>
      <c r="B14" t="s">
        <v>41</v>
      </c>
      <c r="C14" t="s">
        <v>42</v>
      </c>
      <c r="D14" t="s">
        <v>13</v>
      </c>
      <c r="E14" t="s">
        <v>25</v>
      </c>
      <c r="F14">
        <v>4.25</v>
      </c>
    </row>
    <row r="15" spans="1:7" x14ac:dyDescent="0.25">
      <c r="A15">
        <v>2567</v>
      </c>
      <c r="B15" t="s">
        <v>15</v>
      </c>
      <c r="C15" t="s">
        <v>43</v>
      </c>
      <c r="D15" t="s">
        <v>44</v>
      </c>
      <c r="E15" t="s">
        <v>10</v>
      </c>
      <c r="F15">
        <v>4.5</v>
      </c>
    </row>
    <row r="16" spans="1:7" x14ac:dyDescent="0.25">
      <c r="A16">
        <v>2566</v>
      </c>
      <c r="B16" t="s">
        <v>15</v>
      </c>
      <c r="C16" t="s">
        <v>45</v>
      </c>
      <c r="D16" t="s">
        <v>13</v>
      </c>
      <c r="E16" t="s">
        <v>46</v>
      </c>
      <c r="F16">
        <v>5</v>
      </c>
    </row>
    <row r="17" spans="1:6" x14ac:dyDescent="0.25">
      <c r="A17">
        <v>2565</v>
      </c>
      <c r="B17" t="s">
        <v>33</v>
      </c>
      <c r="C17" t="s">
        <v>47</v>
      </c>
      <c r="D17" t="s">
        <v>9</v>
      </c>
      <c r="E17" t="s">
        <v>35</v>
      </c>
      <c r="F17">
        <v>3.5</v>
      </c>
    </row>
    <row r="18" spans="1:6" x14ac:dyDescent="0.25">
      <c r="A18">
        <v>2564</v>
      </c>
      <c r="B18" t="s">
        <v>48</v>
      </c>
      <c r="C18" t="s">
        <v>49</v>
      </c>
      <c r="D18" t="s">
        <v>13</v>
      </c>
      <c r="E18" t="s">
        <v>22</v>
      </c>
      <c r="F18">
        <v>3.75</v>
      </c>
    </row>
    <row r="19" spans="1:6" x14ac:dyDescent="0.25">
      <c r="A19">
        <v>2563</v>
      </c>
      <c r="B19" t="s">
        <v>39</v>
      </c>
      <c r="C19" t="s">
        <v>50</v>
      </c>
      <c r="D19" t="s">
        <v>13</v>
      </c>
      <c r="E19" t="s">
        <v>17</v>
      </c>
      <c r="F19">
        <v>5</v>
      </c>
    </row>
    <row r="20" spans="1:6" x14ac:dyDescent="0.25">
      <c r="A20">
        <v>2562</v>
      </c>
      <c r="B20" t="s">
        <v>51</v>
      </c>
      <c r="C20" t="s">
        <v>52</v>
      </c>
      <c r="D20" t="s">
        <v>13</v>
      </c>
      <c r="E20" t="s">
        <v>53</v>
      </c>
      <c r="F20">
        <v>4</v>
      </c>
    </row>
    <row r="21" spans="1:6" x14ac:dyDescent="0.25">
      <c r="A21">
        <v>2561</v>
      </c>
      <c r="B21" t="s">
        <v>54</v>
      </c>
      <c r="C21" t="s">
        <v>55</v>
      </c>
      <c r="D21" t="s">
        <v>13</v>
      </c>
      <c r="E21" t="s">
        <v>25</v>
      </c>
      <c r="F21">
        <v>4</v>
      </c>
    </row>
    <row r="22" spans="1:6" x14ac:dyDescent="0.25">
      <c r="A22">
        <v>2560</v>
      </c>
      <c r="B22" t="s">
        <v>15</v>
      </c>
      <c r="C22" t="s">
        <v>56</v>
      </c>
      <c r="D22" t="s">
        <v>9</v>
      </c>
      <c r="E22" t="s">
        <v>46</v>
      </c>
      <c r="F22">
        <v>4.25</v>
      </c>
    </row>
    <row r="23" spans="1:6" x14ac:dyDescent="0.25">
      <c r="A23">
        <v>2559</v>
      </c>
      <c r="B23" t="s">
        <v>57</v>
      </c>
      <c r="C23" t="s">
        <v>58</v>
      </c>
      <c r="D23" t="s">
        <v>13</v>
      </c>
      <c r="E23" t="s">
        <v>17</v>
      </c>
      <c r="F23">
        <v>5</v>
      </c>
    </row>
    <row r="24" spans="1:6" x14ac:dyDescent="0.25">
      <c r="A24">
        <v>2558</v>
      </c>
      <c r="B24" t="s">
        <v>33</v>
      </c>
      <c r="C24" t="s">
        <v>59</v>
      </c>
      <c r="D24" t="s">
        <v>9</v>
      </c>
      <c r="E24" t="s">
        <v>35</v>
      </c>
      <c r="F24">
        <v>5</v>
      </c>
    </row>
    <row r="25" spans="1:6" x14ac:dyDescent="0.25">
      <c r="A25">
        <v>2557</v>
      </c>
      <c r="B25" t="s">
        <v>39</v>
      </c>
      <c r="C25" t="s">
        <v>60</v>
      </c>
      <c r="D25" t="s">
        <v>13</v>
      </c>
      <c r="E25" t="s">
        <v>17</v>
      </c>
      <c r="F25">
        <v>4.75</v>
      </c>
    </row>
    <row r="26" spans="1:6" x14ac:dyDescent="0.25">
      <c r="A26">
        <v>2556</v>
      </c>
      <c r="B26" t="s">
        <v>20</v>
      </c>
      <c r="C26" t="s">
        <v>61</v>
      </c>
      <c r="D26" t="s">
        <v>13</v>
      </c>
      <c r="E26" t="s">
        <v>22</v>
      </c>
      <c r="F26">
        <v>4.25</v>
      </c>
    </row>
    <row r="27" spans="1:6" x14ac:dyDescent="0.25">
      <c r="A27">
        <v>2555</v>
      </c>
      <c r="B27" t="s">
        <v>23</v>
      </c>
      <c r="C27" t="s">
        <v>62</v>
      </c>
      <c r="D27" t="s">
        <v>44</v>
      </c>
      <c r="E27" t="s">
        <v>25</v>
      </c>
      <c r="F27">
        <v>4.25</v>
      </c>
    </row>
    <row r="28" spans="1:6" x14ac:dyDescent="0.25">
      <c r="A28">
        <v>2554</v>
      </c>
      <c r="B28" t="s">
        <v>63</v>
      </c>
      <c r="C28" t="s">
        <v>64</v>
      </c>
      <c r="D28" t="s">
        <v>13</v>
      </c>
      <c r="E28" t="s">
        <v>65</v>
      </c>
      <c r="F28">
        <v>3.5</v>
      </c>
    </row>
    <row r="29" spans="1:6" x14ac:dyDescent="0.25">
      <c r="A29">
        <v>2553</v>
      </c>
      <c r="B29" t="s">
        <v>15</v>
      </c>
      <c r="C29" t="s">
        <v>66</v>
      </c>
      <c r="D29" t="s">
        <v>44</v>
      </c>
      <c r="E29" t="s">
        <v>10</v>
      </c>
      <c r="F29">
        <v>4.75</v>
      </c>
    </row>
    <row r="30" spans="1:6" x14ac:dyDescent="0.25">
      <c r="A30">
        <v>2552</v>
      </c>
      <c r="B30" t="s">
        <v>67</v>
      </c>
      <c r="C30" t="s">
        <v>68</v>
      </c>
      <c r="D30" t="s">
        <v>44</v>
      </c>
      <c r="E30" t="s">
        <v>69</v>
      </c>
      <c r="F30">
        <v>5</v>
      </c>
    </row>
    <row r="31" spans="1:6" x14ac:dyDescent="0.25">
      <c r="A31">
        <v>2551</v>
      </c>
      <c r="B31" t="s">
        <v>33</v>
      </c>
      <c r="C31" t="s">
        <v>70</v>
      </c>
      <c r="D31" t="s">
        <v>13</v>
      </c>
      <c r="E31" t="s">
        <v>35</v>
      </c>
      <c r="F31">
        <v>4</v>
      </c>
    </row>
    <row r="32" spans="1:6" x14ac:dyDescent="0.25">
      <c r="A32">
        <v>2550</v>
      </c>
      <c r="B32" t="s">
        <v>23</v>
      </c>
      <c r="C32" t="s">
        <v>71</v>
      </c>
      <c r="D32" t="s">
        <v>13</v>
      </c>
      <c r="E32" t="s">
        <v>25</v>
      </c>
      <c r="F32">
        <v>5</v>
      </c>
    </row>
    <row r="33" spans="1:6" x14ac:dyDescent="0.25">
      <c r="A33">
        <v>2549</v>
      </c>
      <c r="B33" t="s">
        <v>15</v>
      </c>
      <c r="C33" t="s">
        <v>72</v>
      </c>
      <c r="D33" t="s">
        <v>13</v>
      </c>
      <c r="E33" t="s">
        <v>73</v>
      </c>
      <c r="F33">
        <v>4.5</v>
      </c>
    </row>
    <row r="34" spans="1:6" x14ac:dyDescent="0.25">
      <c r="A34">
        <v>2548</v>
      </c>
      <c r="B34" t="s">
        <v>74</v>
      </c>
      <c r="C34" t="s">
        <v>75</v>
      </c>
      <c r="D34" t="s">
        <v>13</v>
      </c>
      <c r="E34" t="s">
        <v>25</v>
      </c>
      <c r="F34" t="s">
        <v>76</v>
      </c>
    </row>
    <row r="35" spans="1:6" x14ac:dyDescent="0.25">
      <c r="A35">
        <v>2547</v>
      </c>
      <c r="B35" t="s">
        <v>77</v>
      </c>
      <c r="C35" t="s">
        <v>78</v>
      </c>
      <c r="D35" t="s">
        <v>44</v>
      </c>
      <c r="E35" t="s">
        <v>79</v>
      </c>
      <c r="F35">
        <v>4</v>
      </c>
    </row>
    <row r="36" spans="1:6" x14ac:dyDescent="0.25">
      <c r="A36">
        <v>2546</v>
      </c>
      <c r="B36" t="s">
        <v>7</v>
      </c>
      <c r="C36" t="s">
        <v>80</v>
      </c>
      <c r="D36" t="s">
        <v>44</v>
      </c>
      <c r="E36" t="s">
        <v>10</v>
      </c>
      <c r="F36">
        <v>3.75</v>
      </c>
    </row>
    <row r="37" spans="1:6" x14ac:dyDescent="0.25">
      <c r="A37">
        <v>2545</v>
      </c>
      <c r="B37" t="s">
        <v>33</v>
      </c>
      <c r="C37" t="s">
        <v>81</v>
      </c>
      <c r="D37" t="s">
        <v>13</v>
      </c>
      <c r="E37" t="s">
        <v>35</v>
      </c>
      <c r="F37">
        <v>5</v>
      </c>
    </row>
    <row r="38" spans="1:6" x14ac:dyDescent="0.25">
      <c r="A38">
        <v>2544</v>
      </c>
      <c r="B38" t="s">
        <v>82</v>
      </c>
      <c r="C38" t="s">
        <v>83</v>
      </c>
      <c r="D38" t="s">
        <v>84</v>
      </c>
      <c r="E38" t="s">
        <v>17</v>
      </c>
      <c r="F38">
        <v>1.5</v>
      </c>
    </row>
    <row r="39" spans="1:6" x14ac:dyDescent="0.25">
      <c r="A39">
        <v>2543</v>
      </c>
      <c r="B39" t="s">
        <v>33</v>
      </c>
      <c r="C39" t="s">
        <v>85</v>
      </c>
      <c r="D39" t="s">
        <v>9</v>
      </c>
      <c r="E39" t="s">
        <v>35</v>
      </c>
      <c r="F39">
        <v>5</v>
      </c>
    </row>
    <row r="40" spans="1:6" x14ac:dyDescent="0.25">
      <c r="A40">
        <v>2542</v>
      </c>
      <c r="B40" t="s">
        <v>26</v>
      </c>
      <c r="C40" t="s">
        <v>86</v>
      </c>
      <c r="D40" t="s">
        <v>30</v>
      </c>
      <c r="E40" t="s">
        <v>10</v>
      </c>
      <c r="F40">
        <v>1.5</v>
      </c>
    </row>
    <row r="41" spans="1:6" x14ac:dyDescent="0.25">
      <c r="A41">
        <v>2541</v>
      </c>
      <c r="B41" t="s">
        <v>15</v>
      </c>
      <c r="C41" t="s">
        <v>87</v>
      </c>
      <c r="D41" t="s">
        <v>9</v>
      </c>
      <c r="E41" t="s">
        <v>17</v>
      </c>
      <c r="F41">
        <v>5</v>
      </c>
    </row>
    <row r="42" spans="1:6" x14ac:dyDescent="0.25">
      <c r="A42">
        <v>2540</v>
      </c>
      <c r="B42" t="s">
        <v>18</v>
      </c>
      <c r="C42" t="s">
        <v>88</v>
      </c>
      <c r="D42" t="s">
        <v>13</v>
      </c>
      <c r="E42" t="s">
        <v>14</v>
      </c>
      <c r="F42">
        <v>3.25</v>
      </c>
    </row>
    <row r="43" spans="1:6" x14ac:dyDescent="0.25">
      <c r="A43">
        <v>2539</v>
      </c>
      <c r="B43" t="s">
        <v>15</v>
      </c>
      <c r="C43" t="s">
        <v>89</v>
      </c>
      <c r="D43" t="s">
        <v>9</v>
      </c>
      <c r="E43" t="s">
        <v>46</v>
      </c>
      <c r="F43">
        <v>3.75</v>
      </c>
    </row>
    <row r="44" spans="1:6" x14ac:dyDescent="0.25">
      <c r="A44">
        <v>2538</v>
      </c>
      <c r="B44" t="s">
        <v>15</v>
      </c>
      <c r="C44" t="s">
        <v>90</v>
      </c>
      <c r="D44" t="s">
        <v>9</v>
      </c>
      <c r="E44" t="s">
        <v>17</v>
      </c>
      <c r="F44">
        <v>5</v>
      </c>
    </row>
    <row r="45" spans="1:6" x14ac:dyDescent="0.25">
      <c r="A45">
        <v>2537</v>
      </c>
      <c r="B45" t="s">
        <v>15</v>
      </c>
      <c r="C45" t="s">
        <v>91</v>
      </c>
      <c r="D45" t="s">
        <v>9</v>
      </c>
      <c r="E45" t="s">
        <v>35</v>
      </c>
      <c r="F45">
        <v>5</v>
      </c>
    </row>
    <row r="46" spans="1:6" x14ac:dyDescent="0.25">
      <c r="A46">
        <v>2536</v>
      </c>
      <c r="B46" t="s">
        <v>92</v>
      </c>
      <c r="C46" t="s">
        <v>93</v>
      </c>
      <c r="D46" t="s">
        <v>13</v>
      </c>
      <c r="E46" t="s">
        <v>65</v>
      </c>
      <c r="F46">
        <v>3.5</v>
      </c>
    </row>
    <row r="47" spans="1:6" x14ac:dyDescent="0.25">
      <c r="A47">
        <v>2535</v>
      </c>
      <c r="B47" t="s">
        <v>15</v>
      </c>
      <c r="C47" t="s">
        <v>94</v>
      </c>
      <c r="D47" t="s">
        <v>9</v>
      </c>
      <c r="E47" t="s">
        <v>17</v>
      </c>
      <c r="F47">
        <v>5</v>
      </c>
    </row>
    <row r="48" spans="1:6" x14ac:dyDescent="0.25">
      <c r="A48">
        <v>2534</v>
      </c>
      <c r="B48" t="s">
        <v>95</v>
      </c>
      <c r="C48" t="s">
        <v>96</v>
      </c>
      <c r="D48" t="s">
        <v>13</v>
      </c>
      <c r="E48" t="s">
        <v>10</v>
      </c>
      <c r="F48">
        <v>4</v>
      </c>
    </row>
    <row r="49" spans="1:6" x14ac:dyDescent="0.25">
      <c r="A49">
        <v>2533</v>
      </c>
      <c r="B49" t="s">
        <v>41</v>
      </c>
      <c r="C49" t="s">
        <v>97</v>
      </c>
      <c r="D49" t="s">
        <v>13</v>
      </c>
      <c r="E49" t="s">
        <v>25</v>
      </c>
      <c r="F49">
        <v>5</v>
      </c>
    </row>
    <row r="50" spans="1:6" x14ac:dyDescent="0.25">
      <c r="A50">
        <v>2532</v>
      </c>
      <c r="B50" t="s">
        <v>15</v>
      </c>
      <c r="C50" t="s">
        <v>98</v>
      </c>
      <c r="D50" t="s">
        <v>44</v>
      </c>
      <c r="E50" t="s">
        <v>10</v>
      </c>
      <c r="F50">
        <v>4.75</v>
      </c>
    </row>
    <row r="51" spans="1:6" x14ac:dyDescent="0.25">
      <c r="A51">
        <v>2531</v>
      </c>
      <c r="B51" t="s">
        <v>99</v>
      </c>
      <c r="C51" t="s">
        <v>100</v>
      </c>
      <c r="D51" t="s">
        <v>13</v>
      </c>
      <c r="E51" t="s">
        <v>79</v>
      </c>
      <c r="F51">
        <v>4.25</v>
      </c>
    </row>
    <row r="52" spans="1:6" x14ac:dyDescent="0.25">
      <c r="A52">
        <v>2530</v>
      </c>
      <c r="B52" t="s">
        <v>74</v>
      </c>
      <c r="C52" t="s">
        <v>101</v>
      </c>
      <c r="D52" t="s">
        <v>13</v>
      </c>
      <c r="E52" t="s">
        <v>25</v>
      </c>
      <c r="F52">
        <v>2</v>
      </c>
    </row>
    <row r="53" spans="1:6" x14ac:dyDescent="0.25">
      <c r="A53">
        <v>2529</v>
      </c>
      <c r="B53" t="s">
        <v>102</v>
      </c>
      <c r="C53" t="s">
        <v>103</v>
      </c>
      <c r="D53" t="s">
        <v>44</v>
      </c>
      <c r="E53" t="s">
        <v>10</v>
      </c>
      <c r="F53">
        <v>4.5</v>
      </c>
    </row>
    <row r="54" spans="1:6" x14ac:dyDescent="0.25">
      <c r="A54">
        <v>2528</v>
      </c>
      <c r="B54" t="s">
        <v>104</v>
      </c>
      <c r="C54" t="s">
        <v>105</v>
      </c>
      <c r="D54" t="s">
        <v>13</v>
      </c>
      <c r="E54" t="s">
        <v>35</v>
      </c>
      <c r="F54">
        <v>5</v>
      </c>
    </row>
    <row r="55" spans="1:6" x14ac:dyDescent="0.25">
      <c r="A55">
        <v>2527</v>
      </c>
      <c r="B55" t="s">
        <v>99</v>
      </c>
      <c r="C55" t="s">
        <v>106</v>
      </c>
      <c r="D55" t="s">
        <v>13</v>
      </c>
      <c r="E55" t="s">
        <v>53</v>
      </c>
      <c r="F55">
        <v>0</v>
      </c>
    </row>
    <row r="56" spans="1:6" x14ac:dyDescent="0.25">
      <c r="A56">
        <v>2526</v>
      </c>
      <c r="B56" t="s">
        <v>23</v>
      </c>
      <c r="C56" t="s">
        <v>107</v>
      </c>
      <c r="D56" t="s">
        <v>44</v>
      </c>
      <c r="E56" t="s">
        <v>25</v>
      </c>
      <c r="F56">
        <v>4.5</v>
      </c>
    </row>
    <row r="57" spans="1:6" x14ac:dyDescent="0.25">
      <c r="A57">
        <v>2525</v>
      </c>
      <c r="B57" t="s">
        <v>108</v>
      </c>
      <c r="C57" t="s">
        <v>109</v>
      </c>
      <c r="D57" t="s">
        <v>13</v>
      </c>
      <c r="E57" t="s">
        <v>10</v>
      </c>
      <c r="F57">
        <v>3.5</v>
      </c>
    </row>
    <row r="58" spans="1:6" x14ac:dyDescent="0.25">
      <c r="A58">
        <v>2524</v>
      </c>
      <c r="B58" t="s">
        <v>15</v>
      </c>
      <c r="C58" t="s">
        <v>110</v>
      </c>
      <c r="D58" t="s">
        <v>13</v>
      </c>
      <c r="E58" t="s">
        <v>35</v>
      </c>
      <c r="F58">
        <v>5</v>
      </c>
    </row>
    <row r="59" spans="1:6" x14ac:dyDescent="0.25">
      <c r="A59">
        <v>2523</v>
      </c>
      <c r="B59" t="s">
        <v>41</v>
      </c>
      <c r="C59" t="s">
        <v>111</v>
      </c>
      <c r="D59" t="s">
        <v>13</v>
      </c>
      <c r="E59" t="s">
        <v>25</v>
      </c>
      <c r="F59">
        <v>4.5</v>
      </c>
    </row>
    <row r="60" spans="1:6" x14ac:dyDescent="0.25">
      <c r="A60">
        <v>2522</v>
      </c>
      <c r="B60" t="s">
        <v>112</v>
      </c>
      <c r="C60" t="s">
        <v>113</v>
      </c>
      <c r="D60" t="s">
        <v>13</v>
      </c>
      <c r="E60" t="s">
        <v>10</v>
      </c>
      <c r="F60">
        <v>5</v>
      </c>
    </row>
    <row r="61" spans="1:6" x14ac:dyDescent="0.25">
      <c r="A61">
        <v>2521</v>
      </c>
      <c r="B61" t="s">
        <v>15</v>
      </c>
      <c r="C61" t="s">
        <v>114</v>
      </c>
      <c r="D61" t="s">
        <v>13</v>
      </c>
      <c r="E61" t="s">
        <v>35</v>
      </c>
      <c r="F61">
        <v>4.5</v>
      </c>
    </row>
    <row r="62" spans="1:6" x14ac:dyDescent="0.25">
      <c r="A62">
        <v>2520</v>
      </c>
      <c r="B62" t="s">
        <v>15</v>
      </c>
      <c r="C62" t="s">
        <v>115</v>
      </c>
      <c r="D62" t="s">
        <v>9</v>
      </c>
      <c r="E62" t="s">
        <v>35</v>
      </c>
      <c r="F62">
        <v>5</v>
      </c>
    </row>
    <row r="63" spans="1:6" x14ac:dyDescent="0.25">
      <c r="A63">
        <v>2519</v>
      </c>
      <c r="B63" t="s">
        <v>116</v>
      </c>
      <c r="C63" t="s">
        <v>117</v>
      </c>
      <c r="D63" t="s">
        <v>30</v>
      </c>
      <c r="E63" t="s">
        <v>25</v>
      </c>
      <c r="F63">
        <v>1</v>
      </c>
    </row>
    <row r="64" spans="1:6" x14ac:dyDescent="0.25">
      <c r="A64">
        <v>2518</v>
      </c>
      <c r="B64" t="s">
        <v>118</v>
      </c>
      <c r="C64" t="s">
        <v>119</v>
      </c>
      <c r="D64" t="s">
        <v>13</v>
      </c>
      <c r="E64" t="s">
        <v>10</v>
      </c>
      <c r="F64">
        <v>4</v>
      </c>
    </row>
    <row r="65" spans="1:6" x14ac:dyDescent="0.25">
      <c r="A65">
        <v>2517</v>
      </c>
      <c r="B65" t="s">
        <v>28</v>
      </c>
      <c r="C65" t="s">
        <v>120</v>
      </c>
      <c r="D65" t="s">
        <v>44</v>
      </c>
      <c r="E65" t="s">
        <v>10</v>
      </c>
      <c r="F65">
        <v>4.5</v>
      </c>
    </row>
    <row r="66" spans="1:6" x14ac:dyDescent="0.25">
      <c r="A66">
        <v>2516</v>
      </c>
      <c r="B66" t="s">
        <v>95</v>
      </c>
      <c r="C66" t="s">
        <v>121</v>
      </c>
      <c r="D66" t="s">
        <v>13</v>
      </c>
      <c r="E66" t="s">
        <v>10</v>
      </c>
      <c r="F66">
        <v>3.5</v>
      </c>
    </row>
    <row r="67" spans="1:6" x14ac:dyDescent="0.25">
      <c r="A67">
        <v>2515</v>
      </c>
      <c r="B67" t="s">
        <v>99</v>
      </c>
      <c r="C67" t="s">
        <v>122</v>
      </c>
      <c r="D67" t="s">
        <v>44</v>
      </c>
      <c r="E67" t="s">
        <v>14</v>
      </c>
      <c r="F67">
        <v>5</v>
      </c>
    </row>
    <row r="68" spans="1:6" x14ac:dyDescent="0.25">
      <c r="A68">
        <v>2514</v>
      </c>
      <c r="B68" t="s">
        <v>123</v>
      </c>
      <c r="C68" t="s">
        <v>124</v>
      </c>
      <c r="D68" t="s">
        <v>13</v>
      </c>
      <c r="E68" t="s">
        <v>10</v>
      </c>
      <c r="F68">
        <v>4.5</v>
      </c>
    </row>
    <row r="69" spans="1:6" x14ac:dyDescent="0.25">
      <c r="A69">
        <v>2513</v>
      </c>
      <c r="B69" t="s">
        <v>125</v>
      </c>
      <c r="C69" t="s">
        <v>126</v>
      </c>
      <c r="D69" t="s">
        <v>127</v>
      </c>
      <c r="E69" t="s">
        <v>17</v>
      </c>
      <c r="F69">
        <v>3.5</v>
      </c>
    </row>
    <row r="70" spans="1:6" x14ac:dyDescent="0.25">
      <c r="A70">
        <v>2512</v>
      </c>
      <c r="B70" t="s">
        <v>128</v>
      </c>
      <c r="C70" t="s">
        <v>129</v>
      </c>
      <c r="D70" t="s">
        <v>13</v>
      </c>
      <c r="E70" t="s">
        <v>14</v>
      </c>
      <c r="F70">
        <v>5</v>
      </c>
    </row>
    <row r="71" spans="1:6" x14ac:dyDescent="0.25">
      <c r="A71">
        <v>2511</v>
      </c>
      <c r="B71" t="s">
        <v>23</v>
      </c>
      <c r="C71" t="s">
        <v>130</v>
      </c>
      <c r="D71" t="s">
        <v>44</v>
      </c>
      <c r="E71" t="s">
        <v>25</v>
      </c>
      <c r="F71">
        <v>5</v>
      </c>
    </row>
    <row r="72" spans="1:6" x14ac:dyDescent="0.25">
      <c r="A72">
        <v>2510</v>
      </c>
      <c r="B72" t="s">
        <v>67</v>
      </c>
      <c r="C72" t="s">
        <v>131</v>
      </c>
      <c r="D72" t="s">
        <v>13</v>
      </c>
      <c r="E72" t="s">
        <v>69</v>
      </c>
      <c r="F72">
        <v>5</v>
      </c>
    </row>
    <row r="73" spans="1:6" x14ac:dyDescent="0.25">
      <c r="A73">
        <v>2509</v>
      </c>
      <c r="B73" t="s">
        <v>132</v>
      </c>
      <c r="C73" t="s">
        <v>133</v>
      </c>
      <c r="D73" t="s">
        <v>13</v>
      </c>
      <c r="E73" t="s">
        <v>22</v>
      </c>
      <c r="F73">
        <v>3.5</v>
      </c>
    </row>
    <row r="74" spans="1:6" x14ac:dyDescent="0.25">
      <c r="A74">
        <v>2508</v>
      </c>
      <c r="B74" t="s">
        <v>23</v>
      </c>
      <c r="C74" t="s">
        <v>134</v>
      </c>
      <c r="D74" t="s">
        <v>13</v>
      </c>
      <c r="E74" t="s">
        <v>25</v>
      </c>
      <c r="F74">
        <v>3.75</v>
      </c>
    </row>
    <row r="75" spans="1:6" x14ac:dyDescent="0.25">
      <c r="A75">
        <v>2507</v>
      </c>
      <c r="B75" t="s">
        <v>135</v>
      </c>
      <c r="C75" t="s">
        <v>136</v>
      </c>
      <c r="D75" t="s">
        <v>13</v>
      </c>
      <c r="E75" t="s">
        <v>73</v>
      </c>
      <c r="F75">
        <v>4</v>
      </c>
    </row>
    <row r="76" spans="1:6" x14ac:dyDescent="0.25">
      <c r="A76">
        <v>2506</v>
      </c>
      <c r="B76" t="s">
        <v>33</v>
      </c>
      <c r="C76" t="s">
        <v>137</v>
      </c>
      <c r="D76" t="s">
        <v>13</v>
      </c>
      <c r="E76" t="s">
        <v>35</v>
      </c>
      <c r="F76">
        <v>3.75</v>
      </c>
    </row>
    <row r="77" spans="1:6" x14ac:dyDescent="0.25">
      <c r="A77">
        <v>2505</v>
      </c>
      <c r="B77" t="s">
        <v>26</v>
      </c>
      <c r="C77" t="s">
        <v>138</v>
      </c>
      <c r="D77" t="s">
        <v>44</v>
      </c>
      <c r="E77" t="s">
        <v>10</v>
      </c>
      <c r="F77">
        <v>3.5</v>
      </c>
    </row>
    <row r="78" spans="1:6" x14ac:dyDescent="0.25">
      <c r="A78">
        <v>2504</v>
      </c>
      <c r="B78" t="s">
        <v>41</v>
      </c>
      <c r="C78" t="s">
        <v>139</v>
      </c>
      <c r="D78" t="s">
        <v>13</v>
      </c>
      <c r="E78" t="s">
        <v>25</v>
      </c>
      <c r="F78">
        <v>3</v>
      </c>
    </row>
    <row r="79" spans="1:6" x14ac:dyDescent="0.25">
      <c r="A79">
        <v>2503</v>
      </c>
      <c r="B79" t="s">
        <v>77</v>
      </c>
      <c r="C79" t="s">
        <v>140</v>
      </c>
      <c r="D79" t="s">
        <v>44</v>
      </c>
      <c r="E79" t="s">
        <v>79</v>
      </c>
      <c r="F79">
        <v>0</v>
      </c>
    </row>
    <row r="80" spans="1:6" x14ac:dyDescent="0.25">
      <c r="A80">
        <v>2502</v>
      </c>
      <c r="B80" t="s">
        <v>135</v>
      </c>
      <c r="C80" t="s">
        <v>141</v>
      </c>
      <c r="D80" t="s">
        <v>13</v>
      </c>
      <c r="E80" t="s">
        <v>142</v>
      </c>
      <c r="F80">
        <v>1.5</v>
      </c>
    </row>
    <row r="81" spans="1:6" x14ac:dyDescent="0.25">
      <c r="A81">
        <v>2501</v>
      </c>
      <c r="B81" t="s">
        <v>143</v>
      </c>
      <c r="C81" t="s">
        <v>144</v>
      </c>
      <c r="D81" t="s">
        <v>13</v>
      </c>
      <c r="E81" t="s">
        <v>14</v>
      </c>
      <c r="F81">
        <v>4</v>
      </c>
    </row>
    <row r="82" spans="1:6" x14ac:dyDescent="0.25">
      <c r="A82">
        <v>2500</v>
      </c>
      <c r="B82" t="s">
        <v>145</v>
      </c>
      <c r="C82" t="s">
        <v>146</v>
      </c>
      <c r="D82" t="s">
        <v>84</v>
      </c>
      <c r="E82" t="s">
        <v>69</v>
      </c>
      <c r="F82">
        <v>5</v>
      </c>
    </row>
    <row r="83" spans="1:6" x14ac:dyDescent="0.25">
      <c r="A83">
        <v>2499</v>
      </c>
      <c r="B83" t="s">
        <v>33</v>
      </c>
      <c r="C83" t="s">
        <v>147</v>
      </c>
      <c r="D83" t="s">
        <v>9</v>
      </c>
      <c r="E83" t="s">
        <v>35</v>
      </c>
      <c r="F83">
        <v>5</v>
      </c>
    </row>
    <row r="84" spans="1:6" x14ac:dyDescent="0.25">
      <c r="A84">
        <v>2498</v>
      </c>
      <c r="B84" t="s">
        <v>15</v>
      </c>
      <c r="C84" t="s">
        <v>148</v>
      </c>
      <c r="D84" t="s">
        <v>13</v>
      </c>
      <c r="E84" t="s">
        <v>149</v>
      </c>
      <c r="F84">
        <v>3.75</v>
      </c>
    </row>
    <row r="85" spans="1:6" x14ac:dyDescent="0.25">
      <c r="A85">
        <v>2497</v>
      </c>
      <c r="B85" t="s">
        <v>15</v>
      </c>
      <c r="C85" t="s">
        <v>150</v>
      </c>
      <c r="D85" t="s">
        <v>9</v>
      </c>
      <c r="E85" t="s">
        <v>149</v>
      </c>
      <c r="F85">
        <v>3.75</v>
      </c>
    </row>
    <row r="86" spans="1:6" x14ac:dyDescent="0.25">
      <c r="A86">
        <v>2496</v>
      </c>
      <c r="B86" t="s">
        <v>15</v>
      </c>
      <c r="C86" t="s">
        <v>151</v>
      </c>
      <c r="D86" t="s">
        <v>13</v>
      </c>
      <c r="E86" t="s">
        <v>149</v>
      </c>
      <c r="F86">
        <v>4.5</v>
      </c>
    </row>
    <row r="87" spans="1:6" x14ac:dyDescent="0.25">
      <c r="A87">
        <v>2495</v>
      </c>
      <c r="B87" t="s">
        <v>15</v>
      </c>
      <c r="C87" t="s">
        <v>152</v>
      </c>
      <c r="D87" t="s">
        <v>9</v>
      </c>
      <c r="E87" t="s">
        <v>149</v>
      </c>
      <c r="F87">
        <v>3.75</v>
      </c>
    </row>
    <row r="88" spans="1:6" x14ac:dyDescent="0.25">
      <c r="A88">
        <v>2494</v>
      </c>
      <c r="B88" t="s">
        <v>15</v>
      </c>
      <c r="C88" t="s">
        <v>153</v>
      </c>
      <c r="D88" t="s">
        <v>13</v>
      </c>
      <c r="E88" t="s">
        <v>149</v>
      </c>
      <c r="F88">
        <v>3.5</v>
      </c>
    </row>
    <row r="89" spans="1:6" x14ac:dyDescent="0.25">
      <c r="A89">
        <v>2493</v>
      </c>
      <c r="B89" t="s">
        <v>15</v>
      </c>
      <c r="C89" t="s">
        <v>154</v>
      </c>
      <c r="D89" t="s">
        <v>9</v>
      </c>
      <c r="E89" t="s">
        <v>149</v>
      </c>
      <c r="F89">
        <v>3.75</v>
      </c>
    </row>
    <row r="90" spans="1:6" x14ac:dyDescent="0.25">
      <c r="A90">
        <v>2492</v>
      </c>
      <c r="B90" t="s">
        <v>15</v>
      </c>
      <c r="C90" t="s">
        <v>155</v>
      </c>
      <c r="D90" t="s">
        <v>13</v>
      </c>
      <c r="E90" t="s">
        <v>156</v>
      </c>
      <c r="F90">
        <v>3.75</v>
      </c>
    </row>
    <row r="91" spans="1:6" x14ac:dyDescent="0.25">
      <c r="A91">
        <v>2491</v>
      </c>
      <c r="B91" t="s">
        <v>15</v>
      </c>
      <c r="C91" t="s">
        <v>157</v>
      </c>
      <c r="D91" t="s">
        <v>9</v>
      </c>
      <c r="E91" t="s">
        <v>149</v>
      </c>
      <c r="F91">
        <v>5</v>
      </c>
    </row>
    <row r="92" spans="1:6" x14ac:dyDescent="0.25">
      <c r="A92">
        <v>2490</v>
      </c>
      <c r="B92" t="s">
        <v>15</v>
      </c>
      <c r="C92" t="s">
        <v>158</v>
      </c>
      <c r="D92" t="s">
        <v>13</v>
      </c>
      <c r="E92" t="s">
        <v>149</v>
      </c>
      <c r="F92">
        <v>3.5</v>
      </c>
    </row>
    <row r="93" spans="1:6" x14ac:dyDescent="0.25">
      <c r="A93">
        <v>2489</v>
      </c>
      <c r="B93" t="s">
        <v>15</v>
      </c>
      <c r="C93" t="s">
        <v>159</v>
      </c>
      <c r="D93" t="s">
        <v>9</v>
      </c>
      <c r="E93" t="s">
        <v>149</v>
      </c>
      <c r="F93">
        <v>3</v>
      </c>
    </row>
    <row r="94" spans="1:6" x14ac:dyDescent="0.25">
      <c r="A94">
        <v>2488</v>
      </c>
      <c r="B94" t="s">
        <v>15</v>
      </c>
      <c r="C94" t="s">
        <v>160</v>
      </c>
      <c r="D94" t="s">
        <v>13</v>
      </c>
      <c r="E94" t="s">
        <v>149</v>
      </c>
      <c r="F94">
        <v>3.75</v>
      </c>
    </row>
    <row r="95" spans="1:6" x14ac:dyDescent="0.25">
      <c r="A95">
        <v>2487</v>
      </c>
      <c r="B95" t="s">
        <v>15</v>
      </c>
      <c r="C95" t="s">
        <v>161</v>
      </c>
      <c r="D95" t="s">
        <v>9</v>
      </c>
      <c r="E95" t="s">
        <v>149</v>
      </c>
      <c r="F95">
        <v>4.5</v>
      </c>
    </row>
    <row r="96" spans="1:6" x14ac:dyDescent="0.25">
      <c r="A96">
        <v>2486</v>
      </c>
      <c r="B96" t="s">
        <v>15</v>
      </c>
      <c r="C96" t="s">
        <v>162</v>
      </c>
      <c r="D96" t="s">
        <v>13</v>
      </c>
      <c r="E96" t="s">
        <v>149</v>
      </c>
      <c r="F96">
        <v>3.5</v>
      </c>
    </row>
    <row r="97" spans="1:6" x14ac:dyDescent="0.25">
      <c r="A97">
        <v>2485</v>
      </c>
      <c r="B97" t="s">
        <v>15</v>
      </c>
      <c r="C97" t="s">
        <v>163</v>
      </c>
      <c r="D97" t="s">
        <v>9</v>
      </c>
      <c r="E97" t="s">
        <v>149</v>
      </c>
      <c r="F97">
        <v>3</v>
      </c>
    </row>
    <row r="98" spans="1:6" x14ac:dyDescent="0.25">
      <c r="A98">
        <v>2484</v>
      </c>
      <c r="B98" t="s">
        <v>15</v>
      </c>
      <c r="C98" t="s">
        <v>164</v>
      </c>
      <c r="D98" t="s">
        <v>13</v>
      </c>
      <c r="E98" t="s">
        <v>149</v>
      </c>
      <c r="F98">
        <v>4</v>
      </c>
    </row>
    <row r="99" spans="1:6" x14ac:dyDescent="0.25">
      <c r="A99">
        <v>2483</v>
      </c>
      <c r="B99" t="s">
        <v>54</v>
      </c>
      <c r="C99" t="s">
        <v>165</v>
      </c>
      <c r="D99" t="s">
        <v>44</v>
      </c>
      <c r="E99" t="s">
        <v>25</v>
      </c>
      <c r="F99">
        <v>5</v>
      </c>
    </row>
    <row r="100" spans="1:6" x14ac:dyDescent="0.25">
      <c r="A100">
        <v>2482</v>
      </c>
      <c r="B100" t="s">
        <v>166</v>
      </c>
      <c r="C100" t="s">
        <v>167</v>
      </c>
      <c r="D100" t="s">
        <v>13</v>
      </c>
      <c r="E100" t="s">
        <v>14</v>
      </c>
      <c r="F100">
        <v>4.75</v>
      </c>
    </row>
    <row r="101" spans="1:6" x14ac:dyDescent="0.25">
      <c r="A101">
        <v>2481</v>
      </c>
      <c r="B101" t="s">
        <v>23</v>
      </c>
      <c r="C101" t="s">
        <v>168</v>
      </c>
      <c r="D101" t="s">
        <v>9</v>
      </c>
      <c r="E101" t="s">
        <v>25</v>
      </c>
      <c r="F101">
        <v>3.75</v>
      </c>
    </row>
    <row r="102" spans="1:6" x14ac:dyDescent="0.25">
      <c r="A102">
        <v>2480</v>
      </c>
      <c r="B102" t="s">
        <v>26</v>
      </c>
      <c r="C102" t="s">
        <v>169</v>
      </c>
      <c r="D102" t="s">
        <v>44</v>
      </c>
      <c r="E102" t="s">
        <v>10</v>
      </c>
      <c r="F102">
        <v>4.25</v>
      </c>
    </row>
    <row r="103" spans="1:6" x14ac:dyDescent="0.25">
      <c r="A103">
        <v>2479</v>
      </c>
      <c r="B103" t="s">
        <v>170</v>
      </c>
      <c r="C103" t="s">
        <v>171</v>
      </c>
      <c r="D103" t="s">
        <v>13</v>
      </c>
      <c r="E103" t="s">
        <v>69</v>
      </c>
      <c r="F103">
        <v>4</v>
      </c>
    </row>
    <row r="104" spans="1:6" x14ac:dyDescent="0.25">
      <c r="A104">
        <v>2478</v>
      </c>
      <c r="B104" t="s">
        <v>172</v>
      </c>
      <c r="C104" t="s">
        <v>173</v>
      </c>
      <c r="D104" t="s">
        <v>13</v>
      </c>
      <c r="E104" t="s">
        <v>14</v>
      </c>
      <c r="F104">
        <v>5</v>
      </c>
    </row>
    <row r="105" spans="1:6" x14ac:dyDescent="0.25">
      <c r="A105">
        <v>2477</v>
      </c>
      <c r="B105" t="s">
        <v>172</v>
      </c>
      <c r="C105" t="s">
        <v>174</v>
      </c>
      <c r="D105" t="s">
        <v>13</v>
      </c>
      <c r="E105" t="s">
        <v>14</v>
      </c>
      <c r="F105">
        <v>5</v>
      </c>
    </row>
    <row r="106" spans="1:6" x14ac:dyDescent="0.25">
      <c r="A106">
        <v>2476</v>
      </c>
      <c r="B106" t="s">
        <v>23</v>
      </c>
      <c r="C106" t="s">
        <v>175</v>
      </c>
      <c r="D106" t="s">
        <v>44</v>
      </c>
      <c r="E106" t="s">
        <v>25</v>
      </c>
      <c r="F106">
        <v>4</v>
      </c>
    </row>
    <row r="107" spans="1:6" x14ac:dyDescent="0.25">
      <c r="A107">
        <v>2475</v>
      </c>
      <c r="B107" t="s">
        <v>102</v>
      </c>
      <c r="C107" t="s">
        <v>176</v>
      </c>
      <c r="D107" t="s">
        <v>44</v>
      </c>
      <c r="E107" t="s">
        <v>10</v>
      </c>
      <c r="F107">
        <v>4.75</v>
      </c>
    </row>
    <row r="108" spans="1:6" x14ac:dyDescent="0.25">
      <c r="A108">
        <v>2474</v>
      </c>
      <c r="B108" t="s">
        <v>74</v>
      </c>
      <c r="C108" t="s">
        <v>177</v>
      </c>
      <c r="D108" t="s">
        <v>13</v>
      </c>
      <c r="E108" t="s">
        <v>25</v>
      </c>
      <c r="F108">
        <v>4.25</v>
      </c>
    </row>
    <row r="109" spans="1:6" x14ac:dyDescent="0.25">
      <c r="A109">
        <v>2473</v>
      </c>
      <c r="B109" t="s">
        <v>178</v>
      </c>
      <c r="C109" t="s">
        <v>179</v>
      </c>
      <c r="D109" t="s">
        <v>13</v>
      </c>
      <c r="E109" t="s">
        <v>10</v>
      </c>
      <c r="F109">
        <v>2</v>
      </c>
    </row>
    <row r="110" spans="1:6" x14ac:dyDescent="0.25">
      <c r="A110">
        <v>2472</v>
      </c>
      <c r="B110" t="s">
        <v>180</v>
      </c>
      <c r="C110" t="s">
        <v>181</v>
      </c>
      <c r="D110" t="s">
        <v>13</v>
      </c>
      <c r="E110" t="s">
        <v>14</v>
      </c>
      <c r="F110">
        <v>3.5</v>
      </c>
    </row>
    <row r="111" spans="1:6" x14ac:dyDescent="0.25">
      <c r="A111">
        <v>2471</v>
      </c>
      <c r="B111" t="s">
        <v>15</v>
      </c>
      <c r="C111" t="s">
        <v>182</v>
      </c>
      <c r="D111" t="s">
        <v>9</v>
      </c>
      <c r="E111" t="s">
        <v>46</v>
      </c>
      <c r="F111">
        <v>5</v>
      </c>
    </row>
    <row r="112" spans="1:6" x14ac:dyDescent="0.25">
      <c r="A112">
        <v>2470</v>
      </c>
      <c r="B112" t="s">
        <v>183</v>
      </c>
      <c r="C112" t="s">
        <v>184</v>
      </c>
      <c r="D112" t="s">
        <v>13</v>
      </c>
      <c r="E112" t="s">
        <v>17</v>
      </c>
      <c r="F112">
        <v>3.75</v>
      </c>
    </row>
    <row r="113" spans="1:6" x14ac:dyDescent="0.25">
      <c r="A113">
        <v>2469</v>
      </c>
      <c r="B113" t="s">
        <v>33</v>
      </c>
      <c r="C113" t="s">
        <v>185</v>
      </c>
      <c r="D113" t="s">
        <v>9</v>
      </c>
      <c r="E113" t="s">
        <v>35</v>
      </c>
      <c r="F113">
        <v>3.5</v>
      </c>
    </row>
    <row r="114" spans="1:6" x14ac:dyDescent="0.25">
      <c r="A114">
        <v>2468</v>
      </c>
      <c r="B114" t="s">
        <v>26</v>
      </c>
      <c r="C114" t="s">
        <v>186</v>
      </c>
      <c r="D114" t="s">
        <v>9</v>
      </c>
      <c r="E114" t="s">
        <v>10</v>
      </c>
      <c r="F114">
        <v>4.25</v>
      </c>
    </row>
    <row r="115" spans="1:6" x14ac:dyDescent="0.25">
      <c r="A115">
        <v>2467</v>
      </c>
      <c r="B115" t="s">
        <v>54</v>
      </c>
      <c r="C115" t="s">
        <v>187</v>
      </c>
      <c r="D115" t="s">
        <v>13</v>
      </c>
      <c r="E115" t="s">
        <v>25</v>
      </c>
      <c r="F115">
        <v>3.5</v>
      </c>
    </row>
    <row r="116" spans="1:6" x14ac:dyDescent="0.25">
      <c r="A116">
        <v>2466</v>
      </c>
      <c r="B116" t="s">
        <v>188</v>
      </c>
      <c r="C116" t="s">
        <v>189</v>
      </c>
      <c r="D116" t="s">
        <v>13</v>
      </c>
      <c r="E116" t="s">
        <v>46</v>
      </c>
      <c r="F116">
        <v>4</v>
      </c>
    </row>
    <row r="117" spans="1:6" x14ac:dyDescent="0.25">
      <c r="A117">
        <v>2465</v>
      </c>
      <c r="B117" t="s">
        <v>15</v>
      </c>
      <c r="C117" t="s">
        <v>190</v>
      </c>
      <c r="D117" t="s">
        <v>9</v>
      </c>
      <c r="E117" t="s">
        <v>79</v>
      </c>
      <c r="F117">
        <v>3.75</v>
      </c>
    </row>
    <row r="118" spans="1:6" x14ac:dyDescent="0.25">
      <c r="A118">
        <v>2464</v>
      </c>
      <c r="B118" t="s">
        <v>191</v>
      </c>
      <c r="C118" t="s">
        <v>192</v>
      </c>
      <c r="D118" t="s">
        <v>44</v>
      </c>
      <c r="E118" t="s">
        <v>25</v>
      </c>
      <c r="F118">
        <v>2</v>
      </c>
    </row>
    <row r="119" spans="1:6" x14ac:dyDescent="0.25">
      <c r="A119">
        <v>2463</v>
      </c>
      <c r="B119" t="s">
        <v>15</v>
      </c>
      <c r="C119" t="s">
        <v>193</v>
      </c>
      <c r="D119" t="s">
        <v>13</v>
      </c>
      <c r="E119" t="s">
        <v>73</v>
      </c>
      <c r="F119">
        <v>3.25</v>
      </c>
    </row>
    <row r="120" spans="1:6" x14ac:dyDescent="0.25">
      <c r="A120">
        <v>2462</v>
      </c>
      <c r="B120" t="s">
        <v>166</v>
      </c>
      <c r="C120" t="s">
        <v>194</v>
      </c>
      <c r="D120" t="s">
        <v>44</v>
      </c>
      <c r="E120" t="s">
        <v>14</v>
      </c>
      <c r="F120">
        <v>5</v>
      </c>
    </row>
    <row r="121" spans="1:6" x14ac:dyDescent="0.25">
      <c r="A121">
        <v>2461</v>
      </c>
      <c r="B121" t="s">
        <v>95</v>
      </c>
      <c r="C121" t="s">
        <v>195</v>
      </c>
      <c r="D121" t="s">
        <v>13</v>
      </c>
      <c r="E121" t="s">
        <v>10</v>
      </c>
      <c r="F121">
        <v>4.5</v>
      </c>
    </row>
    <row r="122" spans="1:6" x14ac:dyDescent="0.25">
      <c r="A122">
        <v>2460</v>
      </c>
      <c r="B122" t="s">
        <v>196</v>
      </c>
      <c r="C122" t="s">
        <v>197</v>
      </c>
      <c r="D122" t="s">
        <v>44</v>
      </c>
      <c r="E122" t="s">
        <v>17</v>
      </c>
      <c r="F122">
        <v>5</v>
      </c>
    </row>
    <row r="123" spans="1:6" x14ac:dyDescent="0.25">
      <c r="A123">
        <v>2459</v>
      </c>
      <c r="B123" t="s">
        <v>15</v>
      </c>
      <c r="C123" t="s">
        <v>198</v>
      </c>
      <c r="D123" t="s">
        <v>13</v>
      </c>
      <c r="E123" t="s">
        <v>10</v>
      </c>
      <c r="F123">
        <v>3.5</v>
      </c>
    </row>
    <row r="124" spans="1:6" x14ac:dyDescent="0.25">
      <c r="A124">
        <v>2458</v>
      </c>
      <c r="B124" t="s">
        <v>23</v>
      </c>
      <c r="C124" t="s">
        <v>199</v>
      </c>
      <c r="D124" t="s">
        <v>13</v>
      </c>
      <c r="E124" t="s">
        <v>25</v>
      </c>
      <c r="F124" t="s">
        <v>76</v>
      </c>
    </row>
    <row r="125" spans="1:6" x14ac:dyDescent="0.25">
      <c r="A125">
        <v>2457</v>
      </c>
      <c r="B125" t="s">
        <v>33</v>
      </c>
      <c r="C125" t="s">
        <v>200</v>
      </c>
      <c r="D125" t="s">
        <v>13</v>
      </c>
      <c r="E125" t="s">
        <v>35</v>
      </c>
      <c r="F125">
        <v>3.5</v>
      </c>
    </row>
    <row r="126" spans="1:6" x14ac:dyDescent="0.25">
      <c r="A126">
        <v>2456</v>
      </c>
      <c r="B126" t="s">
        <v>33</v>
      </c>
      <c r="C126" t="s">
        <v>201</v>
      </c>
      <c r="D126" t="s">
        <v>13</v>
      </c>
      <c r="E126" t="s">
        <v>35</v>
      </c>
      <c r="F126">
        <v>4.25</v>
      </c>
    </row>
    <row r="127" spans="1:6" x14ac:dyDescent="0.25">
      <c r="A127">
        <v>2455</v>
      </c>
      <c r="B127" t="s">
        <v>33</v>
      </c>
      <c r="C127" t="s">
        <v>202</v>
      </c>
      <c r="D127" t="s">
        <v>9</v>
      </c>
      <c r="E127" t="s">
        <v>35</v>
      </c>
      <c r="F127">
        <v>5</v>
      </c>
    </row>
    <row r="128" spans="1:6" x14ac:dyDescent="0.25">
      <c r="A128">
        <v>2454</v>
      </c>
      <c r="B128" t="s">
        <v>33</v>
      </c>
      <c r="C128" t="s">
        <v>203</v>
      </c>
      <c r="D128" t="s">
        <v>44</v>
      </c>
      <c r="E128" t="s">
        <v>35</v>
      </c>
      <c r="F128">
        <v>3.25</v>
      </c>
    </row>
    <row r="129" spans="1:6" x14ac:dyDescent="0.25">
      <c r="A129">
        <v>2453</v>
      </c>
      <c r="B129" t="s">
        <v>33</v>
      </c>
      <c r="C129" t="s">
        <v>204</v>
      </c>
      <c r="D129" t="s">
        <v>13</v>
      </c>
      <c r="E129" t="s">
        <v>35</v>
      </c>
      <c r="F129">
        <v>4.5</v>
      </c>
    </row>
    <row r="130" spans="1:6" x14ac:dyDescent="0.25">
      <c r="A130">
        <v>2452</v>
      </c>
      <c r="B130" t="s">
        <v>33</v>
      </c>
      <c r="C130" t="s">
        <v>205</v>
      </c>
      <c r="D130" t="s">
        <v>44</v>
      </c>
      <c r="E130" t="s">
        <v>35</v>
      </c>
      <c r="F130">
        <v>5</v>
      </c>
    </row>
    <row r="131" spans="1:6" x14ac:dyDescent="0.25">
      <c r="A131">
        <v>2451</v>
      </c>
      <c r="B131" t="s">
        <v>33</v>
      </c>
      <c r="C131" t="s">
        <v>206</v>
      </c>
      <c r="D131" t="s">
        <v>13</v>
      </c>
      <c r="E131" t="s">
        <v>35</v>
      </c>
      <c r="F131">
        <v>5</v>
      </c>
    </row>
    <row r="132" spans="1:6" x14ac:dyDescent="0.25">
      <c r="A132">
        <v>2450</v>
      </c>
      <c r="B132" t="s">
        <v>33</v>
      </c>
      <c r="C132" t="s">
        <v>207</v>
      </c>
      <c r="D132" t="s">
        <v>13</v>
      </c>
      <c r="E132" t="s">
        <v>35</v>
      </c>
      <c r="F132">
        <v>4</v>
      </c>
    </row>
    <row r="133" spans="1:6" x14ac:dyDescent="0.25">
      <c r="A133">
        <v>2449</v>
      </c>
      <c r="B133" t="s">
        <v>33</v>
      </c>
      <c r="C133" t="s">
        <v>208</v>
      </c>
      <c r="D133" t="s">
        <v>13</v>
      </c>
      <c r="E133" t="s">
        <v>35</v>
      </c>
      <c r="F133">
        <v>5</v>
      </c>
    </row>
    <row r="134" spans="1:6" x14ac:dyDescent="0.25">
      <c r="A134">
        <v>2448</v>
      </c>
      <c r="B134" t="s">
        <v>33</v>
      </c>
      <c r="C134" t="s">
        <v>209</v>
      </c>
      <c r="D134" t="s">
        <v>9</v>
      </c>
      <c r="E134" t="s">
        <v>35</v>
      </c>
      <c r="F134">
        <v>3.5</v>
      </c>
    </row>
    <row r="135" spans="1:6" x14ac:dyDescent="0.25">
      <c r="A135">
        <v>2447</v>
      </c>
      <c r="B135" t="s">
        <v>33</v>
      </c>
      <c r="C135" t="s">
        <v>210</v>
      </c>
      <c r="D135" t="s">
        <v>13</v>
      </c>
      <c r="E135" t="s">
        <v>35</v>
      </c>
      <c r="F135">
        <v>3</v>
      </c>
    </row>
    <row r="136" spans="1:6" x14ac:dyDescent="0.25">
      <c r="A136">
        <v>2446</v>
      </c>
      <c r="B136" t="s">
        <v>33</v>
      </c>
      <c r="C136" t="s">
        <v>211</v>
      </c>
      <c r="D136" t="s">
        <v>9</v>
      </c>
      <c r="E136" t="s">
        <v>35</v>
      </c>
      <c r="F136">
        <v>5</v>
      </c>
    </row>
    <row r="137" spans="1:6" x14ac:dyDescent="0.25">
      <c r="A137">
        <v>2445</v>
      </c>
      <c r="B137" t="s">
        <v>33</v>
      </c>
      <c r="C137" t="s">
        <v>212</v>
      </c>
      <c r="D137" t="s">
        <v>13</v>
      </c>
      <c r="E137" t="s">
        <v>35</v>
      </c>
      <c r="F137">
        <v>4.25</v>
      </c>
    </row>
    <row r="138" spans="1:6" x14ac:dyDescent="0.25">
      <c r="A138">
        <v>2444</v>
      </c>
      <c r="B138" t="s">
        <v>33</v>
      </c>
      <c r="C138" t="s">
        <v>213</v>
      </c>
      <c r="D138" t="s">
        <v>44</v>
      </c>
      <c r="E138" t="s">
        <v>35</v>
      </c>
      <c r="F138">
        <v>5</v>
      </c>
    </row>
    <row r="139" spans="1:6" x14ac:dyDescent="0.25">
      <c r="A139">
        <v>2443</v>
      </c>
      <c r="B139" t="s">
        <v>33</v>
      </c>
      <c r="C139" t="s">
        <v>214</v>
      </c>
      <c r="D139" t="s">
        <v>9</v>
      </c>
      <c r="E139" t="s">
        <v>35</v>
      </c>
      <c r="F139">
        <v>3.75</v>
      </c>
    </row>
    <row r="140" spans="1:6" x14ac:dyDescent="0.25">
      <c r="A140">
        <v>2442</v>
      </c>
      <c r="B140" t="s">
        <v>15</v>
      </c>
      <c r="C140" t="s">
        <v>215</v>
      </c>
      <c r="D140" t="s">
        <v>9</v>
      </c>
      <c r="E140" t="s">
        <v>216</v>
      </c>
      <c r="F140">
        <v>3.5</v>
      </c>
    </row>
    <row r="141" spans="1:6" x14ac:dyDescent="0.25">
      <c r="A141">
        <v>2441</v>
      </c>
      <c r="B141" t="s">
        <v>67</v>
      </c>
      <c r="C141" t="s">
        <v>217</v>
      </c>
      <c r="D141" t="s">
        <v>84</v>
      </c>
      <c r="E141" t="s">
        <v>10</v>
      </c>
      <c r="F141">
        <v>5</v>
      </c>
    </row>
    <row r="142" spans="1:6" x14ac:dyDescent="0.25">
      <c r="A142">
        <v>2440</v>
      </c>
      <c r="B142" t="s">
        <v>218</v>
      </c>
      <c r="C142" t="s">
        <v>219</v>
      </c>
      <c r="D142" t="s">
        <v>13</v>
      </c>
      <c r="E142" t="s">
        <v>79</v>
      </c>
      <c r="F142">
        <v>4.5</v>
      </c>
    </row>
    <row r="143" spans="1:6" x14ac:dyDescent="0.25">
      <c r="A143">
        <v>2439</v>
      </c>
      <c r="B143" t="s">
        <v>99</v>
      </c>
      <c r="C143" t="s">
        <v>220</v>
      </c>
      <c r="D143" t="s">
        <v>44</v>
      </c>
      <c r="E143" t="s">
        <v>14</v>
      </c>
      <c r="F143">
        <v>5</v>
      </c>
    </row>
    <row r="144" spans="1:6" x14ac:dyDescent="0.25">
      <c r="A144">
        <v>2438</v>
      </c>
      <c r="B144" t="s">
        <v>221</v>
      </c>
      <c r="C144" t="s">
        <v>222</v>
      </c>
      <c r="D144" t="s">
        <v>13</v>
      </c>
      <c r="E144" t="s">
        <v>73</v>
      </c>
      <c r="F144">
        <v>5</v>
      </c>
    </row>
    <row r="145" spans="1:6" x14ac:dyDescent="0.25">
      <c r="A145">
        <v>2437</v>
      </c>
      <c r="B145" t="s">
        <v>15</v>
      </c>
      <c r="C145" t="s">
        <v>223</v>
      </c>
      <c r="D145" t="s">
        <v>44</v>
      </c>
      <c r="E145" t="s">
        <v>10</v>
      </c>
      <c r="F145">
        <v>4.5</v>
      </c>
    </row>
    <row r="146" spans="1:6" x14ac:dyDescent="0.25">
      <c r="A146">
        <v>2436</v>
      </c>
      <c r="B146" t="s">
        <v>224</v>
      </c>
      <c r="C146" t="s">
        <v>225</v>
      </c>
      <c r="D146" t="s">
        <v>13</v>
      </c>
      <c r="E146" t="s">
        <v>46</v>
      </c>
      <c r="F146">
        <v>4.75</v>
      </c>
    </row>
    <row r="147" spans="1:6" x14ac:dyDescent="0.25">
      <c r="A147">
        <v>2435</v>
      </c>
      <c r="B147" t="s">
        <v>226</v>
      </c>
      <c r="C147" t="s">
        <v>227</v>
      </c>
      <c r="D147" t="s">
        <v>13</v>
      </c>
      <c r="E147" t="s">
        <v>53</v>
      </c>
      <c r="F147">
        <v>3.5</v>
      </c>
    </row>
    <row r="148" spans="1:6" x14ac:dyDescent="0.25">
      <c r="A148">
        <v>2434</v>
      </c>
      <c r="B148" t="s">
        <v>143</v>
      </c>
      <c r="C148" t="s">
        <v>228</v>
      </c>
      <c r="D148" t="s">
        <v>13</v>
      </c>
      <c r="E148" t="s">
        <v>14</v>
      </c>
      <c r="F148">
        <v>4.25</v>
      </c>
    </row>
    <row r="149" spans="1:6" x14ac:dyDescent="0.25">
      <c r="A149">
        <v>2433</v>
      </c>
      <c r="B149" t="s">
        <v>15</v>
      </c>
      <c r="C149" t="s">
        <v>229</v>
      </c>
      <c r="D149" t="s">
        <v>9</v>
      </c>
      <c r="E149" t="s">
        <v>10</v>
      </c>
      <c r="F149">
        <v>3.75</v>
      </c>
    </row>
    <row r="150" spans="1:6" x14ac:dyDescent="0.25">
      <c r="A150">
        <v>2432</v>
      </c>
      <c r="B150" t="s">
        <v>230</v>
      </c>
      <c r="C150" t="s">
        <v>231</v>
      </c>
      <c r="D150" t="s">
        <v>44</v>
      </c>
      <c r="E150" t="s">
        <v>38</v>
      </c>
      <c r="F150">
        <v>3.5</v>
      </c>
    </row>
    <row r="151" spans="1:6" x14ac:dyDescent="0.25">
      <c r="A151">
        <v>2431</v>
      </c>
      <c r="B151" t="s">
        <v>232</v>
      </c>
      <c r="C151" t="s">
        <v>233</v>
      </c>
      <c r="D151" t="s">
        <v>44</v>
      </c>
      <c r="E151" t="s">
        <v>17</v>
      </c>
      <c r="F151">
        <v>3.75</v>
      </c>
    </row>
    <row r="152" spans="1:6" x14ac:dyDescent="0.25">
      <c r="A152">
        <v>2430</v>
      </c>
      <c r="B152" t="s">
        <v>67</v>
      </c>
      <c r="C152" t="s">
        <v>234</v>
      </c>
      <c r="D152" t="s">
        <v>13</v>
      </c>
      <c r="E152" t="s">
        <v>69</v>
      </c>
      <c r="F152">
        <v>5</v>
      </c>
    </row>
    <row r="153" spans="1:6" x14ac:dyDescent="0.25">
      <c r="A153">
        <v>2429</v>
      </c>
      <c r="B153" t="s">
        <v>7</v>
      </c>
      <c r="C153" t="s">
        <v>235</v>
      </c>
      <c r="D153" t="s">
        <v>9</v>
      </c>
      <c r="E153" t="s">
        <v>10</v>
      </c>
      <c r="F153">
        <v>4</v>
      </c>
    </row>
    <row r="154" spans="1:6" x14ac:dyDescent="0.25">
      <c r="A154">
        <v>2428</v>
      </c>
      <c r="B154" t="s">
        <v>166</v>
      </c>
      <c r="C154" t="s">
        <v>236</v>
      </c>
      <c r="D154" t="s">
        <v>44</v>
      </c>
      <c r="E154" t="s">
        <v>14</v>
      </c>
      <c r="F154">
        <v>5</v>
      </c>
    </row>
    <row r="155" spans="1:6" x14ac:dyDescent="0.25">
      <c r="A155">
        <v>2427</v>
      </c>
      <c r="B155" t="s">
        <v>237</v>
      </c>
      <c r="C155" t="s">
        <v>238</v>
      </c>
      <c r="D155" t="s">
        <v>13</v>
      </c>
      <c r="E155" t="s">
        <v>10</v>
      </c>
      <c r="F155">
        <v>2.5</v>
      </c>
    </row>
    <row r="156" spans="1:6" x14ac:dyDescent="0.25">
      <c r="A156">
        <v>2426</v>
      </c>
      <c r="B156" t="s">
        <v>239</v>
      </c>
      <c r="C156" t="s">
        <v>240</v>
      </c>
      <c r="D156" t="s">
        <v>9</v>
      </c>
      <c r="E156" t="s">
        <v>17</v>
      </c>
      <c r="F156">
        <v>0</v>
      </c>
    </row>
    <row r="157" spans="1:6" x14ac:dyDescent="0.25">
      <c r="A157">
        <v>2425</v>
      </c>
      <c r="B157" t="s">
        <v>15</v>
      </c>
      <c r="C157" t="s">
        <v>241</v>
      </c>
      <c r="D157" t="s">
        <v>9</v>
      </c>
      <c r="E157" t="s">
        <v>46</v>
      </c>
      <c r="F157">
        <v>5</v>
      </c>
    </row>
    <row r="158" spans="1:6" x14ac:dyDescent="0.25">
      <c r="A158">
        <v>2424</v>
      </c>
      <c r="B158" t="s">
        <v>23</v>
      </c>
      <c r="C158" t="s">
        <v>242</v>
      </c>
      <c r="D158" t="s">
        <v>13</v>
      </c>
      <c r="E158" t="s">
        <v>25</v>
      </c>
      <c r="F158">
        <v>3.75</v>
      </c>
    </row>
    <row r="159" spans="1:6" x14ac:dyDescent="0.25">
      <c r="A159">
        <v>2423</v>
      </c>
      <c r="B159" t="s">
        <v>243</v>
      </c>
      <c r="C159" t="s">
        <v>244</v>
      </c>
      <c r="D159" t="s">
        <v>13</v>
      </c>
      <c r="E159" t="s">
        <v>14</v>
      </c>
      <c r="F159">
        <v>3.5</v>
      </c>
    </row>
    <row r="160" spans="1:6" x14ac:dyDescent="0.25">
      <c r="A160">
        <v>2422</v>
      </c>
      <c r="B160" t="s">
        <v>15</v>
      </c>
      <c r="C160" t="s">
        <v>245</v>
      </c>
      <c r="D160" t="s">
        <v>9</v>
      </c>
      <c r="E160" t="s">
        <v>216</v>
      </c>
      <c r="F160">
        <v>3.25</v>
      </c>
    </row>
    <row r="161" spans="1:6" x14ac:dyDescent="0.25">
      <c r="A161">
        <v>2421</v>
      </c>
      <c r="B161" t="s">
        <v>99</v>
      </c>
      <c r="C161" t="s">
        <v>246</v>
      </c>
      <c r="D161" t="s">
        <v>13</v>
      </c>
      <c r="E161" t="s">
        <v>14</v>
      </c>
      <c r="F161">
        <v>5</v>
      </c>
    </row>
    <row r="162" spans="1:6" x14ac:dyDescent="0.25">
      <c r="A162">
        <v>2420</v>
      </c>
      <c r="B162" t="s">
        <v>15</v>
      </c>
      <c r="C162" t="s">
        <v>247</v>
      </c>
      <c r="D162" t="s">
        <v>9</v>
      </c>
      <c r="E162" t="s">
        <v>79</v>
      </c>
      <c r="F162">
        <v>3.75</v>
      </c>
    </row>
    <row r="163" spans="1:6" x14ac:dyDescent="0.25">
      <c r="A163">
        <v>2419</v>
      </c>
      <c r="B163" t="s">
        <v>67</v>
      </c>
      <c r="C163" t="s">
        <v>248</v>
      </c>
      <c r="D163" t="s">
        <v>84</v>
      </c>
      <c r="E163" t="s">
        <v>10</v>
      </c>
      <c r="F163">
        <v>5</v>
      </c>
    </row>
    <row r="164" spans="1:6" x14ac:dyDescent="0.25">
      <c r="A164">
        <v>2418</v>
      </c>
      <c r="B164" t="s">
        <v>183</v>
      </c>
      <c r="C164" t="s">
        <v>249</v>
      </c>
      <c r="D164" t="s">
        <v>30</v>
      </c>
      <c r="E164" t="s">
        <v>10</v>
      </c>
      <c r="F164">
        <v>4.5</v>
      </c>
    </row>
    <row r="165" spans="1:6" x14ac:dyDescent="0.25">
      <c r="A165">
        <v>2417</v>
      </c>
      <c r="B165" t="s">
        <v>250</v>
      </c>
      <c r="C165" t="s">
        <v>251</v>
      </c>
      <c r="D165" t="s">
        <v>13</v>
      </c>
      <c r="E165" t="s">
        <v>73</v>
      </c>
      <c r="F165">
        <v>3.75</v>
      </c>
    </row>
    <row r="166" spans="1:6" x14ac:dyDescent="0.25">
      <c r="A166">
        <v>2416</v>
      </c>
      <c r="B166" t="s">
        <v>252</v>
      </c>
      <c r="C166" t="s">
        <v>253</v>
      </c>
      <c r="D166" t="s">
        <v>44</v>
      </c>
      <c r="E166" t="s">
        <v>79</v>
      </c>
      <c r="F166">
        <v>4.25</v>
      </c>
    </row>
    <row r="167" spans="1:6" x14ac:dyDescent="0.25">
      <c r="A167">
        <v>2415</v>
      </c>
      <c r="B167" t="s">
        <v>15</v>
      </c>
      <c r="C167" t="s">
        <v>254</v>
      </c>
      <c r="D167" t="s">
        <v>44</v>
      </c>
      <c r="E167" t="s">
        <v>10</v>
      </c>
      <c r="F167">
        <v>5</v>
      </c>
    </row>
    <row r="168" spans="1:6" x14ac:dyDescent="0.25">
      <c r="A168">
        <v>2414</v>
      </c>
      <c r="B168" t="s">
        <v>255</v>
      </c>
      <c r="C168" t="s">
        <v>256</v>
      </c>
      <c r="D168" t="s">
        <v>44</v>
      </c>
      <c r="E168" t="s">
        <v>14</v>
      </c>
      <c r="F168">
        <v>5</v>
      </c>
    </row>
    <row r="169" spans="1:6" x14ac:dyDescent="0.25">
      <c r="A169">
        <v>2413</v>
      </c>
      <c r="B169" t="s">
        <v>15</v>
      </c>
      <c r="C169" t="s">
        <v>257</v>
      </c>
      <c r="D169" t="s">
        <v>9</v>
      </c>
      <c r="E169" t="s">
        <v>46</v>
      </c>
      <c r="F169">
        <v>2.5</v>
      </c>
    </row>
    <row r="170" spans="1:6" x14ac:dyDescent="0.25">
      <c r="A170">
        <v>2412</v>
      </c>
      <c r="B170" t="s">
        <v>258</v>
      </c>
      <c r="C170" t="s">
        <v>259</v>
      </c>
      <c r="D170" t="s">
        <v>13</v>
      </c>
      <c r="E170" t="s">
        <v>17</v>
      </c>
      <c r="F170">
        <v>3.25</v>
      </c>
    </row>
    <row r="171" spans="1:6" x14ac:dyDescent="0.25">
      <c r="A171">
        <v>2411</v>
      </c>
      <c r="B171" t="s">
        <v>260</v>
      </c>
      <c r="C171" t="s">
        <v>261</v>
      </c>
      <c r="D171" t="s">
        <v>13</v>
      </c>
      <c r="E171" t="s">
        <v>17</v>
      </c>
      <c r="F171">
        <v>3.75</v>
      </c>
    </row>
    <row r="172" spans="1:6" x14ac:dyDescent="0.25">
      <c r="A172">
        <v>2410</v>
      </c>
      <c r="B172" t="s">
        <v>260</v>
      </c>
      <c r="C172" t="s">
        <v>262</v>
      </c>
      <c r="D172" t="s">
        <v>13</v>
      </c>
      <c r="E172" t="s">
        <v>17</v>
      </c>
      <c r="F172">
        <v>3.75</v>
      </c>
    </row>
    <row r="173" spans="1:6" x14ac:dyDescent="0.25">
      <c r="A173">
        <v>2409</v>
      </c>
      <c r="B173" t="s">
        <v>260</v>
      </c>
      <c r="C173" t="s">
        <v>263</v>
      </c>
      <c r="D173" t="s">
        <v>13</v>
      </c>
      <c r="E173" t="s">
        <v>17</v>
      </c>
      <c r="F173">
        <v>3.5</v>
      </c>
    </row>
    <row r="174" spans="1:6" x14ac:dyDescent="0.25">
      <c r="A174">
        <v>2408</v>
      </c>
      <c r="B174" t="s">
        <v>260</v>
      </c>
      <c r="C174" t="s">
        <v>264</v>
      </c>
      <c r="D174" t="s">
        <v>13</v>
      </c>
      <c r="E174" t="s">
        <v>17</v>
      </c>
      <c r="F174">
        <v>3.75</v>
      </c>
    </row>
    <row r="175" spans="1:6" x14ac:dyDescent="0.25">
      <c r="A175">
        <v>2407</v>
      </c>
      <c r="B175" t="s">
        <v>11</v>
      </c>
      <c r="C175" t="s">
        <v>265</v>
      </c>
      <c r="D175" t="s">
        <v>13</v>
      </c>
      <c r="E175" t="s">
        <v>14</v>
      </c>
      <c r="F175">
        <v>4.5</v>
      </c>
    </row>
    <row r="176" spans="1:6" x14ac:dyDescent="0.25">
      <c r="A176">
        <v>2406</v>
      </c>
      <c r="B176" t="s">
        <v>77</v>
      </c>
      <c r="C176" t="s">
        <v>266</v>
      </c>
      <c r="D176" t="s">
        <v>13</v>
      </c>
      <c r="E176" t="s">
        <v>79</v>
      </c>
      <c r="F176">
        <v>0.25</v>
      </c>
    </row>
    <row r="177" spans="1:6" x14ac:dyDescent="0.25">
      <c r="A177">
        <v>2405</v>
      </c>
      <c r="B177" t="s">
        <v>15</v>
      </c>
      <c r="C177" t="s">
        <v>267</v>
      </c>
      <c r="D177" t="s">
        <v>9</v>
      </c>
      <c r="E177" t="s">
        <v>46</v>
      </c>
      <c r="F177">
        <v>4</v>
      </c>
    </row>
    <row r="178" spans="1:6" x14ac:dyDescent="0.25">
      <c r="A178">
        <v>2404</v>
      </c>
      <c r="B178" t="s">
        <v>67</v>
      </c>
      <c r="C178" t="s">
        <v>268</v>
      </c>
      <c r="D178" t="s">
        <v>13</v>
      </c>
      <c r="E178" t="s">
        <v>35</v>
      </c>
      <c r="F178">
        <v>5</v>
      </c>
    </row>
    <row r="179" spans="1:6" x14ac:dyDescent="0.25">
      <c r="A179">
        <v>2403</v>
      </c>
      <c r="B179" t="s">
        <v>269</v>
      </c>
      <c r="C179" t="s">
        <v>270</v>
      </c>
      <c r="D179" t="s">
        <v>44</v>
      </c>
      <c r="E179" t="s">
        <v>17</v>
      </c>
      <c r="F179">
        <v>4.75</v>
      </c>
    </row>
    <row r="180" spans="1:6" x14ac:dyDescent="0.25">
      <c r="A180">
        <v>2402</v>
      </c>
      <c r="B180" t="s">
        <v>132</v>
      </c>
      <c r="C180" t="s">
        <v>271</v>
      </c>
      <c r="D180" t="s">
        <v>13</v>
      </c>
      <c r="E180" t="s">
        <v>22</v>
      </c>
      <c r="F180">
        <v>3.75</v>
      </c>
    </row>
    <row r="181" spans="1:6" x14ac:dyDescent="0.25">
      <c r="A181">
        <v>2401</v>
      </c>
      <c r="B181" t="s">
        <v>272</v>
      </c>
      <c r="C181" t="s">
        <v>273</v>
      </c>
      <c r="D181" t="s">
        <v>44</v>
      </c>
      <c r="E181" t="s">
        <v>79</v>
      </c>
      <c r="F181">
        <v>5</v>
      </c>
    </row>
    <row r="182" spans="1:6" x14ac:dyDescent="0.25">
      <c r="A182">
        <v>2400</v>
      </c>
      <c r="B182" t="s">
        <v>15</v>
      </c>
      <c r="C182" t="s">
        <v>274</v>
      </c>
      <c r="D182" t="s">
        <v>9</v>
      </c>
      <c r="E182" t="s">
        <v>35</v>
      </c>
      <c r="F182">
        <v>5</v>
      </c>
    </row>
    <row r="183" spans="1:6" x14ac:dyDescent="0.25">
      <c r="A183">
        <v>2399</v>
      </c>
      <c r="B183" t="s">
        <v>135</v>
      </c>
      <c r="C183" t="s">
        <v>275</v>
      </c>
      <c r="D183" t="s">
        <v>13</v>
      </c>
      <c r="E183" t="s">
        <v>73</v>
      </c>
      <c r="F183">
        <v>4</v>
      </c>
    </row>
    <row r="184" spans="1:6" x14ac:dyDescent="0.25">
      <c r="A184">
        <v>2398</v>
      </c>
      <c r="B184" t="s">
        <v>276</v>
      </c>
      <c r="C184" t="s">
        <v>277</v>
      </c>
      <c r="D184" t="s">
        <v>30</v>
      </c>
      <c r="E184" t="s">
        <v>79</v>
      </c>
      <c r="F184">
        <v>1</v>
      </c>
    </row>
    <row r="185" spans="1:6" x14ac:dyDescent="0.25">
      <c r="A185">
        <v>2397</v>
      </c>
      <c r="B185" t="s">
        <v>23</v>
      </c>
      <c r="C185" t="s">
        <v>278</v>
      </c>
      <c r="D185" t="s">
        <v>44</v>
      </c>
      <c r="E185" t="s">
        <v>25</v>
      </c>
      <c r="F185">
        <v>4</v>
      </c>
    </row>
    <row r="186" spans="1:6" x14ac:dyDescent="0.25">
      <c r="A186">
        <v>2396</v>
      </c>
      <c r="B186" t="s">
        <v>132</v>
      </c>
      <c r="C186" t="s">
        <v>279</v>
      </c>
      <c r="D186" t="s">
        <v>13</v>
      </c>
      <c r="E186" t="s">
        <v>280</v>
      </c>
      <c r="F186">
        <v>3.25</v>
      </c>
    </row>
    <row r="187" spans="1:6" x14ac:dyDescent="0.25">
      <c r="A187">
        <v>2395</v>
      </c>
      <c r="B187" t="s">
        <v>218</v>
      </c>
      <c r="C187" t="s">
        <v>281</v>
      </c>
      <c r="D187" t="s">
        <v>13</v>
      </c>
      <c r="E187" t="s">
        <v>79</v>
      </c>
      <c r="F187">
        <v>4.25</v>
      </c>
    </row>
    <row r="188" spans="1:6" x14ac:dyDescent="0.25">
      <c r="A188">
        <v>2394</v>
      </c>
      <c r="B188" t="s">
        <v>15</v>
      </c>
      <c r="C188" t="s">
        <v>282</v>
      </c>
      <c r="D188" t="s">
        <v>9</v>
      </c>
      <c r="E188" t="s">
        <v>46</v>
      </c>
      <c r="F188">
        <v>3.75</v>
      </c>
    </row>
    <row r="189" spans="1:6" x14ac:dyDescent="0.25">
      <c r="A189">
        <v>2393</v>
      </c>
      <c r="B189" t="s">
        <v>31</v>
      </c>
      <c r="C189" t="s">
        <v>283</v>
      </c>
      <c r="D189" t="s">
        <v>13</v>
      </c>
      <c r="E189" t="s">
        <v>10</v>
      </c>
      <c r="F189">
        <v>3</v>
      </c>
    </row>
    <row r="190" spans="1:6" x14ac:dyDescent="0.25">
      <c r="A190">
        <v>2392</v>
      </c>
      <c r="B190" t="s">
        <v>67</v>
      </c>
      <c r="C190" t="s">
        <v>284</v>
      </c>
      <c r="D190" t="s">
        <v>44</v>
      </c>
      <c r="E190" t="s">
        <v>69</v>
      </c>
      <c r="F190">
        <v>5</v>
      </c>
    </row>
    <row r="191" spans="1:6" x14ac:dyDescent="0.25">
      <c r="A191">
        <v>2391</v>
      </c>
      <c r="B191" t="s">
        <v>74</v>
      </c>
      <c r="C191" t="s">
        <v>285</v>
      </c>
      <c r="D191" t="s">
        <v>13</v>
      </c>
      <c r="E191" t="s">
        <v>25</v>
      </c>
      <c r="F191">
        <v>5</v>
      </c>
    </row>
    <row r="192" spans="1:6" x14ac:dyDescent="0.25">
      <c r="A192">
        <v>2390</v>
      </c>
      <c r="B192" t="s">
        <v>15</v>
      </c>
      <c r="C192" t="s">
        <v>286</v>
      </c>
      <c r="D192" t="s">
        <v>9</v>
      </c>
      <c r="E192" t="s">
        <v>46</v>
      </c>
      <c r="F192">
        <v>3.75</v>
      </c>
    </row>
    <row r="193" spans="1:6" x14ac:dyDescent="0.25">
      <c r="A193">
        <v>2389</v>
      </c>
      <c r="B193" t="s">
        <v>287</v>
      </c>
      <c r="C193" t="s">
        <v>288</v>
      </c>
      <c r="D193" t="s">
        <v>9</v>
      </c>
      <c r="E193" t="s">
        <v>17</v>
      </c>
      <c r="F193">
        <v>4</v>
      </c>
    </row>
    <row r="194" spans="1:6" x14ac:dyDescent="0.25">
      <c r="A194">
        <v>2388</v>
      </c>
      <c r="B194" t="s">
        <v>289</v>
      </c>
      <c r="C194" t="s">
        <v>290</v>
      </c>
      <c r="D194" t="s">
        <v>13</v>
      </c>
      <c r="E194" t="s">
        <v>79</v>
      </c>
      <c r="F194">
        <v>4.25</v>
      </c>
    </row>
    <row r="195" spans="1:6" x14ac:dyDescent="0.25">
      <c r="A195">
        <v>2387</v>
      </c>
      <c r="B195" t="s">
        <v>15</v>
      </c>
      <c r="C195" t="s">
        <v>291</v>
      </c>
      <c r="D195" t="s">
        <v>44</v>
      </c>
      <c r="E195" t="s">
        <v>46</v>
      </c>
      <c r="F195">
        <v>3.5</v>
      </c>
    </row>
    <row r="196" spans="1:6" x14ac:dyDescent="0.25">
      <c r="A196">
        <v>2386</v>
      </c>
      <c r="B196" t="s">
        <v>132</v>
      </c>
      <c r="C196" t="s">
        <v>292</v>
      </c>
      <c r="D196" t="s">
        <v>13</v>
      </c>
      <c r="E196" t="s">
        <v>280</v>
      </c>
      <c r="F196">
        <v>4</v>
      </c>
    </row>
    <row r="197" spans="1:6" x14ac:dyDescent="0.25">
      <c r="A197">
        <v>2385</v>
      </c>
      <c r="B197" t="s">
        <v>99</v>
      </c>
      <c r="C197" t="s">
        <v>293</v>
      </c>
      <c r="D197" t="s">
        <v>44</v>
      </c>
      <c r="E197" t="s">
        <v>14</v>
      </c>
      <c r="F197">
        <v>4.75</v>
      </c>
    </row>
    <row r="198" spans="1:6" x14ac:dyDescent="0.25">
      <c r="A198">
        <v>2384</v>
      </c>
      <c r="B198" t="s">
        <v>77</v>
      </c>
      <c r="C198" t="s">
        <v>294</v>
      </c>
      <c r="D198" t="s">
        <v>13</v>
      </c>
      <c r="E198" t="s">
        <v>79</v>
      </c>
      <c r="F198">
        <v>4.25</v>
      </c>
    </row>
    <row r="199" spans="1:6" x14ac:dyDescent="0.25">
      <c r="A199">
        <v>2383</v>
      </c>
      <c r="B199" t="s">
        <v>15</v>
      </c>
      <c r="C199" t="s">
        <v>295</v>
      </c>
      <c r="D199" t="s">
        <v>9</v>
      </c>
      <c r="E199" t="s">
        <v>17</v>
      </c>
      <c r="F199">
        <v>3.5</v>
      </c>
    </row>
    <row r="200" spans="1:6" x14ac:dyDescent="0.25">
      <c r="A200">
        <v>2382</v>
      </c>
      <c r="B200" t="s">
        <v>41</v>
      </c>
      <c r="C200" t="s">
        <v>296</v>
      </c>
      <c r="D200" t="s">
        <v>9</v>
      </c>
      <c r="E200" t="s">
        <v>25</v>
      </c>
      <c r="F200">
        <v>0.5</v>
      </c>
    </row>
    <row r="201" spans="1:6" x14ac:dyDescent="0.25">
      <c r="A201">
        <v>2381</v>
      </c>
      <c r="B201" t="s">
        <v>15</v>
      </c>
      <c r="C201" t="s">
        <v>297</v>
      </c>
      <c r="D201" t="s">
        <v>9</v>
      </c>
      <c r="E201" t="s">
        <v>46</v>
      </c>
      <c r="F201">
        <v>4.75</v>
      </c>
    </row>
    <row r="202" spans="1:6" x14ac:dyDescent="0.25">
      <c r="A202">
        <v>2380</v>
      </c>
      <c r="B202" t="s">
        <v>298</v>
      </c>
      <c r="C202" t="s">
        <v>299</v>
      </c>
      <c r="D202" t="s">
        <v>13</v>
      </c>
      <c r="E202" t="s">
        <v>25</v>
      </c>
      <c r="F202">
        <v>3.75</v>
      </c>
    </row>
    <row r="203" spans="1:6" x14ac:dyDescent="0.25">
      <c r="A203">
        <v>2379</v>
      </c>
      <c r="B203" t="s">
        <v>15</v>
      </c>
      <c r="C203" t="s">
        <v>300</v>
      </c>
      <c r="D203" t="s">
        <v>9</v>
      </c>
      <c r="E203" t="s">
        <v>17</v>
      </c>
      <c r="F203">
        <v>2.5</v>
      </c>
    </row>
    <row r="204" spans="1:6" x14ac:dyDescent="0.25">
      <c r="A204">
        <v>2378</v>
      </c>
      <c r="B204" t="s">
        <v>188</v>
      </c>
      <c r="C204" t="s">
        <v>301</v>
      </c>
      <c r="D204" t="s">
        <v>13</v>
      </c>
      <c r="E204" t="s">
        <v>46</v>
      </c>
      <c r="F204">
        <v>4.5</v>
      </c>
    </row>
    <row r="205" spans="1:6" x14ac:dyDescent="0.25">
      <c r="A205">
        <v>2377</v>
      </c>
      <c r="B205" t="s">
        <v>67</v>
      </c>
      <c r="C205" t="s">
        <v>302</v>
      </c>
      <c r="D205" t="s">
        <v>84</v>
      </c>
      <c r="E205" t="s">
        <v>69</v>
      </c>
      <c r="F205">
        <v>5</v>
      </c>
    </row>
    <row r="206" spans="1:6" x14ac:dyDescent="0.25">
      <c r="A206">
        <v>2376</v>
      </c>
      <c r="B206" t="s">
        <v>15</v>
      </c>
      <c r="C206" t="s">
        <v>303</v>
      </c>
      <c r="D206" t="s">
        <v>9</v>
      </c>
      <c r="E206" t="s">
        <v>38</v>
      </c>
      <c r="F206">
        <v>3.25</v>
      </c>
    </row>
    <row r="207" spans="1:6" x14ac:dyDescent="0.25">
      <c r="A207">
        <v>2375</v>
      </c>
      <c r="B207" t="s">
        <v>99</v>
      </c>
      <c r="C207" t="s">
        <v>304</v>
      </c>
      <c r="D207" t="s">
        <v>44</v>
      </c>
      <c r="E207" t="s">
        <v>14</v>
      </c>
      <c r="F207">
        <v>5</v>
      </c>
    </row>
    <row r="208" spans="1:6" x14ac:dyDescent="0.25">
      <c r="A208">
        <v>2374</v>
      </c>
      <c r="B208" t="s">
        <v>221</v>
      </c>
      <c r="C208" t="s">
        <v>305</v>
      </c>
      <c r="D208" t="s">
        <v>13</v>
      </c>
      <c r="E208" t="s">
        <v>73</v>
      </c>
      <c r="F208">
        <v>4.5</v>
      </c>
    </row>
    <row r="209" spans="1:6" x14ac:dyDescent="0.25">
      <c r="A209">
        <v>2373</v>
      </c>
      <c r="B209" t="s">
        <v>15</v>
      </c>
      <c r="C209" t="s">
        <v>306</v>
      </c>
      <c r="D209" t="s">
        <v>13</v>
      </c>
      <c r="E209" t="s">
        <v>22</v>
      </c>
      <c r="F209">
        <v>4.5</v>
      </c>
    </row>
    <row r="210" spans="1:6" x14ac:dyDescent="0.25">
      <c r="A210">
        <v>2372</v>
      </c>
      <c r="B210" t="s">
        <v>307</v>
      </c>
      <c r="C210" t="s">
        <v>308</v>
      </c>
      <c r="D210" t="s">
        <v>44</v>
      </c>
      <c r="E210" t="s">
        <v>79</v>
      </c>
      <c r="F210">
        <v>4</v>
      </c>
    </row>
    <row r="211" spans="1:6" x14ac:dyDescent="0.25">
      <c r="A211">
        <v>2371</v>
      </c>
      <c r="B211" t="s">
        <v>309</v>
      </c>
      <c r="C211" t="s">
        <v>310</v>
      </c>
      <c r="D211" t="s">
        <v>9</v>
      </c>
      <c r="E211" t="s">
        <v>10</v>
      </c>
      <c r="F211">
        <v>3.5</v>
      </c>
    </row>
    <row r="212" spans="1:6" x14ac:dyDescent="0.25">
      <c r="A212">
        <v>2370</v>
      </c>
      <c r="B212" t="s">
        <v>23</v>
      </c>
      <c r="C212" t="s">
        <v>311</v>
      </c>
      <c r="D212" t="s">
        <v>13</v>
      </c>
      <c r="E212" t="s">
        <v>25</v>
      </c>
      <c r="F212">
        <v>4.5</v>
      </c>
    </row>
    <row r="213" spans="1:6" x14ac:dyDescent="0.25">
      <c r="A213">
        <v>2369</v>
      </c>
      <c r="B213" t="s">
        <v>23</v>
      </c>
      <c r="C213" t="s">
        <v>312</v>
      </c>
      <c r="D213" t="s">
        <v>13</v>
      </c>
      <c r="E213" t="s">
        <v>25</v>
      </c>
      <c r="F213">
        <v>4.25</v>
      </c>
    </row>
    <row r="214" spans="1:6" x14ac:dyDescent="0.25">
      <c r="A214">
        <v>2368</v>
      </c>
      <c r="B214" t="s">
        <v>23</v>
      </c>
      <c r="C214" t="s">
        <v>313</v>
      </c>
      <c r="D214" t="s">
        <v>13</v>
      </c>
      <c r="E214" t="s">
        <v>25</v>
      </c>
      <c r="F214">
        <v>3.75</v>
      </c>
    </row>
    <row r="215" spans="1:6" x14ac:dyDescent="0.25">
      <c r="A215">
        <v>2367</v>
      </c>
      <c r="B215" t="s">
        <v>23</v>
      </c>
      <c r="C215" t="s">
        <v>314</v>
      </c>
      <c r="D215" t="s">
        <v>13</v>
      </c>
      <c r="E215" t="s">
        <v>25</v>
      </c>
      <c r="F215">
        <v>4</v>
      </c>
    </row>
    <row r="216" spans="1:6" x14ac:dyDescent="0.25">
      <c r="A216">
        <v>2366</v>
      </c>
      <c r="B216" t="s">
        <v>23</v>
      </c>
      <c r="C216" t="s">
        <v>315</v>
      </c>
      <c r="D216" t="s">
        <v>13</v>
      </c>
      <c r="E216" t="s">
        <v>25</v>
      </c>
      <c r="F216">
        <v>5</v>
      </c>
    </row>
    <row r="217" spans="1:6" x14ac:dyDescent="0.25">
      <c r="A217">
        <v>2365</v>
      </c>
      <c r="B217" t="s">
        <v>23</v>
      </c>
      <c r="C217" t="s">
        <v>316</v>
      </c>
      <c r="D217" t="s">
        <v>13</v>
      </c>
      <c r="E217" t="s">
        <v>25</v>
      </c>
      <c r="F217">
        <v>5</v>
      </c>
    </row>
    <row r="218" spans="1:6" x14ac:dyDescent="0.25">
      <c r="A218">
        <v>2364</v>
      </c>
      <c r="B218" t="s">
        <v>23</v>
      </c>
      <c r="C218" t="s">
        <v>317</v>
      </c>
      <c r="D218" t="s">
        <v>13</v>
      </c>
      <c r="E218" t="s">
        <v>25</v>
      </c>
      <c r="F218">
        <v>4</v>
      </c>
    </row>
    <row r="219" spans="1:6" x14ac:dyDescent="0.25">
      <c r="A219">
        <v>2363</v>
      </c>
      <c r="B219" t="s">
        <v>23</v>
      </c>
      <c r="C219" t="s">
        <v>318</v>
      </c>
      <c r="D219" t="s">
        <v>13</v>
      </c>
      <c r="E219" t="s">
        <v>25</v>
      </c>
      <c r="F219">
        <v>4</v>
      </c>
    </row>
    <row r="220" spans="1:6" x14ac:dyDescent="0.25">
      <c r="A220">
        <v>2362</v>
      </c>
      <c r="B220" t="s">
        <v>319</v>
      </c>
      <c r="C220" t="s">
        <v>320</v>
      </c>
      <c r="D220" t="s">
        <v>44</v>
      </c>
      <c r="E220" t="s">
        <v>79</v>
      </c>
      <c r="F220">
        <v>4</v>
      </c>
    </row>
    <row r="221" spans="1:6" x14ac:dyDescent="0.25">
      <c r="A221">
        <v>2361</v>
      </c>
      <c r="B221" t="s">
        <v>15</v>
      </c>
      <c r="C221" t="s">
        <v>321</v>
      </c>
      <c r="D221" t="s">
        <v>44</v>
      </c>
      <c r="E221" t="s">
        <v>46</v>
      </c>
      <c r="F221">
        <v>5</v>
      </c>
    </row>
    <row r="222" spans="1:6" x14ac:dyDescent="0.25">
      <c r="A222">
        <v>2360</v>
      </c>
      <c r="B222" t="s">
        <v>322</v>
      </c>
      <c r="C222" t="s">
        <v>323</v>
      </c>
      <c r="D222" t="s">
        <v>13</v>
      </c>
      <c r="E222" t="s">
        <v>22</v>
      </c>
      <c r="F222">
        <v>2</v>
      </c>
    </row>
    <row r="223" spans="1:6" x14ac:dyDescent="0.25">
      <c r="A223">
        <v>2359</v>
      </c>
      <c r="B223" t="s">
        <v>309</v>
      </c>
      <c r="C223" t="s">
        <v>324</v>
      </c>
      <c r="D223" t="s">
        <v>9</v>
      </c>
      <c r="E223" t="s">
        <v>10</v>
      </c>
      <c r="F223">
        <v>2</v>
      </c>
    </row>
    <row r="224" spans="1:6" x14ac:dyDescent="0.25">
      <c r="A224">
        <v>2358</v>
      </c>
      <c r="B224" t="s">
        <v>272</v>
      </c>
      <c r="C224" t="s">
        <v>325</v>
      </c>
      <c r="D224" t="s">
        <v>44</v>
      </c>
      <c r="E224" t="s">
        <v>79</v>
      </c>
      <c r="F224">
        <v>4</v>
      </c>
    </row>
    <row r="225" spans="1:6" x14ac:dyDescent="0.25">
      <c r="A225">
        <v>2357</v>
      </c>
      <c r="B225" t="s">
        <v>326</v>
      </c>
      <c r="C225" t="s">
        <v>327</v>
      </c>
      <c r="D225" t="s">
        <v>44</v>
      </c>
      <c r="E225" t="s">
        <v>46</v>
      </c>
      <c r="F225">
        <v>5</v>
      </c>
    </row>
    <row r="226" spans="1:6" x14ac:dyDescent="0.25">
      <c r="A226">
        <v>2356</v>
      </c>
      <c r="B226" t="s">
        <v>41</v>
      </c>
      <c r="C226" t="s">
        <v>328</v>
      </c>
      <c r="D226" t="s">
        <v>9</v>
      </c>
      <c r="E226" t="s">
        <v>25</v>
      </c>
      <c r="F226">
        <v>4</v>
      </c>
    </row>
    <row r="227" spans="1:6" x14ac:dyDescent="0.25">
      <c r="A227">
        <v>2355</v>
      </c>
      <c r="B227" t="s">
        <v>329</v>
      </c>
      <c r="C227" t="s">
        <v>330</v>
      </c>
      <c r="D227" t="s">
        <v>13</v>
      </c>
      <c r="E227" t="s">
        <v>10</v>
      </c>
      <c r="F227">
        <v>4</v>
      </c>
    </row>
    <row r="228" spans="1:6" x14ac:dyDescent="0.25">
      <c r="A228">
        <v>2354</v>
      </c>
      <c r="B228" t="s">
        <v>331</v>
      </c>
      <c r="C228" t="s">
        <v>332</v>
      </c>
      <c r="D228" t="s">
        <v>44</v>
      </c>
      <c r="E228" t="s">
        <v>53</v>
      </c>
      <c r="F228">
        <v>5</v>
      </c>
    </row>
    <row r="229" spans="1:6" x14ac:dyDescent="0.25">
      <c r="A229">
        <v>2353</v>
      </c>
      <c r="B229" t="s">
        <v>15</v>
      </c>
      <c r="C229" t="s">
        <v>333</v>
      </c>
      <c r="D229" t="s">
        <v>9</v>
      </c>
      <c r="E229" t="s">
        <v>10</v>
      </c>
      <c r="F229">
        <v>4</v>
      </c>
    </row>
    <row r="230" spans="1:6" x14ac:dyDescent="0.25">
      <c r="A230">
        <v>2352</v>
      </c>
      <c r="B230" t="s">
        <v>99</v>
      </c>
      <c r="C230" t="s">
        <v>334</v>
      </c>
      <c r="D230" t="s">
        <v>13</v>
      </c>
      <c r="E230" t="s">
        <v>14</v>
      </c>
      <c r="F230">
        <v>1</v>
      </c>
    </row>
    <row r="231" spans="1:6" x14ac:dyDescent="0.25">
      <c r="A231">
        <v>2351</v>
      </c>
      <c r="B231" t="s">
        <v>335</v>
      </c>
      <c r="C231" t="s">
        <v>336</v>
      </c>
      <c r="D231" t="s">
        <v>13</v>
      </c>
      <c r="E231" t="s">
        <v>22</v>
      </c>
      <c r="F231">
        <v>4</v>
      </c>
    </row>
    <row r="232" spans="1:6" x14ac:dyDescent="0.25">
      <c r="A232">
        <v>2350</v>
      </c>
      <c r="B232" t="s">
        <v>15</v>
      </c>
      <c r="C232" t="s">
        <v>337</v>
      </c>
      <c r="D232" t="s">
        <v>9</v>
      </c>
      <c r="E232" t="s">
        <v>46</v>
      </c>
      <c r="F232">
        <v>4</v>
      </c>
    </row>
    <row r="233" spans="1:6" x14ac:dyDescent="0.25">
      <c r="A233">
        <v>2349</v>
      </c>
      <c r="B233" t="s">
        <v>338</v>
      </c>
      <c r="C233" t="s">
        <v>339</v>
      </c>
      <c r="D233" t="s">
        <v>9</v>
      </c>
      <c r="E233" t="s">
        <v>340</v>
      </c>
      <c r="F233">
        <v>3</v>
      </c>
    </row>
    <row r="234" spans="1:6" x14ac:dyDescent="0.25">
      <c r="A234">
        <v>2348</v>
      </c>
      <c r="B234" t="s">
        <v>31</v>
      </c>
      <c r="C234" t="s">
        <v>341</v>
      </c>
      <c r="D234" t="s">
        <v>13</v>
      </c>
      <c r="E234" t="s">
        <v>10</v>
      </c>
      <c r="F234">
        <v>3</v>
      </c>
    </row>
    <row r="235" spans="1:6" x14ac:dyDescent="0.25">
      <c r="A235">
        <v>2347</v>
      </c>
      <c r="B235" t="s">
        <v>15</v>
      </c>
      <c r="C235" t="s">
        <v>342</v>
      </c>
      <c r="D235" t="s">
        <v>44</v>
      </c>
      <c r="E235" t="s">
        <v>46</v>
      </c>
      <c r="F235">
        <v>3</v>
      </c>
    </row>
    <row r="236" spans="1:6" x14ac:dyDescent="0.25">
      <c r="A236">
        <v>2346</v>
      </c>
      <c r="B236" t="s">
        <v>343</v>
      </c>
      <c r="C236" t="s">
        <v>344</v>
      </c>
      <c r="D236" t="s">
        <v>13</v>
      </c>
      <c r="E236" t="s">
        <v>345</v>
      </c>
      <c r="F236">
        <v>1</v>
      </c>
    </row>
    <row r="237" spans="1:6" x14ac:dyDescent="0.25">
      <c r="A237">
        <v>2345</v>
      </c>
      <c r="B237" t="s">
        <v>346</v>
      </c>
      <c r="C237" t="s">
        <v>347</v>
      </c>
      <c r="D237" t="s">
        <v>13</v>
      </c>
      <c r="E237" t="s">
        <v>25</v>
      </c>
      <c r="F237">
        <v>5</v>
      </c>
    </row>
    <row r="238" spans="1:6" x14ac:dyDescent="0.25">
      <c r="A238">
        <v>2344</v>
      </c>
      <c r="B238" t="s">
        <v>15</v>
      </c>
      <c r="C238" t="s">
        <v>348</v>
      </c>
      <c r="D238" t="s">
        <v>9</v>
      </c>
      <c r="E238" t="s">
        <v>216</v>
      </c>
      <c r="F238">
        <v>4</v>
      </c>
    </row>
    <row r="239" spans="1:6" x14ac:dyDescent="0.25">
      <c r="A239">
        <v>2343</v>
      </c>
      <c r="B239" t="s">
        <v>15</v>
      </c>
      <c r="C239" t="s">
        <v>349</v>
      </c>
      <c r="D239" t="s">
        <v>9</v>
      </c>
      <c r="E239" t="s">
        <v>216</v>
      </c>
      <c r="F239">
        <v>4</v>
      </c>
    </row>
    <row r="240" spans="1:6" x14ac:dyDescent="0.25">
      <c r="A240">
        <v>2342</v>
      </c>
      <c r="B240" t="s">
        <v>15</v>
      </c>
      <c r="C240" t="s">
        <v>350</v>
      </c>
      <c r="D240" t="s">
        <v>13</v>
      </c>
      <c r="E240" t="s">
        <v>216</v>
      </c>
      <c r="F240">
        <v>4</v>
      </c>
    </row>
    <row r="241" spans="1:6" x14ac:dyDescent="0.25">
      <c r="A241">
        <v>2341</v>
      </c>
      <c r="B241" t="s">
        <v>15</v>
      </c>
      <c r="C241" t="s">
        <v>351</v>
      </c>
      <c r="D241" t="s">
        <v>9</v>
      </c>
      <c r="E241" t="s">
        <v>216</v>
      </c>
      <c r="F241">
        <v>4</v>
      </c>
    </row>
    <row r="242" spans="1:6" x14ac:dyDescent="0.25">
      <c r="A242">
        <v>2340</v>
      </c>
      <c r="B242" t="s">
        <v>15</v>
      </c>
      <c r="C242" t="s">
        <v>352</v>
      </c>
      <c r="D242" t="s">
        <v>9</v>
      </c>
      <c r="E242" t="s">
        <v>216</v>
      </c>
      <c r="F242">
        <v>4</v>
      </c>
    </row>
    <row r="243" spans="1:6" x14ac:dyDescent="0.25">
      <c r="A243">
        <v>2339</v>
      </c>
      <c r="B243" t="s">
        <v>15</v>
      </c>
      <c r="C243" t="s">
        <v>353</v>
      </c>
      <c r="D243" t="s">
        <v>9</v>
      </c>
      <c r="E243" t="s">
        <v>216</v>
      </c>
      <c r="F243">
        <v>3</v>
      </c>
    </row>
    <row r="244" spans="1:6" x14ac:dyDescent="0.25">
      <c r="A244">
        <v>2338</v>
      </c>
      <c r="B244" t="s">
        <v>15</v>
      </c>
      <c r="C244" t="s">
        <v>354</v>
      </c>
      <c r="D244" t="s">
        <v>13</v>
      </c>
      <c r="E244" t="s">
        <v>216</v>
      </c>
      <c r="F244">
        <v>4</v>
      </c>
    </row>
    <row r="245" spans="1:6" x14ac:dyDescent="0.25">
      <c r="A245">
        <v>2337</v>
      </c>
      <c r="B245" t="s">
        <v>15</v>
      </c>
      <c r="C245" t="s">
        <v>355</v>
      </c>
      <c r="D245" t="s">
        <v>9</v>
      </c>
      <c r="E245" t="s">
        <v>216</v>
      </c>
      <c r="F245">
        <v>3</v>
      </c>
    </row>
    <row r="246" spans="1:6" x14ac:dyDescent="0.25">
      <c r="A246">
        <v>2336</v>
      </c>
      <c r="B246" t="s">
        <v>15</v>
      </c>
      <c r="C246" t="s">
        <v>356</v>
      </c>
      <c r="D246" t="s">
        <v>9</v>
      </c>
      <c r="E246" t="s">
        <v>216</v>
      </c>
      <c r="F246">
        <v>3</v>
      </c>
    </row>
    <row r="247" spans="1:6" x14ac:dyDescent="0.25">
      <c r="A247">
        <v>2335</v>
      </c>
      <c r="B247" t="s">
        <v>15</v>
      </c>
      <c r="C247" t="s">
        <v>357</v>
      </c>
      <c r="D247" t="s">
        <v>9</v>
      </c>
      <c r="E247" t="s">
        <v>216</v>
      </c>
      <c r="F247">
        <v>5</v>
      </c>
    </row>
    <row r="248" spans="1:6" x14ac:dyDescent="0.25">
      <c r="A248">
        <v>2334</v>
      </c>
      <c r="B248" t="s">
        <v>15</v>
      </c>
      <c r="C248" t="s">
        <v>358</v>
      </c>
      <c r="D248" t="s">
        <v>9</v>
      </c>
      <c r="E248" t="s">
        <v>216</v>
      </c>
      <c r="F248">
        <v>4</v>
      </c>
    </row>
    <row r="249" spans="1:6" x14ac:dyDescent="0.25">
      <c r="A249">
        <v>2333</v>
      </c>
      <c r="B249" t="s">
        <v>15</v>
      </c>
      <c r="C249" t="s">
        <v>359</v>
      </c>
      <c r="D249" t="s">
        <v>9</v>
      </c>
      <c r="E249" t="s">
        <v>216</v>
      </c>
      <c r="F249">
        <v>4</v>
      </c>
    </row>
    <row r="250" spans="1:6" x14ac:dyDescent="0.25">
      <c r="A250">
        <v>2332</v>
      </c>
      <c r="B250" t="s">
        <v>15</v>
      </c>
      <c r="C250" t="s">
        <v>360</v>
      </c>
      <c r="D250" t="s">
        <v>13</v>
      </c>
      <c r="E250" t="s">
        <v>216</v>
      </c>
      <c r="F250">
        <v>4</v>
      </c>
    </row>
    <row r="251" spans="1:6" x14ac:dyDescent="0.25">
      <c r="A251">
        <v>2331</v>
      </c>
      <c r="B251" t="s">
        <v>15</v>
      </c>
      <c r="C251" t="s">
        <v>361</v>
      </c>
      <c r="D251" t="s">
        <v>9</v>
      </c>
      <c r="E251" t="s">
        <v>216</v>
      </c>
      <c r="F251">
        <v>4</v>
      </c>
    </row>
    <row r="252" spans="1:6" x14ac:dyDescent="0.25">
      <c r="A252">
        <v>2330</v>
      </c>
      <c r="B252" t="s">
        <v>243</v>
      </c>
      <c r="C252" t="s">
        <v>362</v>
      </c>
      <c r="D252" t="s">
        <v>13</v>
      </c>
      <c r="E252" t="s">
        <v>14</v>
      </c>
      <c r="F252">
        <v>4</v>
      </c>
    </row>
    <row r="253" spans="1:6" x14ac:dyDescent="0.25">
      <c r="A253">
        <v>2329</v>
      </c>
      <c r="B253" t="s">
        <v>363</v>
      </c>
      <c r="C253" t="s">
        <v>364</v>
      </c>
      <c r="D253" t="s">
        <v>13</v>
      </c>
      <c r="E253" t="s">
        <v>22</v>
      </c>
      <c r="F253">
        <v>5</v>
      </c>
    </row>
    <row r="254" spans="1:6" x14ac:dyDescent="0.25">
      <c r="A254">
        <v>2328</v>
      </c>
      <c r="B254" t="s">
        <v>365</v>
      </c>
      <c r="C254" t="s">
        <v>366</v>
      </c>
      <c r="D254" t="s">
        <v>13</v>
      </c>
      <c r="E254" t="s">
        <v>79</v>
      </c>
      <c r="F254">
        <v>3</v>
      </c>
    </row>
    <row r="255" spans="1:6" x14ac:dyDescent="0.25">
      <c r="A255">
        <v>2327</v>
      </c>
      <c r="B255" t="s">
        <v>15</v>
      </c>
      <c r="C255" t="s">
        <v>367</v>
      </c>
      <c r="D255" t="s">
        <v>9</v>
      </c>
      <c r="E255" t="s">
        <v>17</v>
      </c>
      <c r="F255">
        <v>4</v>
      </c>
    </row>
    <row r="256" spans="1:6" x14ac:dyDescent="0.25">
      <c r="A256">
        <v>2326</v>
      </c>
      <c r="B256" t="s">
        <v>15</v>
      </c>
      <c r="C256" t="s">
        <v>368</v>
      </c>
      <c r="D256" t="s">
        <v>9</v>
      </c>
      <c r="E256" t="s">
        <v>46</v>
      </c>
      <c r="F256">
        <v>4</v>
      </c>
    </row>
    <row r="257" spans="1:6" x14ac:dyDescent="0.25">
      <c r="A257">
        <v>2325</v>
      </c>
      <c r="B257" t="s">
        <v>369</v>
      </c>
      <c r="C257" t="s">
        <v>370</v>
      </c>
      <c r="D257" t="s">
        <v>13</v>
      </c>
      <c r="E257" t="s">
        <v>371</v>
      </c>
      <c r="F257">
        <v>4</v>
      </c>
    </row>
    <row r="258" spans="1:6" x14ac:dyDescent="0.25">
      <c r="A258">
        <v>2324</v>
      </c>
      <c r="B258" t="s">
        <v>54</v>
      </c>
      <c r="C258" t="s">
        <v>372</v>
      </c>
      <c r="D258" t="s">
        <v>13</v>
      </c>
      <c r="E258" t="s">
        <v>25</v>
      </c>
      <c r="F258">
        <v>5</v>
      </c>
    </row>
    <row r="259" spans="1:6" x14ac:dyDescent="0.25">
      <c r="A259">
        <v>2323</v>
      </c>
      <c r="B259" t="s">
        <v>123</v>
      </c>
      <c r="C259" t="s">
        <v>373</v>
      </c>
      <c r="D259" t="s">
        <v>13</v>
      </c>
      <c r="E259" t="s">
        <v>10</v>
      </c>
      <c r="F259">
        <v>5</v>
      </c>
    </row>
    <row r="260" spans="1:6" x14ac:dyDescent="0.25">
      <c r="A260">
        <v>2322</v>
      </c>
      <c r="B260" t="s">
        <v>374</v>
      </c>
      <c r="C260" t="s">
        <v>375</v>
      </c>
      <c r="D260" t="s">
        <v>44</v>
      </c>
      <c r="E260" t="s">
        <v>10</v>
      </c>
      <c r="F260">
        <v>3</v>
      </c>
    </row>
    <row r="261" spans="1:6" x14ac:dyDescent="0.25">
      <c r="A261">
        <v>2321</v>
      </c>
      <c r="B261" t="s">
        <v>188</v>
      </c>
      <c r="C261" t="s">
        <v>376</v>
      </c>
      <c r="D261" t="s">
        <v>44</v>
      </c>
      <c r="E261" t="s">
        <v>46</v>
      </c>
      <c r="F261">
        <v>5</v>
      </c>
    </row>
    <row r="262" spans="1:6" x14ac:dyDescent="0.25">
      <c r="A262">
        <v>2320</v>
      </c>
      <c r="B262" t="s">
        <v>15</v>
      </c>
      <c r="C262" t="s">
        <v>377</v>
      </c>
      <c r="D262" t="s">
        <v>9</v>
      </c>
      <c r="E262" t="s">
        <v>10</v>
      </c>
      <c r="F262">
        <v>4</v>
      </c>
    </row>
    <row r="263" spans="1:6" x14ac:dyDescent="0.25">
      <c r="A263">
        <v>2319</v>
      </c>
      <c r="B263" t="s">
        <v>41</v>
      </c>
      <c r="C263" t="s">
        <v>378</v>
      </c>
      <c r="D263" t="s">
        <v>44</v>
      </c>
      <c r="E263" t="s">
        <v>25</v>
      </c>
      <c r="F263">
        <v>3.5</v>
      </c>
    </row>
    <row r="264" spans="1:6" x14ac:dyDescent="0.25">
      <c r="A264">
        <v>2318</v>
      </c>
      <c r="B264" t="s">
        <v>143</v>
      </c>
      <c r="C264" t="s">
        <v>379</v>
      </c>
      <c r="D264" t="s">
        <v>13</v>
      </c>
      <c r="E264" t="s">
        <v>14</v>
      </c>
      <c r="F264">
        <v>5</v>
      </c>
    </row>
    <row r="265" spans="1:6" x14ac:dyDescent="0.25">
      <c r="A265">
        <v>2317</v>
      </c>
      <c r="B265" t="s">
        <v>380</v>
      </c>
      <c r="C265" t="s">
        <v>381</v>
      </c>
      <c r="D265" t="s">
        <v>44</v>
      </c>
      <c r="E265" t="s">
        <v>38</v>
      </c>
      <c r="F265">
        <v>4</v>
      </c>
    </row>
    <row r="266" spans="1:6" x14ac:dyDescent="0.25">
      <c r="A266">
        <v>2316</v>
      </c>
      <c r="B266" t="s">
        <v>15</v>
      </c>
      <c r="C266" t="s">
        <v>382</v>
      </c>
      <c r="D266" t="s">
        <v>9</v>
      </c>
      <c r="E266" t="s">
        <v>10</v>
      </c>
      <c r="F266">
        <v>5</v>
      </c>
    </row>
    <row r="267" spans="1:6" x14ac:dyDescent="0.25">
      <c r="A267">
        <v>2315</v>
      </c>
      <c r="B267" t="s">
        <v>269</v>
      </c>
      <c r="C267" t="s">
        <v>383</v>
      </c>
      <c r="D267" t="s">
        <v>44</v>
      </c>
      <c r="E267" t="s">
        <v>17</v>
      </c>
      <c r="F267">
        <v>3</v>
      </c>
    </row>
    <row r="268" spans="1:6" x14ac:dyDescent="0.25">
      <c r="A268">
        <v>2314</v>
      </c>
      <c r="B268" t="s">
        <v>15</v>
      </c>
      <c r="C268" t="s">
        <v>384</v>
      </c>
      <c r="D268" t="s">
        <v>9</v>
      </c>
      <c r="E268" t="s">
        <v>46</v>
      </c>
      <c r="F268">
        <v>4</v>
      </c>
    </row>
    <row r="269" spans="1:6" x14ac:dyDescent="0.25">
      <c r="A269">
        <v>2313</v>
      </c>
      <c r="B269" t="s">
        <v>385</v>
      </c>
      <c r="C269" t="s">
        <v>386</v>
      </c>
      <c r="D269" t="s">
        <v>13</v>
      </c>
      <c r="E269" t="s">
        <v>14</v>
      </c>
      <c r="F269">
        <v>3.5</v>
      </c>
    </row>
    <row r="270" spans="1:6" x14ac:dyDescent="0.25">
      <c r="A270">
        <v>2312</v>
      </c>
      <c r="B270" t="s">
        <v>385</v>
      </c>
      <c r="C270" t="s">
        <v>387</v>
      </c>
      <c r="D270" t="s">
        <v>13</v>
      </c>
      <c r="E270" t="s">
        <v>14</v>
      </c>
      <c r="F270">
        <v>5</v>
      </c>
    </row>
    <row r="271" spans="1:6" x14ac:dyDescent="0.25">
      <c r="A271">
        <v>2311</v>
      </c>
      <c r="B271" t="s">
        <v>385</v>
      </c>
      <c r="C271" t="s">
        <v>388</v>
      </c>
      <c r="D271" t="s">
        <v>13</v>
      </c>
      <c r="E271" t="s">
        <v>14</v>
      </c>
      <c r="F271">
        <v>3.8</v>
      </c>
    </row>
    <row r="272" spans="1:6" x14ac:dyDescent="0.25">
      <c r="A272">
        <v>2310</v>
      </c>
      <c r="B272" t="s">
        <v>369</v>
      </c>
      <c r="C272" t="s">
        <v>389</v>
      </c>
      <c r="D272" t="s">
        <v>13</v>
      </c>
      <c r="E272" t="s">
        <v>371</v>
      </c>
      <c r="F272">
        <v>4</v>
      </c>
    </row>
    <row r="273" spans="1:6" x14ac:dyDescent="0.25">
      <c r="A273">
        <v>2309</v>
      </c>
      <c r="B273" t="s">
        <v>15</v>
      </c>
      <c r="C273" t="s">
        <v>390</v>
      </c>
      <c r="D273" t="s">
        <v>9</v>
      </c>
      <c r="E273" t="s">
        <v>46</v>
      </c>
      <c r="F273">
        <v>4</v>
      </c>
    </row>
    <row r="274" spans="1:6" x14ac:dyDescent="0.25">
      <c r="A274">
        <v>2308</v>
      </c>
      <c r="B274" t="s">
        <v>338</v>
      </c>
      <c r="C274" t="s">
        <v>391</v>
      </c>
      <c r="D274" t="s">
        <v>9</v>
      </c>
      <c r="E274" t="s">
        <v>340</v>
      </c>
      <c r="F274">
        <v>4</v>
      </c>
    </row>
    <row r="275" spans="1:6" x14ac:dyDescent="0.25">
      <c r="A275">
        <v>2307</v>
      </c>
      <c r="B275" t="s">
        <v>74</v>
      </c>
      <c r="C275" t="s">
        <v>392</v>
      </c>
      <c r="D275" t="s">
        <v>13</v>
      </c>
      <c r="E275" t="s">
        <v>216</v>
      </c>
      <c r="F275">
        <v>4</v>
      </c>
    </row>
    <row r="276" spans="1:6" x14ac:dyDescent="0.25">
      <c r="A276">
        <v>2306</v>
      </c>
      <c r="B276" t="s">
        <v>15</v>
      </c>
      <c r="C276" t="s">
        <v>393</v>
      </c>
      <c r="D276" t="s">
        <v>9</v>
      </c>
      <c r="E276" t="s">
        <v>46</v>
      </c>
      <c r="F276">
        <v>4</v>
      </c>
    </row>
    <row r="277" spans="1:6" x14ac:dyDescent="0.25">
      <c r="A277">
        <v>2305</v>
      </c>
      <c r="B277" t="s">
        <v>237</v>
      </c>
      <c r="C277" t="s">
        <v>394</v>
      </c>
      <c r="D277" t="s">
        <v>13</v>
      </c>
      <c r="E277" t="s">
        <v>10</v>
      </c>
      <c r="F277">
        <v>4</v>
      </c>
    </row>
    <row r="278" spans="1:6" x14ac:dyDescent="0.25">
      <c r="A278">
        <v>2304</v>
      </c>
      <c r="B278" t="s">
        <v>132</v>
      </c>
      <c r="C278" t="s">
        <v>395</v>
      </c>
      <c r="D278" t="s">
        <v>13</v>
      </c>
      <c r="E278" t="s">
        <v>22</v>
      </c>
      <c r="F278">
        <v>5</v>
      </c>
    </row>
    <row r="279" spans="1:6" x14ac:dyDescent="0.25">
      <c r="A279">
        <v>2303</v>
      </c>
      <c r="B279" t="s">
        <v>102</v>
      </c>
      <c r="C279" t="s">
        <v>396</v>
      </c>
      <c r="D279" t="s">
        <v>13</v>
      </c>
      <c r="E279" t="s">
        <v>216</v>
      </c>
      <c r="F279">
        <v>3</v>
      </c>
    </row>
    <row r="280" spans="1:6" x14ac:dyDescent="0.25">
      <c r="A280">
        <v>2302</v>
      </c>
      <c r="B280" t="s">
        <v>15</v>
      </c>
      <c r="C280" t="s">
        <v>397</v>
      </c>
      <c r="D280" t="s">
        <v>30</v>
      </c>
      <c r="E280" t="s">
        <v>10</v>
      </c>
      <c r="F280">
        <v>5</v>
      </c>
    </row>
    <row r="281" spans="1:6" x14ac:dyDescent="0.25">
      <c r="A281">
        <v>2301</v>
      </c>
      <c r="B281" t="s">
        <v>398</v>
      </c>
      <c r="C281" t="s">
        <v>399</v>
      </c>
      <c r="D281" t="s">
        <v>9</v>
      </c>
      <c r="E281" t="s">
        <v>340</v>
      </c>
      <c r="F281">
        <v>3</v>
      </c>
    </row>
    <row r="282" spans="1:6" x14ac:dyDescent="0.25">
      <c r="A282">
        <v>2300</v>
      </c>
      <c r="B282" t="s">
        <v>15</v>
      </c>
      <c r="C282" t="s">
        <v>400</v>
      </c>
      <c r="D282" t="s">
        <v>13</v>
      </c>
      <c r="E282" t="s">
        <v>46</v>
      </c>
      <c r="F282">
        <v>4</v>
      </c>
    </row>
    <row r="283" spans="1:6" x14ac:dyDescent="0.25">
      <c r="A283">
        <v>2299</v>
      </c>
      <c r="B283" t="s">
        <v>401</v>
      </c>
      <c r="C283" t="s">
        <v>402</v>
      </c>
      <c r="D283" t="s">
        <v>13</v>
      </c>
      <c r="E283" t="s">
        <v>69</v>
      </c>
      <c r="F283">
        <v>3</v>
      </c>
    </row>
    <row r="284" spans="1:6" x14ac:dyDescent="0.25">
      <c r="A284">
        <v>2298</v>
      </c>
      <c r="B284" t="s">
        <v>15</v>
      </c>
      <c r="C284" t="s">
        <v>403</v>
      </c>
      <c r="D284" t="s">
        <v>9</v>
      </c>
      <c r="E284" t="s">
        <v>17</v>
      </c>
      <c r="F284">
        <v>4</v>
      </c>
    </row>
    <row r="285" spans="1:6" x14ac:dyDescent="0.25">
      <c r="A285">
        <v>2297</v>
      </c>
      <c r="B285" t="s">
        <v>319</v>
      </c>
      <c r="C285" t="s">
        <v>404</v>
      </c>
      <c r="D285" t="s">
        <v>44</v>
      </c>
      <c r="E285" t="s">
        <v>79</v>
      </c>
      <c r="F285">
        <v>3</v>
      </c>
    </row>
    <row r="286" spans="1:6" x14ac:dyDescent="0.25">
      <c r="A286">
        <v>2296</v>
      </c>
      <c r="B286" t="s">
        <v>398</v>
      </c>
      <c r="C286" t="s">
        <v>405</v>
      </c>
      <c r="D286" t="s">
        <v>9</v>
      </c>
      <c r="E286" t="s">
        <v>340</v>
      </c>
      <c r="F286">
        <v>3</v>
      </c>
    </row>
    <row r="287" spans="1:6" x14ac:dyDescent="0.25">
      <c r="A287">
        <v>2295</v>
      </c>
      <c r="B287" t="s">
        <v>15</v>
      </c>
      <c r="C287" t="s">
        <v>406</v>
      </c>
      <c r="D287" t="s">
        <v>9</v>
      </c>
      <c r="E287" t="s">
        <v>79</v>
      </c>
      <c r="F287">
        <v>4</v>
      </c>
    </row>
    <row r="288" spans="1:6" x14ac:dyDescent="0.25">
      <c r="A288">
        <v>2294</v>
      </c>
      <c r="B288" t="s">
        <v>374</v>
      </c>
      <c r="C288" t="s">
        <v>407</v>
      </c>
      <c r="D288" t="s">
        <v>44</v>
      </c>
      <c r="E288" t="s">
        <v>10</v>
      </c>
      <c r="F288">
        <v>4</v>
      </c>
    </row>
    <row r="289" spans="1:6" x14ac:dyDescent="0.25">
      <c r="A289">
        <v>2293</v>
      </c>
      <c r="B289" t="s">
        <v>15</v>
      </c>
      <c r="C289" t="s">
        <v>408</v>
      </c>
      <c r="D289" t="s">
        <v>13</v>
      </c>
      <c r="E289" t="s">
        <v>46</v>
      </c>
      <c r="F289">
        <v>5</v>
      </c>
    </row>
    <row r="290" spans="1:6" x14ac:dyDescent="0.25">
      <c r="A290">
        <v>2292</v>
      </c>
      <c r="B290" t="s">
        <v>272</v>
      </c>
      <c r="C290" t="s">
        <v>409</v>
      </c>
      <c r="D290" t="s">
        <v>13</v>
      </c>
      <c r="E290" t="s">
        <v>79</v>
      </c>
      <c r="F290">
        <v>5</v>
      </c>
    </row>
    <row r="291" spans="1:6" x14ac:dyDescent="0.25">
      <c r="A291">
        <v>2291</v>
      </c>
      <c r="B291" t="s">
        <v>23</v>
      </c>
      <c r="C291" t="s">
        <v>410</v>
      </c>
      <c r="D291" t="s">
        <v>13</v>
      </c>
      <c r="E291" t="s">
        <v>25</v>
      </c>
      <c r="F291">
        <v>4</v>
      </c>
    </row>
    <row r="292" spans="1:6" x14ac:dyDescent="0.25">
      <c r="A292">
        <v>2290</v>
      </c>
      <c r="B292" t="s">
        <v>15</v>
      </c>
      <c r="C292" t="s">
        <v>411</v>
      </c>
      <c r="D292" t="s">
        <v>13</v>
      </c>
      <c r="E292" t="s">
        <v>46</v>
      </c>
      <c r="F292">
        <v>5</v>
      </c>
    </row>
    <row r="293" spans="1:6" x14ac:dyDescent="0.25">
      <c r="A293">
        <v>2289</v>
      </c>
      <c r="B293" t="s">
        <v>183</v>
      </c>
      <c r="C293" t="s">
        <v>412</v>
      </c>
      <c r="D293" t="s">
        <v>44</v>
      </c>
      <c r="E293" t="s">
        <v>10</v>
      </c>
      <c r="F293">
        <v>4</v>
      </c>
    </row>
    <row r="294" spans="1:6" x14ac:dyDescent="0.25">
      <c r="A294">
        <v>2288</v>
      </c>
      <c r="B294" t="s">
        <v>15</v>
      </c>
      <c r="C294" t="s">
        <v>413</v>
      </c>
      <c r="D294" t="s">
        <v>9</v>
      </c>
      <c r="E294" t="s">
        <v>46</v>
      </c>
      <c r="F294">
        <v>4</v>
      </c>
    </row>
    <row r="295" spans="1:6" x14ac:dyDescent="0.25">
      <c r="A295">
        <v>2287</v>
      </c>
      <c r="B295" t="s">
        <v>218</v>
      </c>
      <c r="C295" t="s">
        <v>414</v>
      </c>
      <c r="D295" t="s">
        <v>13</v>
      </c>
      <c r="E295" t="s">
        <v>79</v>
      </c>
      <c r="F295">
        <v>0</v>
      </c>
    </row>
    <row r="296" spans="1:6" x14ac:dyDescent="0.25">
      <c r="A296">
        <v>2286</v>
      </c>
      <c r="B296" t="s">
        <v>326</v>
      </c>
      <c r="C296" t="s">
        <v>415</v>
      </c>
      <c r="D296" t="s">
        <v>44</v>
      </c>
      <c r="E296" t="s">
        <v>46</v>
      </c>
      <c r="F296">
        <v>4</v>
      </c>
    </row>
    <row r="297" spans="1:6" x14ac:dyDescent="0.25">
      <c r="A297">
        <v>2285</v>
      </c>
      <c r="B297" t="s">
        <v>338</v>
      </c>
      <c r="C297" t="s">
        <v>416</v>
      </c>
      <c r="D297" t="s">
        <v>9</v>
      </c>
      <c r="E297" t="s">
        <v>340</v>
      </c>
      <c r="F297">
        <v>3</v>
      </c>
    </row>
    <row r="298" spans="1:6" x14ac:dyDescent="0.25">
      <c r="A298">
        <v>2284</v>
      </c>
      <c r="B298" t="s">
        <v>15</v>
      </c>
      <c r="C298" t="s">
        <v>417</v>
      </c>
      <c r="D298" t="s">
        <v>9</v>
      </c>
      <c r="E298" t="s">
        <v>46</v>
      </c>
      <c r="F298">
        <v>4</v>
      </c>
    </row>
    <row r="299" spans="1:6" x14ac:dyDescent="0.25">
      <c r="A299">
        <v>2283</v>
      </c>
      <c r="B299" t="s">
        <v>15</v>
      </c>
      <c r="C299" t="s">
        <v>418</v>
      </c>
      <c r="D299" t="s">
        <v>13</v>
      </c>
      <c r="E299" t="s">
        <v>10</v>
      </c>
      <c r="F299">
        <v>5</v>
      </c>
    </row>
    <row r="300" spans="1:6" x14ac:dyDescent="0.25">
      <c r="A300">
        <v>2282</v>
      </c>
      <c r="B300" t="s">
        <v>23</v>
      </c>
      <c r="C300" t="s">
        <v>419</v>
      </c>
      <c r="D300" t="s">
        <v>13</v>
      </c>
      <c r="E300" t="s">
        <v>25</v>
      </c>
      <c r="F300">
        <v>5</v>
      </c>
    </row>
    <row r="301" spans="1:6" x14ac:dyDescent="0.25">
      <c r="A301">
        <v>2281</v>
      </c>
      <c r="B301" t="s">
        <v>15</v>
      </c>
      <c r="C301" t="s">
        <v>420</v>
      </c>
      <c r="D301" t="s">
        <v>9</v>
      </c>
      <c r="E301" t="s">
        <v>46</v>
      </c>
      <c r="F301">
        <v>4</v>
      </c>
    </row>
    <row r="302" spans="1:6" x14ac:dyDescent="0.25">
      <c r="A302">
        <v>2280</v>
      </c>
      <c r="B302" t="s">
        <v>272</v>
      </c>
      <c r="C302" t="s">
        <v>421</v>
      </c>
      <c r="D302" t="s">
        <v>13</v>
      </c>
      <c r="E302" t="s">
        <v>79</v>
      </c>
      <c r="F302">
        <v>4</v>
      </c>
    </row>
    <row r="303" spans="1:6" x14ac:dyDescent="0.25">
      <c r="A303">
        <v>2279</v>
      </c>
      <c r="B303" t="s">
        <v>15</v>
      </c>
      <c r="C303" t="s">
        <v>422</v>
      </c>
      <c r="D303" t="s">
        <v>44</v>
      </c>
      <c r="E303" t="s">
        <v>46</v>
      </c>
      <c r="F303">
        <v>5</v>
      </c>
    </row>
    <row r="304" spans="1:6" x14ac:dyDescent="0.25">
      <c r="A304">
        <v>2278</v>
      </c>
      <c r="B304" t="s">
        <v>15</v>
      </c>
      <c r="C304" t="s">
        <v>423</v>
      </c>
      <c r="D304" t="s">
        <v>13</v>
      </c>
      <c r="E304" t="s">
        <v>10</v>
      </c>
      <c r="F304">
        <v>5</v>
      </c>
    </row>
    <row r="305" spans="1:6" x14ac:dyDescent="0.25">
      <c r="A305">
        <v>2277</v>
      </c>
      <c r="B305" t="s">
        <v>269</v>
      </c>
      <c r="C305" t="s">
        <v>424</v>
      </c>
      <c r="D305" t="s">
        <v>44</v>
      </c>
      <c r="E305" t="s">
        <v>17</v>
      </c>
      <c r="F305">
        <v>3</v>
      </c>
    </row>
    <row r="306" spans="1:6" x14ac:dyDescent="0.25">
      <c r="A306">
        <v>2276</v>
      </c>
      <c r="B306" t="s">
        <v>15</v>
      </c>
      <c r="C306" t="s">
        <v>425</v>
      </c>
      <c r="D306" t="s">
        <v>9</v>
      </c>
      <c r="E306" t="s">
        <v>17</v>
      </c>
      <c r="F306">
        <v>3</v>
      </c>
    </row>
    <row r="307" spans="1:6" x14ac:dyDescent="0.25">
      <c r="A307">
        <v>2275</v>
      </c>
      <c r="B307" t="s">
        <v>426</v>
      </c>
      <c r="C307" t="s">
        <v>253</v>
      </c>
      <c r="D307" t="s">
        <v>13</v>
      </c>
      <c r="E307" t="s">
        <v>79</v>
      </c>
      <c r="F307">
        <v>4</v>
      </c>
    </row>
    <row r="308" spans="1:6" x14ac:dyDescent="0.25">
      <c r="A308">
        <v>2274</v>
      </c>
      <c r="B308" t="s">
        <v>398</v>
      </c>
      <c r="C308" t="s">
        <v>427</v>
      </c>
      <c r="D308" t="s">
        <v>9</v>
      </c>
      <c r="E308" t="s">
        <v>340</v>
      </c>
      <c r="F308">
        <v>4</v>
      </c>
    </row>
    <row r="309" spans="1:6" x14ac:dyDescent="0.25">
      <c r="A309">
        <v>2273</v>
      </c>
      <c r="B309" t="s">
        <v>99</v>
      </c>
      <c r="C309" t="s">
        <v>428</v>
      </c>
      <c r="D309" t="s">
        <v>44</v>
      </c>
      <c r="E309" t="s">
        <v>14</v>
      </c>
      <c r="F309">
        <v>4</v>
      </c>
    </row>
    <row r="310" spans="1:6" x14ac:dyDescent="0.25">
      <c r="A310">
        <v>2272</v>
      </c>
      <c r="B310" t="s">
        <v>15</v>
      </c>
      <c r="C310" t="s">
        <v>429</v>
      </c>
      <c r="D310" t="s">
        <v>44</v>
      </c>
      <c r="E310" t="s">
        <v>46</v>
      </c>
      <c r="F310">
        <v>4</v>
      </c>
    </row>
    <row r="311" spans="1:6" x14ac:dyDescent="0.25">
      <c r="A311">
        <v>2271</v>
      </c>
      <c r="B311" t="s">
        <v>272</v>
      </c>
      <c r="C311" t="s">
        <v>273</v>
      </c>
      <c r="D311" t="s">
        <v>13</v>
      </c>
      <c r="E311" t="s">
        <v>79</v>
      </c>
      <c r="F311">
        <v>5</v>
      </c>
    </row>
    <row r="312" spans="1:6" x14ac:dyDescent="0.25">
      <c r="A312">
        <v>2270</v>
      </c>
      <c r="B312" t="s">
        <v>23</v>
      </c>
      <c r="C312" t="s">
        <v>430</v>
      </c>
      <c r="D312" t="s">
        <v>13</v>
      </c>
      <c r="E312" t="s">
        <v>25</v>
      </c>
      <c r="F312">
        <v>4</v>
      </c>
    </row>
    <row r="313" spans="1:6" x14ac:dyDescent="0.25">
      <c r="A313">
        <v>2269</v>
      </c>
      <c r="B313" t="s">
        <v>322</v>
      </c>
      <c r="C313" t="s">
        <v>431</v>
      </c>
      <c r="D313" t="s">
        <v>13</v>
      </c>
      <c r="E313" t="s">
        <v>22</v>
      </c>
      <c r="F313">
        <v>4</v>
      </c>
    </row>
    <row r="314" spans="1:6" x14ac:dyDescent="0.25">
      <c r="A314">
        <v>2268</v>
      </c>
      <c r="B314" t="s">
        <v>15</v>
      </c>
      <c r="C314" t="s">
        <v>432</v>
      </c>
      <c r="D314" t="s">
        <v>13</v>
      </c>
      <c r="E314" t="s">
        <v>46</v>
      </c>
      <c r="F314">
        <v>5</v>
      </c>
    </row>
    <row r="315" spans="1:6" x14ac:dyDescent="0.25">
      <c r="A315">
        <v>2267</v>
      </c>
      <c r="B315" t="s">
        <v>258</v>
      </c>
      <c r="C315" t="s">
        <v>433</v>
      </c>
      <c r="D315" t="s">
        <v>13</v>
      </c>
      <c r="E315" t="s">
        <v>17</v>
      </c>
      <c r="F315">
        <v>2</v>
      </c>
    </row>
    <row r="316" spans="1:6" x14ac:dyDescent="0.25">
      <c r="A316">
        <v>2266</v>
      </c>
      <c r="B316" t="s">
        <v>15</v>
      </c>
      <c r="C316" t="s">
        <v>434</v>
      </c>
      <c r="D316" t="s">
        <v>9</v>
      </c>
      <c r="E316" t="s">
        <v>38</v>
      </c>
      <c r="F316">
        <v>4</v>
      </c>
    </row>
    <row r="317" spans="1:6" x14ac:dyDescent="0.25">
      <c r="A317">
        <v>2265</v>
      </c>
      <c r="B317" t="s">
        <v>15</v>
      </c>
      <c r="C317" t="s">
        <v>435</v>
      </c>
      <c r="D317" t="s">
        <v>9</v>
      </c>
      <c r="E317" t="s">
        <v>10</v>
      </c>
      <c r="F317">
        <v>3</v>
      </c>
    </row>
    <row r="318" spans="1:6" x14ac:dyDescent="0.25">
      <c r="A318">
        <v>2264</v>
      </c>
      <c r="B318" t="s">
        <v>436</v>
      </c>
      <c r="C318" t="s">
        <v>437</v>
      </c>
      <c r="D318" t="s">
        <v>13</v>
      </c>
      <c r="E318" t="s">
        <v>14</v>
      </c>
      <c r="F318">
        <v>1</v>
      </c>
    </row>
    <row r="319" spans="1:6" x14ac:dyDescent="0.25">
      <c r="A319">
        <v>2263</v>
      </c>
      <c r="B319" t="s">
        <v>272</v>
      </c>
      <c r="C319" t="s">
        <v>438</v>
      </c>
      <c r="D319" t="s">
        <v>13</v>
      </c>
      <c r="E319" t="s">
        <v>79</v>
      </c>
      <c r="F319">
        <v>4</v>
      </c>
    </row>
    <row r="320" spans="1:6" x14ac:dyDescent="0.25">
      <c r="A320">
        <v>2262</v>
      </c>
      <c r="B320" t="s">
        <v>232</v>
      </c>
      <c r="C320" t="s">
        <v>85</v>
      </c>
      <c r="D320" t="s">
        <v>9</v>
      </c>
      <c r="E320" t="s">
        <v>17</v>
      </c>
      <c r="F320">
        <v>5</v>
      </c>
    </row>
    <row r="321" spans="1:6" x14ac:dyDescent="0.25">
      <c r="A321">
        <v>2261</v>
      </c>
      <c r="B321" t="s">
        <v>439</v>
      </c>
      <c r="C321" t="s">
        <v>440</v>
      </c>
      <c r="D321" t="s">
        <v>44</v>
      </c>
      <c r="E321" t="s">
        <v>10</v>
      </c>
      <c r="F321">
        <v>4</v>
      </c>
    </row>
    <row r="322" spans="1:6" x14ac:dyDescent="0.25">
      <c r="A322">
        <v>2260</v>
      </c>
      <c r="B322" t="s">
        <v>99</v>
      </c>
      <c r="C322" t="s">
        <v>441</v>
      </c>
      <c r="D322" t="s">
        <v>13</v>
      </c>
      <c r="E322" t="s">
        <v>14</v>
      </c>
      <c r="F322">
        <v>5</v>
      </c>
    </row>
    <row r="323" spans="1:6" x14ac:dyDescent="0.25">
      <c r="A323">
        <v>2259</v>
      </c>
      <c r="B323" t="s">
        <v>442</v>
      </c>
      <c r="C323" t="s">
        <v>443</v>
      </c>
      <c r="D323" t="s">
        <v>44</v>
      </c>
      <c r="E323" t="s">
        <v>17</v>
      </c>
      <c r="F323">
        <v>3.75</v>
      </c>
    </row>
    <row r="324" spans="1:6" x14ac:dyDescent="0.25">
      <c r="A324">
        <v>2258</v>
      </c>
      <c r="B324" t="s">
        <v>326</v>
      </c>
      <c r="C324" t="s">
        <v>444</v>
      </c>
      <c r="D324" t="s">
        <v>44</v>
      </c>
      <c r="E324" t="s">
        <v>46</v>
      </c>
      <c r="F324">
        <v>4.3</v>
      </c>
    </row>
    <row r="325" spans="1:6" x14ac:dyDescent="0.25">
      <c r="A325">
        <v>2257</v>
      </c>
      <c r="B325" t="s">
        <v>445</v>
      </c>
      <c r="C325" t="s">
        <v>446</v>
      </c>
      <c r="D325" t="s">
        <v>13</v>
      </c>
      <c r="E325" t="s">
        <v>46</v>
      </c>
      <c r="F325">
        <v>2.2999999999999998</v>
      </c>
    </row>
    <row r="326" spans="1:6" x14ac:dyDescent="0.25">
      <c r="A326">
        <v>2256</v>
      </c>
      <c r="B326" t="s">
        <v>269</v>
      </c>
      <c r="C326" t="s">
        <v>447</v>
      </c>
      <c r="D326" t="s">
        <v>44</v>
      </c>
      <c r="E326" t="s">
        <v>17</v>
      </c>
      <c r="F326">
        <v>3</v>
      </c>
    </row>
    <row r="327" spans="1:6" x14ac:dyDescent="0.25">
      <c r="A327">
        <v>2255</v>
      </c>
      <c r="B327" t="s">
        <v>309</v>
      </c>
      <c r="C327" t="s">
        <v>448</v>
      </c>
      <c r="D327" t="s">
        <v>30</v>
      </c>
      <c r="E327" t="s">
        <v>10</v>
      </c>
      <c r="F327">
        <v>5</v>
      </c>
    </row>
    <row r="328" spans="1:6" x14ac:dyDescent="0.25">
      <c r="A328">
        <v>2254</v>
      </c>
      <c r="B328" t="s">
        <v>15</v>
      </c>
      <c r="C328" t="s">
        <v>449</v>
      </c>
      <c r="D328" t="s">
        <v>9</v>
      </c>
      <c r="E328" t="s">
        <v>38</v>
      </c>
      <c r="F328">
        <v>3</v>
      </c>
    </row>
    <row r="329" spans="1:6" x14ac:dyDescent="0.25">
      <c r="A329">
        <v>2253</v>
      </c>
      <c r="B329" t="s">
        <v>450</v>
      </c>
      <c r="C329" t="s">
        <v>451</v>
      </c>
      <c r="D329" t="s">
        <v>9</v>
      </c>
      <c r="E329" t="s">
        <v>340</v>
      </c>
      <c r="F329">
        <v>4</v>
      </c>
    </row>
    <row r="330" spans="1:6" x14ac:dyDescent="0.25">
      <c r="A330">
        <v>2252</v>
      </c>
      <c r="B330" t="s">
        <v>7</v>
      </c>
      <c r="C330" t="s">
        <v>452</v>
      </c>
      <c r="D330" t="s">
        <v>44</v>
      </c>
      <c r="E330" t="s">
        <v>10</v>
      </c>
      <c r="F330">
        <v>5</v>
      </c>
    </row>
    <row r="331" spans="1:6" x14ac:dyDescent="0.25">
      <c r="A331">
        <v>2251</v>
      </c>
      <c r="B331" t="s">
        <v>74</v>
      </c>
      <c r="C331" t="s">
        <v>453</v>
      </c>
      <c r="D331" t="s">
        <v>13</v>
      </c>
      <c r="E331" t="s">
        <v>216</v>
      </c>
      <c r="F331">
        <v>4</v>
      </c>
    </row>
    <row r="332" spans="1:6" x14ac:dyDescent="0.25">
      <c r="A332">
        <v>2250</v>
      </c>
      <c r="B332" t="s">
        <v>15</v>
      </c>
      <c r="C332" t="s">
        <v>454</v>
      </c>
      <c r="D332" t="s">
        <v>13</v>
      </c>
      <c r="E332" t="s">
        <v>46</v>
      </c>
      <c r="F332">
        <v>4</v>
      </c>
    </row>
    <row r="333" spans="1:6" x14ac:dyDescent="0.25">
      <c r="A333">
        <v>2249</v>
      </c>
      <c r="B333" t="s">
        <v>455</v>
      </c>
      <c r="C333" t="s">
        <v>456</v>
      </c>
      <c r="D333" t="s">
        <v>13</v>
      </c>
      <c r="E333" t="s">
        <v>14</v>
      </c>
      <c r="F333">
        <v>4</v>
      </c>
    </row>
    <row r="334" spans="1:6" x14ac:dyDescent="0.25">
      <c r="A334">
        <v>2248</v>
      </c>
      <c r="B334" t="s">
        <v>41</v>
      </c>
      <c r="C334" t="s">
        <v>457</v>
      </c>
      <c r="D334" t="s">
        <v>9</v>
      </c>
      <c r="E334" t="s">
        <v>17</v>
      </c>
      <c r="F334">
        <v>5</v>
      </c>
    </row>
    <row r="335" spans="1:6" x14ac:dyDescent="0.25">
      <c r="A335">
        <v>2247</v>
      </c>
      <c r="B335" t="s">
        <v>15</v>
      </c>
      <c r="C335" t="s">
        <v>458</v>
      </c>
      <c r="D335" t="s">
        <v>44</v>
      </c>
      <c r="E335" t="s">
        <v>10</v>
      </c>
      <c r="F335">
        <v>5</v>
      </c>
    </row>
    <row r="336" spans="1:6" x14ac:dyDescent="0.25">
      <c r="A336">
        <v>2246</v>
      </c>
      <c r="B336" t="s">
        <v>232</v>
      </c>
      <c r="C336" t="s">
        <v>459</v>
      </c>
      <c r="D336" t="s">
        <v>9</v>
      </c>
      <c r="E336" t="s">
        <v>17</v>
      </c>
      <c r="F336">
        <v>4</v>
      </c>
    </row>
    <row r="337" spans="1:6" x14ac:dyDescent="0.25">
      <c r="A337">
        <v>2245</v>
      </c>
      <c r="B337" t="s">
        <v>15</v>
      </c>
      <c r="C337" t="s">
        <v>460</v>
      </c>
      <c r="D337" t="s">
        <v>9</v>
      </c>
      <c r="E337" t="s">
        <v>46</v>
      </c>
      <c r="F337">
        <v>4</v>
      </c>
    </row>
    <row r="338" spans="1:6" x14ac:dyDescent="0.25">
      <c r="A338">
        <v>2244</v>
      </c>
      <c r="B338" t="s">
        <v>224</v>
      </c>
      <c r="C338" t="s">
        <v>461</v>
      </c>
      <c r="D338" t="s">
        <v>13</v>
      </c>
      <c r="E338" t="s">
        <v>46</v>
      </c>
      <c r="F338">
        <v>4</v>
      </c>
    </row>
    <row r="339" spans="1:6" x14ac:dyDescent="0.25">
      <c r="A339">
        <v>2243</v>
      </c>
      <c r="B339" t="s">
        <v>15</v>
      </c>
      <c r="C339" t="s">
        <v>462</v>
      </c>
      <c r="D339" t="s">
        <v>9</v>
      </c>
      <c r="E339" t="s">
        <v>46</v>
      </c>
      <c r="F339">
        <v>4</v>
      </c>
    </row>
    <row r="340" spans="1:6" x14ac:dyDescent="0.25">
      <c r="A340">
        <v>2242</v>
      </c>
      <c r="B340" t="s">
        <v>463</v>
      </c>
      <c r="C340" t="s">
        <v>464</v>
      </c>
      <c r="D340" t="s">
        <v>9</v>
      </c>
      <c r="E340" t="s">
        <v>465</v>
      </c>
      <c r="F340">
        <v>3</v>
      </c>
    </row>
    <row r="341" spans="1:6" x14ac:dyDescent="0.25">
      <c r="A341">
        <v>2241</v>
      </c>
      <c r="B341" t="s">
        <v>445</v>
      </c>
      <c r="C341" t="s">
        <v>466</v>
      </c>
      <c r="D341" t="s">
        <v>13</v>
      </c>
      <c r="E341" t="s">
        <v>46</v>
      </c>
      <c r="F341">
        <v>4</v>
      </c>
    </row>
    <row r="342" spans="1:6" x14ac:dyDescent="0.25">
      <c r="A342">
        <v>2240</v>
      </c>
      <c r="B342" t="s">
        <v>191</v>
      </c>
      <c r="C342" t="s">
        <v>467</v>
      </c>
      <c r="D342" t="s">
        <v>44</v>
      </c>
      <c r="E342" t="s">
        <v>25</v>
      </c>
      <c r="F342">
        <v>3</v>
      </c>
    </row>
    <row r="343" spans="1:6" x14ac:dyDescent="0.25">
      <c r="A343">
        <v>2239</v>
      </c>
      <c r="B343" t="s">
        <v>15</v>
      </c>
      <c r="C343" t="s">
        <v>468</v>
      </c>
      <c r="D343" t="s">
        <v>9</v>
      </c>
      <c r="E343" t="s">
        <v>17</v>
      </c>
      <c r="F343">
        <v>4</v>
      </c>
    </row>
    <row r="344" spans="1:6" x14ac:dyDescent="0.25">
      <c r="A344">
        <v>2238</v>
      </c>
      <c r="B344" t="s">
        <v>469</v>
      </c>
      <c r="C344" t="s">
        <v>470</v>
      </c>
      <c r="D344" t="s">
        <v>13</v>
      </c>
      <c r="E344" t="s">
        <v>471</v>
      </c>
      <c r="F344">
        <v>1</v>
      </c>
    </row>
    <row r="345" spans="1:6" x14ac:dyDescent="0.25">
      <c r="A345">
        <v>2237</v>
      </c>
      <c r="B345" t="s">
        <v>15</v>
      </c>
      <c r="C345" t="s">
        <v>472</v>
      </c>
      <c r="D345" t="s">
        <v>9</v>
      </c>
      <c r="E345" t="s">
        <v>10</v>
      </c>
      <c r="F345">
        <v>5</v>
      </c>
    </row>
    <row r="346" spans="1:6" x14ac:dyDescent="0.25">
      <c r="A346">
        <v>2236</v>
      </c>
      <c r="B346" t="s">
        <v>102</v>
      </c>
      <c r="C346" t="s">
        <v>473</v>
      </c>
      <c r="D346" t="s">
        <v>44</v>
      </c>
      <c r="E346" t="s">
        <v>10</v>
      </c>
      <c r="F346">
        <v>4</v>
      </c>
    </row>
    <row r="347" spans="1:6" x14ac:dyDescent="0.25">
      <c r="A347">
        <v>2235</v>
      </c>
      <c r="B347" t="s">
        <v>230</v>
      </c>
      <c r="C347" t="s">
        <v>474</v>
      </c>
      <c r="D347" t="s">
        <v>44</v>
      </c>
      <c r="E347" t="s">
        <v>38</v>
      </c>
      <c r="F347">
        <v>4</v>
      </c>
    </row>
    <row r="348" spans="1:6" x14ac:dyDescent="0.25">
      <c r="A348">
        <v>2234</v>
      </c>
      <c r="B348" t="s">
        <v>54</v>
      </c>
      <c r="C348" t="s">
        <v>475</v>
      </c>
      <c r="D348" t="s">
        <v>44</v>
      </c>
      <c r="E348" t="s">
        <v>25</v>
      </c>
      <c r="F348">
        <v>5</v>
      </c>
    </row>
    <row r="349" spans="1:6" x14ac:dyDescent="0.25">
      <c r="A349">
        <v>2233</v>
      </c>
      <c r="B349" t="s">
        <v>15</v>
      </c>
      <c r="C349" t="s">
        <v>476</v>
      </c>
      <c r="D349" t="s">
        <v>9</v>
      </c>
      <c r="E349" t="s">
        <v>46</v>
      </c>
      <c r="F349">
        <v>4</v>
      </c>
    </row>
    <row r="350" spans="1:6" x14ac:dyDescent="0.25">
      <c r="A350">
        <v>2232</v>
      </c>
      <c r="B350" t="s">
        <v>15</v>
      </c>
      <c r="C350" t="s">
        <v>477</v>
      </c>
      <c r="D350" t="s">
        <v>44</v>
      </c>
      <c r="E350" t="s">
        <v>10</v>
      </c>
      <c r="F350">
        <v>5</v>
      </c>
    </row>
    <row r="351" spans="1:6" x14ac:dyDescent="0.25">
      <c r="A351">
        <v>2231</v>
      </c>
      <c r="B351" t="s">
        <v>338</v>
      </c>
      <c r="C351" t="s">
        <v>478</v>
      </c>
      <c r="D351" t="s">
        <v>9</v>
      </c>
      <c r="E351" t="s">
        <v>340</v>
      </c>
      <c r="F351">
        <v>4</v>
      </c>
    </row>
    <row r="352" spans="1:6" x14ac:dyDescent="0.25">
      <c r="A352">
        <v>2230</v>
      </c>
      <c r="B352" t="s">
        <v>329</v>
      </c>
      <c r="C352" t="s">
        <v>479</v>
      </c>
      <c r="D352" t="s">
        <v>13</v>
      </c>
      <c r="E352" t="s">
        <v>10</v>
      </c>
      <c r="F352">
        <v>4</v>
      </c>
    </row>
    <row r="353" spans="1:6" x14ac:dyDescent="0.25">
      <c r="A353">
        <v>2229</v>
      </c>
      <c r="B353" t="s">
        <v>224</v>
      </c>
      <c r="C353" t="s">
        <v>480</v>
      </c>
      <c r="D353" t="s">
        <v>13</v>
      </c>
      <c r="E353" t="s">
        <v>46</v>
      </c>
      <c r="F353">
        <v>4</v>
      </c>
    </row>
    <row r="354" spans="1:6" x14ac:dyDescent="0.25">
      <c r="A354">
        <v>2228</v>
      </c>
      <c r="B354" t="s">
        <v>15</v>
      </c>
      <c r="C354" t="s">
        <v>481</v>
      </c>
      <c r="D354" t="s">
        <v>44</v>
      </c>
      <c r="E354" t="s">
        <v>10</v>
      </c>
      <c r="F354">
        <v>5</v>
      </c>
    </row>
    <row r="355" spans="1:6" x14ac:dyDescent="0.25">
      <c r="A355">
        <v>2227</v>
      </c>
      <c r="B355" t="s">
        <v>102</v>
      </c>
      <c r="C355" t="s">
        <v>482</v>
      </c>
      <c r="D355" t="s">
        <v>13</v>
      </c>
      <c r="E355" t="s">
        <v>17</v>
      </c>
      <c r="F355">
        <v>4</v>
      </c>
    </row>
    <row r="356" spans="1:6" x14ac:dyDescent="0.25">
      <c r="A356">
        <v>2226</v>
      </c>
      <c r="B356" t="s">
        <v>483</v>
      </c>
      <c r="C356" t="s">
        <v>484</v>
      </c>
      <c r="D356" t="s">
        <v>13</v>
      </c>
      <c r="E356" t="s">
        <v>10</v>
      </c>
      <c r="F356">
        <v>3</v>
      </c>
    </row>
    <row r="357" spans="1:6" x14ac:dyDescent="0.25">
      <c r="A357">
        <v>2225</v>
      </c>
      <c r="B357" t="s">
        <v>445</v>
      </c>
      <c r="C357" t="s">
        <v>485</v>
      </c>
      <c r="D357" t="s">
        <v>44</v>
      </c>
      <c r="E357" t="s">
        <v>46</v>
      </c>
      <c r="F357">
        <v>4</v>
      </c>
    </row>
    <row r="358" spans="1:6" x14ac:dyDescent="0.25">
      <c r="A358">
        <v>2224</v>
      </c>
      <c r="B358" t="s">
        <v>322</v>
      </c>
      <c r="C358" t="s">
        <v>486</v>
      </c>
      <c r="D358" t="s">
        <v>13</v>
      </c>
      <c r="E358" t="s">
        <v>22</v>
      </c>
      <c r="F358">
        <v>4</v>
      </c>
    </row>
    <row r="359" spans="1:6" x14ac:dyDescent="0.25">
      <c r="A359">
        <v>2223</v>
      </c>
      <c r="B359" t="s">
        <v>33</v>
      </c>
      <c r="C359" t="s">
        <v>487</v>
      </c>
      <c r="D359" t="s">
        <v>13</v>
      </c>
      <c r="E359" t="s">
        <v>35</v>
      </c>
      <c r="F359">
        <v>4</v>
      </c>
    </row>
    <row r="360" spans="1:6" x14ac:dyDescent="0.25">
      <c r="A360">
        <v>2222</v>
      </c>
      <c r="B360" t="s">
        <v>488</v>
      </c>
      <c r="C360" t="s">
        <v>489</v>
      </c>
      <c r="D360" t="s">
        <v>13</v>
      </c>
      <c r="E360" t="s">
        <v>69</v>
      </c>
      <c r="F360">
        <v>5</v>
      </c>
    </row>
    <row r="361" spans="1:6" x14ac:dyDescent="0.25">
      <c r="A361">
        <v>2221</v>
      </c>
      <c r="B361" t="s">
        <v>15</v>
      </c>
      <c r="C361" t="s">
        <v>490</v>
      </c>
      <c r="D361" t="s">
        <v>9</v>
      </c>
      <c r="E361" t="s">
        <v>10</v>
      </c>
      <c r="F361">
        <v>5</v>
      </c>
    </row>
    <row r="362" spans="1:6" x14ac:dyDescent="0.25">
      <c r="A362">
        <v>2220</v>
      </c>
      <c r="B362" t="s">
        <v>54</v>
      </c>
      <c r="C362" t="s">
        <v>491</v>
      </c>
      <c r="D362" t="s">
        <v>13</v>
      </c>
      <c r="E362" t="s">
        <v>25</v>
      </c>
      <c r="F362">
        <v>5</v>
      </c>
    </row>
    <row r="363" spans="1:6" x14ac:dyDescent="0.25">
      <c r="A363">
        <v>2219</v>
      </c>
      <c r="B363" t="s">
        <v>338</v>
      </c>
      <c r="C363" t="s">
        <v>492</v>
      </c>
      <c r="D363" t="s">
        <v>9</v>
      </c>
      <c r="E363" t="s">
        <v>340</v>
      </c>
      <c r="F363">
        <v>1</v>
      </c>
    </row>
    <row r="364" spans="1:6" x14ac:dyDescent="0.25">
      <c r="A364">
        <v>2218</v>
      </c>
      <c r="B364" t="s">
        <v>493</v>
      </c>
      <c r="C364" t="s">
        <v>494</v>
      </c>
      <c r="D364" t="s">
        <v>13</v>
      </c>
      <c r="E364" t="s">
        <v>14</v>
      </c>
      <c r="F364">
        <v>4</v>
      </c>
    </row>
    <row r="365" spans="1:6" x14ac:dyDescent="0.25">
      <c r="A365">
        <v>2217</v>
      </c>
      <c r="B365" t="s">
        <v>15</v>
      </c>
      <c r="C365" t="s">
        <v>495</v>
      </c>
      <c r="D365" t="s">
        <v>13</v>
      </c>
      <c r="E365" t="s">
        <v>46</v>
      </c>
      <c r="F365">
        <v>5</v>
      </c>
    </row>
    <row r="366" spans="1:6" x14ac:dyDescent="0.25">
      <c r="A366">
        <v>2216</v>
      </c>
      <c r="B366" t="s">
        <v>496</v>
      </c>
      <c r="C366" t="s">
        <v>497</v>
      </c>
      <c r="D366" t="s">
        <v>30</v>
      </c>
      <c r="E366" t="s">
        <v>14</v>
      </c>
      <c r="F366">
        <v>3</v>
      </c>
    </row>
    <row r="367" spans="1:6" x14ac:dyDescent="0.25">
      <c r="A367">
        <v>2215</v>
      </c>
      <c r="B367" t="s">
        <v>183</v>
      </c>
      <c r="C367" t="s">
        <v>498</v>
      </c>
      <c r="D367" t="s">
        <v>13</v>
      </c>
      <c r="E367" t="s">
        <v>35</v>
      </c>
      <c r="F367">
        <v>5</v>
      </c>
    </row>
    <row r="368" spans="1:6" x14ac:dyDescent="0.25">
      <c r="A368">
        <v>2214</v>
      </c>
      <c r="B368" t="s">
        <v>374</v>
      </c>
      <c r="C368" t="s">
        <v>499</v>
      </c>
      <c r="D368" t="s">
        <v>44</v>
      </c>
      <c r="E368" t="s">
        <v>10</v>
      </c>
      <c r="F368">
        <v>4</v>
      </c>
    </row>
    <row r="369" spans="1:6" x14ac:dyDescent="0.25">
      <c r="A369">
        <v>2213</v>
      </c>
      <c r="B369" t="s">
        <v>26</v>
      </c>
      <c r="C369" t="s">
        <v>500</v>
      </c>
      <c r="D369" t="s">
        <v>13</v>
      </c>
      <c r="E369" t="s">
        <v>53</v>
      </c>
      <c r="F369">
        <v>4</v>
      </c>
    </row>
    <row r="370" spans="1:6" x14ac:dyDescent="0.25">
      <c r="A370">
        <v>2212</v>
      </c>
      <c r="B370" t="s">
        <v>54</v>
      </c>
      <c r="C370" t="s">
        <v>165</v>
      </c>
      <c r="D370" t="s">
        <v>13</v>
      </c>
      <c r="E370" t="s">
        <v>25</v>
      </c>
      <c r="F370">
        <v>4</v>
      </c>
    </row>
    <row r="371" spans="1:6" x14ac:dyDescent="0.25">
      <c r="A371">
        <v>2211</v>
      </c>
      <c r="B371" t="s">
        <v>15</v>
      </c>
      <c r="C371" t="s">
        <v>501</v>
      </c>
      <c r="D371" t="s">
        <v>9</v>
      </c>
      <c r="E371" t="s">
        <v>38</v>
      </c>
      <c r="F371">
        <v>3</v>
      </c>
    </row>
    <row r="372" spans="1:6" x14ac:dyDescent="0.25">
      <c r="A372">
        <v>2210</v>
      </c>
      <c r="B372" t="s">
        <v>502</v>
      </c>
      <c r="C372" t="s">
        <v>503</v>
      </c>
      <c r="D372" t="s">
        <v>13</v>
      </c>
      <c r="E372" t="s">
        <v>345</v>
      </c>
      <c r="F372">
        <v>4</v>
      </c>
    </row>
    <row r="373" spans="1:6" x14ac:dyDescent="0.25">
      <c r="A373">
        <v>2209</v>
      </c>
      <c r="B373" t="s">
        <v>15</v>
      </c>
      <c r="C373" t="s">
        <v>504</v>
      </c>
      <c r="D373" t="s">
        <v>13</v>
      </c>
      <c r="E373" t="s">
        <v>46</v>
      </c>
      <c r="F373">
        <v>5</v>
      </c>
    </row>
    <row r="374" spans="1:6" x14ac:dyDescent="0.25">
      <c r="A374">
        <v>2208</v>
      </c>
      <c r="B374" t="s">
        <v>505</v>
      </c>
      <c r="C374" t="s">
        <v>506</v>
      </c>
      <c r="D374" t="s">
        <v>13</v>
      </c>
      <c r="E374" t="s">
        <v>17</v>
      </c>
      <c r="F374">
        <v>0</v>
      </c>
    </row>
    <row r="375" spans="1:6" x14ac:dyDescent="0.25">
      <c r="A375">
        <v>2207</v>
      </c>
      <c r="B375" t="s">
        <v>15</v>
      </c>
      <c r="C375" t="s">
        <v>507</v>
      </c>
      <c r="D375" t="s">
        <v>9</v>
      </c>
      <c r="E375" t="s">
        <v>46</v>
      </c>
      <c r="F375">
        <v>3</v>
      </c>
    </row>
    <row r="376" spans="1:6" x14ac:dyDescent="0.25">
      <c r="A376">
        <v>2206</v>
      </c>
      <c r="B376" t="s">
        <v>15</v>
      </c>
      <c r="C376" t="s">
        <v>508</v>
      </c>
      <c r="D376" t="s">
        <v>44</v>
      </c>
      <c r="E376" t="s">
        <v>10</v>
      </c>
      <c r="F376">
        <v>5</v>
      </c>
    </row>
    <row r="377" spans="1:6" x14ac:dyDescent="0.25">
      <c r="A377">
        <v>2205</v>
      </c>
      <c r="B377" t="s">
        <v>102</v>
      </c>
      <c r="C377" t="s">
        <v>509</v>
      </c>
      <c r="D377" t="s">
        <v>44</v>
      </c>
      <c r="E377" t="s">
        <v>17</v>
      </c>
      <c r="F377">
        <v>4</v>
      </c>
    </row>
    <row r="378" spans="1:6" x14ac:dyDescent="0.25">
      <c r="A378">
        <v>2204</v>
      </c>
      <c r="B378" t="s">
        <v>15</v>
      </c>
      <c r="C378" t="s">
        <v>510</v>
      </c>
      <c r="D378" t="s">
        <v>9</v>
      </c>
      <c r="E378" t="s">
        <v>511</v>
      </c>
      <c r="F378">
        <v>4</v>
      </c>
    </row>
    <row r="379" spans="1:6" x14ac:dyDescent="0.25">
      <c r="A379">
        <v>2203</v>
      </c>
      <c r="B379" t="s">
        <v>41</v>
      </c>
      <c r="C379" t="s">
        <v>512</v>
      </c>
      <c r="D379" t="s">
        <v>44</v>
      </c>
      <c r="E379" t="s">
        <v>17</v>
      </c>
      <c r="F379">
        <v>4</v>
      </c>
    </row>
    <row r="380" spans="1:6" x14ac:dyDescent="0.25">
      <c r="A380">
        <v>2202</v>
      </c>
      <c r="B380" t="s">
        <v>15</v>
      </c>
      <c r="C380" t="s">
        <v>513</v>
      </c>
      <c r="D380" t="s">
        <v>9</v>
      </c>
      <c r="E380" t="s">
        <v>46</v>
      </c>
      <c r="F380">
        <v>4</v>
      </c>
    </row>
    <row r="381" spans="1:6" x14ac:dyDescent="0.25">
      <c r="A381">
        <v>2201</v>
      </c>
      <c r="B381" t="s">
        <v>514</v>
      </c>
      <c r="C381" t="s">
        <v>515</v>
      </c>
      <c r="D381" t="s">
        <v>9</v>
      </c>
      <c r="E381" t="s">
        <v>516</v>
      </c>
      <c r="F381">
        <v>2</v>
      </c>
    </row>
    <row r="382" spans="1:6" x14ac:dyDescent="0.25">
      <c r="A382">
        <v>2200</v>
      </c>
      <c r="B382" t="s">
        <v>514</v>
      </c>
      <c r="C382" t="s">
        <v>517</v>
      </c>
      <c r="D382" t="s">
        <v>9</v>
      </c>
      <c r="E382" t="s">
        <v>516</v>
      </c>
      <c r="F382">
        <v>5</v>
      </c>
    </row>
    <row r="383" spans="1:6" x14ac:dyDescent="0.25">
      <c r="A383">
        <v>2199</v>
      </c>
      <c r="B383" t="s">
        <v>514</v>
      </c>
      <c r="C383" t="s">
        <v>518</v>
      </c>
      <c r="D383" t="s">
        <v>9</v>
      </c>
      <c r="E383" t="s">
        <v>516</v>
      </c>
      <c r="F383">
        <v>3</v>
      </c>
    </row>
    <row r="384" spans="1:6" x14ac:dyDescent="0.25">
      <c r="A384">
        <v>2198</v>
      </c>
      <c r="B384" t="s">
        <v>514</v>
      </c>
      <c r="C384" t="s">
        <v>519</v>
      </c>
      <c r="D384" t="s">
        <v>9</v>
      </c>
      <c r="E384" t="s">
        <v>516</v>
      </c>
      <c r="F384">
        <v>3</v>
      </c>
    </row>
    <row r="385" spans="1:6" x14ac:dyDescent="0.25">
      <c r="A385">
        <v>2197</v>
      </c>
      <c r="B385" t="s">
        <v>514</v>
      </c>
      <c r="C385" t="s">
        <v>520</v>
      </c>
      <c r="D385" t="s">
        <v>9</v>
      </c>
      <c r="E385" t="s">
        <v>516</v>
      </c>
      <c r="F385">
        <v>5</v>
      </c>
    </row>
    <row r="386" spans="1:6" x14ac:dyDescent="0.25">
      <c r="A386">
        <v>2196</v>
      </c>
      <c r="B386" t="s">
        <v>514</v>
      </c>
      <c r="C386" t="s">
        <v>521</v>
      </c>
      <c r="D386" t="s">
        <v>9</v>
      </c>
      <c r="E386" t="s">
        <v>516</v>
      </c>
      <c r="F386">
        <v>3.3</v>
      </c>
    </row>
    <row r="387" spans="1:6" x14ac:dyDescent="0.25">
      <c r="A387">
        <v>2195</v>
      </c>
      <c r="B387" t="s">
        <v>15</v>
      </c>
      <c r="C387" t="s">
        <v>522</v>
      </c>
      <c r="D387" t="s">
        <v>44</v>
      </c>
      <c r="E387" t="s">
        <v>10</v>
      </c>
      <c r="F387">
        <v>5</v>
      </c>
    </row>
    <row r="388" spans="1:6" x14ac:dyDescent="0.25">
      <c r="A388">
        <v>2194</v>
      </c>
      <c r="B388" t="s">
        <v>445</v>
      </c>
      <c r="C388" t="s">
        <v>523</v>
      </c>
      <c r="D388" t="s">
        <v>13</v>
      </c>
      <c r="E388" t="s">
        <v>46</v>
      </c>
      <c r="F388">
        <v>4</v>
      </c>
    </row>
    <row r="389" spans="1:6" x14ac:dyDescent="0.25">
      <c r="A389">
        <v>2193</v>
      </c>
      <c r="B389" t="s">
        <v>343</v>
      </c>
      <c r="C389" t="s">
        <v>524</v>
      </c>
      <c r="D389" t="s">
        <v>13</v>
      </c>
      <c r="E389" t="s">
        <v>345</v>
      </c>
      <c r="F389">
        <v>3</v>
      </c>
    </row>
    <row r="390" spans="1:6" x14ac:dyDescent="0.25">
      <c r="A390">
        <v>2192</v>
      </c>
      <c r="B390" t="s">
        <v>488</v>
      </c>
      <c r="C390" t="s">
        <v>525</v>
      </c>
      <c r="D390" t="s">
        <v>13</v>
      </c>
      <c r="E390" t="s">
        <v>69</v>
      </c>
      <c r="F390">
        <v>5</v>
      </c>
    </row>
    <row r="391" spans="1:6" x14ac:dyDescent="0.25">
      <c r="A391">
        <v>2191</v>
      </c>
      <c r="B391" t="s">
        <v>526</v>
      </c>
      <c r="C391" t="s">
        <v>527</v>
      </c>
      <c r="D391" t="s">
        <v>13</v>
      </c>
      <c r="E391" t="s">
        <v>14</v>
      </c>
      <c r="F391">
        <v>4</v>
      </c>
    </row>
    <row r="392" spans="1:6" x14ac:dyDescent="0.25">
      <c r="A392">
        <v>2190</v>
      </c>
      <c r="B392" t="s">
        <v>183</v>
      </c>
      <c r="C392" t="s">
        <v>528</v>
      </c>
      <c r="D392" t="s">
        <v>44</v>
      </c>
      <c r="E392" t="s">
        <v>10</v>
      </c>
      <c r="F392">
        <v>4.75</v>
      </c>
    </row>
    <row r="393" spans="1:6" x14ac:dyDescent="0.25">
      <c r="A393">
        <v>2189</v>
      </c>
      <c r="B393" t="s">
        <v>15</v>
      </c>
      <c r="C393" t="s">
        <v>529</v>
      </c>
      <c r="D393" t="s">
        <v>9</v>
      </c>
      <c r="E393" t="s">
        <v>46</v>
      </c>
      <c r="F393">
        <v>4</v>
      </c>
    </row>
    <row r="394" spans="1:6" x14ac:dyDescent="0.25">
      <c r="A394">
        <v>2188</v>
      </c>
      <c r="B394" t="s">
        <v>450</v>
      </c>
      <c r="C394" t="s">
        <v>171</v>
      </c>
      <c r="D394" t="s">
        <v>9</v>
      </c>
      <c r="E394" t="s">
        <v>340</v>
      </c>
      <c r="F394">
        <v>2.5</v>
      </c>
    </row>
    <row r="395" spans="1:6" x14ac:dyDescent="0.25">
      <c r="A395">
        <v>2187</v>
      </c>
      <c r="B395" t="s">
        <v>298</v>
      </c>
      <c r="C395" t="s">
        <v>530</v>
      </c>
      <c r="D395" t="s">
        <v>13</v>
      </c>
      <c r="E395" t="s">
        <v>25</v>
      </c>
      <c r="F395">
        <v>5</v>
      </c>
    </row>
    <row r="396" spans="1:6" x14ac:dyDescent="0.25">
      <c r="A396">
        <v>2186</v>
      </c>
      <c r="B396" t="s">
        <v>218</v>
      </c>
      <c r="C396" t="s">
        <v>531</v>
      </c>
      <c r="D396" t="s">
        <v>13</v>
      </c>
      <c r="E396" t="s">
        <v>79</v>
      </c>
      <c r="F396">
        <v>4</v>
      </c>
    </row>
    <row r="397" spans="1:6" x14ac:dyDescent="0.25">
      <c r="A397">
        <v>2185</v>
      </c>
      <c r="B397" t="s">
        <v>15</v>
      </c>
      <c r="C397" t="s">
        <v>532</v>
      </c>
      <c r="D397" t="s">
        <v>13</v>
      </c>
      <c r="E397" t="s">
        <v>10</v>
      </c>
      <c r="F397">
        <v>5</v>
      </c>
    </row>
    <row r="398" spans="1:6" x14ac:dyDescent="0.25">
      <c r="A398">
        <v>2184</v>
      </c>
      <c r="B398" t="s">
        <v>533</v>
      </c>
      <c r="C398" t="s">
        <v>534</v>
      </c>
      <c r="D398" t="s">
        <v>44</v>
      </c>
      <c r="E398" t="s">
        <v>38</v>
      </c>
      <c r="F398">
        <v>2.75</v>
      </c>
    </row>
    <row r="399" spans="1:6" x14ac:dyDescent="0.25">
      <c r="A399">
        <v>2183</v>
      </c>
      <c r="B399" t="s">
        <v>380</v>
      </c>
      <c r="C399" t="s">
        <v>535</v>
      </c>
      <c r="D399" t="s">
        <v>13</v>
      </c>
      <c r="E399" t="s">
        <v>38</v>
      </c>
      <c r="F399">
        <v>3.5</v>
      </c>
    </row>
    <row r="400" spans="1:6" x14ac:dyDescent="0.25">
      <c r="A400">
        <v>2182</v>
      </c>
      <c r="B400" t="s">
        <v>380</v>
      </c>
      <c r="C400" t="s">
        <v>536</v>
      </c>
      <c r="D400" t="s">
        <v>13</v>
      </c>
      <c r="E400" t="s">
        <v>38</v>
      </c>
      <c r="F400">
        <v>3.5</v>
      </c>
    </row>
    <row r="401" spans="1:6" x14ac:dyDescent="0.25">
      <c r="A401">
        <v>2181</v>
      </c>
      <c r="B401" t="s">
        <v>380</v>
      </c>
      <c r="C401" t="s">
        <v>537</v>
      </c>
      <c r="D401" t="s">
        <v>13</v>
      </c>
      <c r="E401" t="s">
        <v>38</v>
      </c>
      <c r="F401">
        <v>4</v>
      </c>
    </row>
    <row r="402" spans="1:6" x14ac:dyDescent="0.25">
      <c r="A402">
        <v>2180</v>
      </c>
      <c r="B402" t="s">
        <v>380</v>
      </c>
      <c r="C402" t="s">
        <v>538</v>
      </c>
      <c r="D402" t="s">
        <v>44</v>
      </c>
      <c r="E402" t="s">
        <v>38</v>
      </c>
      <c r="F402">
        <v>3</v>
      </c>
    </row>
    <row r="403" spans="1:6" x14ac:dyDescent="0.25">
      <c r="A403">
        <v>2179</v>
      </c>
      <c r="B403" t="s">
        <v>380</v>
      </c>
      <c r="C403" t="s">
        <v>539</v>
      </c>
      <c r="D403" t="s">
        <v>13</v>
      </c>
      <c r="E403" t="s">
        <v>38</v>
      </c>
      <c r="F403">
        <v>5</v>
      </c>
    </row>
    <row r="404" spans="1:6" x14ac:dyDescent="0.25">
      <c r="A404">
        <v>2178</v>
      </c>
      <c r="B404" t="s">
        <v>380</v>
      </c>
      <c r="C404" t="s">
        <v>540</v>
      </c>
      <c r="D404" t="s">
        <v>13</v>
      </c>
      <c r="E404" t="s">
        <v>38</v>
      </c>
      <c r="F404">
        <v>4</v>
      </c>
    </row>
    <row r="405" spans="1:6" x14ac:dyDescent="0.25">
      <c r="A405">
        <v>2177</v>
      </c>
      <c r="B405" t="s">
        <v>380</v>
      </c>
      <c r="C405" t="s">
        <v>541</v>
      </c>
      <c r="D405" t="s">
        <v>13</v>
      </c>
      <c r="E405" t="s">
        <v>38</v>
      </c>
      <c r="F405">
        <v>4</v>
      </c>
    </row>
    <row r="406" spans="1:6" x14ac:dyDescent="0.25">
      <c r="A406">
        <v>2176</v>
      </c>
      <c r="B406" t="s">
        <v>380</v>
      </c>
      <c r="C406" t="s">
        <v>542</v>
      </c>
      <c r="D406" t="s">
        <v>13</v>
      </c>
      <c r="E406" t="s">
        <v>38</v>
      </c>
      <c r="F406">
        <v>5</v>
      </c>
    </row>
    <row r="407" spans="1:6" x14ac:dyDescent="0.25">
      <c r="A407">
        <v>2175</v>
      </c>
      <c r="B407" t="s">
        <v>380</v>
      </c>
      <c r="C407" t="s">
        <v>543</v>
      </c>
      <c r="D407" t="s">
        <v>13</v>
      </c>
      <c r="E407" t="s">
        <v>38</v>
      </c>
      <c r="F407">
        <v>4</v>
      </c>
    </row>
    <row r="408" spans="1:6" x14ac:dyDescent="0.25">
      <c r="A408">
        <v>2174</v>
      </c>
      <c r="B408" t="s">
        <v>380</v>
      </c>
      <c r="C408" t="s">
        <v>544</v>
      </c>
      <c r="D408" t="s">
        <v>9</v>
      </c>
      <c r="E408" t="s">
        <v>38</v>
      </c>
      <c r="F408">
        <v>5</v>
      </c>
    </row>
    <row r="409" spans="1:6" x14ac:dyDescent="0.25">
      <c r="A409">
        <v>2173</v>
      </c>
      <c r="B409" t="s">
        <v>380</v>
      </c>
      <c r="C409" t="s">
        <v>545</v>
      </c>
      <c r="D409" t="s">
        <v>13</v>
      </c>
      <c r="E409" t="s">
        <v>38</v>
      </c>
      <c r="F409">
        <v>4</v>
      </c>
    </row>
    <row r="410" spans="1:6" x14ac:dyDescent="0.25">
      <c r="A410">
        <v>2172</v>
      </c>
      <c r="B410" t="s">
        <v>380</v>
      </c>
      <c r="C410" t="s">
        <v>546</v>
      </c>
      <c r="D410" t="s">
        <v>13</v>
      </c>
      <c r="E410" t="s">
        <v>38</v>
      </c>
      <c r="F410">
        <v>4</v>
      </c>
    </row>
    <row r="411" spans="1:6" x14ac:dyDescent="0.25">
      <c r="A411">
        <v>2171</v>
      </c>
      <c r="B411" t="s">
        <v>380</v>
      </c>
      <c r="C411" t="s">
        <v>547</v>
      </c>
      <c r="D411" t="s">
        <v>13</v>
      </c>
      <c r="E411" t="s">
        <v>38</v>
      </c>
      <c r="F411">
        <v>4</v>
      </c>
    </row>
    <row r="412" spans="1:6" x14ac:dyDescent="0.25">
      <c r="A412">
        <v>2170</v>
      </c>
      <c r="B412" t="s">
        <v>102</v>
      </c>
      <c r="C412" t="s">
        <v>548</v>
      </c>
      <c r="D412" t="s">
        <v>13</v>
      </c>
      <c r="E412" t="s">
        <v>17</v>
      </c>
      <c r="F412">
        <v>4</v>
      </c>
    </row>
    <row r="413" spans="1:6" x14ac:dyDescent="0.25">
      <c r="A413">
        <v>2169</v>
      </c>
      <c r="B413" t="s">
        <v>549</v>
      </c>
      <c r="C413" t="s">
        <v>550</v>
      </c>
      <c r="D413" t="s">
        <v>13</v>
      </c>
      <c r="E413" t="s">
        <v>35</v>
      </c>
      <c r="F413">
        <v>4</v>
      </c>
    </row>
    <row r="414" spans="1:6" x14ac:dyDescent="0.25">
      <c r="A414">
        <v>2168</v>
      </c>
      <c r="B414" t="s">
        <v>493</v>
      </c>
      <c r="C414" t="s">
        <v>551</v>
      </c>
      <c r="D414" t="s">
        <v>13</v>
      </c>
      <c r="E414" t="s">
        <v>14</v>
      </c>
      <c r="F414">
        <v>5</v>
      </c>
    </row>
    <row r="415" spans="1:6" x14ac:dyDescent="0.25">
      <c r="A415">
        <v>2167</v>
      </c>
      <c r="B415" t="s">
        <v>463</v>
      </c>
      <c r="C415" t="s">
        <v>552</v>
      </c>
      <c r="D415" t="s">
        <v>9</v>
      </c>
      <c r="E415" t="s">
        <v>465</v>
      </c>
      <c r="F415">
        <v>3</v>
      </c>
    </row>
    <row r="416" spans="1:6" x14ac:dyDescent="0.25">
      <c r="A416">
        <v>2166</v>
      </c>
      <c r="B416" t="s">
        <v>426</v>
      </c>
      <c r="C416" t="s">
        <v>553</v>
      </c>
      <c r="D416" t="s">
        <v>13</v>
      </c>
      <c r="E416" t="s">
        <v>79</v>
      </c>
      <c r="F416">
        <v>4</v>
      </c>
    </row>
    <row r="417" spans="1:6" x14ac:dyDescent="0.25">
      <c r="A417">
        <v>2165</v>
      </c>
      <c r="B417" t="s">
        <v>398</v>
      </c>
      <c r="C417" t="s">
        <v>554</v>
      </c>
      <c r="D417" t="s">
        <v>9</v>
      </c>
      <c r="E417" t="s">
        <v>340</v>
      </c>
      <c r="F417">
        <v>3</v>
      </c>
    </row>
    <row r="418" spans="1:6" x14ac:dyDescent="0.25">
      <c r="A418">
        <v>2164</v>
      </c>
      <c r="B418" t="s">
        <v>493</v>
      </c>
      <c r="C418" t="s">
        <v>555</v>
      </c>
      <c r="D418" t="s">
        <v>13</v>
      </c>
      <c r="E418" t="s">
        <v>14</v>
      </c>
      <c r="F418">
        <v>5</v>
      </c>
    </row>
    <row r="419" spans="1:6" x14ac:dyDescent="0.25">
      <c r="A419">
        <v>2163</v>
      </c>
      <c r="B419" t="s">
        <v>15</v>
      </c>
      <c r="C419" t="s">
        <v>556</v>
      </c>
      <c r="D419" t="s">
        <v>44</v>
      </c>
      <c r="E419" t="s">
        <v>10</v>
      </c>
      <c r="F419">
        <v>4</v>
      </c>
    </row>
    <row r="420" spans="1:6" x14ac:dyDescent="0.25">
      <c r="A420">
        <v>2162</v>
      </c>
      <c r="B420" t="s">
        <v>493</v>
      </c>
      <c r="C420" t="s">
        <v>557</v>
      </c>
      <c r="D420" t="s">
        <v>13</v>
      </c>
      <c r="E420" t="s">
        <v>14</v>
      </c>
      <c r="F420">
        <v>5</v>
      </c>
    </row>
    <row r="421" spans="1:6" x14ac:dyDescent="0.25">
      <c r="A421">
        <v>2161</v>
      </c>
      <c r="B421" t="s">
        <v>41</v>
      </c>
      <c r="C421" t="s">
        <v>558</v>
      </c>
      <c r="D421" t="s">
        <v>13</v>
      </c>
      <c r="E421" t="s">
        <v>25</v>
      </c>
      <c r="F421">
        <v>5</v>
      </c>
    </row>
    <row r="422" spans="1:6" x14ac:dyDescent="0.25">
      <c r="A422">
        <v>2160</v>
      </c>
      <c r="B422" t="s">
        <v>559</v>
      </c>
      <c r="C422" t="s">
        <v>560</v>
      </c>
      <c r="D422" t="s">
        <v>44</v>
      </c>
      <c r="E422" t="s">
        <v>10</v>
      </c>
      <c r="F422">
        <v>5</v>
      </c>
    </row>
    <row r="423" spans="1:6" x14ac:dyDescent="0.25">
      <c r="A423">
        <v>2159</v>
      </c>
      <c r="B423" t="s">
        <v>561</v>
      </c>
      <c r="C423" t="s">
        <v>562</v>
      </c>
      <c r="D423" t="s">
        <v>13</v>
      </c>
      <c r="E423" t="s">
        <v>216</v>
      </c>
      <c r="F423">
        <v>3</v>
      </c>
    </row>
    <row r="424" spans="1:6" x14ac:dyDescent="0.25">
      <c r="A424">
        <v>2158</v>
      </c>
      <c r="B424" t="s">
        <v>496</v>
      </c>
      <c r="C424" t="s">
        <v>563</v>
      </c>
      <c r="D424" t="s">
        <v>30</v>
      </c>
      <c r="E424" t="s">
        <v>14</v>
      </c>
      <c r="F424">
        <v>5</v>
      </c>
    </row>
    <row r="425" spans="1:6" x14ac:dyDescent="0.25">
      <c r="A425">
        <v>2157</v>
      </c>
      <c r="B425" t="s">
        <v>218</v>
      </c>
      <c r="C425" t="s">
        <v>564</v>
      </c>
      <c r="D425" t="s">
        <v>13</v>
      </c>
      <c r="E425" t="s">
        <v>79</v>
      </c>
      <c r="F425">
        <v>4</v>
      </c>
    </row>
    <row r="426" spans="1:6" x14ac:dyDescent="0.25">
      <c r="A426">
        <v>2156</v>
      </c>
      <c r="B426" t="s">
        <v>496</v>
      </c>
      <c r="C426" t="s">
        <v>565</v>
      </c>
      <c r="D426" t="s">
        <v>30</v>
      </c>
      <c r="E426" t="s">
        <v>14</v>
      </c>
      <c r="F426">
        <v>2</v>
      </c>
    </row>
    <row r="427" spans="1:6" x14ac:dyDescent="0.25">
      <c r="A427">
        <v>2155</v>
      </c>
      <c r="B427" t="s">
        <v>566</v>
      </c>
      <c r="C427" t="s">
        <v>567</v>
      </c>
      <c r="D427" t="s">
        <v>13</v>
      </c>
      <c r="E427" t="s">
        <v>14</v>
      </c>
      <c r="F427">
        <v>4</v>
      </c>
    </row>
    <row r="428" spans="1:6" x14ac:dyDescent="0.25">
      <c r="A428">
        <v>2154</v>
      </c>
      <c r="B428" t="s">
        <v>566</v>
      </c>
      <c r="C428" t="s">
        <v>568</v>
      </c>
      <c r="D428" t="s">
        <v>13</v>
      </c>
      <c r="E428" t="s">
        <v>14</v>
      </c>
      <c r="F428">
        <v>4</v>
      </c>
    </row>
    <row r="429" spans="1:6" x14ac:dyDescent="0.25">
      <c r="A429">
        <v>2153</v>
      </c>
      <c r="B429" t="s">
        <v>566</v>
      </c>
      <c r="C429" t="s">
        <v>569</v>
      </c>
      <c r="D429" t="s">
        <v>13</v>
      </c>
      <c r="E429" t="s">
        <v>14</v>
      </c>
      <c r="F429">
        <v>4</v>
      </c>
    </row>
    <row r="430" spans="1:6" x14ac:dyDescent="0.25">
      <c r="A430">
        <v>2152</v>
      </c>
      <c r="B430" t="s">
        <v>566</v>
      </c>
      <c r="C430" t="s">
        <v>570</v>
      </c>
      <c r="D430" t="s">
        <v>13</v>
      </c>
      <c r="E430" t="s">
        <v>14</v>
      </c>
      <c r="F430">
        <v>5</v>
      </c>
    </row>
    <row r="431" spans="1:6" x14ac:dyDescent="0.25">
      <c r="A431">
        <v>2151</v>
      </c>
      <c r="B431" t="s">
        <v>566</v>
      </c>
      <c r="C431" t="s">
        <v>571</v>
      </c>
      <c r="D431" t="s">
        <v>13</v>
      </c>
      <c r="E431" t="s">
        <v>14</v>
      </c>
      <c r="F431">
        <v>5</v>
      </c>
    </row>
    <row r="432" spans="1:6" x14ac:dyDescent="0.25">
      <c r="A432">
        <v>2150</v>
      </c>
      <c r="B432" t="s">
        <v>566</v>
      </c>
      <c r="C432" t="s">
        <v>572</v>
      </c>
      <c r="D432" t="s">
        <v>13</v>
      </c>
      <c r="E432" t="s">
        <v>14</v>
      </c>
      <c r="F432">
        <v>3</v>
      </c>
    </row>
    <row r="433" spans="1:6" x14ac:dyDescent="0.25">
      <c r="A433">
        <v>2149</v>
      </c>
      <c r="B433" t="s">
        <v>566</v>
      </c>
      <c r="C433" t="s">
        <v>573</v>
      </c>
      <c r="D433" t="s">
        <v>13</v>
      </c>
      <c r="E433" t="s">
        <v>14</v>
      </c>
      <c r="F433">
        <v>5</v>
      </c>
    </row>
    <row r="434" spans="1:6" x14ac:dyDescent="0.25">
      <c r="A434">
        <v>2148</v>
      </c>
      <c r="B434" t="s">
        <v>566</v>
      </c>
      <c r="C434" t="s">
        <v>574</v>
      </c>
      <c r="D434" t="s">
        <v>13</v>
      </c>
      <c r="E434" t="s">
        <v>14</v>
      </c>
      <c r="F434">
        <v>5</v>
      </c>
    </row>
    <row r="435" spans="1:6" x14ac:dyDescent="0.25">
      <c r="A435">
        <v>2147</v>
      </c>
      <c r="B435" t="s">
        <v>102</v>
      </c>
      <c r="C435" t="s">
        <v>575</v>
      </c>
      <c r="D435" t="s">
        <v>9</v>
      </c>
      <c r="E435" t="s">
        <v>17</v>
      </c>
      <c r="F435">
        <v>3</v>
      </c>
    </row>
    <row r="436" spans="1:6" x14ac:dyDescent="0.25">
      <c r="A436">
        <v>2146</v>
      </c>
      <c r="B436" t="s">
        <v>374</v>
      </c>
      <c r="C436" t="s">
        <v>576</v>
      </c>
      <c r="D436" t="s">
        <v>44</v>
      </c>
      <c r="E436" t="s">
        <v>10</v>
      </c>
      <c r="F436">
        <v>3</v>
      </c>
    </row>
    <row r="437" spans="1:6" x14ac:dyDescent="0.25">
      <c r="A437">
        <v>2145</v>
      </c>
      <c r="B437" t="s">
        <v>232</v>
      </c>
      <c r="C437" t="s">
        <v>577</v>
      </c>
      <c r="D437" t="s">
        <v>9</v>
      </c>
      <c r="E437" t="s">
        <v>17</v>
      </c>
      <c r="F437">
        <v>3</v>
      </c>
    </row>
    <row r="438" spans="1:6" x14ac:dyDescent="0.25">
      <c r="A438">
        <v>2144</v>
      </c>
      <c r="B438" t="s">
        <v>15</v>
      </c>
      <c r="C438" t="s">
        <v>578</v>
      </c>
      <c r="D438" t="s">
        <v>13</v>
      </c>
      <c r="E438" t="s">
        <v>511</v>
      </c>
      <c r="F438">
        <v>4</v>
      </c>
    </row>
    <row r="439" spans="1:6" x14ac:dyDescent="0.25">
      <c r="A439">
        <v>2143</v>
      </c>
      <c r="B439" t="s">
        <v>579</v>
      </c>
      <c r="C439" t="s">
        <v>580</v>
      </c>
      <c r="D439" t="s">
        <v>13</v>
      </c>
      <c r="E439" t="s">
        <v>53</v>
      </c>
      <c r="F439">
        <v>3</v>
      </c>
    </row>
    <row r="440" spans="1:6" x14ac:dyDescent="0.25">
      <c r="A440">
        <v>2142</v>
      </c>
      <c r="B440" t="s">
        <v>102</v>
      </c>
      <c r="C440" t="s">
        <v>581</v>
      </c>
      <c r="D440" t="s">
        <v>44</v>
      </c>
      <c r="E440" t="s">
        <v>17</v>
      </c>
      <c r="F440">
        <v>4</v>
      </c>
    </row>
    <row r="441" spans="1:6" x14ac:dyDescent="0.25">
      <c r="A441">
        <v>2141</v>
      </c>
      <c r="B441" t="s">
        <v>15</v>
      </c>
      <c r="C441" t="s">
        <v>582</v>
      </c>
      <c r="D441" t="s">
        <v>44</v>
      </c>
      <c r="E441" t="s">
        <v>10</v>
      </c>
      <c r="F441">
        <v>5</v>
      </c>
    </row>
    <row r="442" spans="1:6" x14ac:dyDescent="0.25">
      <c r="A442">
        <v>2140</v>
      </c>
      <c r="B442" t="s">
        <v>191</v>
      </c>
      <c r="C442" t="s">
        <v>583</v>
      </c>
      <c r="D442" t="s">
        <v>44</v>
      </c>
      <c r="E442" t="s">
        <v>25</v>
      </c>
      <c r="F442">
        <v>5</v>
      </c>
    </row>
    <row r="443" spans="1:6" x14ac:dyDescent="0.25">
      <c r="A443">
        <v>2139</v>
      </c>
      <c r="B443" t="s">
        <v>445</v>
      </c>
      <c r="C443" t="s">
        <v>584</v>
      </c>
      <c r="D443" t="s">
        <v>13</v>
      </c>
      <c r="E443" t="s">
        <v>46</v>
      </c>
      <c r="F443">
        <v>4</v>
      </c>
    </row>
    <row r="444" spans="1:6" x14ac:dyDescent="0.25">
      <c r="A444">
        <v>2138</v>
      </c>
      <c r="B444" t="s">
        <v>445</v>
      </c>
      <c r="C444" t="s">
        <v>585</v>
      </c>
      <c r="D444" t="s">
        <v>13</v>
      </c>
      <c r="E444" t="s">
        <v>46</v>
      </c>
      <c r="F444">
        <v>4</v>
      </c>
    </row>
    <row r="445" spans="1:6" x14ac:dyDescent="0.25">
      <c r="A445">
        <v>2137</v>
      </c>
      <c r="B445" t="s">
        <v>15</v>
      </c>
      <c r="C445" t="s">
        <v>586</v>
      </c>
      <c r="D445" t="s">
        <v>13</v>
      </c>
      <c r="E445" t="s">
        <v>46</v>
      </c>
      <c r="F445">
        <v>4</v>
      </c>
    </row>
    <row r="446" spans="1:6" x14ac:dyDescent="0.25">
      <c r="A446">
        <v>2136</v>
      </c>
      <c r="B446" t="s">
        <v>15</v>
      </c>
      <c r="C446" t="s">
        <v>587</v>
      </c>
      <c r="D446" t="s">
        <v>13</v>
      </c>
      <c r="E446" t="s">
        <v>46</v>
      </c>
      <c r="F446">
        <v>4</v>
      </c>
    </row>
    <row r="447" spans="1:6" x14ac:dyDescent="0.25">
      <c r="A447">
        <v>2135</v>
      </c>
      <c r="B447" t="s">
        <v>588</v>
      </c>
      <c r="C447" t="s">
        <v>589</v>
      </c>
      <c r="D447" t="s">
        <v>13</v>
      </c>
      <c r="E447" t="s">
        <v>46</v>
      </c>
      <c r="F447">
        <v>2</v>
      </c>
    </row>
    <row r="448" spans="1:6" x14ac:dyDescent="0.25">
      <c r="A448">
        <v>2134</v>
      </c>
      <c r="B448" t="s">
        <v>590</v>
      </c>
      <c r="C448" t="s">
        <v>523</v>
      </c>
      <c r="D448" t="s">
        <v>13</v>
      </c>
      <c r="E448" t="s">
        <v>46</v>
      </c>
      <c r="F448">
        <v>4</v>
      </c>
    </row>
    <row r="449" spans="1:6" x14ac:dyDescent="0.25">
      <c r="A449">
        <v>2133</v>
      </c>
      <c r="B449" t="s">
        <v>15</v>
      </c>
      <c r="C449" t="s">
        <v>591</v>
      </c>
      <c r="D449" t="s">
        <v>44</v>
      </c>
      <c r="E449" t="s">
        <v>10</v>
      </c>
      <c r="F449">
        <v>5</v>
      </c>
    </row>
    <row r="450" spans="1:6" x14ac:dyDescent="0.25">
      <c r="A450">
        <v>2132</v>
      </c>
      <c r="B450" t="s">
        <v>102</v>
      </c>
      <c r="C450" t="s">
        <v>592</v>
      </c>
      <c r="D450" t="s">
        <v>9</v>
      </c>
      <c r="E450" t="s">
        <v>17</v>
      </c>
      <c r="F450">
        <v>5</v>
      </c>
    </row>
    <row r="451" spans="1:6" x14ac:dyDescent="0.25">
      <c r="A451">
        <v>2131</v>
      </c>
      <c r="B451" t="s">
        <v>183</v>
      </c>
      <c r="C451" t="s">
        <v>593</v>
      </c>
      <c r="D451" t="s">
        <v>13</v>
      </c>
      <c r="E451" t="s">
        <v>35</v>
      </c>
      <c r="F451">
        <v>4</v>
      </c>
    </row>
    <row r="452" spans="1:6" x14ac:dyDescent="0.25">
      <c r="A452">
        <v>2130</v>
      </c>
      <c r="B452" t="s">
        <v>224</v>
      </c>
      <c r="C452" t="s">
        <v>594</v>
      </c>
      <c r="D452" t="s">
        <v>13</v>
      </c>
      <c r="E452" t="s">
        <v>46</v>
      </c>
      <c r="F452">
        <v>4</v>
      </c>
    </row>
    <row r="453" spans="1:6" x14ac:dyDescent="0.25">
      <c r="A453">
        <v>2129</v>
      </c>
      <c r="B453" t="s">
        <v>595</v>
      </c>
      <c r="C453" t="s">
        <v>596</v>
      </c>
      <c r="D453" t="s">
        <v>13</v>
      </c>
      <c r="E453" t="s">
        <v>69</v>
      </c>
      <c r="F453">
        <v>5</v>
      </c>
    </row>
    <row r="454" spans="1:6" x14ac:dyDescent="0.25">
      <c r="A454">
        <v>2128</v>
      </c>
      <c r="B454" t="s">
        <v>374</v>
      </c>
      <c r="C454" t="s">
        <v>597</v>
      </c>
      <c r="D454" t="s">
        <v>9</v>
      </c>
      <c r="E454" t="s">
        <v>10</v>
      </c>
      <c r="F454">
        <v>4</v>
      </c>
    </row>
    <row r="455" spans="1:6" x14ac:dyDescent="0.25">
      <c r="A455">
        <v>2127</v>
      </c>
      <c r="B455" t="s">
        <v>398</v>
      </c>
      <c r="C455" t="s">
        <v>598</v>
      </c>
      <c r="D455" t="s">
        <v>9</v>
      </c>
      <c r="E455" t="s">
        <v>340</v>
      </c>
      <c r="F455">
        <v>2.25</v>
      </c>
    </row>
    <row r="456" spans="1:6" x14ac:dyDescent="0.25">
      <c r="A456">
        <v>2126</v>
      </c>
      <c r="B456" t="s">
        <v>15</v>
      </c>
      <c r="C456" t="s">
        <v>599</v>
      </c>
      <c r="D456" t="s">
        <v>44</v>
      </c>
      <c r="E456" t="s">
        <v>10</v>
      </c>
      <c r="F456">
        <v>5</v>
      </c>
    </row>
    <row r="457" spans="1:6" x14ac:dyDescent="0.25">
      <c r="A457">
        <v>2125</v>
      </c>
      <c r="B457" t="s">
        <v>549</v>
      </c>
      <c r="C457" t="s">
        <v>85</v>
      </c>
      <c r="D457" t="s">
        <v>13</v>
      </c>
      <c r="E457" t="s">
        <v>35</v>
      </c>
      <c r="F457">
        <v>4</v>
      </c>
    </row>
    <row r="458" spans="1:6" x14ac:dyDescent="0.25">
      <c r="A458">
        <v>2124</v>
      </c>
      <c r="B458" t="s">
        <v>600</v>
      </c>
      <c r="C458" t="s">
        <v>601</v>
      </c>
      <c r="D458" t="s">
        <v>44</v>
      </c>
      <c r="E458" t="s">
        <v>38</v>
      </c>
      <c r="F458">
        <v>3.5</v>
      </c>
    </row>
    <row r="459" spans="1:6" x14ac:dyDescent="0.25">
      <c r="A459">
        <v>2123</v>
      </c>
      <c r="B459" t="s">
        <v>15</v>
      </c>
      <c r="C459" t="s">
        <v>602</v>
      </c>
      <c r="D459" t="s">
        <v>9</v>
      </c>
      <c r="E459" t="s">
        <v>38</v>
      </c>
      <c r="F459">
        <v>5</v>
      </c>
    </row>
    <row r="460" spans="1:6" x14ac:dyDescent="0.25">
      <c r="A460">
        <v>2122</v>
      </c>
      <c r="B460" t="s">
        <v>15</v>
      </c>
      <c r="C460" t="s">
        <v>603</v>
      </c>
      <c r="D460" t="s">
        <v>13</v>
      </c>
      <c r="E460" t="s">
        <v>38</v>
      </c>
      <c r="F460">
        <v>5</v>
      </c>
    </row>
    <row r="461" spans="1:6" x14ac:dyDescent="0.25">
      <c r="A461">
        <v>2121</v>
      </c>
      <c r="B461" t="s">
        <v>15</v>
      </c>
      <c r="C461" t="s">
        <v>604</v>
      </c>
      <c r="D461" t="s">
        <v>13</v>
      </c>
      <c r="E461" t="s">
        <v>38</v>
      </c>
      <c r="F461">
        <v>4</v>
      </c>
    </row>
    <row r="462" spans="1:6" x14ac:dyDescent="0.25">
      <c r="A462">
        <v>2120</v>
      </c>
      <c r="B462" t="s">
        <v>15</v>
      </c>
      <c r="C462" t="s">
        <v>605</v>
      </c>
      <c r="D462" t="s">
        <v>9</v>
      </c>
      <c r="E462" t="s">
        <v>38</v>
      </c>
      <c r="F462">
        <v>3.5</v>
      </c>
    </row>
    <row r="463" spans="1:6" x14ac:dyDescent="0.25">
      <c r="A463">
        <v>2119</v>
      </c>
      <c r="B463" t="s">
        <v>15</v>
      </c>
      <c r="C463" t="s">
        <v>606</v>
      </c>
      <c r="D463" t="s">
        <v>9</v>
      </c>
      <c r="E463" t="s">
        <v>38</v>
      </c>
      <c r="F463">
        <v>3.5</v>
      </c>
    </row>
    <row r="464" spans="1:6" x14ac:dyDescent="0.25">
      <c r="A464">
        <v>2118</v>
      </c>
      <c r="B464" t="s">
        <v>15</v>
      </c>
      <c r="C464" t="s">
        <v>607</v>
      </c>
      <c r="D464" t="s">
        <v>9</v>
      </c>
      <c r="E464" t="s">
        <v>38</v>
      </c>
      <c r="F464">
        <v>3.25</v>
      </c>
    </row>
    <row r="465" spans="1:6" x14ac:dyDescent="0.25">
      <c r="A465">
        <v>2117</v>
      </c>
      <c r="B465" t="s">
        <v>600</v>
      </c>
      <c r="C465" t="s">
        <v>608</v>
      </c>
      <c r="D465" t="s">
        <v>44</v>
      </c>
      <c r="E465" t="s">
        <v>38</v>
      </c>
      <c r="F465">
        <v>4</v>
      </c>
    </row>
    <row r="466" spans="1:6" x14ac:dyDescent="0.25">
      <c r="A466">
        <v>2116</v>
      </c>
      <c r="B466" t="s">
        <v>15</v>
      </c>
      <c r="C466" t="s">
        <v>609</v>
      </c>
      <c r="D466" t="s">
        <v>13</v>
      </c>
      <c r="E466" t="s">
        <v>38</v>
      </c>
      <c r="F466">
        <v>4</v>
      </c>
    </row>
    <row r="467" spans="1:6" x14ac:dyDescent="0.25">
      <c r="A467">
        <v>2115</v>
      </c>
      <c r="B467" t="s">
        <v>15</v>
      </c>
      <c r="C467" t="s">
        <v>610</v>
      </c>
      <c r="D467" t="s">
        <v>9</v>
      </c>
      <c r="E467" t="s">
        <v>38</v>
      </c>
      <c r="F467">
        <v>4</v>
      </c>
    </row>
    <row r="468" spans="1:6" x14ac:dyDescent="0.25">
      <c r="A468">
        <v>2114</v>
      </c>
      <c r="B468" t="s">
        <v>15</v>
      </c>
      <c r="C468" t="s">
        <v>611</v>
      </c>
      <c r="D468" t="s">
        <v>13</v>
      </c>
      <c r="E468" t="s">
        <v>38</v>
      </c>
      <c r="F468">
        <v>3.5</v>
      </c>
    </row>
    <row r="469" spans="1:6" x14ac:dyDescent="0.25">
      <c r="A469">
        <v>2113</v>
      </c>
      <c r="B469" t="s">
        <v>15</v>
      </c>
      <c r="C469" t="s">
        <v>612</v>
      </c>
      <c r="D469" t="s">
        <v>9</v>
      </c>
      <c r="E469" t="s">
        <v>38</v>
      </c>
      <c r="F469">
        <v>4</v>
      </c>
    </row>
    <row r="470" spans="1:6" x14ac:dyDescent="0.25">
      <c r="A470">
        <v>2112</v>
      </c>
      <c r="B470" t="s">
        <v>15</v>
      </c>
      <c r="C470" t="s">
        <v>613</v>
      </c>
      <c r="D470" t="s">
        <v>13</v>
      </c>
      <c r="E470" t="s">
        <v>38</v>
      </c>
      <c r="F470">
        <v>4</v>
      </c>
    </row>
    <row r="471" spans="1:6" x14ac:dyDescent="0.25">
      <c r="A471">
        <v>2111</v>
      </c>
      <c r="B471" t="s">
        <v>15</v>
      </c>
      <c r="C471" t="s">
        <v>614</v>
      </c>
      <c r="D471" t="s">
        <v>9</v>
      </c>
      <c r="E471" t="s">
        <v>46</v>
      </c>
      <c r="F471">
        <v>3.75</v>
      </c>
    </row>
    <row r="472" spans="1:6" x14ac:dyDescent="0.25">
      <c r="A472">
        <v>2110</v>
      </c>
      <c r="B472" t="s">
        <v>463</v>
      </c>
      <c r="C472" t="s">
        <v>615</v>
      </c>
      <c r="D472" t="s">
        <v>13</v>
      </c>
      <c r="E472" t="s">
        <v>465</v>
      </c>
      <c r="F472">
        <v>3</v>
      </c>
    </row>
    <row r="473" spans="1:6" x14ac:dyDescent="0.25">
      <c r="A473">
        <v>2109</v>
      </c>
      <c r="B473" t="s">
        <v>616</v>
      </c>
      <c r="C473" t="s">
        <v>617</v>
      </c>
      <c r="D473" t="s">
        <v>13</v>
      </c>
      <c r="E473" t="s">
        <v>14</v>
      </c>
      <c r="F473">
        <v>4.3</v>
      </c>
    </row>
    <row r="474" spans="1:6" x14ac:dyDescent="0.25">
      <c r="A474">
        <v>2108</v>
      </c>
      <c r="B474" t="s">
        <v>618</v>
      </c>
      <c r="C474" t="s">
        <v>619</v>
      </c>
      <c r="D474" t="s">
        <v>13</v>
      </c>
      <c r="E474" t="s">
        <v>14</v>
      </c>
      <c r="F474">
        <v>1</v>
      </c>
    </row>
    <row r="475" spans="1:6" x14ac:dyDescent="0.25">
      <c r="A475">
        <v>2107</v>
      </c>
      <c r="B475" t="s">
        <v>15</v>
      </c>
      <c r="C475" t="s">
        <v>620</v>
      </c>
      <c r="D475" t="s">
        <v>13</v>
      </c>
      <c r="E475" t="s">
        <v>511</v>
      </c>
      <c r="F475">
        <v>4.5</v>
      </c>
    </row>
    <row r="476" spans="1:6" x14ac:dyDescent="0.25">
      <c r="A476">
        <v>2106</v>
      </c>
      <c r="B476" t="s">
        <v>621</v>
      </c>
      <c r="C476" t="s">
        <v>622</v>
      </c>
      <c r="D476" t="s">
        <v>13</v>
      </c>
      <c r="E476" t="s">
        <v>10</v>
      </c>
      <c r="F476">
        <v>3.5</v>
      </c>
    </row>
    <row r="477" spans="1:6" x14ac:dyDescent="0.25">
      <c r="A477">
        <v>2105</v>
      </c>
      <c r="B477" t="s">
        <v>102</v>
      </c>
      <c r="C477" t="s">
        <v>623</v>
      </c>
      <c r="D477" t="s">
        <v>13</v>
      </c>
      <c r="E477" t="s">
        <v>17</v>
      </c>
      <c r="F477">
        <v>3</v>
      </c>
    </row>
    <row r="478" spans="1:6" x14ac:dyDescent="0.25">
      <c r="A478">
        <v>2104</v>
      </c>
      <c r="B478" t="s">
        <v>191</v>
      </c>
      <c r="C478" t="s">
        <v>624</v>
      </c>
      <c r="D478" t="s">
        <v>44</v>
      </c>
      <c r="E478" t="s">
        <v>25</v>
      </c>
      <c r="F478">
        <v>4</v>
      </c>
    </row>
    <row r="479" spans="1:6" x14ac:dyDescent="0.25">
      <c r="A479">
        <v>2103</v>
      </c>
      <c r="B479" t="s">
        <v>505</v>
      </c>
      <c r="C479" t="s">
        <v>625</v>
      </c>
      <c r="D479" t="s">
        <v>13</v>
      </c>
      <c r="E479" t="s">
        <v>17</v>
      </c>
      <c r="F479">
        <v>0</v>
      </c>
    </row>
    <row r="480" spans="1:6" x14ac:dyDescent="0.25">
      <c r="A480">
        <v>2102</v>
      </c>
      <c r="B480" t="s">
        <v>15</v>
      </c>
      <c r="C480" t="s">
        <v>626</v>
      </c>
      <c r="D480" t="s">
        <v>9</v>
      </c>
      <c r="E480" t="s">
        <v>10</v>
      </c>
      <c r="F480">
        <v>5</v>
      </c>
    </row>
    <row r="481" spans="1:6" x14ac:dyDescent="0.25">
      <c r="A481">
        <v>2101</v>
      </c>
      <c r="B481" t="s">
        <v>23</v>
      </c>
      <c r="C481" t="s">
        <v>627</v>
      </c>
      <c r="D481" t="s">
        <v>13</v>
      </c>
      <c r="E481" t="s">
        <v>25</v>
      </c>
      <c r="F481">
        <v>4</v>
      </c>
    </row>
    <row r="482" spans="1:6" x14ac:dyDescent="0.25">
      <c r="A482">
        <v>2100</v>
      </c>
      <c r="B482" t="s">
        <v>183</v>
      </c>
      <c r="C482" t="s">
        <v>628</v>
      </c>
      <c r="D482" t="s">
        <v>13</v>
      </c>
      <c r="E482" t="s">
        <v>35</v>
      </c>
      <c r="F482">
        <v>4</v>
      </c>
    </row>
    <row r="483" spans="1:6" x14ac:dyDescent="0.25">
      <c r="A483">
        <v>2099</v>
      </c>
      <c r="B483" t="s">
        <v>629</v>
      </c>
      <c r="C483" t="s">
        <v>630</v>
      </c>
      <c r="D483" t="s">
        <v>44</v>
      </c>
      <c r="E483" t="s">
        <v>10</v>
      </c>
      <c r="F483">
        <v>4</v>
      </c>
    </row>
    <row r="484" spans="1:6" x14ac:dyDescent="0.25">
      <c r="A484">
        <v>2098</v>
      </c>
      <c r="B484" t="s">
        <v>41</v>
      </c>
      <c r="C484" t="s">
        <v>631</v>
      </c>
      <c r="D484" t="s">
        <v>9</v>
      </c>
      <c r="E484" t="s">
        <v>17</v>
      </c>
      <c r="F484">
        <v>5</v>
      </c>
    </row>
    <row r="485" spans="1:6" x14ac:dyDescent="0.25">
      <c r="A485">
        <v>2097</v>
      </c>
      <c r="B485" t="s">
        <v>595</v>
      </c>
      <c r="C485" t="s">
        <v>632</v>
      </c>
      <c r="D485" t="s">
        <v>13</v>
      </c>
      <c r="E485" t="s">
        <v>69</v>
      </c>
      <c r="F485">
        <v>5</v>
      </c>
    </row>
    <row r="486" spans="1:6" x14ac:dyDescent="0.25">
      <c r="A486">
        <v>2096</v>
      </c>
      <c r="B486" t="s">
        <v>102</v>
      </c>
      <c r="C486" t="s">
        <v>633</v>
      </c>
      <c r="D486" t="s">
        <v>44</v>
      </c>
      <c r="E486" t="s">
        <v>10</v>
      </c>
      <c r="F486">
        <v>4</v>
      </c>
    </row>
    <row r="487" spans="1:6" x14ac:dyDescent="0.25">
      <c r="A487">
        <v>2095</v>
      </c>
      <c r="B487" t="s">
        <v>15</v>
      </c>
      <c r="C487" t="s">
        <v>634</v>
      </c>
      <c r="D487" t="s">
        <v>13</v>
      </c>
      <c r="E487" t="s">
        <v>35</v>
      </c>
      <c r="F487">
        <v>5</v>
      </c>
    </row>
    <row r="488" spans="1:6" x14ac:dyDescent="0.25">
      <c r="A488">
        <v>2094</v>
      </c>
      <c r="B488" t="s">
        <v>41</v>
      </c>
      <c r="C488" t="s">
        <v>635</v>
      </c>
      <c r="D488" t="s">
        <v>13</v>
      </c>
      <c r="E488" t="s">
        <v>25</v>
      </c>
      <c r="F488">
        <v>5</v>
      </c>
    </row>
    <row r="489" spans="1:6" x14ac:dyDescent="0.25">
      <c r="A489">
        <v>2093</v>
      </c>
      <c r="B489" t="s">
        <v>616</v>
      </c>
      <c r="C489" t="s">
        <v>636</v>
      </c>
      <c r="D489" t="s">
        <v>13</v>
      </c>
      <c r="E489" t="s">
        <v>14</v>
      </c>
      <c r="F489">
        <v>2</v>
      </c>
    </row>
    <row r="490" spans="1:6" x14ac:dyDescent="0.25">
      <c r="A490">
        <v>2092</v>
      </c>
      <c r="B490" t="s">
        <v>588</v>
      </c>
      <c r="C490" t="s">
        <v>637</v>
      </c>
      <c r="D490" t="s">
        <v>13</v>
      </c>
      <c r="E490" t="s">
        <v>46</v>
      </c>
      <c r="F490">
        <v>4</v>
      </c>
    </row>
    <row r="491" spans="1:6" x14ac:dyDescent="0.25">
      <c r="A491">
        <v>2091</v>
      </c>
      <c r="B491" t="s">
        <v>67</v>
      </c>
      <c r="C491" t="s">
        <v>638</v>
      </c>
      <c r="D491" t="s">
        <v>9</v>
      </c>
      <c r="E491" t="s">
        <v>69</v>
      </c>
      <c r="F491">
        <v>5</v>
      </c>
    </row>
    <row r="492" spans="1:6" x14ac:dyDescent="0.25">
      <c r="A492">
        <v>2090</v>
      </c>
      <c r="B492" t="s">
        <v>15</v>
      </c>
      <c r="C492" t="s">
        <v>639</v>
      </c>
      <c r="D492" t="s">
        <v>13</v>
      </c>
      <c r="E492" t="s">
        <v>46</v>
      </c>
      <c r="F492">
        <v>5</v>
      </c>
    </row>
    <row r="493" spans="1:6" x14ac:dyDescent="0.25">
      <c r="A493">
        <v>2089</v>
      </c>
      <c r="B493" t="s">
        <v>15</v>
      </c>
      <c r="C493" t="s">
        <v>640</v>
      </c>
      <c r="D493" t="s">
        <v>9</v>
      </c>
      <c r="E493" t="s">
        <v>46</v>
      </c>
      <c r="F493">
        <v>5</v>
      </c>
    </row>
    <row r="494" spans="1:6" x14ac:dyDescent="0.25">
      <c r="A494">
        <v>2088</v>
      </c>
      <c r="B494" t="s">
        <v>15</v>
      </c>
      <c r="C494" t="s">
        <v>641</v>
      </c>
      <c r="D494" t="s">
        <v>44</v>
      </c>
      <c r="E494" t="s">
        <v>46</v>
      </c>
      <c r="F494">
        <v>4</v>
      </c>
    </row>
    <row r="495" spans="1:6" x14ac:dyDescent="0.25">
      <c r="A495">
        <v>2087</v>
      </c>
      <c r="B495" t="s">
        <v>15</v>
      </c>
      <c r="C495" t="s">
        <v>642</v>
      </c>
      <c r="D495" t="s">
        <v>13</v>
      </c>
      <c r="E495" t="s">
        <v>46</v>
      </c>
      <c r="F495">
        <v>4</v>
      </c>
    </row>
    <row r="496" spans="1:6" x14ac:dyDescent="0.25">
      <c r="A496">
        <v>2086</v>
      </c>
      <c r="B496" t="s">
        <v>15</v>
      </c>
      <c r="C496" t="s">
        <v>643</v>
      </c>
      <c r="D496" t="s">
        <v>13</v>
      </c>
      <c r="E496" t="s">
        <v>46</v>
      </c>
      <c r="F496">
        <v>5</v>
      </c>
    </row>
    <row r="497" spans="1:6" x14ac:dyDescent="0.25">
      <c r="A497">
        <v>2085</v>
      </c>
      <c r="B497" t="s">
        <v>445</v>
      </c>
      <c r="C497" t="s">
        <v>644</v>
      </c>
      <c r="D497" t="s">
        <v>44</v>
      </c>
      <c r="E497" t="s">
        <v>46</v>
      </c>
      <c r="F497">
        <v>5</v>
      </c>
    </row>
    <row r="498" spans="1:6" x14ac:dyDescent="0.25">
      <c r="A498">
        <v>2084</v>
      </c>
      <c r="B498" t="s">
        <v>15</v>
      </c>
      <c r="C498" t="s">
        <v>645</v>
      </c>
      <c r="D498" t="s">
        <v>13</v>
      </c>
      <c r="E498" t="s">
        <v>46</v>
      </c>
      <c r="F498">
        <v>5</v>
      </c>
    </row>
    <row r="499" spans="1:6" x14ac:dyDescent="0.25">
      <c r="A499">
        <v>2083</v>
      </c>
      <c r="B499" t="s">
        <v>15</v>
      </c>
      <c r="C499" t="s">
        <v>646</v>
      </c>
      <c r="D499" t="s">
        <v>13</v>
      </c>
      <c r="E499" t="s">
        <v>46</v>
      </c>
      <c r="F499">
        <v>5</v>
      </c>
    </row>
    <row r="500" spans="1:6" x14ac:dyDescent="0.25">
      <c r="A500">
        <v>2082</v>
      </c>
      <c r="B500" t="s">
        <v>15</v>
      </c>
      <c r="C500" t="s">
        <v>647</v>
      </c>
      <c r="D500" t="s">
        <v>9</v>
      </c>
      <c r="E500" t="s">
        <v>46</v>
      </c>
      <c r="F500">
        <v>4</v>
      </c>
    </row>
    <row r="501" spans="1:6" x14ac:dyDescent="0.25">
      <c r="A501">
        <v>2081</v>
      </c>
      <c r="B501" t="s">
        <v>15</v>
      </c>
      <c r="C501" t="s">
        <v>648</v>
      </c>
      <c r="D501" t="s">
        <v>9</v>
      </c>
      <c r="E501" t="s">
        <v>46</v>
      </c>
      <c r="F501">
        <v>4</v>
      </c>
    </row>
    <row r="502" spans="1:6" x14ac:dyDescent="0.25">
      <c r="A502">
        <v>2080</v>
      </c>
      <c r="B502" t="s">
        <v>445</v>
      </c>
      <c r="C502" t="s">
        <v>649</v>
      </c>
      <c r="D502" t="s">
        <v>13</v>
      </c>
      <c r="E502" t="s">
        <v>46</v>
      </c>
      <c r="F502">
        <v>4</v>
      </c>
    </row>
    <row r="503" spans="1:6" x14ac:dyDescent="0.25">
      <c r="A503">
        <v>2079</v>
      </c>
      <c r="B503" t="s">
        <v>15</v>
      </c>
      <c r="C503" t="s">
        <v>650</v>
      </c>
      <c r="D503" t="s">
        <v>9</v>
      </c>
      <c r="E503" t="s">
        <v>46</v>
      </c>
      <c r="F503">
        <v>5</v>
      </c>
    </row>
    <row r="504" spans="1:6" x14ac:dyDescent="0.25">
      <c r="A504">
        <v>2078</v>
      </c>
      <c r="B504" t="s">
        <v>15</v>
      </c>
      <c r="C504" t="s">
        <v>651</v>
      </c>
      <c r="D504" t="s">
        <v>9</v>
      </c>
      <c r="E504" t="s">
        <v>46</v>
      </c>
      <c r="F504">
        <v>4</v>
      </c>
    </row>
    <row r="505" spans="1:6" x14ac:dyDescent="0.25">
      <c r="A505">
        <v>2077</v>
      </c>
      <c r="B505" t="s">
        <v>15</v>
      </c>
      <c r="C505" t="s">
        <v>652</v>
      </c>
      <c r="D505" t="s">
        <v>9</v>
      </c>
      <c r="E505" t="s">
        <v>46</v>
      </c>
      <c r="F505">
        <v>5</v>
      </c>
    </row>
    <row r="506" spans="1:6" x14ac:dyDescent="0.25">
      <c r="A506">
        <v>2076</v>
      </c>
      <c r="B506" t="s">
        <v>15</v>
      </c>
      <c r="C506" t="s">
        <v>653</v>
      </c>
      <c r="D506" t="s">
        <v>44</v>
      </c>
      <c r="E506" t="s">
        <v>46</v>
      </c>
      <c r="F506">
        <v>3.75</v>
      </c>
    </row>
    <row r="507" spans="1:6" x14ac:dyDescent="0.25">
      <c r="A507">
        <v>2075</v>
      </c>
      <c r="B507" t="s">
        <v>654</v>
      </c>
      <c r="C507" t="s">
        <v>655</v>
      </c>
      <c r="D507" t="s">
        <v>13</v>
      </c>
      <c r="E507" t="s">
        <v>73</v>
      </c>
      <c r="F507">
        <v>4.5</v>
      </c>
    </row>
    <row r="508" spans="1:6" x14ac:dyDescent="0.25">
      <c r="A508">
        <v>2074</v>
      </c>
      <c r="B508" t="s">
        <v>15</v>
      </c>
      <c r="C508" t="s">
        <v>656</v>
      </c>
      <c r="D508" t="s">
        <v>9</v>
      </c>
      <c r="E508" t="s">
        <v>216</v>
      </c>
      <c r="F508">
        <v>3.5</v>
      </c>
    </row>
    <row r="509" spans="1:6" x14ac:dyDescent="0.25">
      <c r="A509">
        <v>2073</v>
      </c>
      <c r="B509" t="s">
        <v>463</v>
      </c>
      <c r="C509" t="s">
        <v>657</v>
      </c>
      <c r="D509" t="s">
        <v>13</v>
      </c>
      <c r="E509" t="s">
        <v>465</v>
      </c>
      <c r="F509">
        <v>4</v>
      </c>
    </row>
    <row r="510" spans="1:6" x14ac:dyDescent="0.25">
      <c r="A510">
        <v>2072</v>
      </c>
      <c r="B510" t="s">
        <v>102</v>
      </c>
      <c r="C510" t="s">
        <v>658</v>
      </c>
      <c r="D510" t="s">
        <v>44</v>
      </c>
      <c r="E510" t="s">
        <v>17</v>
      </c>
      <c r="F510">
        <v>5</v>
      </c>
    </row>
    <row r="511" spans="1:6" x14ac:dyDescent="0.25">
      <c r="A511">
        <v>2071</v>
      </c>
      <c r="B511" t="s">
        <v>496</v>
      </c>
      <c r="C511" t="s">
        <v>659</v>
      </c>
      <c r="D511" t="s">
        <v>13</v>
      </c>
      <c r="E511" t="s">
        <v>14</v>
      </c>
      <c r="F511">
        <v>5</v>
      </c>
    </row>
    <row r="512" spans="1:6" x14ac:dyDescent="0.25">
      <c r="A512">
        <v>2070</v>
      </c>
      <c r="B512" t="s">
        <v>660</v>
      </c>
      <c r="C512" t="s">
        <v>661</v>
      </c>
      <c r="D512" t="s">
        <v>44</v>
      </c>
      <c r="E512" t="s">
        <v>10</v>
      </c>
      <c r="F512">
        <v>1.75</v>
      </c>
    </row>
    <row r="513" spans="1:6" x14ac:dyDescent="0.25">
      <c r="A513">
        <v>2069</v>
      </c>
      <c r="B513" t="s">
        <v>588</v>
      </c>
      <c r="C513" t="s">
        <v>662</v>
      </c>
      <c r="D513" t="s">
        <v>13</v>
      </c>
      <c r="E513" t="s">
        <v>46</v>
      </c>
      <c r="F513">
        <v>3.75</v>
      </c>
    </row>
    <row r="514" spans="1:6" x14ac:dyDescent="0.25">
      <c r="A514">
        <v>2068</v>
      </c>
      <c r="B514" t="s">
        <v>132</v>
      </c>
      <c r="C514" t="s">
        <v>663</v>
      </c>
      <c r="D514" t="s">
        <v>13</v>
      </c>
      <c r="E514" t="s">
        <v>340</v>
      </c>
      <c r="F514">
        <v>5</v>
      </c>
    </row>
    <row r="515" spans="1:6" x14ac:dyDescent="0.25">
      <c r="A515">
        <v>2067</v>
      </c>
      <c r="B515" t="s">
        <v>23</v>
      </c>
      <c r="C515" t="s">
        <v>664</v>
      </c>
      <c r="D515" t="s">
        <v>13</v>
      </c>
      <c r="E515" t="s">
        <v>25</v>
      </c>
      <c r="F515">
        <v>4.5</v>
      </c>
    </row>
    <row r="516" spans="1:6" x14ac:dyDescent="0.25">
      <c r="A516">
        <v>2066</v>
      </c>
      <c r="B516" t="s">
        <v>329</v>
      </c>
      <c r="C516" t="s">
        <v>665</v>
      </c>
      <c r="D516" t="s">
        <v>13</v>
      </c>
      <c r="E516" t="s">
        <v>10</v>
      </c>
      <c r="F516">
        <v>5</v>
      </c>
    </row>
    <row r="517" spans="1:6" x14ac:dyDescent="0.25">
      <c r="A517">
        <v>2065</v>
      </c>
      <c r="B517" t="s">
        <v>590</v>
      </c>
      <c r="C517" t="s">
        <v>666</v>
      </c>
      <c r="D517" t="s">
        <v>13</v>
      </c>
      <c r="E517" t="s">
        <v>46</v>
      </c>
      <c r="F517">
        <v>3</v>
      </c>
    </row>
    <row r="518" spans="1:6" x14ac:dyDescent="0.25">
      <c r="A518">
        <v>2064</v>
      </c>
      <c r="B518" t="s">
        <v>41</v>
      </c>
      <c r="C518" t="s">
        <v>667</v>
      </c>
      <c r="D518" t="s">
        <v>13</v>
      </c>
      <c r="E518" t="s">
        <v>17</v>
      </c>
      <c r="F518">
        <v>5</v>
      </c>
    </row>
    <row r="519" spans="1:6" x14ac:dyDescent="0.25">
      <c r="A519">
        <v>2063</v>
      </c>
      <c r="B519" t="s">
        <v>668</v>
      </c>
      <c r="C519" t="s">
        <v>669</v>
      </c>
      <c r="D519" t="s">
        <v>13</v>
      </c>
      <c r="E519" t="s">
        <v>46</v>
      </c>
      <c r="F519">
        <v>3.25</v>
      </c>
    </row>
    <row r="520" spans="1:6" x14ac:dyDescent="0.25">
      <c r="A520">
        <v>2062</v>
      </c>
      <c r="B520" t="s">
        <v>74</v>
      </c>
      <c r="C520" t="s">
        <v>670</v>
      </c>
      <c r="D520" t="s">
        <v>13</v>
      </c>
      <c r="E520" t="s">
        <v>216</v>
      </c>
      <c r="F520">
        <v>3.75</v>
      </c>
    </row>
    <row r="521" spans="1:6" x14ac:dyDescent="0.25">
      <c r="A521">
        <v>2061</v>
      </c>
      <c r="B521" t="s">
        <v>326</v>
      </c>
      <c r="C521" t="s">
        <v>671</v>
      </c>
      <c r="D521" t="s">
        <v>30</v>
      </c>
      <c r="E521" t="s">
        <v>46</v>
      </c>
      <c r="F521">
        <v>4.25</v>
      </c>
    </row>
    <row r="522" spans="1:6" x14ac:dyDescent="0.25">
      <c r="A522">
        <v>2060</v>
      </c>
      <c r="B522" t="s">
        <v>15</v>
      </c>
      <c r="C522" t="s">
        <v>672</v>
      </c>
      <c r="D522" t="s">
        <v>9</v>
      </c>
      <c r="E522" t="s">
        <v>10</v>
      </c>
      <c r="F522">
        <v>5</v>
      </c>
    </row>
    <row r="523" spans="1:6" x14ac:dyDescent="0.25">
      <c r="A523">
        <v>2059</v>
      </c>
      <c r="B523" t="s">
        <v>590</v>
      </c>
      <c r="C523" t="s">
        <v>673</v>
      </c>
      <c r="D523" t="s">
        <v>13</v>
      </c>
      <c r="E523" t="s">
        <v>46</v>
      </c>
      <c r="F523">
        <v>2.5</v>
      </c>
    </row>
    <row r="524" spans="1:6" x14ac:dyDescent="0.25">
      <c r="A524">
        <v>2058</v>
      </c>
      <c r="B524" t="s">
        <v>674</v>
      </c>
      <c r="C524" t="s">
        <v>675</v>
      </c>
      <c r="D524" t="s">
        <v>13</v>
      </c>
      <c r="E524" t="s">
        <v>38</v>
      </c>
      <c r="F524">
        <v>3.75</v>
      </c>
    </row>
    <row r="525" spans="1:6" x14ac:dyDescent="0.25">
      <c r="A525">
        <v>2057</v>
      </c>
      <c r="B525" t="s">
        <v>15</v>
      </c>
      <c r="C525" t="s">
        <v>676</v>
      </c>
      <c r="D525" t="s">
        <v>9</v>
      </c>
      <c r="E525" t="s">
        <v>216</v>
      </c>
      <c r="F525">
        <v>3.75</v>
      </c>
    </row>
    <row r="526" spans="1:6" x14ac:dyDescent="0.25">
      <c r="A526">
        <v>2056</v>
      </c>
      <c r="B526" t="s">
        <v>677</v>
      </c>
      <c r="C526" t="s">
        <v>678</v>
      </c>
      <c r="D526" t="s">
        <v>13</v>
      </c>
      <c r="E526" t="s">
        <v>17</v>
      </c>
      <c r="F526">
        <v>0</v>
      </c>
    </row>
    <row r="527" spans="1:6" x14ac:dyDescent="0.25">
      <c r="A527">
        <v>2055</v>
      </c>
      <c r="B527" t="s">
        <v>15</v>
      </c>
      <c r="C527" t="s">
        <v>679</v>
      </c>
      <c r="D527" t="s">
        <v>44</v>
      </c>
      <c r="E527" t="s">
        <v>10</v>
      </c>
      <c r="F527">
        <v>5</v>
      </c>
    </row>
    <row r="528" spans="1:6" x14ac:dyDescent="0.25">
      <c r="A528">
        <v>2054</v>
      </c>
      <c r="B528" t="s">
        <v>398</v>
      </c>
      <c r="C528" t="s">
        <v>680</v>
      </c>
      <c r="D528" t="s">
        <v>9</v>
      </c>
      <c r="E528" t="s">
        <v>340</v>
      </c>
      <c r="F528">
        <v>3.25</v>
      </c>
    </row>
    <row r="529" spans="1:6" x14ac:dyDescent="0.25">
      <c r="A529">
        <v>2053</v>
      </c>
      <c r="B529" t="s">
        <v>102</v>
      </c>
      <c r="C529" t="s">
        <v>681</v>
      </c>
      <c r="D529" t="s">
        <v>9</v>
      </c>
      <c r="E529" t="s">
        <v>17</v>
      </c>
      <c r="F529">
        <v>3.75</v>
      </c>
    </row>
    <row r="530" spans="1:6" x14ac:dyDescent="0.25">
      <c r="A530">
        <v>2052</v>
      </c>
      <c r="B530" t="s">
        <v>135</v>
      </c>
      <c r="C530" t="s">
        <v>682</v>
      </c>
      <c r="D530" t="s">
        <v>9</v>
      </c>
      <c r="E530" t="s">
        <v>73</v>
      </c>
      <c r="F530">
        <v>3.5</v>
      </c>
    </row>
    <row r="531" spans="1:6" x14ac:dyDescent="0.25">
      <c r="A531">
        <v>2051</v>
      </c>
      <c r="B531" t="s">
        <v>218</v>
      </c>
      <c r="C531" t="s">
        <v>683</v>
      </c>
      <c r="D531" t="s">
        <v>13</v>
      </c>
      <c r="E531" t="s">
        <v>79</v>
      </c>
      <c r="F531">
        <v>3.5</v>
      </c>
    </row>
    <row r="532" spans="1:6" x14ac:dyDescent="0.25">
      <c r="A532">
        <v>2050</v>
      </c>
      <c r="B532" t="s">
        <v>67</v>
      </c>
      <c r="C532" t="s">
        <v>684</v>
      </c>
      <c r="D532" t="s">
        <v>9</v>
      </c>
      <c r="E532" t="s">
        <v>69</v>
      </c>
      <c r="F532">
        <v>5</v>
      </c>
    </row>
    <row r="533" spans="1:6" x14ac:dyDescent="0.25">
      <c r="A533">
        <v>2049</v>
      </c>
      <c r="B533" t="s">
        <v>74</v>
      </c>
      <c r="C533" t="s">
        <v>685</v>
      </c>
      <c r="D533" t="s">
        <v>13</v>
      </c>
      <c r="E533" t="s">
        <v>216</v>
      </c>
      <c r="F533">
        <v>4</v>
      </c>
    </row>
    <row r="534" spans="1:6" x14ac:dyDescent="0.25">
      <c r="A534">
        <v>2048</v>
      </c>
      <c r="B534" t="s">
        <v>26</v>
      </c>
      <c r="C534" t="s">
        <v>686</v>
      </c>
      <c r="D534" t="s">
        <v>44</v>
      </c>
      <c r="E534" t="s">
        <v>10</v>
      </c>
      <c r="F534">
        <v>3.8</v>
      </c>
    </row>
    <row r="535" spans="1:6" x14ac:dyDescent="0.25">
      <c r="A535">
        <v>2047</v>
      </c>
      <c r="B535" t="s">
        <v>616</v>
      </c>
      <c r="C535" t="s">
        <v>687</v>
      </c>
      <c r="D535" t="s">
        <v>13</v>
      </c>
      <c r="E535" t="s">
        <v>14</v>
      </c>
      <c r="F535">
        <v>5</v>
      </c>
    </row>
    <row r="536" spans="1:6" x14ac:dyDescent="0.25">
      <c r="A536">
        <v>2046</v>
      </c>
      <c r="B536" t="s">
        <v>170</v>
      </c>
      <c r="C536" t="s">
        <v>688</v>
      </c>
      <c r="D536" t="s">
        <v>13</v>
      </c>
      <c r="E536" t="s">
        <v>69</v>
      </c>
      <c r="F536">
        <v>4</v>
      </c>
    </row>
    <row r="537" spans="1:6" x14ac:dyDescent="0.25">
      <c r="A537">
        <v>2045</v>
      </c>
      <c r="B537" t="s">
        <v>463</v>
      </c>
      <c r="C537" t="s">
        <v>689</v>
      </c>
      <c r="D537" t="s">
        <v>13</v>
      </c>
      <c r="E537" t="s">
        <v>465</v>
      </c>
      <c r="F537">
        <v>3.5</v>
      </c>
    </row>
    <row r="538" spans="1:6" x14ac:dyDescent="0.25">
      <c r="A538">
        <v>2044</v>
      </c>
      <c r="B538" t="s">
        <v>588</v>
      </c>
      <c r="C538" t="s">
        <v>690</v>
      </c>
      <c r="D538" t="s">
        <v>9</v>
      </c>
      <c r="E538" t="s">
        <v>46</v>
      </c>
      <c r="F538">
        <v>3</v>
      </c>
    </row>
    <row r="539" spans="1:6" x14ac:dyDescent="0.25">
      <c r="A539">
        <v>2043</v>
      </c>
      <c r="B539" t="s">
        <v>691</v>
      </c>
      <c r="C539" t="s">
        <v>692</v>
      </c>
      <c r="D539" t="s">
        <v>44</v>
      </c>
      <c r="E539" t="s">
        <v>69</v>
      </c>
      <c r="F539">
        <v>5</v>
      </c>
    </row>
    <row r="540" spans="1:6" x14ac:dyDescent="0.25">
      <c r="A540">
        <v>2042</v>
      </c>
      <c r="B540" t="s">
        <v>398</v>
      </c>
      <c r="C540" t="s">
        <v>693</v>
      </c>
      <c r="D540" t="s">
        <v>9</v>
      </c>
      <c r="E540" t="s">
        <v>340</v>
      </c>
      <c r="F540">
        <v>4.3</v>
      </c>
    </row>
    <row r="541" spans="1:6" x14ac:dyDescent="0.25">
      <c r="A541">
        <v>2041</v>
      </c>
      <c r="B541" t="s">
        <v>218</v>
      </c>
      <c r="C541" t="s">
        <v>694</v>
      </c>
      <c r="D541" t="s">
        <v>13</v>
      </c>
      <c r="E541" t="s">
        <v>79</v>
      </c>
      <c r="F541">
        <v>4.5</v>
      </c>
    </row>
    <row r="542" spans="1:6" x14ac:dyDescent="0.25">
      <c r="A542">
        <v>2040</v>
      </c>
      <c r="B542" t="s">
        <v>15</v>
      </c>
      <c r="C542" t="s">
        <v>695</v>
      </c>
      <c r="D542" t="s">
        <v>9</v>
      </c>
      <c r="E542" t="s">
        <v>511</v>
      </c>
      <c r="F542">
        <v>5</v>
      </c>
    </row>
    <row r="543" spans="1:6" x14ac:dyDescent="0.25">
      <c r="A543">
        <v>2039</v>
      </c>
      <c r="B543" t="s">
        <v>660</v>
      </c>
      <c r="C543" t="s">
        <v>630</v>
      </c>
      <c r="D543" t="s">
        <v>44</v>
      </c>
      <c r="E543" t="s">
        <v>10</v>
      </c>
      <c r="F543">
        <v>5</v>
      </c>
    </row>
    <row r="544" spans="1:6" x14ac:dyDescent="0.25">
      <c r="A544">
        <v>2038</v>
      </c>
      <c r="B544" t="s">
        <v>696</v>
      </c>
      <c r="C544" t="s">
        <v>697</v>
      </c>
      <c r="D544" t="s">
        <v>13</v>
      </c>
      <c r="E544" t="s">
        <v>69</v>
      </c>
      <c r="F544">
        <v>1.5</v>
      </c>
    </row>
    <row r="545" spans="1:6" x14ac:dyDescent="0.25">
      <c r="A545">
        <v>2037</v>
      </c>
      <c r="B545" t="s">
        <v>698</v>
      </c>
      <c r="C545" t="s">
        <v>699</v>
      </c>
      <c r="D545" t="s">
        <v>13</v>
      </c>
      <c r="E545" t="s">
        <v>25</v>
      </c>
      <c r="F545">
        <v>3.5</v>
      </c>
    </row>
    <row r="546" spans="1:6" x14ac:dyDescent="0.25">
      <c r="A546">
        <v>2036</v>
      </c>
      <c r="B546" t="s">
        <v>496</v>
      </c>
      <c r="C546" t="s">
        <v>700</v>
      </c>
      <c r="D546" t="s">
        <v>13</v>
      </c>
      <c r="E546" t="s">
        <v>14</v>
      </c>
      <c r="F546">
        <v>4.25</v>
      </c>
    </row>
    <row r="547" spans="1:6" x14ac:dyDescent="0.25">
      <c r="A547">
        <v>2035</v>
      </c>
      <c r="B547" t="s">
        <v>26</v>
      </c>
      <c r="C547" t="s">
        <v>701</v>
      </c>
      <c r="D547" t="s">
        <v>9</v>
      </c>
      <c r="E547" t="s">
        <v>10</v>
      </c>
      <c r="F547">
        <v>3.5</v>
      </c>
    </row>
    <row r="548" spans="1:6" x14ac:dyDescent="0.25">
      <c r="A548">
        <v>2034</v>
      </c>
      <c r="B548" t="s">
        <v>338</v>
      </c>
      <c r="C548" t="s">
        <v>702</v>
      </c>
      <c r="D548" t="s">
        <v>9</v>
      </c>
      <c r="E548" t="s">
        <v>340</v>
      </c>
      <c r="F548">
        <v>3.25</v>
      </c>
    </row>
    <row r="549" spans="1:6" x14ac:dyDescent="0.25">
      <c r="A549">
        <v>2033</v>
      </c>
      <c r="B549" t="s">
        <v>703</v>
      </c>
      <c r="C549" t="s">
        <v>704</v>
      </c>
      <c r="D549" t="s">
        <v>13</v>
      </c>
      <c r="E549" t="s">
        <v>22</v>
      </c>
      <c r="F549">
        <v>2.5</v>
      </c>
    </row>
    <row r="550" spans="1:6" x14ac:dyDescent="0.25">
      <c r="A550">
        <v>2032</v>
      </c>
      <c r="B550" t="s">
        <v>326</v>
      </c>
      <c r="C550" t="s">
        <v>705</v>
      </c>
      <c r="D550" t="s">
        <v>44</v>
      </c>
      <c r="E550" t="s">
        <v>46</v>
      </c>
      <c r="F550">
        <v>3.75</v>
      </c>
    </row>
    <row r="551" spans="1:6" x14ac:dyDescent="0.25">
      <c r="A551">
        <v>2031</v>
      </c>
      <c r="B551" t="s">
        <v>595</v>
      </c>
      <c r="C551" t="s">
        <v>706</v>
      </c>
      <c r="D551" t="s">
        <v>13</v>
      </c>
      <c r="E551" t="s">
        <v>69</v>
      </c>
      <c r="F551">
        <v>5</v>
      </c>
    </row>
    <row r="552" spans="1:6" x14ac:dyDescent="0.25">
      <c r="A552">
        <v>2030</v>
      </c>
      <c r="B552" t="s">
        <v>183</v>
      </c>
      <c r="C552" t="s">
        <v>707</v>
      </c>
      <c r="D552" t="s">
        <v>13</v>
      </c>
      <c r="E552" t="s">
        <v>10</v>
      </c>
      <c r="F552">
        <v>3.75</v>
      </c>
    </row>
    <row r="553" spans="1:6" x14ac:dyDescent="0.25">
      <c r="A553">
        <v>2029</v>
      </c>
      <c r="B553" t="s">
        <v>450</v>
      </c>
      <c r="C553" t="s">
        <v>708</v>
      </c>
      <c r="D553" t="s">
        <v>9</v>
      </c>
      <c r="E553" t="s">
        <v>340</v>
      </c>
      <c r="F553">
        <v>2</v>
      </c>
    </row>
    <row r="554" spans="1:6" x14ac:dyDescent="0.25">
      <c r="A554">
        <v>2028</v>
      </c>
      <c r="B554" t="s">
        <v>102</v>
      </c>
      <c r="C554" t="s">
        <v>709</v>
      </c>
      <c r="D554" t="s">
        <v>13</v>
      </c>
      <c r="E554" t="s">
        <v>216</v>
      </c>
      <c r="F554">
        <v>3.5</v>
      </c>
    </row>
    <row r="555" spans="1:6" x14ac:dyDescent="0.25">
      <c r="A555">
        <v>2027</v>
      </c>
      <c r="B555" t="s">
        <v>15</v>
      </c>
      <c r="C555" t="s">
        <v>710</v>
      </c>
      <c r="D555" t="s">
        <v>44</v>
      </c>
      <c r="E555" t="s">
        <v>10</v>
      </c>
      <c r="F555">
        <v>5</v>
      </c>
    </row>
    <row r="556" spans="1:6" x14ac:dyDescent="0.25">
      <c r="A556">
        <v>2026</v>
      </c>
      <c r="B556" t="s">
        <v>67</v>
      </c>
      <c r="C556" t="s">
        <v>711</v>
      </c>
      <c r="D556" t="s">
        <v>9</v>
      </c>
      <c r="E556" t="s">
        <v>69</v>
      </c>
      <c r="F556">
        <v>4.75</v>
      </c>
    </row>
    <row r="557" spans="1:6" x14ac:dyDescent="0.25">
      <c r="A557">
        <v>2025</v>
      </c>
      <c r="B557" t="s">
        <v>712</v>
      </c>
      <c r="C557" t="s">
        <v>713</v>
      </c>
      <c r="D557" t="s">
        <v>9</v>
      </c>
      <c r="E557" t="s">
        <v>516</v>
      </c>
      <c r="F557">
        <v>2</v>
      </c>
    </row>
    <row r="558" spans="1:6" x14ac:dyDescent="0.25">
      <c r="A558">
        <v>2024</v>
      </c>
      <c r="B558" t="s">
        <v>712</v>
      </c>
      <c r="C558" t="s">
        <v>714</v>
      </c>
      <c r="D558" t="s">
        <v>9</v>
      </c>
      <c r="E558" t="s">
        <v>516</v>
      </c>
      <c r="F558">
        <v>2.5</v>
      </c>
    </row>
    <row r="559" spans="1:6" x14ac:dyDescent="0.25">
      <c r="A559">
        <v>2023</v>
      </c>
      <c r="B559" t="s">
        <v>712</v>
      </c>
      <c r="C559" t="s">
        <v>715</v>
      </c>
      <c r="D559" t="s">
        <v>9</v>
      </c>
      <c r="E559" t="s">
        <v>516</v>
      </c>
      <c r="F559">
        <v>0</v>
      </c>
    </row>
    <row r="560" spans="1:6" x14ac:dyDescent="0.25">
      <c r="A560">
        <v>2022</v>
      </c>
      <c r="B560" t="s">
        <v>712</v>
      </c>
      <c r="C560" t="s">
        <v>716</v>
      </c>
      <c r="D560" t="s">
        <v>9</v>
      </c>
      <c r="E560" t="s">
        <v>516</v>
      </c>
      <c r="F560">
        <v>3</v>
      </c>
    </row>
    <row r="561" spans="1:6" x14ac:dyDescent="0.25">
      <c r="A561">
        <v>2021</v>
      </c>
      <c r="B561" t="s">
        <v>712</v>
      </c>
      <c r="C561" t="s">
        <v>717</v>
      </c>
      <c r="D561" t="s">
        <v>9</v>
      </c>
      <c r="E561" t="s">
        <v>516</v>
      </c>
      <c r="F561">
        <v>5</v>
      </c>
    </row>
    <row r="562" spans="1:6" x14ac:dyDescent="0.25">
      <c r="A562">
        <v>2020</v>
      </c>
      <c r="B562" t="s">
        <v>224</v>
      </c>
      <c r="C562" t="s">
        <v>718</v>
      </c>
      <c r="D562" t="s">
        <v>13</v>
      </c>
      <c r="E562" t="s">
        <v>79</v>
      </c>
      <c r="F562">
        <v>3.5</v>
      </c>
    </row>
    <row r="563" spans="1:6" x14ac:dyDescent="0.25">
      <c r="A563">
        <v>2019</v>
      </c>
      <c r="B563" t="s">
        <v>26</v>
      </c>
      <c r="C563" t="s">
        <v>719</v>
      </c>
      <c r="D563" t="s">
        <v>9</v>
      </c>
      <c r="E563" t="s">
        <v>10</v>
      </c>
      <c r="F563">
        <v>3.75</v>
      </c>
    </row>
    <row r="564" spans="1:6" x14ac:dyDescent="0.25">
      <c r="A564">
        <v>2018</v>
      </c>
      <c r="B564" t="s">
        <v>298</v>
      </c>
      <c r="C564" t="s">
        <v>720</v>
      </c>
      <c r="D564" t="s">
        <v>13</v>
      </c>
      <c r="E564" t="s">
        <v>25</v>
      </c>
      <c r="F564">
        <v>4</v>
      </c>
    </row>
    <row r="565" spans="1:6" x14ac:dyDescent="0.25">
      <c r="A565">
        <v>2017</v>
      </c>
      <c r="B565" t="s">
        <v>23</v>
      </c>
      <c r="C565" t="s">
        <v>721</v>
      </c>
      <c r="D565" t="s">
        <v>44</v>
      </c>
      <c r="E565" t="s">
        <v>25</v>
      </c>
      <c r="F565">
        <v>0</v>
      </c>
    </row>
    <row r="566" spans="1:6" x14ac:dyDescent="0.25">
      <c r="A566">
        <v>2016</v>
      </c>
      <c r="B566" t="s">
        <v>463</v>
      </c>
      <c r="C566" t="s">
        <v>722</v>
      </c>
      <c r="D566" t="s">
        <v>9</v>
      </c>
      <c r="E566" t="s">
        <v>465</v>
      </c>
      <c r="F566">
        <v>3.5</v>
      </c>
    </row>
    <row r="567" spans="1:6" x14ac:dyDescent="0.25">
      <c r="A567">
        <v>2015</v>
      </c>
      <c r="B567" t="s">
        <v>170</v>
      </c>
      <c r="C567" t="s">
        <v>723</v>
      </c>
      <c r="D567" t="s">
        <v>13</v>
      </c>
      <c r="E567" t="s">
        <v>69</v>
      </c>
      <c r="F567">
        <v>5</v>
      </c>
    </row>
    <row r="568" spans="1:6" x14ac:dyDescent="0.25">
      <c r="A568">
        <v>2014</v>
      </c>
      <c r="B568" t="s">
        <v>616</v>
      </c>
      <c r="C568" t="s">
        <v>724</v>
      </c>
      <c r="D568" t="s">
        <v>13</v>
      </c>
      <c r="E568" t="s">
        <v>14</v>
      </c>
      <c r="F568">
        <v>4.5</v>
      </c>
    </row>
    <row r="569" spans="1:6" x14ac:dyDescent="0.25">
      <c r="A569">
        <v>2013</v>
      </c>
      <c r="B569" t="s">
        <v>463</v>
      </c>
      <c r="C569" t="s">
        <v>725</v>
      </c>
      <c r="D569" t="s">
        <v>13</v>
      </c>
      <c r="E569" t="s">
        <v>465</v>
      </c>
      <c r="F569">
        <v>3.5</v>
      </c>
    </row>
    <row r="570" spans="1:6" x14ac:dyDescent="0.25">
      <c r="A570">
        <v>2012</v>
      </c>
      <c r="B570" t="s">
        <v>380</v>
      </c>
      <c r="C570" t="s">
        <v>726</v>
      </c>
      <c r="D570" t="s">
        <v>13</v>
      </c>
      <c r="E570" t="s">
        <v>38</v>
      </c>
      <c r="F570">
        <v>2</v>
      </c>
    </row>
    <row r="571" spans="1:6" x14ac:dyDescent="0.25">
      <c r="A571">
        <v>2011</v>
      </c>
      <c r="B571" t="s">
        <v>727</v>
      </c>
      <c r="C571" t="s">
        <v>728</v>
      </c>
      <c r="D571" t="s">
        <v>13</v>
      </c>
      <c r="E571" t="s">
        <v>340</v>
      </c>
      <c r="F571">
        <v>2</v>
      </c>
    </row>
    <row r="572" spans="1:6" x14ac:dyDescent="0.25">
      <c r="A572">
        <v>2010</v>
      </c>
      <c r="B572" t="s">
        <v>380</v>
      </c>
      <c r="C572" t="s">
        <v>729</v>
      </c>
      <c r="D572" t="s">
        <v>13</v>
      </c>
      <c r="E572" t="s">
        <v>730</v>
      </c>
      <c r="F572">
        <v>3.75</v>
      </c>
    </row>
    <row r="573" spans="1:6" x14ac:dyDescent="0.25">
      <c r="A573">
        <v>2009</v>
      </c>
      <c r="B573" t="s">
        <v>731</v>
      </c>
      <c r="C573" t="s">
        <v>732</v>
      </c>
      <c r="D573" t="s">
        <v>9</v>
      </c>
      <c r="E573" t="s">
        <v>733</v>
      </c>
      <c r="F573">
        <v>3</v>
      </c>
    </row>
    <row r="574" spans="1:6" x14ac:dyDescent="0.25">
      <c r="A574">
        <v>2008</v>
      </c>
      <c r="B574" t="s">
        <v>272</v>
      </c>
      <c r="C574" t="s">
        <v>734</v>
      </c>
      <c r="D574" t="s">
        <v>44</v>
      </c>
      <c r="E574" t="s">
        <v>79</v>
      </c>
      <c r="F574">
        <v>3.5</v>
      </c>
    </row>
    <row r="575" spans="1:6" x14ac:dyDescent="0.25">
      <c r="A575">
        <v>2007</v>
      </c>
      <c r="B575" t="s">
        <v>41</v>
      </c>
      <c r="C575" t="s">
        <v>735</v>
      </c>
      <c r="D575" t="s">
        <v>13</v>
      </c>
      <c r="E575" t="s">
        <v>736</v>
      </c>
      <c r="F575">
        <v>3.75</v>
      </c>
    </row>
    <row r="576" spans="1:6" x14ac:dyDescent="0.25">
      <c r="A576">
        <v>2006</v>
      </c>
      <c r="B576" t="s">
        <v>326</v>
      </c>
      <c r="C576" t="s">
        <v>737</v>
      </c>
      <c r="D576" t="s">
        <v>44</v>
      </c>
      <c r="E576" t="s">
        <v>46</v>
      </c>
      <c r="F576">
        <v>3.75</v>
      </c>
    </row>
    <row r="577" spans="1:6" x14ac:dyDescent="0.25">
      <c r="A577">
        <v>2005</v>
      </c>
      <c r="B577" t="s">
        <v>496</v>
      </c>
      <c r="C577" t="s">
        <v>738</v>
      </c>
      <c r="D577" t="s">
        <v>13</v>
      </c>
      <c r="E577" t="s">
        <v>14</v>
      </c>
      <c r="F577">
        <v>4.5</v>
      </c>
    </row>
    <row r="578" spans="1:6" x14ac:dyDescent="0.25">
      <c r="A578">
        <v>2004</v>
      </c>
      <c r="B578" t="s">
        <v>15</v>
      </c>
      <c r="C578" t="s">
        <v>739</v>
      </c>
      <c r="D578" t="s">
        <v>44</v>
      </c>
      <c r="E578" t="s">
        <v>10</v>
      </c>
      <c r="F578">
        <v>3.75</v>
      </c>
    </row>
    <row r="579" spans="1:6" x14ac:dyDescent="0.25">
      <c r="A579">
        <v>2003</v>
      </c>
      <c r="B579" t="s">
        <v>15</v>
      </c>
      <c r="C579" t="s">
        <v>740</v>
      </c>
      <c r="D579" t="s">
        <v>44</v>
      </c>
      <c r="E579" t="s">
        <v>10</v>
      </c>
      <c r="F579">
        <v>5</v>
      </c>
    </row>
    <row r="580" spans="1:6" x14ac:dyDescent="0.25">
      <c r="A580">
        <v>2002</v>
      </c>
      <c r="B580" t="s">
        <v>15</v>
      </c>
      <c r="C580" t="s">
        <v>741</v>
      </c>
      <c r="D580" t="s">
        <v>9</v>
      </c>
      <c r="E580" t="s">
        <v>10</v>
      </c>
      <c r="F580">
        <v>3.8</v>
      </c>
    </row>
    <row r="581" spans="1:6" x14ac:dyDescent="0.25">
      <c r="A581">
        <v>2001</v>
      </c>
      <c r="B581" t="s">
        <v>15</v>
      </c>
      <c r="C581" t="s">
        <v>742</v>
      </c>
      <c r="D581" t="s">
        <v>9</v>
      </c>
      <c r="E581" t="s">
        <v>10</v>
      </c>
      <c r="F581">
        <v>4</v>
      </c>
    </row>
    <row r="582" spans="1:6" x14ac:dyDescent="0.25">
      <c r="A582">
        <v>2000</v>
      </c>
      <c r="B582" t="s">
        <v>15</v>
      </c>
      <c r="C582" t="s">
        <v>743</v>
      </c>
      <c r="D582" t="s">
        <v>44</v>
      </c>
      <c r="E582" t="s">
        <v>10</v>
      </c>
      <c r="F582">
        <v>5</v>
      </c>
    </row>
    <row r="583" spans="1:6" x14ac:dyDescent="0.25">
      <c r="A583">
        <v>1999</v>
      </c>
      <c r="B583" t="s">
        <v>15</v>
      </c>
      <c r="C583" t="s">
        <v>109</v>
      </c>
      <c r="D583" t="s">
        <v>9</v>
      </c>
      <c r="E583" t="s">
        <v>10</v>
      </c>
      <c r="F583">
        <v>5</v>
      </c>
    </row>
    <row r="584" spans="1:6" x14ac:dyDescent="0.25">
      <c r="A584">
        <v>1998</v>
      </c>
      <c r="B584" t="s">
        <v>15</v>
      </c>
      <c r="C584" t="s">
        <v>744</v>
      </c>
      <c r="D584" t="s">
        <v>44</v>
      </c>
      <c r="E584" t="s">
        <v>10</v>
      </c>
      <c r="F584">
        <v>5</v>
      </c>
    </row>
    <row r="585" spans="1:6" x14ac:dyDescent="0.25">
      <c r="A585">
        <v>1997</v>
      </c>
      <c r="B585" t="s">
        <v>15</v>
      </c>
      <c r="C585" t="s">
        <v>745</v>
      </c>
      <c r="D585" t="s">
        <v>9</v>
      </c>
      <c r="E585" t="s">
        <v>10</v>
      </c>
      <c r="F585">
        <v>4.3</v>
      </c>
    </row>
    <row r="586" spans="1:6" x14ac:dyDescent="0.25">
      <c r="A586">
        <v>1996</v>
      </c>
      <c r="B586" t="s">
        <v>15</v>
      </c>
      <c r="C586" t="s">
        <v>746</v>
      </c>
      <c r="D586" t="s">
        <v>9</v>
      </c>
      <c r="E586" t="s">
        <v>10</v>
      </c>
      <c r="F586">
        <v>4</v>
      </c>
    </row>
    <row r="587" spans="1:6" x14ac:dyDescent="0.25">
      <c r="A587">
        <v>1995</v>
      </c>
      <c r="B587" t="s">
        <v>15</v>
      </c>
      <c r="C587" t="s">
        <v>747</v>
      </c>
      <c r="D587" t="s">
        <v>9</v>
      </c>
      <c r="E587" t="s">
        <v>10</v>
      </c>
      <c r="F587">
        <v>5</v>
      </c>
    </row>
    <row r="588" spans="1:6" x14ac:dyDescent="0.25">
      <c r="A588">
        <v>1994</v>
      </c>
      <c r="B588" t="s">
        <v>15</v>
      </c>
      <c r="C588" t="s">
        <v>748</v>
      </c>
      <c r="D588" t="s">
        <v>44</v>
      </c>
      <c r="E588" t="s">
        <v>10</v>
      </c>
      <c r="F588">
        <v>5</v>
      </c>
    </row>
    <row r="589" spans="1:6" x14ac:dyDescent="0.25">
      <c r="A589">
        <v>1993</v>
      </c>
      <c r="B589" t="s">
        <v>15</v>
      </c>
      <c r="C589" t="s">
        <v>749</v>
      </c>
      <c r="D589" t="s">
        <v>13</v>
      </c>
      <c r="E589" t="s">
        <v>10</v>
      </c>
      <c r="F589">
        <v>5</v>
      </c>
    </row>
    <row r="590" spans="1:6" x14ac:dyDescent="0.25">
      <c r="A590">
        <v>1992</v>
      </c>
      <c r="B590" t="s">
        <v>15</v>
      </c>
      <c r="C590" t="s">
        <v>750</v>
      </c>
      <c r="D590" t="s">
        <v>9</v>
      </c>
      <c r="E590" t="s">
        <v>10</v>
      </c>
      <c r="F590">
        <v>4.5</v>
      </c>
    </row>
    <row r="591" spans="1:6" x14ac:dyDescent="0.25">
      <c r="A591">
        <v>1991</v>
      </c>
      <c r="B591" t="s">
        <v>15</v>
      </c>
      <c r="C591" t="s">
        <v>751</v>
      </c>
      <c r="D591" t="s">
        <v>9</v>
      </c>
      <c r="E591" t="s">
        <v>10</v>
      </c>
      <c r="F591">
        <v>5</v>
      </c>
    </row>
    <row r="592" spans="1:6" x14ac:dyDescent="0.25">
      <c r="A592">
        <v>1990</v>
      </c>
      <c r="B592" t="s">
        <v>15</v>
      </c>
      <c r="C592" t="s">
        <v>752</v>
      </c>
      <c r="D592" t="s">
        <v>9</v>
      </c>
      <c r="E592" t="s">
        <v>10</v>
      </c>
      <c r="F592">
        <v>5</v>
      </c>
    </row>
    <row r="593" spans="1:6" x14ac:dyDescent="0.25">
      <c r="A593">
        <v>1989</v>
      </c>
      <c r="B593" t="s">
        <v>67</v>
      </c>
      <c r="C593" t="s">
        <v>753</v>
      </c>
      <c r="D593" t="s">
        <v>13</v>
      </c>
      <c r="E593" t="s">
        <v>69</v>
      </c>
      <c r="F593">
        <v>5</v>
      </c>
    </row>
    <row r="594" spans="1:6" x14ac:dyDescent="0.25">
      <c r="A594">
        <v>1988</v>
      </c>
      <c r="B594" t="s">
        <v>380</v>
      </c>
      <c r="C594" t="s">
        <v>754</v>
      </c>
      <c r="D594" t="s">
        <v>13</v>
      </c>
      <c r="E594" t="s">
        <v>730</v>
      </c>
      <c r="F594">
        <v>3.5</v>
      </c>
    </row>
    <row r="595" spans="1:6" x14ac:dyDescent="0.25">
      <c r="A595">
        <v>1987</v>
      </c>
      <c r="B595" t="s">
        <v>15</v>
      </c>
      <c r="C595" t="s">
        <v>755</v>
      </c>
      <c r="D595" t="s">
        <v>44</v>
      </c>
      <c r="E595" t="s">
        <v>10</v>
      </c>
      <c r="F595">
        <v>4.5</v>
      </c>
    </row>
    <row r="596" spans="1:6" x14ac:dyDescent="0.25">
      <c r="A596">
        <v>1986</v>
      </c>
      <c r="B596" t="s">
        <v>496</v>
      </c>
      <c r="C596" t="s">
        <v>756</v>
      </c>
      <c r="D596" t="s">
        <v>13</v>
      </c>
      <c r="E596" t="s">
        <v>14</v>
      </c>
      <c r="F596">
        <v>4.25</v>
      </c>
    </row>
    <row r="597" spans="1:6" x14ac:dyDescent="0.25">
      <c r="A597">
        <v>1985</v>
      </c>
      <c r="B597" t="s">
        <v>757</v>
      </c>
      <c r="C597" t="s">
        <v>758</v>
      </c>
      <c r="D597" t="s">
        <v>13</v>
      </c>
      <c r="E597" t="s">
        <v>35</v>
      </c>
      <c r="F597">
        <v>5</v>
      </c>
    </row>
    <row r="598" spans="1:6" x14ac:dyDescent="0.25">
      <c r="A598">
        <v>1984</v>
      </c>
      <c r="B598" t="s">
        <v>15</v>
      </c>
      <c r="C598" t="s">
        <v>759</v>
      </c>
      <c r="D598" t="s">
        <v>9</v>
      </c>
      <c r="E598" t="s">
        <v>46</v>
      </c>
      <c r="F598">
        <v>5</v>
      </c>
    </row>
    <row r="599" spans="1:6" x14ac:dyDescent="0.25">
      <c r="A599">
        <v>1983</v>
      </c>
      <c r="B599" t="s">
        <v>660</v>
      </c>
      <c r="C599" t="s">
        <v>760</v>
      </c>
      <c r="D599" t="s">
        <v>13</v>
      </c>
      <c r="E599" t="s">
        <v>10</v>
      </c>
      <c r="F599">
        <v>4</v>
      </c>
    </row>
    <row r="600" spans="1:6" x14ac:dyDescent="0.25">
      <c r="A600">
        <v>1982</v>
      </c>
      <c r="B600" t="s">
        <v>218</v>
      </c>
      <c r="C600" t="s">
        <v>761</v>
      </c>
      <c r="D600" t="s">
        <v>13</v>
      </c>
      <c r="E600" t="s">
        <v>79</v>
      </c>
      <c r="F600">
        <v>4</v>
      </c>
    </row>
    <row r="601" spans="1:6" x14ac:dyDescent="0.25">
      <c r="A601">
        <v>1981</v>
      </c>
      <c r="B601" t="s">
        <v>67</v>
      </c>
      <c r="C601" t="s">
        <v>762</v>
      </c>
      <c r="D601" t="s">
        <v>13</v>
      </c>
      <c r="E601" t="s">
        <v>69</v>
      </c>
      <c r="F601">
        <v>5</v>
      </c>
    </row>
    <row r="602" spans="1:6" x14ac:dyDescent="0.25">
      <c r="A602">
        <v>1980</v>
      </c>
      <c r="B602" t="s">
        <v>398</v>
      </c>
      <c r="C602" t="s">
        <v>763</v>
      </c>
      <c r="D602" t="s">
        <v>9</v>
      </c>
      <c r="E602" t="s">
        <v>340</v>
      </c>
      <c r="F602">
        <v>3.5</v>
      </c>
    </row>
    <row r="603" spans="1:6" x14ac:dyDescent="0.25">
      <c r="A603">
        <v>1979</v>
      </c>
      <c r="B603" t="s">
        <v>15</v>
      </c>
      <c r="C603" t="s">
        <v>764</v>
      </c>
      <c r="D603" t="s">
        <v>9</v>
      </c>
      <c r="E603" t="s">
        <v>10</v>
      </c>
      <c r="F603">
        <v>3</v>
      </c>
    </row>
    <row r="604" spans="1:6" x14ac:dyDescent="0.25">
      <c r="A604">
        <v>1978</v>
      </c>
      <c r="B604" t="s">
        <v>595</v>
      </c>
      <c r="C604" t="s">
        <v>765</v>
      </c>
      <c r="D604" t="s">
        <v>13</v>
      </c>
      <c r="E604" t="s">
        <v>69</v>
      </c>
      <c r="F604">
        <v>5</v>
      </c>
    </row>
    <row r="605" spans="1:6" x14ac:dyDescent="0.25">
      <c r="A605">
        <v>1977</v>
      </c>
      <c r="B605" t="s">
        <v>766</v>
      </c>
      <c r="C605" t="s">
        <v>767</v>
      </c>
      <c r="D605" t="s">
        <v>13</v>
      </c>
      <c r="E605" t="s">
        <v>69</v>
      </c>
      <c r="F605">
        <v>5</v>
      </c>
    </row>
    <row r="606" spans="1:6" x14ac:dyDescent="0.25">
      <c r="A606">
        <v>1976</v>
      </c>
      <c r="B606" t="s">
        <v>768</v>
      </c>
      <c r="C606" t="s">
        <v>769</v>
      </c>
      <c r="D606" t="s">
        <v>13</v>
      </c>
      <c r="E606" t="s">
        <v>10</v>
      </c>
      <c r="F606">
        <v>4.25</v>
      </c>
    </row>
    <row r="607" spans="1:6" x14ac:dyDescent="0.25">
      <c r="A607">
        <v>1975</v>
      </c>
      <c r="B607" t="s">
        <v>15</v>
      </c>
      <c r="C607" t="s">
        <v>770</v>
      </c>
      <c r="D607" t="s">
        <v>13</v>
      </c>
      <c r="E607" t="s">
        <v>149</v>
      </c>
      <c r="F607">
        <v>3.25</v>
      </c>
    </row>
    <row r="608" spans="1:6" x14ac:dyDescent="0.25">
      <c r="A608">
        <v>1974</v>
      </c>
      <c r="B608" t="s">
        <v>23</v>
      </c>
      <c r="C608" t="s">
        <v>771</v>
      </c>
      <c r="D608" t="s">
        <v>13</v>
      </c>
      <c r="E608" t="s">
        <v>25</v>
      </c>
      <c r="F608">
        <v>5</v>
      </c>
    </row>
    <row r="609" spans="1:7" x14ac:dyDescent="0.25">
      <c r="A609">
        <v>1973</v>
      </c>
      <c r="B609" t="s">
        <v>15</v>
      </c>
      <c r="C609" t="s">
        <v>772</v>
      </c>
      <c r="D609" t="s">
        <v>13</v>
      </c>
      <c r="E609" t="s">
        <v>511</v>
      </c>
      <c r="F609">
        <v>4.25</v>
      </c>
    </row>
    <row r="610" spans="1:7" x14ac:dyDescent="0.25">
      <c r="A610">
        <v>1972</v>
      </c>
      <c r="B610" t="s">
        <v>588</v>
      </c>
      <c r="C610" t="s">
        <v>773</v>
      </c>
      <c r="D610" t="s">
        <v>13</v>
      </c>
      <c r="E610" t="s">
        <v>46</v>
      </c>
      <c r="F610">
        <v>2.75</v>
      </c>
    </row>
    <row r="611" spans="1:7" x14ac:dyDescent="0.25">
      <c r="A611">
        <v>1971</v>
      </c>
      <c r="B611" t="s">
        <v>95</v>
      </c>
      <c r="C611" t="s">
        <v>774</v>
      </c>
      <c r="D611" t="s">
        <v>13</v>
      </c>
      <c r="E611" t="s">
        <v>10</v>
      </c>
      <c r="F611">
        <v>3.5</v>
      </c>
    </row>
    <row r="612" spans="1:7" x14ac:dyDescent="0.25">
      <c r="A612">
        <v>1970</v>
      </c>
      <c r="B612" t="s">
        <v>766</v>
      </c>
      <c r="C612" t="s">
        <v>775</v>
      </c>
      <c r="D612" t="s">
        <v>13</v>
      </c>
      <c r="E612" t="s">
        <v>69</v>
      </c>
      <c r="F612">
        <v>5</v>
      </c>
    </row>
    <row r="613" spans="1:7" x14ac:dyDescent="0.25">
      <c r="A613">
        <v>1969</v>
      </c>
      <c r="B613" t="s">
        <v>41</v>
      </c>
      <c r="C613" t="s">
        <v>776</v>
      </c>
      <c r="D613" t="s">
        <v>13</v>
      </c>
      <c r="E613" t="s">
        <v>17</v>
      </c>
      <c r="F613">
        <v>4.75</v>
      </c>
    </row>
    <row r="614" spans="1:7" x14ac:dyDescent="0.25">
      <c r="A614">
        <v>1968</v>
      </c>
      <c r="B614" t="s">
        <v>15</v>
      </c>
      <c r="C614" t="s">
        <v>777</v>
      </c>
      <c r="D614" t="s">
        <v>13</v>
      </c>
      <c r="E614" t="s">
        <v>17</v>
      </c>
      <c r="F614">
        <v>3.5</v>
      </c>
    </row>
    <row r="615" spans="1:7" x14ac:dyDescent="0.25">
      <c r="A615">
        <v>1967</v>
      </c>
      <c r="B615" t="s">
        <v>660</v>
      </c>
      <c r="C615" t="s">
        <v>778</v>
      </c>
      <c r="D615" t="s">
        <v>13</v>
      </c>
      <c r="E615" t="s">
        <v>10</v>
      </c>
      <c r="F615">
        <v>4.5</v>
      </c>
    </row>
    <row r="616" spans="1:7" x14ac:dyDescent="0.25">
      <c r="A616">
        <v>1966</v>
      </c>
      <c r="B616" t="s">
        <v>18</v>
      </c>
      <c r="C616" t="s">
        <v>779</v>
      </c>
      <c r="D616" t="s">
        <v>13</v>
      </c>
      <c r="E616" t="s">
        <v>14</v>
      </c>
      <c r="F616">
        <v>3.75</v>
      </c>
    </row>
    <row r="617" spans="1:7" x14ac:dyDescent="0.25">
      <c r="A617">
        <v>1965</v>
      </c>
      <c r="B617" t="s">
        <v>67</v>
      </c>
      <c r="C617" t="s">
        <v>780</v>
      </c>
      <c r="D617" t="s">
        <v>13</v>
      </c>
      <c r="E617" t="s">
        <v>69</v>
      </c>
      <c r="F617">
        <v>5</v>
      </c>
    </row>
    <row r="618" spans="1:7" x14ac:dyDescent="0.25">
      <c r="A618">
        <v>1964</v>
      </c>
      <c r="B618" t="s">
        <v>380</v>
      </c>
      <c r="C618" t="s">
        <v>781</v>
      </c>
      <c r="D618" t="s">
        <v>13</v>
      </c>
      <c r="E618" t="s">
        <v>730</v>
      </c>
      <c r="F618">
        <v>5</v>
      </c>
      <c r="G618" t="s">
        <v>782</v>
      </c>
    </row>
    <row r="619" spans="1:7" x14ac:dyDescent="0.25">
      <c r="A619">
        <v>1963</v>
      </c>
      <c r="B619" t="s">
        <v>783</v>
      </c>
      <c r="C619" t="s">
        <v>784</v>
      </c>
      <c r="D619" t="s">
        <v>9</v>
      </c>
      <c r="E619" t="s">
        <v>516</v>
      </c>
      <c r="F619">
        <v>3.75</v>
      </c>
    </row>
    <row r="620" spans="1:7" x14ac:dyDescent="0.25">
      <c r="A620">
        <v>1962</v>
      </c>
      <c r="B620" t="s">
        <v>783</v>
      </c>
      <c r="C620" t="s">
        <v>785</v>
      </c>
      <c r="D620" t="s">
        <v>9</v>
      </c>
      <c r="E620" t="s">
        <v>516</v>
      </c>
      <c r="F620">
        <v>3.5</v>
      </c>
    </row>
    <row r="621" spans="1:7" x14ac:dyDescent="0.25">
      <c r="A621">
        <v>1961</v>
      </c>
      <c r="B621" t="s">
        <v>783</v>
      </c>
      <c r="C621" t="s">
        <v>786</v>
      </c>
      <c r="D621" t="s">
        <v>9</v>
      </c>
      <c r="E621" t="s">
        <v>516</v>
      </c>
      <c r="F621">
        <v>4.25</v>
      </c>
    </row>
    <row r="622" spans="1:7" x14ac:dyDescent="0.25">
      <c r="A622">
        <v>1960</v>
      </c>
      <c r="B622" t="s">
        <v>783</v>
      </c>
      <c r="C622" t="s">
        <v>787</v>
      </c>
      <c r="D622" t="s">
        <v>9</v>
      </c>
      <c r="E622" t="s">
        <v>516</v>
      </c>
      <c r="F622">
        <v>4</v>
      </c>
    </row>
    <row r="623" spans="1:7" x14ac:dyDescent="0.25">
      <c r="A623">
        <v>1959</v>
      </c>
      <c r="B623" t="s">
        <v>183</v>
      </c>
      <c r="C623" t="s">
        <v>788</v>
      </c>
      <c r="D623" t="s">
        <v>13</v>
      </c>
      <c r="E623" t="s">
        <v>10</v>
      </c>
      <c r="F623">
        <v>4</v>
      </c>
    </row>
    <row r="624" spans="1:7" x14ac:dyDescent="0.25">
      <c r="A624">
        <v>1958</v>
      </c>
      <c r="B624" t="s">
        <v>789</v>
      </c>
      <c r="C624" t="s">
        <v>790</v>
      </c>
      <c r="D624" t="s">
        <v>30</v>
      </c>
      <c r="E624" t="s">
        <v>17</v>
      </c>
      <c r="F624">
        <v>4</v>
      </c>
    </row>
    <row r="625" spans="1:7" x14ac:dyDescent="0.25">
      <c r="A625">
        <v>1957</v>
      </c>
      <c r="B625" t="s">
        <v>380</v>
      </c>
      <c r="C625" t="s">
        <v>791</v>
      </c>
      <c r="D625" t="s">
        <v>9</v>
      </c>
      <c r="E625" t="s">
        <v>38</v>
      </c>
      <c r="F625">
        <v>4</v>
      </c>
    </row>
    <row r="626" spans="1:7" x14ac:dyDescent="0.25">
      <c r="A626">
        <v>1956</v>
      </c>
      <c r="B626" t="s">
        <v>102</v>
      </c>
      <c r="C626" t="s">
        <v>792</v>
      </c>
      <c r="D626" t="s">
        <v>9</v>
      </c>
      <c r="E626" t="s">
        <v>10</v>
      </c>
      <c r="F626">
        <v>0</v>
      </c>
    </row>
    <row r="627" spans="1:7" x14ac:dyDescent="0.25">
      <c r="A627">
        <v>1955</v>
      </c>
      <c r="B627" t="s">
        <v>15</v>
      </c>
      <c r="C627" t="s">
        <v>793</v>
      </c>
      <c r="D627" t="s">
        <v>13</v>
      </c>
      <c r="E627" t="s">
        <v>17</v>
      </c>
      <c r="F627">
        <v>4.75</v>
      </c>
    </row>
    <row r="628" spans="1:7" x14ac:dyDescent="0.25">
      <c r="A628">
        <v>1954</v>
      </c>
      <c r="B628" t="s">
        <v>794</v>
      </c>
      <c r="C628" t="s">
        <v>795</v>
      </c>
      <c r="D628" t="s">
        <v>13</v>
      </c>
      <c r="E628" t="s">
        <v>733</v>
      </c>
      <c r="F628">
        <v>2</v>
      </c>
    </row>
    <row r="629" spans="1:7" x14ac:dyDescent="0.25">
      <c r="A629">
        <v>1953</v>
      </c>
      <c r="B629" t="s">
        <v>757</v>
      </c>
      <c r="C629" t="s">
        <v>796</v>
      </c>
      <c r="D629" t="s">
        <v>13</v>
      </c>
      <c r="E629" t="s">
        <v>35</v>
      </c>
      <c r="F629">
        <v>5</v>
      </c>
    </row>
    <row r="630" spans="1:7" x14ac:dyDescent="0.25">
      <c r="A630">
        <v>1952</v>
      </c>
      <c r="B630" t="s">
        <v>243</v>
      </c>
      <c r="C630" t="s">
        <v>797</v>
      </c>
      <c r="D630" t="s">
        <v>13</v>
      </c>
      <c r="E630" t="s">
        <v>14</v>
      </c>
      <c r="F630">
        <v>3.75</v>
      </c>
    </row>
    <row r="631" spans="1:7" x14ac:dyDescent="0.25">
      <c r="A631">
        <v>1951</v>
      </c>
      <c r="B631" t="s">
        <v>15</v>
      </c>
      <c r="C631" t="s">
        <v>798</v>
      </c>
      <c r="D631" t="s">
        <v>9</v>
      </c>
      <c r="E631" t="s">
        <v>17</v>
      </c>
      <c r="F631">
        <v>4.25</v>
      </c>
    </row>
    <row r="632" spans="1:7" x14ac:dyDescent="0.25">
      <c r="A632">
        <v>1950</v>
      </c>
      <c r="B632" t="s">
        <v>95</v>
      </c>
      <c r="C632" t="s">
        <v>799</v>
      </c>
      <c r="D632" t="s">
        <v>13</v>
      </c>
      <c r="E632" t="s">
        <v>10</v>
      </c>
      <c r="F632">
        <v>4</v>
      </c>
    </row>
    <row r="633" spans="1:7" x14ac:dyDescent="0.25">
      <c r="A633">
        <v>1949</v>
      </c>
      <c r="B633" t="s">
        <v>800</v>
      </c>
      <c r="C633" t="s">
        <v>801</v>
      </c>
      <c r="D633" t="s">
        <v>13</v>
      </c>
      <c r="E633" t="s">
        <v>38</v>
      </c>
      <c r="F633">
        <v>3.5</v>
      </c>
    </row>
    <row r="634" spans="1:7" x14ac:dyDescent="0.25">
      <c r="A634">
        <v>1948</v>
      </c>
      <c r="B634" t="s">
        <v>272</v>
      </c>
      <c r="C634" t="s">
        <v>802</v>
      </c>
      <c r="D634" t="s">
        <v>13</v>
      </c>
      <c r="E634" t="s">
        <v>79</v>
      </c>
      <c r="F634">
        <v>1.5</v>
      </c>
    </row>
    <row r="635" spans="1:7" x14ac:dyDescent="0.25">
      <c r="A635">
        <v>1947</v>
      </c>
      <c r="B635" t="s">
        <v>757</v>
      </c>
      <c r="C635" t="s">
        <v>803</v>
      </c>
      <c r="D635" t="s">
        <v>13</v>
      </c>
      <c r="E635" t="s">
        <v>35</v>
      </c>
      <c r="F635">
        <v>5</v>
      </c>
      <c r="G635" t="s">
        <v>804</v>
      </c>
    </row>
    <row r="636" spans="1:7" x14ac:dyDescent="0.25">
      <c r="A636">
        <v>1946</v>
      </c>
      <c r="B636" t="s">
        <v>15</v>
      </c>
      <c r="C636" t="s">
        <v>805</v>
      </c>
      <c r="D636" t="s">
        <v>13</v>
      </c>
      <c r="E636" t="s">
        <v>10</v>
      </c>
      <c r="F636">
        <v>4.75</v>
      </c>
    </row>
    <row r="637" spans="1:7" x14ac:dyDescent="0.25">
      <c r="A637">
        <v>1945</v>
      </c>
      <c r="B637" t="s">
        <v>380</v>
      </c>
      <c r="C637" t="s">
        <v>806</v>
      </c>
      <c r="D637" t="s">
        <v>13</v>
      </c>
      <c r="E637" t="s">
        <v>371</v>
      </c>
      <c r="F637">
        <v>3.5</v>
      </c>
    </row>
    <row r="638" spans="1:7" x14ac:dyDescent="0.25">
      <c r="A638">
        <v>1944</v>
      </c>
      <c r="B638" t="s">
        <v>18</v>
      </c>
      <c r="C638" t="s">
        <v>807</v>
      </c>
      <c r="D638" t="s">
        <v>13</v>
      </c>
      <c r="E638" t="s">
        <v>14</v>
      </c>
      <c r="F638">
        <v>5</v>
      </c>
    </row>
    <row r="639" spans="1:7" x14ac:dyDescent="0.25">
      <c r="A639">
        <v>1943</v>
      </c>
      <c r="B639" t="s">
        <v>7</v>
      </c>
      <c r="C639" t="s">
        <v>808</v>
      </c>
      <c r="D639" t="s">
        <v>44</v>
      </c>
      <c r="E639" t="s">
        <v>10</v>
      </c>
      <c r="F639">
        <v>5</v>
      </c>
    </row>
    <row r="640" spans="1:7" x14ac:dyDescent="0.25">
      <c r="A640">
        <v>1942</v>
      </c>
      <c r="B640" t="s">
        <v>809</v>
      </c>
      <c r="C640" t="s">
        <v>810</v>
      </c>
      <c r="D640" t="s">
        <v>13</v>
      </c>
      <c r="E640" t="s">
        <v>69</v>
      </c>
      <c r="F640">
        <v>3.5</v>
      </c>
    </row>
    <row r="641" spans="1:6" x14ac:dyDescent="0.25">
      <c r="A641">
        <v>1941</v>
      </c>
      <c r="B641" t="s">
        <v>811</v>
      </c>
      <c r="C641" t="s">
        <v>812</v>
      </c>
      <c r="D641" t="s">
        <v>13</v>
      </c>
      <c r="E641" t="s">
        <v>733</v>
      </c>
      <c r="F641">
        <v>2.5</v>
      </c>
    </row>
    <row r="642" spans="1:6" x14ac:dyDescent="0.25">
      <c r="A642">
        <v>1940</v>
      </c>
      <c r="B642" t="s">
        <v>15</v>
      </c>
      <c r="C642" t="s">
        <v>813</v>
      </c>
      <c r="D642" t="s">
        <v>9</v>
      </c>
      <c r="E642" t="s">
        <v>10</v>
      </c>
      <c r="F642">
        <v>5</v>
      </c>
    </row>
    <row r="643" spans="1:6" x14ac:dyDescent="0.25">
      <c r="A643">
        <v>1939</v>
      </c>
      <c r="B643" t="s">
        <v>380</v>
      </c>
      <c r="C643" t="s">
        <v>814</v>
      </c>
      <c r="D643" t="s">
        <v>13</v>
      </c>
      <c r="E643" t="s">
        <v>730</v>
      </c>
      <c r="F643">
        <v>5</v>
      </c>
    </row>
    <row r="644" spans="1:6" x14ac:dyDescent="0.25">
      <c r="A644">
        <v>1938</v>
      </c>
      <c r="B644" t="s">
        <v>15</v>
      </c>
      <c r="C644" t="s">
        <v>815</v>
      </c>
      <c r="D644" t="s">
        <v>44</v>
      </c>
      <c r="E644" t="s">
        <v>10</v>
      </c>
      <c r="F644">
        <v>5</v>
      </c>
    </row>
    <row r="645" spans="1:6" x14ac:dyDescent="0.25">
      <c r="A645">
        <v>1937</v>
      </c>
      <c r="B645" t="s">
        <v>380</v>
      </c>
      <c r="C645" t="s">
        <v>816</v>
      </c>
      <c r="D645" t="s">
        <v>9</v>
      </c>
      <c r="E645" t="s">
        <v>730</v>
      </c>
      <c r="F645">
        <v>3.75</v>
      </c>
    </row>
    <row r="646" spans="1:6" x14ac:dyDescent="0.25">
      <c r="A646">
        <v>1936</v>
      </c>
      <c r="B646" t="s">
        <v>817</v>
      </c>
      <c r="C646" t="s">
        <v>818</v>
      </c>
      <c r="D646" t="s">
        <v>13</v>
      </c>
      <c r="E646" t="s">
        <v>17</v>
      </c>
      <c r="F646">
        <v>1</v>
      </c>
    </row>
    <row r="647" spans="1:6" x14ac:dyDescent="0.25">
      <c r="A647">
        <v>1935</v>
      </c>
      <c r="B647" t="s">
        <v>455</v>
      </c>
      <c r="C647" t="s">
        <v>819</v>
      </c>
      <c r="D647" t="s">
        <v>13</v>
      </c>
      <c r="E647" t="s">
        <v>14</v>
      </c>
      <c r="F647">
        <v>3.75</v>
      </c>
    </row>
    <row r="648" spans="1:6" x14ac:dyDescent="0.25">
      <c r="A648">
        <v>1934</v>
      </c>
      <c r="B648" t="s">
        <v>455</v>
      </c>
      <c r="C648" t="s">
        <v>820</v>
      </c>
      <c r="D648" t="s">
        <v>13</v>
      </c>
      <c r="E648" t="s">
        <v>14</v>
      </c>
      <c r="F648">
        <v>5</v>
      </c>
    </row>
    <row r="649" spans="1:6" x14ac:dyDescent="0.25">
      <c r="A649">
        <v>1933</v>
      </c>
      <c r="B649" t="s">
        <v>455</v>
      </c>
      <c r="C649" t="s">
        <v>821</v>
      </c>
      <c r="D649" t="s">
        <v>13</v>
      </c>
      <c r="E649" t="s">
        <v>14</v>
      </c>
      <c r="F649">
        <v>4.5</v>
      </c>
    </row>
    <row r="650" spans="1:6" x14ac:dyDescent="0.25">
      <c r="A650">
        <v>1932</v>
      </c>
      <c r="B650" t="s">
        <v>455</v>
      </c>
      <c r="C650" t="s">
        <v>822</v>
      </c>
      <c r="D650" t="s">
        <v>13</v>
      </c>
      <c r="E650" t="s">
        <v>14</v>
      </c>
      <c r="F650">
        <v>3.75</v>
      </c>
    </row>
    <row r="651" spans="1:6" x14ac:dyDescent="0.25">
      <c r="A651">
        <v>1931</v>
      </c>
      <c r="B651" t="s">
        <v>823</v>
      </c>
      <c r="C651" t="s">
        <v>824</v>
      </c>
      <c r="D651" t="s">
        <v>13</v>
      </c>
      <c r="E651" t="s">
        <v>156</v>
      </c>
      <c r="F651">
        <v>3.75</v>
      </c>
    </row>
    <row r="652" spans="1:6" x14ac:dyDescent="0.25">
      <c r="A652">
        <v>1930</v>
      </c>
      <c r="B652" t="s">
        <v>794</v>
      </c>
      <c r="C652" t="s">
        <v>825</v>
      </c>
      <c r="D652" t="s">
        <v>13</v>
      </c>
      <c r="E652" t="s">
        <v>733</v>
      </c>
      <c r="F652">
        <v>0.25</v>
      </c>
    </row>
    <row r="653" spans="1:6" x14ac:dyDescent="0.25">
      <c r="A653">
        <v>1929</v>
      </c>
      <c r="B653" t="s">
        <v>380</v>
      </c>
      <c r="C653" t="s">
        <v>611</v>
      </c>
      <c r="D653" t="s">
        <v>13</v>
      </c>
      <c r="E653" t="s">
        <v>826</v>
      </c>
      <c r="F653">
        <v>3.5</v>
      </c>
    </row>
    <row r="654" spans="1:6" x14ac:dyDescent="0.25">
      <c r="A654">
        <v>1928</v>
      </c>
      <c r="B654" t="s">
        <v>800</v>
      </c>
      <c r="C654" t="s">
        <v>827</v>
      </c>
      <c r="D654" t="s">
        <v>13</v>
      </c>
      <c r="E654" t="s">
        <v>38</v>
      </c>
      <c r="F654">
        <v>3</v>
      </c>
    </row>
    <row r="655" spans="1:6" x14ac:dyDescent="0.25">
      <c r="A655">
        <v>1927</v>
      </c>
      <c r="B655" t="s">
        <v>329</v>
      </c>
      <c r="C655" t="s">
        <v>828</v>
      </c>
      <c r="D655" t="s">
        <v>44</v>
      </c>
      <c r="E655" t="s">
        <v>10</v>
      </c>
      <c r="F655">
        <v>3.5</v>
      </c>
    </row>
    <row r="656" spans="1:6" x14ac:dyDescent="0.25">
      <c r="A656">
        <v>1926</v>
      </c>
      <c r="B656" t="s">
        <v>15</v>
      </c>
      <c r="C656" t="s">
        <v>829</v>
      </c>
      <c r="D656" t="s">
        <v>44</v>
      </c>
      <c r="E656" t="s">
        <v>17</v>
      </c>
      <c r="F656">
        <v>4</v>
      </c>
    </row>
    <row r="657" spans="1:7" x14ac:dyDescent="0.25">
      <c r="A657">
        <v>1925</v>
      </c>
      <c r="B657" t="s">
        <v>104</v>
      </c>
      <c r="C657" t="s">
        <v>830</v>
      </c>
      <c r="D657" t="s">
        <v>13</v>
      </c>
      <c r="E657" t="s">
        <v>35</v>
      </c>
      <c r="F657">
        <v>5</v>
      </c>
      <c r="G657" t="s">
        <v>831</v>
      </c>
    </row>
    <row r="658" spans="1:7" x14ac:dyDescent="0.25">
      <c r="A658">
        <v>1924</v>
      </c>
      <c r="B658" t="s">
        <v>272</v>
      </c>
      <c r="C658" t="s">
        <v>832</v>
      </c>
      <c r="D658" t="s">
        <v>13</v>
      </c>
      <c r="E658" t="s">
        <v>79</v>
      </c>
      <c r="F658">
        <v>3.5</v>
      </c>
    </row>
    <row r="659" spans="1:7" x14ac:dyDescent="0.25">
      <c r="A659">
        <v>1923</v>
      </c>
      <c r="B659" t="s">
        <v>731</v>
      </c>
      <c r="C659" t="s">
        <v>833</v>
      </c>
      <c r="D659" t="s">
        <v>9</v>
      </c>
      <c r="E659" t="s">
        <v>733</v>
      </c>
      <c r="F659">
        <v>0.5</v>
      </c>
    </row>
    <row r="660" spans="1:7" x14ac:dyDescent="0.25">
      <c r="A660">
        <v>1922</v>
      </c>
      <c r="B660" t="s">
        <v>834</v>
      </c>
      <c r="C660" t="s">
        <v>835</v>
      </c>
      <c r="D660" t="s">
        <v>9</v>
      </c>
      <c r="E660" t="s">
        <v>73</v>
      </c>
      <c r="F660">
        <v>1.5</v>
      </c>
    </row>
    <row r="661" spans="1:7" x14ac:dyDescent="0.25">
      <c r="A661">
        <v>1921</v>
      </c>
      <c r="B661" t="s">
        <v>15</v>
      </c>
      <c r="C661" t="s">
        <v>836</v>
      </c>
      <c r="D661" t="s">
        <v>9</v>
      </c>
      <c r="E661" t="s">
        <v>17</v>
      </c>
      <c r="F661">
        <v>3.5</v>
      </c>
    </row>
    <row r="662" spans="1:7" x14ac:dyDescent="0.25">
      <c r="A662">
        <v>1920</v>
      </c>
      <c r="B662" t="s">
        <v>768</v>
      </c>
      <c r="C662" t="s">
        <v>837</v>
      </c>
      <c r="D662" t="s">
        <v>13</v>
      </c>
      <c r="E662" t="s">
        <v>10</v>
      </c>
      <c r="F662">
        <v>0.75</v>
      </c>
    </row>
    <row r="663" spans="1:7" x14ac:dyDescent="0.25">
      <c r="A663">
        <v>1919</v>
      </c>
      <c r="B663" t="s">
        <v>102</v>
      </c>
      <c r="C663" t="s">
        <v>838</v>
      </c>
      <c r="D663" t="s">
        <v>44</v>
      </c>
      <c r="E663" t="s">
        <v>10</v>
      </c>
      <c r="F663">
        <v>4.5</v>
      </c>
    </row>
    <row r="664" spans="1:7" x14ac:dyDescent="0.25">
      <c r="A664">
        <v>1918</v>
      </c>
      <c r="B664" t="s">
        <v>839</v>
      </c>
      <c r="C664" t="s">
        <v>824</v>
      </c>
      <c r="D664" t="s">
        <v>13</v>
      </c>
      <c r="E664" t="s">
        <v>733</v>
      </c>
      <c r="F664">
        <v>3.5</v>
      </c>
    </row>
    <row r="665" spans="1:7" x14ac:dyDescent="0.25">
      <c r="A665">
        <v>1917</v>
      </c>
      <c r="B665" t="s">
        <v>789</v>
      </c>
      <c r="C665" t="s">
        <v>840</v>
      </c>
      <c r="D665" t="s">
        <v>30</v>
      </c>
      <c r="E665" t="s">
        <v>17</v>
      </c>
      <c r="F665">
        <v>0.25</v>
      </c>
    </row>
    <row r="666" spans="1:7" x14ac:dyDescent="0.25">
      <c r="A666">
        <v>1916</v>
      </c>
      <c r="B666" t="s">
        <v>15</v>
      </c>
      <c r="C666" t="s">
        <v>841</v>
      </c>
      <c r="D666" t="s">
        <v>13</v>
      </c>
      <c r="E666" t="s">
        <v>149</v>
      </c>
      <c r="F666">
        <v>3</v>
      </c>
    </row>
    <row r="667" spans="1:7" x14ac:dyDescent="0.25">
      <c r="A667">
        <v>1915</v>
      </c>
      <c r="B667" t="s">
        <v>768</v>
      </c>
      <c r="C667" t="s">
        <v>842</v>
      </c>
      <c r="D667" t="s">
        <v>44</v>
      </c>
      <c r="E667" t="s">
        <v>10</v>
      </c>
      <c r="F667">
        <v>4.5</v>
      </c>
    </row>
    <row r="668" spans="1:7" x14ac:dyDescent="0.25">
      <c r="A668">
        <v>1914</v>
      </c>
      <c r="B668" t="s">
        <v>104</v>
      </c>
      <c r="C668" t="s">
        <v>843</v>
      </c>
      <c r="D668" t="s">
        <v>13</v>
      </c>
      <c r="E668" t="s">
        <v>35</v>
      </c>
      <c r="F668">
        <v>5</v>
      </c>
    </row>
    <row r="669" spans="1:7" x14ac:dyDescent="0.25">
      <c r="A669">
        <v>1913</v>
      </c>
      <c r="B669" t="s">
        <v>844</v>
      </c>
      <c r="C669" t="s">
        <v>845</v>
      </c>
      <c r="D669" t="s">
        <v>44</v>
      </c>
      <c r="E669" t="s">
        <v>17</v>
      </c>
      <c r="F669">
        <v>0</v>
      </c>
    </row>
    <row r="670" spans="1:7" x14ac:dyDescent="0.25">
      <c r="A670">
        <v>1912</v>
      </c>
      <c r="B670" t="s">
        <v>380</v>
      </c>
      <c r="C670" t="s">
        <v>846</v>
      </c>
      <c r="D670" t="s">
        <v>13</v>
      </c>
      <c r="E670" t="s">
        <v>730</v>
      </c>
      <c r="F670">
        <v>3.75</v>
      </c>
    </row>
    <row r="671" spans="1:7" x14ac:dyDescent="0.25">
      <c r="A671">
        <v>1911</v>
      </c>
      <c r="B671" t="s">
        <v>15</v>
      </c>
      <c r="C671" t="s">
        <v>847</v>
      </c>
      <c r="D671" t="s">
        <v>9</v>
      </c>
      <c r="E671" t="s">
        <v>10</v>
      </c>
      <c r="F671">
        <v>5</v>
      </c>
    </row>
    <row r="672" spans="1:7" x14ac:dyDescent="0.25">
      <c r="A672">
        <v>1910</v>
      </c>
      <c r="B672" t="s">
        <v>15</v>
      </c>
      <c r="C672" t="s">
        <v>848</v>
      </c>
      <c r="D672" t="s">
        <v>30</v>
      </c>
      <c r="E672" t="s">
        <v>17</v>
      </c>
      <c r="F672">
        <v>3</v>
      </c>
    </row>
    <row r="673" spans="1:7" x14ac:dyDescent="0.25">
      <c r="A673">
        <v>1909</v>
      </c>
      <c r="B673" t="s">
        <v>849</v>
      </c>
      <c r="C673" t="s">
        <v>850</v>
      </c>
      <c r="D673" t="s">
        <v>13</v>
      </c>
      <c r="E673" t="s">
        <v>156</v>
      </c>
      <c r="F673">
        <v>3.5</v>
      </c>
    </row>
    <row r="674" spans="1:7" x14ac:dyDescent="0.25">
      <c r="A674">
        <v>1908</v>
      </c>
      <c r="B674" t="s">
        <v>15</v>
      </c>
      <c r="C674" t="s">
        <v>851</v>
      </c>
      <c r="D674" t="s">
        <v>44</v>
      </c>
      <c r="E674" t="s">
        <v>10</v>
      </c>
      <c r="F674">
        <v>4.75</v>
      </c>
    </row>
    <row r="675" spans="1:7" x14ac:dyDescent="0.25">
      <c r="A675">
        <v>1907</v>
      </c>
      <c r="B675" t="s">
        <v>757</v>
      </c>
      <c r="C675" t="s">
        <v>852</v>
      </c>
      <c r="D675" t="s">
        <v>13</v>
      </c>
      <c r="E675" t="s">
        <v>35</v>
      </c>
      <c r="F675">
        <v>5</v>
      </c>
      <c r="G675" t="s">
        <v>853</v>
      </c>
    </row>
    <row r="676" spans="1:7" x14ac:dyDescent="0.25">
      <c r="A676">
        <v>1906</v>
      </c>
      <c r="B676" t="s">
        <v>331</v>
      </c>
      <c r="C676" t="s">
        <v>854</v>
      </c>
      <c r="D676" t="s">
        <v>13</v>
      </c>
      <c r="E676" t="s">
        <v>53</v>
      </c>
      <c r="F676">
        <v>3.5</v>
      </c>
    </row>
    <row r="677" spans="1:7" x14ac:dyDescent="0.25">
      <c r="A677">
        <v>1905</v>
      </c>
      <c r="B677" t="s">
        <v>855</v>
      </c>
      <c r="C677" t="s">
        <v>856</v>
      </c>
      <c r="D677" t="s">
        <v>13</v>
      </c>
      <c r="E677" t="s">
        <v>857</v>
      </c>
      <c r="F677">
        <v>3.5</v>
      </c>
    </row>
    <row r="678" spans="1:7" x14ac:dyDescent="0.25">
      <c r="A678">
        <v>1904</v>
      </c>
      <c r="B678" t="s">
        <v>823</v>
      </c>
      <c r="C678" t="s">
        <v>858</v>
      </c>
      <c r="D678" t="s">
        <v>13</v>
      </c>
      <c r="E678" t="s">
        <v>156</v>
      </c>
      <c r="F678">
        <v>3</v>
      </c>
    </row>
    <row r="679" spans="1:7" x14ac:dyDescent="0.25">
      <c r="A679">
        <v>1903</v>
      </c>
      <c r="B679" t="s">
        <v>859</v>
      </c>
      <c r="C679" t="s">
        <v>860</v>
      </c>
      <c r="D679" t="s">
        <v>13</v>
      </c>
      <c r="E679" t="s">
        <v>10</v>
      </c>
      <c r="F679">
        <v>4.5</v>
      </c>
    </row>
    <row r="680" spans="1:7" x14ac:dyDescent="0.25">
      <c r="A680">
        <v>1902</v>
      </c>
      <c r="B680" t="s">
        <v>380</v>
      </c>
      <c r="C680" t="s">
        <v>861</v>
      </c>
      <c r="D680" t="s">
        <v>13</v>
      </c>
      <c r="E680" t="s">
        <v>730</v>
      </c>
      <c r="F680">
        <v>5</v>
      </c>
    </row>
    <row r="681" spans="1:7" x14ac:dyDescent="0.25">
      <c r="A681">
        <v>1901</v>
      </c>
      <c r="B681" t="s">
        <v>104</v>
      </c>
      <c r="C681" t="s">
        <v>862</v>
      </c>
      <c r="D681" t="s">
        <v>13</v>
      </c>
      <c r="E681" t="s">
        <v>35</v>
      </c>
      <c r="F681">
        <v>5</v>
      </c>
    </row>
    <row r="682" spans="1:7" x14ac:dyDescent="0.25">
      <c r="A682">
        <v>1900</v>
      </c>
      <c r="B682" t="s">
        <v>809</v>
      </c>
      <c r="C682" t="s">
        <v>863</v>
      </c>
      <c r="D682" t="s">
        <v>13</v>
      </c>
      <c r="E682" t="s">
        <v>69</v>
      </c>
      <c r="F682">
        <v>5</v>
      </c>
    </row>
    <row r="683" spans="1:7" x14ac:dyDescent="0.25">
      <c r="A683">
        <v>1899</v>
      </c>
      <c r="B683" t="s">
        <v>794</v>
      </c>
      <c r="C683" t="s">
        <v>864</v>
      </c>
      <c r="D683" t="s">
        <v>13</v>
      </c>
      <c r="E683" t="s">
        <v>733</v>
      </c>
      <c r="F683">
        <v>1.5</v>
      </c>
    </row>
    <row r="684" spans="1:7" x14ac:dyDescent="0.25">
      <c r="A684">
        <v>1898</v>
      </c>
      <c r="B684" t="s">
        <v>218</v>
      </c>
      <c r="C684" t="s">
        <v>865</v>
      </c>
      <c r="D684" t="s">
        <v>44</v>
      </c>
      <c r="E684" t="s">
        <v>79</v>
      </c>
      <c r="F684">
        <v>3</v>
      </c>
    </row>
    <row r="685" spans="1:7" x14ac:dyDescent="0.25">
      <c r="A685">
        <v>1897</v>
      </c>
      <c r="B685" t="s">
        <v>15</v>
      </c>
      <c r="C685" t="s">
        <v>866</v>
      </c>
      <c r="D685" t="s">
        <v>9</v>
      </c>
      <c r="E685" t="s">
        <v>10</v>
      </c>
      <c r="F685">
        <v>3.5</v>
      </c>
    </row>
    <row r="686" spans="1:7" x14ac:dyDescent="0.25">
      <c r="A686">
        <v>1896</v>
      </c>
      <c r="B686" t="s">
        <v>849</v>
      </c>
      <c r="C686" t="s">
        <v>858</v>
      </c>
      <c r="D686" t="s">
        <v>13</v>
      </c>
      <c r="E686" t="s">
        <v>156</v>
      </c>
      <c r="F686">
        <v>3.5</v>
      </c>
    </row>
    <row r="687" spans="1:7" x14ac:dyDescent="0.25">
      <c r="A687">
        <v>1895</v>
      </c>
      <c r="B687" t="s">
        <v>102</v>
      </c>
      <c r="C687" t="s">
        <v>867</v>
      </c>
      <c r="D687" t="s">
        <v>44</v>
      </c>
      <c r="E687" t="s">
        <v>10</v>
      </c>
      <c r="F687">
        <v>5</v>
      </c>
    </row>
    <row r="688" spans="1:7" x14ac:dyDescent="0.25">
      <c r="A688">
        <v>1894</v>
      </c>
      <c r="B688" t="s">
        <v>380</v>
      </c>
      <c r="C688" t="s">
        <v>868</v>
      </c>
      <c r="D688" t="s">
        <v>13</v>
      </c>
      <c r="E688" t="s">
        <v>730</v>
      </c>
      <c r="F688">
        <v>2.75</v>
      </c>
    </row>
    <row r="689" spans="1:6" x14ac:dyDescent="0.25">
      <c r="A689">
        <v>1893</v>
      </c>
      <c r="B689" t="s">
        <v>15</v>
      </c>
      <c r="C689" t="s">
        <v>869</v>
      </c>
      <c r="D689" t="s">
        <v>9</v>
      </c>
      <c r="E689" t="s">
        <v>10</v>
      </c>
      <c r="F689">
        <v>5</v>
      </c>
    </row>
    <row r="690" spans="1:6" x14ac:dyDescent="0.25">
      <c r="A690">
        <v>1892</v>
      </c>
      <c r="B690" t="s">
        <v>74</v>
      </c>
      <c r="C690" t="s">
        <v>870</v>
      </c>
      <c r="D690" t="s">
        <v>13</v>
      </c>
      <c r="E690" t="s">
        <v>25</v>
      </c>
      <c r="F690">
        <v>4</v>
      </c>
    </row>
    <row r="691" spans="1:6" x14ac:dyDescent="0.25">
      <c r="A691">
        <v>1891</v>
      </c>
      <c r="B691" t="s">
        <v>15</v>
      </c>
      <c r="C691" t="s">
        <v>871</v>
      </c>
      <c r="D691" t="s">
        <v>9</v>
      </c>
      <c r="E691" t="s">
        <v>17</v>
      </c>
      <c r="F691">
        <v>3.5</v>
      </c>
    </row>
    <row r="692" spans="1:6" x14ac:dyDescent="0.25">
      <c r="A692">
        <v>1890</v>
      </c>
      <c r="B692" t="s">
        <v>872</v>
      </c>
      <c r="C692" t="s">
        <v>873</v>
      </c>
      <c r="D692" t="s">
        <v>13</v>
      </c>
      <c r="E692" t="s">
        <v>10</v>
      </c>
      <c r="F692">
        <v>4.5</v>
      </c>
    </row>
    <row r="693" spans="1:6" x14ac:dyDescent="0.25">
      <c r="A693">
        <v>1889</v>
      </c>
      <c r="B693" t="s">
        <v>380</v>
      </c>
      <c r="C693" t="s">
        <v>874</v>
      </c>
      <c r="D693" t="s">
        <v>13</v>
      </c>
      <c r="E693" t="s">
        <v>730</v>
      </c>
      <c r="F693">
        <v>2.75</v>
      </c>
    </row>
    <row r="694" spans="1:6" x14ac:dyDescent="0.25">
      <c r="A694">
        <v>1888</v>
      </c>
      <c r="B694" t="s">
        <v>15</v>
      </c>
      <c r="C694" t="s">
        <v>875</v>
      </c>
      <c r="D694" t="s">
        <v>9</v>
      </c>
      <c r="E694" t="s">
        <v>35</v>
      </c>
      <c r="F694">
        <v>3.5</v>
      </c>
    </row>
    <row r="695" spans="1:6" x14ac:dyDescent="0.25">
      <c r="A695">
        <v>1887</v>
      </c>
      <c r="B695" t="s">
        <v>183</v>
      </c>
      <c r="C695" t="s">
        <v>876</v>
      </c>
      <c r="D695" t="s">
        <v>13</v>
      </c>
      <c r="E695" t="s">
        <v>35</v>
      </c>
      <c r="F695">
        <v>4.25</v>
      </c>
    </row>
    <row r="696" spans="1:6" x14ac:dyDescent="0.25">
      <c r="A696">
        <v>1886</v>
      </c>
      <c r="B696" t="s">
        <v>183</v>
      </c>
      <c r="C696" t="s">
        <v>877</v>
      </c>
      <c r="D696" t="s">
        <v>44</v>
      </c>
      <c r="E696" t="s">
        <v>35</v>
      </c>
      <c r="F696">
        <v>3.75</v>
      </c>
    </row>
    <row r="697" spans="1:6" x14ac:dyDescent="0.25">
      <c r="A697">
        <v>1885</v>
      </c>
      <c r="B697" t="s">
        <v>183</v>
      </c>
      <c r="C697" t="s">
        <v>878</v>
      </c>
      <c r="D697" t="s">
        <v>13</v>
      </c>
      <c r="E697" t="s">
        <v>35</v>
      </c>
      <c r="F697">
        <v>3</v>
      </c>
    </row>
    <row r="698" spans="1:6" x14ac:dyDescent="0.25">
      <c r="A698">
        <v>1884</v>
      </c>
      <c r="B698" t="s">
        <v>183</v>
      </c>
      <c r="C698" t="s">
        <v>879</v>
      </c>
      <c r="D698" t="s">
        <v>44</v>
      </c>
      <c r="E698" t="s">
        <v>35</v>
      </c>
      <c r="F698">
        <v>4.5</v>
      </c>
    </row>
    <row r="699" spans="1:6" x14ac:dyDescent="0.25">
      <c r="A699">
        <v>1883</v>
      </c>
      <c r="B699" t="s">
        <v>183</v>
      </c>
      <c r="C699" t="s">
        <v>880</v>
      </c>
      <c r="D699" t="s">
        <v>13</v>
      </c>
      <c r="E699" t="s">
        <v>35</v>
      </c>
      <c r="F699">
        <v>4</v>
      </c>
    </row>
    <row r="700" spans="1:6" x14ac:dyDescent="0.25">
      <c r="A700">
        <v>1882</v>
      </c>
      <c r="B700" t="s">
        <v>183</v>
      </c>
      <c r="C700" t="s">
        <v>881</v>
      </c>
      <c r="D700" t="s">
        <v>44</v>
      </c>
      <c r="E700" t="s">
        <v>35</v>
      </c>
      <c r="F700">
        <v>4.75</v>
      </c>
    </row>
    <row r="701" spans="1:6" x14ac:dyDescent="0.25">
      <c r="A701">
        <v>1881</v>
      </c>
      <c r="B701" t="s">
        <v>183</v>
      </c>
      <c r="C701" t="s">
        <v>877</v>
      </c>
      <c r="D701" t="s">
        <v>13</v>
      </c>
      <c r="E701" t="s">
        <v>35</v>
      </c>
      <c r="F701">
        <v>3.5</v>
      </c>
    </row>
    <row r="702" spans="1:6" x14ac:dyDescent="0.25">
      <c r="A702">
        <v>1880</v>
      </c>
      <c r="B702" t="s">
        <v>183</v>
      </c>
      <c r="C702" t="s">
        <v>882</v>
      </c>
      <c r="D702" t="s">
        <v>44</v>
      </c>
      <c r="E702" t="s">
        <v>35</v>
      </c>
      <c r="F702">
        <v>3.75</v>
      </c>
    </row>
    <row r="703" spans="1:6" x14ac:dyDescent="0.25">
      <c r="A703">
        <v>1879</v>
      </c>
      <c r="B703" t="s">
        <v>183</v>
      </c>
      <c r="C703" t="s">
        <v>883</v>
      </c>
      <c r="D703" t="s">
        <v>13</v>
      </c>
      <c r="E703" t="s">
        <v>35</v>
      </c>
      <c r="F703">
        <v>3.5</v>
      </c>
    </row>
    <row r="704" spans="1:6" x14ac:dyDescent="0.25">
      <c r="A704">
        <v>1878</v>
      </c>
      <c r="B704" t="s">
        <v>183</v>
      </c>
      <c r="C704" t="s">
        <v>884</v>
      </c>
      <c r="D704" t="s">
        <v>44</v>
      </c>
      <c r="E704" t="s">
        <v>35</v>
      </c>
      <c r="F704">
        <v>5</v>
      </c>
    </row>
    <row r="705" spans="1:6" x14ac:dyDescent="0.25">
      <c r="A705">
        <v>1877</v>
      </c>
      <c r="B705" t="s">
        <v>183</v>
      </c>
      <c r="C705" t="s">
        <v>885</v>
      </c>
      <c r="D705" t="s">
        <v>13</v>
      </c>
      <c r="E705" t="s">
        <v>35</v>
      </c>
      <c r="F705">
        <v>4.5</v>
      </c>
    </row>
    <row r="706" spans="1:6" x14ac:dyDescent="0.25">
      <c r="A706">
        <v>1876</v>
      </c>
      <c r="B706" t="s">
        <v>183</v>
      </c>
      <c r="C706" t="s">
        <v>886</v>
      </c>
      <c r="D706" t="s">
        <v>13</v>
      </c>
      <c r="E706" t="s">
        <v>35</v>
      </c>
      <c r="F706">
        <v>3.75</v>
      </c>
    </row>
    <row r="707" spans="1:6" x14ac:dyDescent="0.25">
      <c r="A707">
        <v>1875</v>
      </c>
      <c r="B707" t="s">
        <v>374</v>
      </c>
      <c r="C707" t="s">
        <v>887</v>
      </c>
      <c r="D707" t="s">
        <v>13</v>
      </c>
      <c r="E707" t="s">
        <v>17</v>
      </c>
      <c r="F707">
        <v>5</v>
      </c>
    </row>
    <row r="708" spans="1:6" x14ac:dyDescent="0.25">
      <c r="A708">
        <v>1874</v>
      </c>
      <c r="B708" t="s">
        <v>809</v>
      </c>
      <c r="C708" t="s">
        <v>888</v>
      </c>
      <c r="D708" t="s">
        <v>13</v>
      </c>
      <c r="E708" t="s">
        <v>69</v>
      </c>
      <c r="F708">
        <v>2.5</v>
      </c>
    </row>
    <row r="709" spans="1:6" x14ac:dyDescent="0.25">
      <c r="A709">
        <v>1873</v>
      </c>
      <c r="B709" t="s">
        <v>889</v>
      </c>
      <c r="C709" t="s">
        <v>890</v>
      </c>
      <c r="D709" t="s">
        <v>44</v>
      </c>
      <c r="E709" t="s">
        <v>14</v>
      </c>
      <c r="F709">
        <v>0</v>
      </c>
    </row>
    <row r="710" spans="1:6" x14ac:dyDescent="0.25">
      <c r="A710">
        <v>1872</v>
      </c>
      <c r="B710" t="s">
        <v>768</v>
      </c>
      <c r="C710" t="s">
        <v>891</v>
      </c>
      <c r="D710" t="s">
        <v>13</v>
      </c>
      <c r="E710" t="s">
        <v>10</v>
      </c>
      <c r="F710">
        <v>5</v>
      </c>
    </row>
    <row r="711" spans="1:6" x14ac:dyDescent="0.25">
      <c r="A711">
        <v>1871</v>
      </c>
      <c r="B711" t="s">
        <v>15</v>
      </c>
      <c r="C711" t="s">
        <v>606</v>
      </c>
      <c r="D711" t="s">
        <v>9</v>
      </c>
      <c r="E711" t="s">
        <v>38</v>
      </c>
      <c r="F711">
        <v>3.75</v>
      </c>
    </row>
    <row r="712" spans="1:6" x14ac:dyDescent="0.25">
      <c r="A712">
        <v>1870</v>
      </c>
      <c r="B712" t="s">
        <v>849</v>
      </c>
      <c r="C712" t="s">
        <v>892</v>
      </c>
      <c r="D712" t="s">
        <v>13</v>
      </c>
      <c r="E712" t="s">
        <v>156</v>
      </c>
      <c r="F712">
        <v>2.75</v>
      </c>
    </row>
    <row r="713" spans="1:6" x14ac:dyDescent="0.25">
      <c r="A713">
        <v>1869</v>
      </c>
      <c r="B713" t="s">
        <v>15</v>
      </c>
      <c r="C713" t="s">
        <v>893</v>
      </c>
      <c r="D713" t="s">
        <v>13</v>
      </c>
      <c r="E713" t="s">
        <v>149</v>
      </c>
      <c r="F713">
        <v>3.5</v>
      </c>
    </row>
    <row r="714" spans="1:6" x14ac:dyDescent="0.25">
      <c r="A714">
        <v>1868</v>
      </c>
      <c r="B714" t="s">
        <v>329</v>
      </c>
      <c r="C714" t="s">
        <v>851</v>
      </c>
      <c r="D714" t="s">
        <v>44</v>
      </c>
      <c r="E714" t="s">
        <v>10</v>
      </c>
      <c r="F714">
        <v>4</v>
      </c>
    </row>
    <row r="715" spans="1:6" x14ac:dyDescent="0.25">
      <c r="A715">
        <v>1867</v>
      </c>
      <c r="B715" t="s">
        <v>894</v>
      </c>
      <c r="C715" t="s">
        <v>895</v>
      </c>
      <c r="D715" t="s">
        <v>44</v>
      </c>
      <c r="E715" t="s">
        <v>38</v>
      </c>
      <c r="F715">
        <v>4</v>
      </c>
    </row>
    <row r="716" spans="1:6" x14ac:dyDescent="0.25">
      <c r="A716">
        <v>1866</v>
      </c>
      <c r="B716" t="s">
        <v>67</v>
      </c>
      <c r="C716" t="s">
        <v>896</v>
      </c>
      <c r="D716" t="s">
        <v>13</v>
      </c>
      <c r="E716" t="s">
        <v>69</v>
      </c>
      <c r="F716">
        <v>5</v>
      </c>
    </row>
    <row r="717" spans="1:6" x14ac:dyDescent="0.25">
      <c r="A717">
        <v>1865</v>
      </c>
      <c r="B717" t="s">
        <v>897</v>
      </c>
      <c r="C717" t="s">
        <v>898</v>
      </c>
      <c r="D717" t="s">
        <v>9</v>
      </c>
      <c r="E717" t="s">
        <v>730</v>
      </c>
      <c r="F717">
        <v>3.5</v>
      </c>
    </row>
    <row r="718" spans="1:6" x14ac:dyDescent="0.25">
      <c r="A718">
        <v>1864</v>
      </c>
      <c r="B718" t="s">
        <v>15</v>
      </c>
      <c r="C718" t="s">
        <v>899</v>
      </c>
      <c r="D718" t="s">
        <v>13</v>
      </c>
      <c r="E718" t="s">
        <v>17</v>
      </c>
      <c r="F718">
        <v>5</v>
      </c>
    </row>
    <row r="719" spans="1:6" x14ac:dyDescent="0.25">
      <c r="A719">
        <v>1863</v>
      </c>
      <c r="B719" t="s">
        <v>900</v>
      </c>
      <c r="C719" t="s">
        <v>901</v>
      </c>
      <c r="D719" t="s">
        <v>13</v>
      </c>
      <c r="E719" t="s">
        <v>79</v>
      </c>
      <c r="F719">
        <v>0</v>
      </c>
    </row>
    <row r="720" spans="1:6" x14ac:dyDescent="0.25">
      <c r="A720">
        <v>1862</v>
      </c>
      <c r="B720" t="s">
        <v>809</v>
      </c>
      <c r="C720" t="s">
        <v>902</v>
      </c>
      <c r="D720" t="s">
        <v>13</v>
      </c>
      <c r="E720" t="s">
        <v>69</v>
      </c>
      <c r="F720">
        <v>3.75</v>
      </c>
    </row>
    <row r="721" spans="1:6" x14ac:dyDescent="0.25">
      <c r="A721">
        <v>1861</v>
      </c>
      <c r="B721" t="s">
        <v>731</v>
      </c>
      <c r="C721" t="s">
        <v>903</v>
      </c>
      <c r="D721" t="s">
        <v>9</v>
      </c>
      <c r="E721" t="s">
        <v>733</v>
      </c>
      <c r="F721">
        <v>0.5</v>
      </c>
    </row>
    <row r="722" spans="1:6" x14ac:dyDescent="0.25">
      <c r="A722">
        <v>1860</v>
      </c>
      <c r="B722" t="s">
        <v>15</v>
      </c>
      <c r="C722" t="s">
        <v>904</v>
      </c>
      <c r="D722" t="s">
        <v>9</v>
      </c>
      <c r="E722" t="s">
        <v>10</v>
      </c>
      <c r="F722">
        <v>2.75</v>
      </c>
    </row>
    <row r="723" spans="1:6" x14ac:dyDescent="0.25">
      <c r="A723">
        <v>1859</v>
      </c>
      <c r="B723" t="s">
        <v>897</v>
      </c>
      <c r="C723" t="s">
        <v>905</v>
      </c>
      <c r="D723" t="s">
        <v>13</v>
      </c>
      <c r="E723" t="s">
        <v>826</v>
      </c>
      <c r="F723">
        <v>5</v>
      </c>
    </row>
    <row r="724" spans="1:6" x14ac:dyDescent="0.25">
      <c r="A724">
        <v>1858</v>
      </c>
      <c r="B724" t="s">
        <v>183</v>
      </c>
      <c r="C724" t="s">
        <v>906</v>
      </c>
      <c r="D724" t="s">
        <v>44</v>
      </c>
      <c r="E724" t="s">
        <v>10</v>
      </c>
      <c r="F724">
        <v>5</v>
      </c>
    </row>
    <row r="725" spans="1:6" x14ac:dyDescent="0.25">
      <c r="A725">
        <v>1857</v>
      </c>
      <c r="B725" t="s">
        <v>789</v>
      </c>
      <c r="C725" t="s">
        <v>907</v>
      </c>
      <c r="D725" t="s">
        <v>30</v>
      </c>
      <c r="E725" t="s">
        <v>17</v>
      </c>
      <c r="F725">
        <v>3.25</v>
      </c>
    </row>
    <row r="726" spans="1:6" x14ac:dyDescent="0.25">
      <c r="A726">
        <v>1856</v>
      </c>
      <c r="B726" t="s">
        <v>135</v>
      </c>
      <c r="C726" t="s">
        <v>908</v>
      </c>
      <c r="D726" t="s">
        <v>9</v>
      </c>
      <c r="E726" t="s">
        <v>73</v>
      </c>
      <c r="F726">
        <v>5</v>
      </c>
    </row>
    <row r="727" spans="1:6" x14ac:dyDescent="0.25">
      <c r="A727">
        <v>1855</v>
      </c>
      <c r="B727" t="s">
        <v>909</v>
      </c>
      <c r="C727" t="s">
        <v>910</v>
      </c>
      <c r="D727" t="s">
        <v>13</v>
      </c>
      <c r="E727" t="s">
        <v>10</v>
      </c>
      <c r="F727">
        <v>3</v>
      </c>
    </row>
    <row r="728" spans="1:6" x14ac:dyDescent="0.25">
      <c r="A728">
        <v>1854</v>
      </c>
      <c r="B728" t="s">
        <v>897</v>
      </c>
      <c r="C728" t="s">
        <v>911</v>
      </c>
      <c r="D728" t="s">
        <v>13</v>
      </c>
      <c r="E728" t="s">
        <v>730</v>
      </c>
      <c r="F728">
        <v>3.5</v>
      </c>
    </row>
    <row r="729" spans="1:6" x14ac:dyDescent="0.25">
      <c r="A729">
        <v>1853</v>
      </c>
      <c r="B729" t="s">
        <v>823</v>
      </c>
      <c r="C729" t="s">
        <v>912</v>
      </c>
      <c r="D729" t="s">
        <v>13</v>
      </c>
      <c r="E729" t="s">
        <v>156</v>
      </c>
      <c r="F729">
        <v>3.5</v>
      </c>
    </row>
    <row r="730" spans="1:6" x14ac:dyDescent="0.25">
      <c r="A730">
        <v>1852</v>
      </c>
      <c r="B730" t="s">
        <v>183</v>
      </c>
      <c r="C730" t="s">
        <v>913</v>
      </c>
      <c r="D730" t="s">
        <v>44</v>
      </c>
      <c r="E730" t="s">
        <v>17</v>
      </c>
      <c r="F730">
        <v>3.25</v>
      </c>
    </row>
    <row r="731" spans="1:6" x14ac:dyDescent="0.25">
      <c r="A731">
        <v>1851</v>
      </c>
      <c r="B731" t="s">
        <v>95</v>
      </c>
      <c r="C731" t="s">
        <v>914</v>
      </c>
      <c r="D731" t="s">
        <v>13</v>
      </c>
      <c r="E731" t="s">
        <v>10</v>
      </c>
      <c r="F731">
        <v>3.5</v>
      </c>
    </row>
    <row r="732" spans="1:6" x14ac:dyDescent="0.25">
      <c r="A732">
        <v>1850</v>
      </c>
      <c r="B732" t="s">
        <v>15</v>
      </c>
      <c r="C732" t="s">
        <v>915</v>
      </c>
      <c r="D732" t="s">
        <v>13</v>
      </c>
      <c r="E732" t="s">
        <v>17</v>
      </c>
      <c r="F732">
        <v>4.5</v>
      </c>
    </row>
    <row r="733" spans="1:6" x14ac:dyDescent="0.25">
      <c r="A733">
        <v>1849</v>
      </c>
      <c r="B733" t="s">
        <v>916</v>
      </c>
      <c r="C733" t="s">
        <v>917</v>
      </c>
      <c r="D733" t="s">
        <v>13</v>
      </c>
      <c r="E733" t="s">
        <v>69</v>
      </c>
      <c r="F733">
        <v>3.5</v>
      </c>
    </row>
    <row r="734" spans="1:6" x14ac:dyDescent="0.25">
      <c r="A734">
        <v>1848</v>
      </c>
      <c r="B734" t="s">
        <v>67</v>
      </c>
      <c r="C734" t="s">
        <v>918</v>
      </c>
      <c r="D734" t="s">
        <v>13</v>
      </c>
      <c r="E734" t="s">
        <v>69</v>
      </c>
      <c r="F734">
        <v>5</v>
      </c>
    </row>
    <row r="735" spans="1:6" x14ac:dyDescent="0.25">
      <c r="A735">
        <v>1847</v>
      </c>
      <c r="B735" t="s">
        <v>731</v>
      </c>
      <c r="C735" t="s">
        <v>919</v>
      </c>
      <c r="D735" t="s">
        <v>13</v>
      </c>
      <c r="E735" t="s">
        <v>733</v>
      </c>
      <c r="F735">
        <v>3</v>
      </c>
    </row>
    <row r="736" spans="1:6" x14ac:dyDescent="0.25">
      <c r="A736">
        <v>1846</v>
      </c>
      <c r="B736" t="s">
        <v>15</v>
      </c>
      <c r="C736" t="s">
        <v>920</v>
      </c>
      <c r="D736" t="s">
        <v>30</v>
      </c>
      <c r="E736" t="s">
        <v>17</v>
      </c>
      <c r="F736">
        <v>4.5</v>
      </c>
    </row>
    <row r="737" spans="1:6" x14ac:dyDescent="0.25">
      <c r="A737">
        <v>1845</v>
      </c>
      <c r="B737" t="s">
        <v>897</v>
      </c>
      <c r="C737" t="s">
        <v>921</v>
      </c>
      <c r="D737" t="s">
        <v>13</v>
      </c>
      <c r="E737" t="s">
        <v>371</v>
      </c>
      <c r="F737">
        <v>3.25</v>
      </c>
    </row>
    <row r="738" spans="1:6" x14ac:dyDescent="0.25">
      <c r="A738">
        <v>1844</v>
      </c>
      <c r="B738" t="s">
        <v>922</v>
      </c>
      <c r="C738" t="s">
        <v>923</v>
      </c>
      <c r="D738" t="s">
        <v>44</v>
      </c>
      <c r="E738" t="s">
        <v>10</v>
      </c>
      <c r="F738">
        <v>5</v>
      </c>
    </row>
    <row r="739" spans="1:6" x14ac:dyDescent="0.25">
      <c r="A739">
        <v>1843</v>
      </c>
      <c r="B739" t="s">
        <v>924</v>
      </c>
      <c r="C739" t="s">
        <v>925</v>
      </c>
      <c r="D739" t="s">
        <v>13</v>
      </c>
      <c r="E739" t="s">
        <v>14</v>
      </c>
      <c r="F739">
        <v>4.5</v>
      </c>
    </row>
    <row r="740" spans="1:6" x14ac:dyDescent="0.25">
      <c r="A740">
        <v>1842</v>
      </c>
      <c r="B740" t="s">
        <v>924</v>
      </c>
      <c r="C740" t="s">
        <v>926</v>
      </c>
      <c r="D740" t="s">
        <v>13</v>
      </c>
      <c r="E740" t="s">
        <v>14</v>
      </c>
      <c r="F740">
        <v>5</v>
      </c>
    </row>
    <row r="741" spans="1:6" x14ac:dyDescent="0.25">
      <c r="A741">
        <v>1841</v>
      </c>
      <c r="B741" t="s">
        <v>924</v>
      </c>
      <c r="C741" t="s">
        <v>927</v>
      </c>
      <c r="D741" t="s">
        <v>13</v>
      </c>
      <c r="E741" t="s">
        <v>14</v>
      </c>
      <c r="F741">
        <v>4</v>
      </c>
    </row>
    <row r="742" spans="1:6" x14ac:dyDescent="0.25">
      <c r="A742">
        <v>1840</v>
      </c>
      <c r="B742" t="s">
        <v>924</v>
      </c>
      <c r="C742" t="s">
        <v>928</v>
      </c>
      <c r="D742" t="s">
        <v>13</v>
      </c>
      <c r="E742" t="s">
        <v>14</v>
      </c>
      <c r="F742">
        <v>3.25</v>
      </c>
    </row>
    <row r="743" spans="1:6" x14ac:dyDescent="0.25">
      <c r="A743">
        <v>1839</v>
      </c>
      <c r="B743" t="s">
        <v>929</v>
      </c>
      <c r="C743" t="s">
        <v>930</v>
      </c>
      <c r="D743" t="s">
        <v>13</v>
      </c>
      <c r="E743" t="s">
        <v>69</v>
      </c>
      <c r="F743">
        <v>5</v>
      </c>
    </row>
    <row r="744" spans="1:6" x14ac:dyDescent="0.25">
      <c r="A744">
        <v>1838</v>
      </c>
      <c r="B744" t="s">
        <v>929</v>
      </c>
      <c r="C744" t="s">
        <v>931</v>
      </c>
      <c r="D744" t="s">
        <v>13</v>
      </c>
      <c r="E744" t="s">
        <v>69</v>
      </c>
      <c r="F744">
        <v>4.5</v>
      </c>
    </row>
    <row r="745" spans="1:6" x14ac:dyDescent="0.25">
      <c r="A745">
        <v>1837</v>
      </c>
      <c r="B745" t="s">
        <v>929</v>
      </c>
      <c r="C745" t="s">
        <v>932</v>
      </c>
      <c r="D745" t="s">
        <v>13</v>
      </c>
      <c r="E745" t="s">
        <v>69</v>
      </c>
      <c r="F745">
        <v>5</v>
      </c>
    </row>
    <row r="746" spans="1:6" x14ac:dyDescent="0.25">
      <c r="A746">
        <v>1836</v>
      </c>
      <c r="B746" t="s">
        <v>929</v>
      </c>
      <c r="C746" t="s">
        <v>933</v>
      </c>
      <c r="D746" t="s">
        <v>13</v>
      </c>
      <c r="E746" t="s">
        <v>69</v>
      </c>
      <c r="F746">
        <v>5</v>
      </c>
    </row>
    <row r="747" spans="1:6" x14ac:dyDescent="0.25">
      <c r="A747">
        <v>1835</v>
      </c>
      <c r="B747" t="s">
        <v>929</v>
      </c>
      <c r="C747" t="s">
        <v>934</v>
      </c>
      <c r="D747" t="s">
        <v>13</v>
      </c>
      <c r="E747" t="s">
        <v>69</v>
      </c>
      <c r="F747">
        <v>5</v>
      </c>
    </row>
    <row r="748" spans="1:6" x14ac:dyDescent="0.25">
      <c r="A748">
        <v>1834</v>
      </c>
      <c r="B748" t="s">
        <v>929</v>
      </c>
      <c r="C748" t="s">
        <v>935</v>
      </c>
      <c r="D748" t="s">
        <v>13</v>
      </c>
      <c r="E748" t="s">
        <v>69</v>
      </c>
      <c r="F748">
        <v>5</v>
      </c>
    </row>
    <row r="749" spans="1:6" x14ac:dyDescent="0.25">
      <c r="A749">
        <v>1833</v>
      </c>
      <c r="B749" t="s">
        <v>929</v>
      </c>
      <c r="C749" t="s">
        <v>936</v>
      </c>
      <c r="D749" t="s">
        <v>13</v>
      </c>
      <c r="E749" t="s">
        <v>69</v>
      </c>
      <c r="F749">
        <v>3.75</v>
      </c>
    </row>
    <row r="750" spans="1:6" x14ac:dyDescent="0.25">
      <c r="A750">
        <v>1832</v>
      </c>
      <c r="B750" t="s">
        <v>894</v>
      </c>
      <c r="C750" t="s">
        <v>937</v>
      </c>
      <c r="D750" t="s">
        <v>13</v>
      </c>
      <c r="E750" t="s">
        <v>38</v>
      </c>
      <c r="F750">
        <v>3.5</v>
      </c>
    </row>
    <row r="751" spans="1:6" x14ac:dyDescent="0.25">
      <c r="A751">
        <v>1831</v>
      </c>
      <c r="B751" t="s">
        <v>872</v>
      </c>
      <c r="C751" t="s">
        <v>938</v>
      </c>
      <c r="D751" t="s">
        <v>13</v>
      </c>
      <c r="E751" t="s">
        <v>10</v>
      </c>
      <c r="F751">
        <v>4</v>
      </c>
    </row>
    <row r="752" spans="1:6" x14ac:dyDescent="0.25">
      <c r="A752">
        <v>1830</v>
      </c>
      <c r="B752" t="s">
        <v>493</v>
      </c>
      <c r="C752" t="s">
        <v>939</v>
      </c>
      <c r="D752" t="s">
        <v>13</v>
      </c>
      <c r="E752" t="s">
        <v>14</v>
      </c>
      <c r="F752">
        <v>4.75</v>
      </c>
    </row>
    <row r="753" spans="1:7" x14ac:dyDescent="0.25">
      <c r="A753">
        <v>1829</v>
      </c>
      <c r="B753" t="s">
        <v>493</v>
      </c>
      <c r="C753" t="s">
        <v>940</v>
      </c>
      <c r="D753" t="s">
        <v>13</v>
      </c>
      <c r="E753" t="s">
        <v>14</v>
      </c>
      <c r="F753">
        <v>5</v>
      </c>
    </row>
    <row r="754" spans="1:7" x14ac:dyDescent="0.25">
      <c r="A754">
        <v>1828</v>
      </c>
      <c r="B754" t="s">
        <v>493</v>
      </c>
      <c r="C754" t="s">
        <v>941</v>
      </c>
      <c r="D754" t="s">
        <v>13</v>
      </c>
      <c r="E754" t="s">
        <v>14</v>
      </c>
      <c r="F754">
        <v>5</v>
      </c>
      <c r="G754" t="s">
        <v>942</v>
      </c>
    </row>
    <row r="755" spans="1:7" x14ac:dyDescent="0.25">
      <c r="A755">
        <v>1827</v>
      </c>
      <c r="B755" t="s">
        <v>41</v>
      </c>
      <c r="C755" t="s">
        <v>943</v>
      </c>
      <c r="D755" t="s">
        <v>13</v>
      </c>
      <c r="E755" t="s">
        <v>25</v>
      </c>
      <c r="F755">
        <v>5</v>
      </c>
    </row>
    <row r="756" spans="1:7" x14ac:dyDescent="0.25">
      <c r="A756">
        <v>1826</v>
      </c>
      <c r="B756" t="s">
        <v>897</v>
      </c>
      <c r="C756" t="s">
        <v>944</v>
      </c>
      <c r="D756" t="s">
        <v>13</v>
      </c>
      <c r="E756" t="s">
        <v>826</v>
      </c>
      <c r="F756">
        <v>3.5</v>
      </c>
    </row>
    <row r="757" spans="1:7" x14ac:dyDescent="0.25">
      <c r="A757">
        <v>1825</v>
      </c>
      <c r="B757" t="s">
        <v>272</v>
      </c>
      <c r="C757" t="s">
        <v>945</v>
      </c>
      <c r="D757" t="s">
        <v>13</v>
      </c>
      <c r="E757" t="s">
        <v>79</v>
      </c>
      <c r="F757">
        <v>4.5</v>
      </c>
    </row>
    <row r="758" spans="1:7" x14ac:dyDescent="0.25">
      <c r="A758">
        <v>1824</v>
      </c>
      <c r="B758" t="s">
        <v>41</v>
      </c>
      <c r="C758" t="s">
        <v>946</v>
      </c>
      <c r="D758" t="s">
        <v>9</v>
      </c>
      <c r="E758" t="s">
        <v>17</v>
      </c>
      <c r="F758">
        <v>5</v>
      </c>
    </row>
    <row r="759" spans="1:7" x14ac:dyDescent="0.25">
      <c r="A759">
        <v>1823</v>
      </c>
      <c r="B759" t="s">
        <v>67</v>
      </c>
      <c r="C759" t="s">
        <v>947</v>
      </c>
      <c r="D759" t="s">
        <v>13</v>
      </c>
      <c r="E759" t="s">
        <v>69</v>
      </c>
      <c r="F759">
        <v>4</v>
      </c>
    </row>
    <row r="760" spans="1:7" x14ac:dyDescent="0.25">
      <c r="A760">
        <v>1822</v>
      </c>
      <c r="B760" t="s">
        <v>654</v>
      </c>
      <c r="C760" t="s">
        <v>948</v>
      </c>
      <c r="D760" t="s">
        <v>13</v>
      </c>
      <c r="E760" t="s">
        <v>73</v>
      </c>
      <c r="F760">
        <v>3.5</v>
      </c>
    </row>
    <row r="761" spans="1:7" x14ac:dyDescent="0.25">
      <c r="A761">
        <v>1821</v>
      </c>
      <c r="B761" t="s">
        <v>183</v>
      </c>
      <c r="C761" t="s">
        <v>949</v>
      </c>
      <c r="D761" t="s">
        <v>44</v>
      </c>
      <c r="E761" t="s">
        <v>17</v>
      </c>
      <c r="F761">
        <v>3.25</v>
      </c>
    </row>
    <row r="762" spans="1:7" x14ac:dyDescent="0.25">
      <c r="A762">
        <v>1820</v>
      </c>
      <c r="B762" t="s">
        <v>950</v>
      </c>
      <c r="C762" t="s">
        <v>951</v>
      </c>
      <c r="D762" t="s">
        <v>44</v>
      </c>
      <c r="E762" t="s">
        <v>14</v>
      </c>
      <c r="F762">
        <v>1.5</v>
      </c>
    </row>
    <row r="763" spans="1:7" x14ac:dyDescent="0.25">
      <c r="A763">
        <v>1819</v>
      </c>
      <c r="B763" t="s">
        <v>894</v>
      </c>
      <c r="C763" t="s">
        <v>952</v>
      </c>
      <c r="D763" t="s">
        <v>44</v>
      </c>
      <c r="E763" t="s">
        <v>38</v>
      </c>
      <c r="F763">
        <v>5</v>
      </c>
    </row>
    <row r="764" spans="1:7" x14ac:dyDescent="0.25">
      <c r="A764">
        <v>1818</v>
      </c>
      <c r="B764" t="s">
        <v>953</v>
      </c>
      <c r="C764" t="s">
        <v>954</v>
      </c>
      <c r="D764" t="s">
        <v>44</v>
      </c>
      <c r="E764" t="s">
        <v>10</v>
      </c>
      <c r="F764">
        <v>4.5</v>
      </c>
    </row>
    <row r="765" spans="1:7" x14ac:dyDescent="0.25">
      <c r="A765">
        <v>1817</v>
      </c>
      <c r="B765" t="s">
        <v>955</v>
      </c>
      <c r="C765" t="s">
        <v>956</v>
      </c>
      <c r="D765" t="s">
        <v>44</v>
      </c>
      <c r="E765" t="s">
        <v>69</v>
      </c>
      <c r="F765">
        <v>4</v>
      </c>
    </row>
    <row r="766" spans="1:7" x14ac:dyDescent="0.25">
      <c r="A766">
        <v>1816</v>
      </c>
      <c r="B766" t="s">
        <v>331</v>
      </c>
      <c r="C766" t="s">
        <v>957</v>
      </c>
      <c r="D766" t="s">
        <v>44</v>
      </c>
      <c r="E766" t="s">
        <v>53</v>
      </c>
      <c r="F766">
        <v>3.25</v>
      </c>
    </row>
    <row r="767" spans="1:7" x14ac:dyDescent="0.25">
      <c r="A767">
        <v>1815</v>
      </c>
      <c r="B767" t="s">
        <v>958</v>
      </c>
      <c r="C767" t="s">
        <v>959</v>
      </c>
      <c r="D767" t="s">
        <v>13</v>
      </c>
      <c r="E767" t="s">
        <v>10</v>
      </c>
      <c r="F767">
        <v>4</v>
      </c>
    </row>
    <row r="768" spans="1:7" x14ac:dyDescent="0.25">
      <c r="A768">
        <v>1814</v>
      </c>
      <c r="B768" t="s">
        <v>794</v>
      </c>
      <c r="C768" t="s">
        <v>960</v>
      </c>
      <c r="D768" t="s">
        <v>13</v>
      </c>
      <c r="E768" t="s">
        <v>733</v>
      </c>
      <c r="F768">
        <v>3</v>
      </c>
    </row>
    <row r="769" spans="1:6" x14ac:dyDescent="0.25">
      <c r="A769">
        <v>1813</v>
      </c>
      <c r="B769" t="s">
        <v>15</v>
      </c>
      <c r="C769" t="s">
        <v>961</v>
      </c>
      <c r="D769" t="s">
        <v>13</v>
      </c>
      <c r="E769" t="s">
        <v>149</v>
      </c>
      <c r="F769">
        <v>4.25</v>
      </c>
    </row>
    <row r="770" spans="1:6" x14ac:dyDescent="0.25">
      <c r="A770">
        <v>1812</v>
      </c>
      <c r="B770" t="s">
        <v>218</v>
      </c>
      <c r="C770" t="s">
        <v>962</v>
      </c>
      <c r="D770" t="s">
        <v>44</v>
      </c>
      <c r="E770" t="s">
        <v>79</v>
      </c>
      <c r="F770">
        <v>4.25</v>
      </c>
    </row>
    <row r="771" spans="1:6" x14ac:dyDescent="0.25">
      <c r="A771">
        <v>1811</v>
      </c>
      <c r="B771" t="s">
        <v>731</v>
      </c>
      <c r="C771" t="s">
        <v>963</v>
      </c>
      <c r="D771" t="s">
        <v>13</v>
      </c>
      <c r="E771" t="s">
        <v>733</v>
      </c>
      <c r="F771">
        <v>3.5</v>
      </c>
    </row>
    <row r="772" spans="1:6" x14ac:dyDescent="0.25">
      <c r="A772">
        <v>1810</v>
      </c>
      <c r="B772" t="s">
        <v>67</v>
      </c>
      <c r="C772" t="s">
        <v>964</v>
      </c>
      <c r="D772" t="s">
        <v>13</v>
      </c>
      <c r="E772" t="s">
        <v>69</v>
      </c>
      <c r="F772">
        <v>5</v>
      </c>
    </row>
    <row r="773" spans="1:6" x14ac:dyDescent="0.25">
      <c r="A773">
        <v>1809</v>
      </c>
      <c r="B773" t="s">
        <v>329</v>
      </c>
      <c r="C773" t="s">
        <v>965</v>
      </c>
      <c r="D773" t="s">
        <v>44</v>
      </c>
      <c r="E773" t="s">
        <v>10</v>
      </c>
      <c r="F773">
        <v>4.75</v>
      </c>
    </row>
    <row r="774" spans="1:6" x14ac:dyDescent="0.25">
      <c r="A774">
        <v>1808</v>
      </c>
      <c r="B774" t="s">
        <v>897</v>
      </c>
      <c r="C774" t="s">
        <v>966</v>
      </c>
      <c r="D774" t="s">
        <v>9</v>
      </c>
      <c r="E774" t="s">
        <v>38</v>
      </c>
      <c r="F774">
        <v>3.5</v>
      </c>
    </row>
    <row r="775" spans="1:6" x14ac:dyDescent="0.25">
      <c r="A775">
        <v>1807</v>
      </c>
      <c r="B775" t="s">
        <v>322</v>
      </c>
      <c r="C775" t="s">
        <v>967</v>
      </c>
      <c r="D775" t="s">
        <v>9</v>
      </c>
      <c r="E775" t="s">
        <v>38</v>
      </c>
      <c r="F775">
        <v>3.5</v>
      </c>
    </row>
    <row r="776" spans="1:6" x14ac:dyDescent="0.25">
      <c r="A776">
        <v>1806</v>
      </c>
      <c r="B776" t="s">
        <v>401</v>
      </c>
      <c r="C776" t="s">
        <v>968</v>
      </c>
      <c r="D776" t="s">
        <v>13</v>
      </c>
      <c r="E776" t="s">
        <v>69</v>
      </c>
      <c r="F776">
        <v>3.5</v>
      </c>
    </row>
    <row r="777" spans="1:6" x14ac:dyDescent="0.25">
      <c r="A777">
        <v>1805</v>
      </c>
      <c r="B777" t="s">
        <v>897</v>
      </c>
      <c r="C777" t="s">
        <v>969</v>
      </c>
      <c r="D777" t="s">
        <v>13</v>
      </c>
      <c r="E777" t="s">
        <v>371</v>
      </c>
      <c r="F777">
        <v>4</v>
      </c>
    </row>
    <row r="778" spans="1:6" x14ac:dyDescent="0.25">
      <c r="A778">
        <v>1804</v>
      </c>
      <c r="B778" t="s">
        <v>970</v>
      </c>
      <c r="C778" t="s">
        <v>971</v>
      </c>
      <c r="D778" t="s">
        <v>13</v>
      </c>
      <c r="E778" t="s">
        <v>156</v>
      </c>
      <c r="F778">
        <v>4.75</v>
      </c>
    </row>
    <row r="779" spans="1:6" x14ac:dyDescent="0.25">
      <c r="A779">
        <v>1803</v>
      </c>
      <c r="B779" t="s">
        <v>897</v>
      </c>
      <c r="C779" t="s">
        <v>972</v>
      </c>
      <c r="D779" t="s">
        <v>13</v>
      </c>
      <c r="E779" t="s">
        <v>38</v>
      </c>
      <c r="F779">
        <v>4</v>
      </c>
    </row>
    <row r="780" spans="1:6" x14ac:dyDescent="0.25">
      <c r="A780">
        <v>1802</v>
      </c>
      <c r="B780" t="s">
        <v>15</v>
      </c>
      <c r="C780" t="s">
        <v>973</v>
      </c>
      <c r="D780" t="s">
        <v>9</v>
      </c>
      <c r="E780" t="s">
        <v>17</v>
      </c>
      <c r="F780">
        <v>3.5</v>
      </c>
    </row>
    <row r="781" spans="1:6" x14ac:dyDescent="0.25">
      <c r="A781">
        <v>1801</v>
      </c>
      <c r="B781" t="s">
        <v>900</v>
      </c>
      <c r="C781" t="s">
        <v>974</v>
      </c>
      <c r="D781" t="s">
        <v>13</v>
      </c>
      <c r="E781" t="s">
        <v>79</v>
      </c>
      <c r="F781">
        <v>3.75</v>
      </c>
    </row>
    <row r="782" spans="1:6" x14ac:dyDescent="0.25">
      <c r="A782">
        <v>1800</v>
      </c>
      <c r="B782" t="s">
        <v>975</v>
      </c>
      <c r="C782" t="s">
        <v>976</v>
      </c>
      <c r="D782" t="s">
        <v>9</v>
      </c>
      <c r="E782" t="s">
        <v>17</v>
      </c>
      <c r="F782">
        <v>0.25</v>
      </c>
    </row>
    <row r="783" spans="1:6" x14ac:dyDescent="0.25">
      <c r="A783">
        <v>1799</v>
      </c>
      <c r="B783" t="s">
        <v>844</v>
      </c>
      <c r="C783" t="s">
        <v>977</v>
      </c>
      <c r="D783" t="s">
        <v>44</v>
      </c>
      <c r="E783" t="s">
        <v>17</v>
      </c>
      <c r="F783">
        <v>2.5</v>
      </c>
    </row>
    <row r="784" spans="1:6" x14ac:dyDescent="0.25">
      <c r="A784">
        <v>1798</v>
      </c>
      <c r="B784" t="s">
        <v>839</v>
      </c>
      <c r="C784" t="s">
        <v>978</v>
      </c>
      <c r="D784" t="s">
        <v>13</v>
      </c>
      <c r="E784" t="s">
        <v>733</v>
      </c>
      <c r="F784">
        <v>2.75</v>
      </c>
    </row>
    <row r="785" spans="1:6" x14ac:dyDescent="0.25">
      <c r="A785">
        <v>1797</v>
      </c>
      <c r="B785" t="s">
        <v>322</v>
      </c>
      <c r="C785" t="s">
        <v>979</v>
      </c>
      <c r="D785" t="s">
        <v>13</v>
      </c>
      <c r="E785" t="s">
        <v>38</v>
      </c>
      <c r="F785">
        <v>3.5</v>
      </c>
    </row>
    <row r="786" spans="1:6" x14ac:dyDescent="0.25">
      <c r="A786">
        <v>1796</v>
      </c>
      <c r="B786" t="s">
        <v>95</v>
      </c>
      <c r="C786" t="s">
        <v>980</v>
      </c>
      <c r="D786" t="s">
        <v>13</v>
      </c>
      <c r="E786" t="s">
        <v>10</v>
      </c>
      <c r="F786">
        <v>4.75</v>
      </c>
    </row>
    <row r="787" spans="1:6" x14ac:dyDescent="0.25">
      <c r="A787">
        <v>1795</v>
      </c>
      <c r="B787" t="s">
        <v>981</v>
      </c>
      <c r="C787" t="s">
        <v>982</v>
      </c>
      <c r="D787" t="s">
        <v>13</v>
      </c>
      <c r="E787" t="s">
        <v>465</v>
      </c>
      <c r="F787">
        <v>0</v>
      </c>
    </row>
    <row r="788" spans="1:6" x14ac:dyDescent="0.25">
      <c r="A788">
        <v>1794</v>
      </c>
      <c r="B788" t="s">
        <v>929</v>
      </c>
      <c r="C788" t="s">
        <v>983</v>
      </c>
      <c r="D788" t="s">
        <v>13</v>
      </c>
      <c r="E788" t="s">
        <v>69</v>
      </c>
      <c r="F788">
        <v>3</v>
      </c>
    </row>
    <row r="789" spans="1:6" x14ac:dyDescent="0.25">
      <c r="A789">
        <v>1793</v>
      </c>
      <c r="B789" t="s">
        <v>401</v>
      </c>
      <c r="C789" t="s">
        <v>984</v>
      </c>
      <c r="D789" t="s">
        <v>13</v>
      </c>
      <c r="E789" t="s">
        <v>69</v>
      </c>
      <c r="F789">
        <v>3.5</v>
      </c>
    </row>
    <row r="790" spans="1:6" x14ac:dyDescent="0.25">
      <c r="A790">
        <v>1792</v>
      </c>
      <c r="B790" t="s">
        <v>696</v>
      </c>
      <c r="C790" t="s">
        <v>985</v>
      </c>
      <c r="D790" t="s">
        <v>13</v>
      </c>
      <c r="E790" t="s">
        <v>69</v>
      </c>
      <c r="F790">
        <v>3.5</v>
      </c>
    </row>
    <row r="791" spans="1:6" x14ac:dyDescent="0.25">
      <c r="A791">
        <v>1791</v>
      </c>
      <c r="B791" t="s">
        <v>929</v>
      </c>
      <c r="C791" t="s">
        <v>986</v>
      </c>
      <c r="D791" t="s">
        <v>13</v>
      </c>
      <c r="E791" t="s">
        <v>69</v>
      </c>
      <c r="F791">
        <v>4.25</v>
      </c>
    </row>
    <row r="792" spans="1:6" x14ac:dyDescent="0.25">
      <c r="A792">
        <v>1790</v>
      </c>
      <c r="B792" t="s">
        <v>987</v>
      </c>
      <c r="C792" t="s">
        <v>988</v>
      </c>
      <c r="D792" t="s">
        <v>9</v>
      </c>
      <c r="E792" t="s">
        <v>69</v>
      </c>
      <c r="F792">
        <v>4.5</v>
      </c>
    </row>
    <row r="793" spans="1:6" x14ac:dyDescent="0.25">
      <c r="A793">
        <v>1789</v>
      </c>
      <c r="B793" t="s">
        <v>401</v>
      </c>
      <c r="C793" t="s">
        <v>989</v>
      </c>
      <c r="D793" t="s">
        <v>13</v>
      </c>
      <c r="E793" t="s">
        <v>69</v>
      </c>
      <c r="F793">
        <v>3.5</v>
      </c>
    </row>
    <row r="794" spans="1:6" x14ac:dyDescent="0.25">
      <c r="A794">
        <v>1788</v>
      </c>
      <c r="B794" t="s">
        <v>987</v>
      </c>
      <c r="C794" t="s">
        <v>990</v>
      </c>
      <c r="D794" t="s">
        <v>9</v>
      </c>
      <c r="E794" t="s">
        <v>69</v>
      </c>
      <c r="F794">
        <v>3</v>
      </c>
    </row>
    <row r="795" spans="1:6" x14ac:dyDescent="0.25">
      <c r="A795">
        <v>1787</v>
      </c>
      <c r="B795" t="s">
        <v>916</v>
      </c>
      <c r="C795" t="s">
        <v>991</v>
      </c>
      <c r="D795" t="s">
        <v>13</v>
      </c>
      <c r="E795" t="s">
        <v>69</v>
      </c>
      <c r="F795">
        <v>4</v>
      </c>
    </row>
    <row r="796" spans="1:6" x14ac:dyDescent="0.25">
      <c r="A796">
        <v>1786</v>
      </c>
      <c r="B796" t="s">
        <v>15</v>
      </c>
      <c r="C796" t="s">
        <v>992</v>
      </c>
      <c r="D796" t="s">
        <v>30</v>
      </c>
      <c r="E796" t="s">
        <v>17</v>
      </c>
      <c r="F796">
        <v>4.25</v>
      </c>
    </row>
    <row r="797" spans="1:6" x14ac:dyDescent="0.25">
      <c r="A797">
        <v>1785</v>
      </c>
      <c r="B797" t="s">
        <v>987</v>
      </c>
      <c r="C797" t="s">
        <v>993</v>
      </c>
      <c r="D797" t="s">
        <v>9</v>
      </c>
      <c r="E797" t="s">
        <v>69</v>
      </c>
      <c r="F797">
        <v>3.5</v>
      </c>
    </row>
    <row r="798" spans="1:6" x14ac:dyDescent="0.25">
      <c r="A798">
        <v>1784</v>
      </c>
      <c r="B798" t="s">
        <v>994</v>
      </c>
      <c r="C798" t="s">
        <v>665</v>
      </c>
      <c r="D798" t="s">
        <v>13</v>
      </c>
      <c r="E798" t="s">
        <v>10</v>
      </c>
      <c r="F798">
        <v>5</v>
      </c>
    </row>
    <row r="799" spans="1:6" x14ac:dyDescent="0.25">
      <c r="A799">
        <v>1783</v>
      </c>
      <c r="B799" t="s">
        <v>839</v>
      </c>
      <c r="C799" t="s">
        <v>995</v>
      </c>
      <c r="D799" t="s">
        <v>13</v>
      </c>
      <c r="E799" t="s">
        <v>733</v>
      </c>
      <c r="F799">
        <v>4.5</v>
      </c>
    </row>
    <row r="800" spans="1:6" x14ac:dyDescent="0.25">
      <c r="A800">
        <v>1782</v>
      </c>
      <c r="B800" t="s">
        <v>996</v>
      </c>
      <c r="C800" t="s">
        <v>997</v>
      </c>
      <c r="D800" t="s">
        <v>13</v>
      </c>
      <c r="E800" t="s">
        <v>465</v>
      </c>
      <c r="F800">
        <v>0</v>
      </c>
    </row>
    <row r="801" spans="1:6" x14ac:dyDescent="0.25">
      <c r="A801">
        <v>1781</v>
      </c>
      <c r="B801" t="s">
        <v>67</v>
      </c>
      <c r="C801" t="s">
        <v>998</v>
      </c>
      <c r="D801" t="s">
        <v>44</v>
      </c>
      <c r="E801" t="s">
        <v>69</v>
      </c>
      <c r="F801">
        <v>5</v>
      </c>
    </row>
    <row r="802" spans="1:6" x14ac:dyDescent="0.25">
      <c r="A802">
        <v>1780</v>
      </c>
      <c r="B802" t="s">
        <v>298</v>
      </c>
      <c r="C802" t="s">
        <v>999</v>
      </c>
      <c r="D802" t="s">
        <v>13</v>
      </c>
      <c r="E802" t="s">
        <v>25</v>
      </c>
      <c r="F802">
        <v>4.5</v>
      </c>
    </row>
    <row r="803" spans="1:6" x14ac:dyDescent="0.25">
      <c r="A803">
        <v>1779</v>
      </c>
      <c r="B803" t="s">
        <v>1000</v>
      </c>
      <c r="C803" t="s">
        <v>1001</v>
      </c>
      <c r="D803" t="s">
        <v>13</v>
      </c>
      <c r="E803" t="s">
        <v>14</v>
      </c>
      <c r="F803">
        <v>3.25</v>
      </c>
    </row>
    <row r="804" spans="1:6" x14ac:dyDescent="0.25">
      <c r="A804">
        <v>1778</v>
      </c>
      <c r="B804" t="s">
        <v>426</v>
      </c>
      <c r="C804" t="s">
        <v>1002</v>
      </c>
      <c r="D804" t="s">
        <v>13</v>
      </c>
      <c r="E804" t="s">
        <v>79</v>
      </c>
      <c r="F804">
        <v>5</v>
      </c>
    </row>
    <row r="805" spans="1:6" x14ac:dyDescent="0.25">
      <c r="A805">
        <v>1777</v>
      </c>
      <c r="B805" t="s">
        <v>426</v>
      </c>
      <c r="C805" t="s">
        <v>1003</v>
      </c>
      <c r="D805" t="s">
        <v>44</v>
      </c>
      <c r="E805" t="s">
        <v>79</v>
      </c>
      <c r="F805">
        <v>3.5</v>
      </c>
    </row>
    <row r="806" spans="1:6" x14ac:dyDescent="0.25">
      <c r="A806">
        <v>1776</v>
      </c>
      <c r="B806" t="s">
        <v>426</v>
      </c>
      <c r="C806" t="s">
        <v>1004</v>
      </c>
      <c r="D806" t="s">
        <v>44</v>
      </c>
      <c r="E806" t="s">
        <v>79</v>
      </c>
      <c r="F806">
        <v>5</v>
      </c>
    </row>
    <row r="807" spans="1:6" x14ac:dyDescent="0.25">
      <c r="A807">
        <v>1775</v>
      </c>
      <c r="B807" t="s">
        <v>426</v>
      </c>
      <c r="C807" t="s">
        <v>1005</v>
      </c>
      <c r="D807" t="s">
        <v>44</v>
      </c>
      <c r="E807" t="s">
        <v>79</v>
      </c>
      <c r="F807">
        <v>4.25</v>
      </c>
    </row>
    <row r="808" spans="1:6" x14ac:dyDescent="0.25">
      <c r="A808">
        <v>1774</v>
      </c>
      <c r="B808" t="s">
        <v>426</v>
      </c>
      <c r="C808" t="s">
        <v>1006</v>
      </c>
      <c r="D808" t="s">
        <v>13</v>
      </c>
      <c r="E808" t="s">
        <v>79</v>
      </c>
      <c r="F808">
        <v>5</v>
      </c>
    </row>
    <row r="809" spans="1:6" x14ac:dyDescent="0.25">
      <c r="A809">
        <v>1773</v>
      </c>
      <c r="B809" t="s">
        <v>426</v>
      </c>
      <c r="C809" t="s">
        <v>1007</v>
      </c>
      <c r="D809" t="s">
        <v>44</v>
      </c>
      <c r="E809" t="s">
        <v>79</v>
      </c>
      <c r="F809">
        <v>4</v>
      </c>
    </row>
    <row r="810" spans="1:6" x14ac:dyDescent="0.25">
      <c r="A810">
        <v>1772</v>
      </c>
      <c r="B810" t="s">
        <v>426</v>
      </c>
      <c r="C810" t="s">
        <v>1008</v>
      </c>
      <c r="D810" t="s">
        <v>13</v>
      </c>
      <c r="E810" t="s">
        <v>79</v>
      </c>
      <c r="F810">
        <v>5</v>
      </c>
    </row>
    <row r="811" spans="1:6" x14ac:dyDescent="0.25">
      <c r="A811">
        <v>1771</v>
      </c>
      <c r="B811" t="s">
        <v>426</v>
      </c>
      <c r="C811" t="s">
        <v>1009</v>
      </c>
      <c r="D811" t="s">
        <v>44</v>
      </c>
      <c r="E811" t="s">
        <v>79</v>
      </c>
      <c r="F811">
        <v>3.5</v>
      </c>
    </row>
    <row r="812" spans="1:6" x14ac:dyDescent="0.25">
      <c r="A812">
        <v>1770</v>
      </c>
      <c r="B812" t="s">
        <v>426</v>
      </c>
      <c r="C812" t="s">
        <v>1010</v>
      </c>
      <c r="D812" t="s">
        <v>44</v>
      </c>
      <c r="E812" t="s">
        <v>79</v>
      </c>
      <c r="F812">
        <v>4.5</v>
      </c>
    </row>
    <row r="813" spans="1:6" x14ac:dyDescent="0.25">
      <c r="A813">
        <v>1769</v>
      </c>
      <c r="B813" t="s">
        <v>668</v>
      </c>
      <c r="C813" t="s">
        <v>1011</v>
      </c>
      <c r="D813" t="s">
        <v>13</v>
      </c>
      <c r="E813" t="s">
        <v>69</v>
      </c>
      <c r="F813">
        <v>5</v>
      </c>
    </row>
    <row r="814" spans="1:6" x14ac:dyDescent="0.25">
      <c r="A814">
        <v>1768</v>
      </c>
      <c r="B814" t="s">
        <v>7</v>
      </c>
      <c r="C814" t="s">
        <v>1012</v>
      </c>
      <c r="D814" t="s">
        <v>44</v>
      </c>
      <c r="E814" t="s">
        <v>10</v>
      </c>
      <c r="F814">
        <v>5</v>
      </c>
    </row>
    <row r="815" spans="1:6" x14ac:dyDescent="0.25">
      <c r="A815">
        <v>1767</v>
      </c>
      <c r="B815" t="s">
        <v>897</v>
      </c>
      <c r="C815" t="s">
        <v>1013</v>
      </c>
      <c r="D815" t="s">
        <v>13</v>
      </c>
      <c r="E815" t="s">
        <v>826</v>
      </c>
      <c r="F815">
        <v>4</v>
      </c>
    </row>
    <row r="816" spans="1:6" x14ac:dyDescent="0.25">
      <c r="A816">
        <v>1766</v>
      </c>
      <c r="B816" t="s">
        <v>54</v>
      </c>
      <c r="C816" t="s">
        <v>1014</v>
      </c>
      <c r="D816" t="s">
        <v>44</v>
      </c>
      <c r="E816" t="s">
        <v>25</v>
      </c>
      <c r="F816">
        <v>3.5</v>
      </c>
    </row>
    <row r="817" spans="1:6" x14ac:dyDescent="0.25">
      <c r="A817">
        <v>1765</v>
      </c>
      <c r="B817" t="s">
        <v>15</v>
      </c>
      <c r="C817" t="s">
        <v>1015</v>
      </c>
      <c r="D817" t="s">
        <v>9</v>
      </c>
      <c r="E817" t="s">
        <v>17</v>
      </c>
      <c r="F817">
        <v>3.5</v>
      </c>
    </row>
    <row r="818" spans="1:6" x14ac:dyDescent="0.25">
      <c r="A818">
        <v>1764</v>
      </c>
      <c r="B818" t="s">
        <v>855</v>
      </c>
      <c r="C818" t="s">
        <v>1016</v>
      </c>
      <c r="D818" t="s">
        <v>13</v>
      </c>
      <c r="E818" t="s">
        <v>857</v>
      </c>
      <c r="F818">
        <v>3.75</v>
      </c>
    </row>
    <row r="819" spans="1:6" x14ac:dyDescent="0.25">
      <c r="A819">
        <v>1763</v>
      </c>
      <c r="B819" t="s">
        <v>1017</v>
      </c>
      <c r="C819" t="s">
        <v>1018</v>
      </c>
      <c r="D819" t="s">
        <v>13</v>
      </c>
      <c r="E819" t="s">
        <v>10</v>
      </c>
      <c r="F819">
        <v>4.5</v>
      </c>
    </row>
    <row r="820" spans="1:6" x14ac:dyDescent="0.25">
      <c r="A820">
        <v>1762</v>
      </c>
      <c r="B820" t="s">
        <v>128</v>
      </c>
      <c r="C820" t="s">
        <v>1019</v>
      </c>
      <c r="D820" t="s">
        <v>13</v>
      </c>
      <c r="E820" t="s">
        <v>14</v>
      </c>
      <c r="F820">
        <v>4</v>
      </c>
    </row>
    <row r="821" spans="1:6" x14ac:dyDescent="0.25">
      <c r="A821">
        <v>1761</v>
      </c>
      <c r="B821" t="s">
        <v>1020</v>
      </c>
      <c r="C821" t="s">
        <v>1021</v>
      </c>
      <c r="D821" t="s">
        <v>44</v>
      </c>
      <c r="E821" t="s">
        <v>17</v>
      </c>
      <c r="F821">
        <v>1</v>
      </c>
    </row>
    <row r="822" spans="1:6" x14ac:dyDescent="0.25">
      <c r="A822">
        <v>1760</v>
      </c>
      <c r="B822" t="s">
        <v>7</v>
      </c>
      <c r="C822" t="s">
        <v>1022</v>
      </c>
      <c r="D822" t="s">
        <v>44</v>
      </c>
      <c r="E822" t="s">
        <v>10</v>
      </c>
      <c r="F822">
        <v>4.5</v>
      </c>
    </row>
    <row r="823" spans="1:6" x14ac:dyDescent="0.25">
      <c r="A823">
        <v>1759</v>
      </c>
      <c r="B823" t="s">
        <v>15</v>
      </c>
      <c r="C823" t="s">
        <v>610</v>
      </c>
      <c r="D823" t="s">
        <v>9</v>
      </c>
      <c r="E823" t="s">
        <v>38</v>
      </c>
      <c r="F823">
        <v>4</v>
      </c>
    </row>
    <row r="824" spans="1:6" x14ac:dyDescent="0.25">
      <c r="A824">
        <v>1758</v>
      </c>
      <c r="B824" t="s">
        <v>929</v>
      </c>
      <c r="C824" t="s">
        <v>1023</v>
      </c>
      <c r="D824" t="s">
        <v>13</v>
      </c>
      <c r="E824" t="s">
        <v>69</v>
      </c>
      <c r="F824">
        <v>3.5</v>
      </c>
    </row>
    <row r="825" spans="1:6" x14ac:dyDescent="0.25">
      <c r="A825">
        <v>1757</v>
      </c>
      <c r="B825" t="s">
        <v>839</v>
      </c>
      <c r="C825" t="s">
        <v>708</v>
      </c>
      <c r="D825" t="s">
        <v>13</v>
      </c>
      <c r="E825" t="s">
        <v>733</v>
      </c>
      <c r="F825">
        <v>3.25</v>
      </c>
    </row>
    <row r="826" spans="1:6" x14ac:dyDescent="0.25">
      <c r="A826">
        <v>1756</v>
      </c>
      <c r="B826" t="s">
        <v>496</v>
      </c>
      <c r="C826" t="s">
        <v>1024</v>
      </c>
      <c r="D826" t="s">
        <v>13</v>
      </c>
      <c r="E826" t="s">
        <v>14</v>
      </c>
      <c r="F826">
        <v>4.25</v>
      </c>
    </row>
    <row r="827" spans="1:6" x14ac:dyDescent="0.25">
      <c r="A827">
        <v>1755</v>
      </c>
      <c r="B827" t="s">
        <v>897</v>
      </c>
      <c r="C827" t="s">
        <v>1025</v>
      </c>
      <c r="D827" t="s">
        <v>13</v>
      </c>
      <c r="E827" t="s">
        <v>371</v>
      </c>
      <c r="F827">
        <v>4</v>
      </c>
    </row>
    <row r="828" spans="1:6" x14ac:dyDescent="0.25">
      <c r="A828">
        <v>1754</v>
      </c>
      <c r="B828" t="s">
        <v>54</v>
      </c>
      <c r="C828" t="s">
        <v>1026</v>
      </c>
      <c r="D828" t="s">
        <v>44</v>
      </c>
      <c r="E828" t="s">
        <v>25</v>
      </c>
      <c r="F828">
        <v>5</v>
      </c>
    </row>
    <row r="829" spans="1:6" x14ac:dyDescent="0.25">
      <c r="A829">
        <v>1753</v>
      </c>
      <c r="B829" t="s">
        <v>844</v>
      </c>
      <c r="C829" t="s">
        <v>1027</v>
      </c>
      <c r="D829" t="s">
        <v>44</v>
      </c>
      <c r="E829" t="s">
        <v>17</v>
      </c>
      <c r="F829">
        <v>3.5</v>
      </c>
    </row>
    <row r="830" spans="1:6" x14ac:dyDescent="0.25">
      <c r="A830">
        <v>1752</v>
      </c>
      <c r="B830" t="s">
        <v>872</v>
      </c>
      <c r="C830" t="s">
        <v>1028</v>
      </c>
      <c r="D830" t="s">
        <v>13</v>
      </c>
      <c r="E830" t="s">
        <v>10</v>
      </c>
      <c r="F830">
        <v>4.75</v>
      </c>
    </row>
    <row r="831" spans="1:6" x14ac:dyDescent="0.25">
      <c r="A831">
        <v>1751</v>
      </c>
      <c r="B831" t="s">
        <v>128</v>
      </c>
      <c r="C831" t="s">
        <v>1029</v>
      </c>
      <c r="D831" t="s">
        <v>13</v>
      </c>
      <c r="E831" t="s">
        <v>14</v>
      </c>
      <c r="F831">
        <v>5</v>
      </c>
    </row>
    <row r="832" spans="1:6" x14ac:dyDescent="0.25">
      <c r="A832">
        <v>1750</v>
      </c>
      <c r="B832" t="s">
        <v>654</v>
      </c>
      <c r="C832" t="s">
        <v>1030</v>
      </c>
      <c r="D832" t="s">
        <v>9</v>
      </c>
      <c r="E832" t="s">
        <v>73</v>
      </c>
      <c r="F832">
        <v>5</v>
      </c>
    </row>
    <row r="833" spans="1:6" x14ac:dyDescent="0.25">
      <c r="A833">
        <v>1749</v>
      </c>
      <c r="B833" t="s">
        <v>894</v>
      </c>
      <c r="C833" t="s">
        <v>1031</v>
      </c>
      <c r="D833" t="s">
        <v>13</v>
      </c>
      <c r="E833" t="s">
        <v>38</v>
      </c>
      <c r="F833">
        <v>5</v>
      </c>
    </row>
    <row r="834" spans="1:6" x14ac:dyDescent="0.25">
      <c r="A834">
        <v>1748</v>
      </c>
      <c r="B834" t="s">
        <v>981</v>
      </c>
      <c r="C834" t="s">
        <v>1032</v>
      </c>
      <c r="D834" t="s">
        <v>9</v>
      </c>
      <c r="E834" t="s">
        <v>465</v>
      </c>
      <c r="F834">
        <v>3</v>
      </c>
    </row>
    <row r="835" spans="1:6" x14ac:dyDescent="0.25">
      <c r="A835">
        <v>1747</v>
      </c>
      <c r="B835" t="s">
        <v>929</v>
      </c>
      <c r="C835" t="s">
        <v>1033</v>
      </c>
      <c r="D835" t="s">
        <v>13</v>
      </c>
      <c r="E835" t="s">
        <v>69</v>
      </c>
      <c r="F835">
        <v>3.5</v>
      </c>
    </row>
    <row r="836" spans="1:6" x14ac:dyDescent="0.25">
      <c r="A836">
        <v>1746</v>
      </c>
      <c r="B836" t="s">
        <v>329</v>
      </c>
      <c r="C836" t="s">
        <v>1034</v>
      </c>
      <c r="D836" t="s">
        <v>44</v>
      </c>
      <c r="E836" t="s">
        <v>10</v>
      </c>
      <c r="F836">
        <v>4.25</v>
      </c>
    </row>
    <row r="837" spans="1:6" x14ac:dyDescent="0.25">
      <c r="A837">
        <v>1745</v>
      </c>
      <c r="B837" t="s">
        <v>811</v>
      </c>
      <c r="C837" t="s">
        <v>1035</v>
      </c>
      <c r="D837" t="s">
        <v>13</v>
      </c>
      <c r="E837" t="s">
        <v>733</v>
      </c>
      <c r="F837">
        <v>3.5</v>
      </c>
    </row>
    <row r="838" spans="1:6" x14ac:dyDescent="0.25">
      <c r="A838">
        <v>1744</v>
      </c>
      <c r="B838" t="s">
        <v>496</v>
      </c>
      <c r="C838" t="s">
        <v>1036</v>
      </c>
      <c r="D838" t="s">
        <v>13</v>
      </c>
      <c r="E838" t="s">
        <v>14</v>
      </c>
      <c r="F838">
        <v>5</v>
      </c>
    </row>
    <row r="839" spans="1:6" x14ac:dyDescent="0.25">
      <c r="A839">
        <v>1743</v>
      </c>
      <c r="B839" t="s">
        <v>897</v>
      </c>
      <c r="C839" t="s">
        <v>1037</v>
      </c>
      <c r="D839" t="s">
        <v>13</v>
      </c>
      <c r="E839" t="s">
        <v>730</v>
      </c>
      <c r="F839">
        <v>4.5</v>
      </c>
    </row>
    <row r="840" spans="1:6" x14ac:dyDescent="0.25">
      <c r="A840">
        <v>1742</v>
      </c>
      <c r="B840" t="s">
        <v>1038</v>
      </c>
      <c r="C840" t="s">
        <v>1039</v>
      </c>
      <c r="D840" t="s">
        <v>13</v>
      </c>
      <c r="E840" t="s">
        <v>69</v>
      </c>
      <c r="F840">
        <v>4.5</v>
      </c>
    </row>
    <row r="841" spans="1:6" x14ac:dyDescent="0.25">
      <c r="A841">
        <v>1741</v>
      </c>
      <c r="B841" t="s">
        <v>183</v>
      </c>
      <c r="C841" t="s">
        <v>1040</v>
      </c>
      <c r="D841" t="s">
        <v>44</v>
      </c>
      <c r="E841" t="s">
        <v>17</v>
      </c>
      <c r="F841">
        <v>2.5</v>
      </c>
    </row>
    <row r="842" spans="1:6" x14ac:dyDescent="0.25">
      <c r="A842">
        <v>1740</v>
      </c>
      <c r="B842" t="s">
        <v>218</v>
      </c>
      <c r="C842" t="s">
        <v>1041</v>
      </c>
      <c r="D842" t="s">
        <v>13</v>
      </c>
      <c r="E842" t="s">
        <v>79</v>
      </c>
      <c r="F842">
        <v>4.25</v>
      </c>
    </row>
    <row r="843" spans="1:6" x14ac:dyDescent="0.25">
      <c r="A843">
        <v>1739</v>
      </c>
      <c r="B843" t="s">
        <v>15</v>
      </c>
      <c r="C843" t="s">
        <v>1042</v>
      </c>
      <c r="D843" t="s">
        <v>44</v>
      </c>
      <c r="E843" t="s">
        <v>10</v>
      </c>
      <c r="F843">
        <v>4.5</v>
      </c>
    </row>
    <row r="844" spans="1:6" x14ac:dyDescent="0.25">
      <c r="A844">
        <v>1738</v>
      </c>
      <c r="B844" t="s">
        <v>255</v>
      </c>
      <c r="C844" t="s">
        <v>1013</v>
      </c>
      <c r="D844" t="s">
        <v>9</v>
      </c>
      <c r="E844" t="s">
        <v>38</v>
      </c>
      <c r="F844">
        <v>4.25</v>
      </c>
    </row>
    <row r="845" spans="1:6" x14ac:dyDescent="0.25">
      <c r="A845">
        <v>1737</v>
      </c>
      <c r="B845" t="s">
        <v>654</v>
      </c>
      <c r="C845" t="s">
        <v>1043</v>
      </c>
      <c r="D845" t="s">
        <v>9</v>
      </c>
      <c r="E845" t="s">
        <v>73</v>
      </c>
      <c r="F845">
        <v>3.75</v>
      </c>
    </row>
    <row r="846" spans="1:6" x14ac:dyDescent="0.25">
      <c r="A846">
        <v>1736</v>
      </c>
      <c r="B846" t="s">
        <v>668</v>
      </c>
      <c r="C846" t="s">
        <v>1044</v>
      </c>
      <c r="D846" t="s">
        <v>13</v>
      </c>
      <c r="E846" t="s">
        <v>69</v>
      </c>
      <c r="F846">
        <v>5</v>
      </c>
    </row>
    <row r="847" spans="1:6" x14ac:dyDescent="0.25">
      <c r="A847">
        <v>1735</v>
      </c>
      <c r="B847" t="s">
        <v>218</v>
      </c>
      <c r="C847" t="s">
        <v>694</v>
      </c>
      <c r="D847" t="s">
        <v>44</v>
      </c>
      <c r="E847" t="s">
        <v>79</v>
      </c>
      <c r="F847">
        <v>4</v>
      </c>
    </row>
    <row r="848" spans="1:6" x14ac:dyDescent="0.25">
      <c r="A848">
        <v>1734</v>
      </c>
      <c r="B848" t="s">
        <v>1045</v>
      </c>
      <c r="C848" t="s">
        <v>1046</v>
      </c>
      <c r="D848" t="s">
        <v>13</v>
      </c>
      <c r="E848" t="s">
        <v>35</v>
      </c>
      <c r="F848">
        <v>4.25</v>
      </c>
    </row>
    <row r="849" spans="1:6" x14ac:dyDescent="0.25">
      <c r="A849">
        <v>1733</v>
      </c>
      <c r="B849" t="s">
        <v>823</v>
      </c>
      <c r="C849" t="s">
        <v>708</v>
      </c>
      <c r="D849" t="s">
        <v>13</v>
      </c>
      <c r="E849" t="s">
        <v>149</v>
      </c>
      <c r="F849">
        <v>3.75</v>
      </c>
    </row>
    <row r="850" spans="1:6" x14ac:dyDescent="0.25">
      <c r="A850">
        <v>1732</v>
      </c>
      <c r="B850" t="s">
        <v>987</v>
      </c>
      <c r="C850" t="s">
        <v>1047</v>
      </c>
      <c r="D850" t="s">
        <v>9</v>
      </c>
      <c r="E850" t="s">
        <v>69</v>
      </c>
      <c r="F850">
        <v>3.25</v>
      </c>
    </row>
    <row r="851" spans="1:6" x14ac:dyDescent="0.25">
      <c r="A851">
        <v>1731</v>
      </c>
      <c r="B851" t="s">
        <v>897</v>
      </c>
      <c r="C851" t="s">
        <v>1048</v>
      </c>
      <c r="D851" t="s">
        <v>13</v>
      </c>
      <c r="E851" t="s">
        <v>826</v>
      </c>
      <c r="F851">
        <v>5</v>
      </c>
    </row>
    <row r="852" spans="1:6" x14ac:dyDescent="0.25">
      <c r="A852">
        <v>1730</v>
      </c>
      <c r="B852" t="s">
        <v>1049</v>
      </c>
      <c r="C852" t="s">
        <v>1050</v>
      </c>
      <c r="D852" t="s">
        <v>13</v>
      </c>
      <c r="E852" t="s">
        <v>14</v>
      </c>
      <c r="F852">
        <v>4.5</v>
      </c>
    </row>
    <row r="853" spans="1:6" x14ac:dyDescent="0.25">
      <c r="A853">
        <v>1729</v>
      </c>
      <c r="B853" t="s">
        <v>889</v>
      </c>
      <c r="C853" t="s">
        <v>1051</v>
      </c>
      <c r="D853" t="s">
        <v>9</v>
      </c>
      <c r="E853" t="s">
        <v>14</v>
      </c>
      <c r="F853">
        <v>2.75</v>
      </c>
    </row>
    <row r="854" spans="1:6" x14ac:dyDescent="0.25">
      <c r="A854">
        <v>1728</v>
      </c>
      <c r="B854" t="s">
        <v>1052</v>
      </c>
      <c r="C854" t="s">
        <v>1053</v>
      </c>
      <c r="D854" t="s">
        <v>44</v>
      </c>
      <c r="E854" t="s">
        <v>10</v>
      </c>
      <c r="F854">
        <v>3.25</v>
      </c>
    </row>
    <row r="855" spans="1:6" x14ac:dyDescent="0.25">
      <c r="A855">
        <v>1727</v>
      </c>
      <c r="B855" t="s">
        <v>18</v>
      </c>
      <c r="C855" t="s">
        <v>1054</v>
      </c>
      <c r="D855" t="s">
        <v>44</v>
      </c>
      <c r="E855" t="s">
        <v>14</v>
      </c>
      <c r="F855">
        <v>5</v>
      </c>
    </row>
    <row r="856" spans="1:6" x14ac:dyDescent="0.25">
      <c r="A856">
        <v>1726</v>
      </c>
      <c r="B856" t="s">
        <v>1055</v>
      </c>
      <c r="C856" t="s">
        <v>1056</v>
      </c>
      <c r="D856" t="s">
        <v>44</v>
      </c>
      <c r="E856" t="s">
        <v>53</v>
      </c>
      <c r="F856">
        <v>3</v>
      </c>
    </row>
    <row r="857" spans="1:6" x14ac:dyDescent="0.25">
      <c r="A857">
        <v>1725</v>
      </c>
      <c r="B857" t="s">
        <v>496</v>
      </c>
      <c r="C857" t="s">
        <v>1057</v>
      </c>
      <c r="D857" t="s">
        <v>13</v>
      </c>
      <c r="E857" t="s">
        <v>14</v>
      </c>
      <c r="F857">
        <v>3.25</v>
      </c>
    </row>
    <row r="858" spans="1:6" x14ac:dyDescent="0.25">
      <c r="A858">
        <v>1724</v>
      </c>
      <c r="B858" t="s">
        <v>855</v>
      </c>
      <c r="C858" t="s">
        <v>1058</v>
      </c>
      <c r="D858" t="s">
        <v>13</v>
      </c>
      <c r="E858" t="s">
        <v>857</v>
      </c>
      <c r="F858">
        <v>3.5</v>
      </c>
    </row>
    <row r="859" spans="1:6" x14ac:dyDescent="0.25">
      <c r="A859">
        <v>1723</v>
      </c>
      <c r="B859" t="s">
        <v>1059</v>
      </c>
      <c r="C859" t="s">
        <v>1060</v>
      </c>
      <c r="D859" t="s">
        <v>13</v>
      </c>
      <c r="E859" t="s">
        <v>79</v>
      </c>
      <c r="F859">
        <v>3.75</v>
      </c>
    </row>
    <row r="860" spans="1:6" x14ac:dyDescent="0.25">
      <c r="A860">
        <v>1722</v>
      </c>
      <c r="B860" t="s">
        <v>595</v>
      </c>
      <c r="C860" t="s">
        <v>1061</v>
      </c>
      <c r="D860" t="s">
        <v>13</v>
      </c>
      <c r="E860" t="s">
        <v>69</v>
      </c>
      <c r="F860">
        <v>4.5</v>
      </c>
    </row>
    <row r="861" spans="1:6" x14ac:dyDescent="0.25">
      <c r="A861">
        <v>1721</v>
      </c>
      <c r="B861" t="s">
        <v>1062</v>
      </c>
      <c r="C861" t="s">
        <v>1063</v>
      </c>
      <c r="D861" t="s">
        <v>13</v>
      </c>
      <c r="E861" t="s">
        <v>73</v>
      </c>
      <c r="F861">
        <v>4.25</v>
      </c>
    </row>
    <row r="862" spans="1:6" x14ac:dyDescent="0.25">
      <c r="A862">
        <v>1720</v>
      </c>
      <c r="B862" t="s">
        <v>668</v>
      </c>
      <c r="C862" t="s">
        <v>1011</v>
      </c>
      <c r="D862" t="s">
        <v>9</v>
      </c>
      <c r="E862" t="s">
        <v>69</v>
      </c>
      <c r="F862">
        <v>5</v>
      </c>
    </row>
    <row r="863" spans="1:6" x14ac:dyDescent="0.25">
      <c r="A863">
        <v>1719</v>
      </c>
      <c r="B863" t="s">
        <v>322</v>
      </c>
      <c r="C863" t="s">
        <v>1064</v>
      </c>
      <c r="D863" t="s">
        <v>44</v>
      </c>
      <c r="E863" t="s">
        <v>38</v>
      </c>
      <c r="F863">
        <v>2.5</v>
      </c>
    </row>
    <row r="864" spans="1:6" x14ac:dyDescent="0.25">
      <c r="A864">
        <v>1718</v>
      </c>
      <c r="B864" t="s">
        <v>1055</v>
      </c>
      <c r="C864" t="s">
        <v>1065</v>
      </c>
      <c r="D864" t="s">
        <v>9</v>
      </c>
      <c r="E864" t="s">
        <v>53</v>
      </c>
      <c r="F864">
        <v>2.5</v>
      </c>
    </row>
    <row r="865" spans="1:6" x14ac:dyDescent="0.25">
      <c r="A865">
        <v>1717</v>
      </c>
      <c r="B865" t="s">
        <v>1066</v>
      </c>
      <c r="C865" t="s">
        <v>1067</v>
      </c>
      <c r="D865" t="s">
        <v>13</v>
      </c>
      <c r="E865" t="s">
        <v>1068</v>
      </c>
      <c r="F865">
        <v>4</v>
      </c>
    </row>
    <row r="866" spans="1:6" x14ac:dyDescent="0.25">
      <c r="A866">
        <v>1716</v>
      </c>
      <c r="B866" t="s">
        <v>897</v>
      </c>
      <c r="C866" t="s">
        <v>1069</v>
      </c>
      <c r="D866" t="s">
        <v>13</v>
      </c>
      <c r="E866" t="s">
        <v>730</v>
      </c>
      <c r="F866">
        <v>3.5</v>
      </c>
    </row>
    <row r="867" spans="1:6" x14ac:dyDescent="0.25">
      <c r="A867">
        <v>1715</v>
      </c>
      <c r="B867" t="s">
        <v>894</v>
      </c>
      <c r="C867" t="s">
        <v>1070</v>
      </c>
      <c r="D867" t="s">
        <v>13</v>
      </c>
      <c r="E867" t="s">
        <v>38</v>
      </c>
      <c r="F867">
        <v>3.75</v>
      </c>
    </row>
    <row r="868" spans="1:6" x14ac:dyDescent="0.25">
      <c r="A868">
        <v>1714</v>
      </c>
      <c r="B868" t="s">
        <v>218</v>
      </c>
      <c r="C868" t="s">
        <v>1071</v>
      </c>
      <c r="D868" t="s">
        <v>13</v>
      </c>
      <c r="E868" t="s">
        <v>79</v>
      </c>
      <c r="F868">
        <v>3.75</v>
      </c>
    </row>
    <row r="869" spans="1:6" x14ac:dyDescent="0.25">
      <c r="A869">
        <v>1713</v>
      </c>
      <c r="B869" t="s">
        <v>595</v>
      </c>
      <c r="C869" t="s">
        <v>1072</v>
      </c>
      <c r="D869" t="s">
        <v>13</v>
      </c>
      <c r="E869" t="s">
        <v>69</v>
      </c>
      <c r="F869">
        <v>5</v>
      </c>
    </row>
    <row r="870" spans="1:6" x14ac:dyDescent="0.25">
      <c r="A870">
        <v>1712</v>
      </c>
      <c r="B870" t="s">
        <v>1073</v>
      </c>
      <c r="C870" t="s">
        <v>1074</v>
      </c>
      <c r="D870" t="s">
        <v>13</v>
      </c>
      <c r="E870" t="s">
        <v>10</v>
      </c>
      <c r="F870">
        <v>4.5</v>
      </c>
    </row>
    <row r="871" spans="1:6" x14ac:dyDescent="0.25">
      <c r="A871">
        <v>1711</v>
      </c>
      <c r="B871" t="s">
        <v>955</v>
      </c>
      <c r="C871" t="s">
        <v>1075</v>
      </c>
      <c r="D871" t="s">
        <v>13</v>
      </c>
      <c r="E871" t="s">
        <v>69</v>
      </c>
      <c r="F871">
        <v>4</v>
      </c>
    </row>
    <row r="872" spans="1:6" x14ac:dyDescent="0.25">
      <c r="A872">
        <v>1710</v>
      </c>
      <c r="B872" t="s">
        <v>1000</v>
      </c>
      <c r="C872" t="s">
        <v>1076</v>
      </c>
      <c r="D872" t="s">
        <v>13</v>
      </c>
      <c r="E872" t="s">
        <v>14</v>
      </c>
      <c r="F872">
        <v>5</v>
      </c>
    </row>
    <row r="873" spans="1:6" x14ac:dyDescent="0.25">
      <c r="A873">
        <v>1709</v>
      </c>
      <c r="B873" t="s">
        <v>849</v>
      </c>
      <c r="C873" t="s">
        <v>1077</v>
      </c>
      <c r="D873" t="s">
        <v>13</v>
      </c>
      <c r="E873" t="s">
        <v>156</v>
      </c>
      <c r="F873">
        <v>4</v>
      </c>
    </row>
    <row r="874" spans="1:6" x14ac:dyDescent="0.25">
      <c r="A874">
        <v>1708</v>
      </c>
      <c r="B874" t="s">
        <v>1078</v>
      </c>
      <c r="C874" t="s">
        <v>1079</v>
      </c>
      <c r="D874" t="s">
        <v>13</v>
      </c>
      <c r="E874" t="s">
        <v>1068</v>
      </c>
      <c r="F874">
        <v>4</v>
      </c>
    </row>
    <row r="875" spans="1:6" x14ac:dyDescent="0.25">
      <c r="A875">
        <v>1707</v>
      </c>
      <c r="B875" t="s">
        <v>981</v>
      </c>
      <c r="C875" t="s">
        <v>1080</v>
      </c>
      <c r="D875" t="s">
        <v>44</v>
      </c>
      <c r="E875" t="s">
        <v>465</v>
      </c>
      <c r="F875">
        <v>3.5</v>
      </c>
    </row>
    <row r="876" spans="1:6" x14ac:dyDescent="0.25">
      <c r="A876">
        <v>1706</v>
      </c>
      <c r="B876" t="s">
        <v>132</v>
      </c>
      <c r="C876" t="s">
        <v>1081</v>
      </c>
      <c r="D876" t="s">
        <v>9</v>
      </c>
      <c r="E876" t="s">
        <v>69</v>
      </c>
      <c r="F876">
        <v>4.75</v>
      </c>
    </row>
    <row r="877" spans="1:6" x14ac:dyDescent="0.25">
      <c r="A877">
        <v>1705</v>
      </c>
      <c r="B877" t="s">
        <v>1082</v>
      </c>
      <c r="C877" t="s">
        <v>1083</v>
      </c>
      <c r="D877" t="s">
        <v>13</v>
      </c>
      <c r="E877" t="s">
        <v>69</v>
      </c>
      <c r="F877">
        <v>4.5</v>
      </c>
    </row>
    <row r="878" spans="1:6" x14ac:dyDescent="0.25">
      <c r="A878">
        <v>1704</v>
      </c>
      <c r="B878" t="s">
        <v>1059</v>
      </c>
      <c r="C878" t="s">
        <v>1084</v>
      </c>
      <c r="D878" t="s">
        <v>13</v>
      </c>
      <c r="E878" t="s">
        <v>79</v>
      </c>
      <c r="F878">
        <v>3.75</v>
      </c>
    </row>
    <row r="879" spans="1:6" x14ac:dyDescent="0.25">
      <c r="A879">
        <v>1703</v>
      </c>
      <c r="B879" t="s">
        <v>1085</v>
      </c>
      <c r="C879" t="s">
        <v>605</v>
      </c>
      <c r="D879" t="s">
        <v>9</v>
      </c>
      <c r="E879" t="s">
        <v>38</v>
      </c>
      <c r="F879">
        <v>3.5</v>
      </c>
    </row>
    <row r="880" spans="1:6" x14ac:dyDescent="0.25">
      <c r="A880">
        <v>1702</v>
      </c>
      <c r="B880" t="s">
        <v>23</v>
      </c>
      <c r="C880" t="s">
        <v>1086</v>
      </c>
      <c r="D880" t="s">
        <v>9</v>
      </c>
      <c r="E880" t="s">
        <v>10</v>
      </c>
      <c r="F880">
        <v>2.75</v>
      </c>
    </row>
    <row r="881" spans="1:7" x14ac:dyDescent="0.25">
      <c r="A881">
        <v>1701</v>
      </c>
      <c r="B881" t="s">
        <v>1073</v>
      </c>
      <c r="C881" t="s">
        <v>1087</v>
      </c>
      <c r="D881" t="s">
        <v>13</v>
      </c>
      <c r="E881" t="s">
        <v>10</v>
      </c>
      <c r="F881">
        <v>4.25</v>
      </c>
    </row>
    <row r="882" spans="1:7" x14ac:dyDescent="0.25">
      <c r="A882">
        <v>1700</v>
      </c>
      <c r="B882" t="s">
        <v>496</v>
      </c>
      <c r="C882" t="s">
        <v>1088</v>
      </c>
      <c r="D882" t="s">
        <v>13</v>
      </c>
      <c r="E882" t="s">
        <v>14</v>
      </c>
      <c r="F882">
        <v>4</v>
      </c>
    </row>
    <row r="883" spans="1:7" x14ac:dyDescent="0.25">
      <c r="A883">
        <v>1699</v>
      </c>
      <c r="B883" t="s">
        <v>929</v>
      </c>
      <c r="C883" t="s">
        <v>1089</v>
      </c>
      <c r="D883" t="s">
        <v>13</v>
      </c>
      <c r="E883" t="s">
        <v>69</v>
      </c>
      <c r="F883">
        <v>3.5</v>
      </c>
    </row>
    <row r="884" spans="1:7" x14ac:dyDescent="0.25">
      <c r="A884">
        <v>1698</v>
      </c>
      <c r="B884" t="s">
        <v>102</v>
      </c>
      <c r="C884" t="s">
        <v>1090</v>
      </c>
      <c r="D884" t="s">
        <v>9</v>
      </c>
      <c r="E884" t="s">
        <v>17</v>
      </c>
      <c r="F884">
        <v>4</v>
      </c>
    </row>
    <row r="885" spans="1:7" x14ac:dyDescent="0.25">
      <c r="A885">
        <v>1697</v>
      </c>
      <c r="B885" t="s">
        <v>1078</v>
      </c>
      <c r="C885" t="s">
        <v>1091</v>
      </c>
      <c r="D885" t="s">
        <v>13</v>
      </c>
      <c r="E885" t="s">
        <v>1068</v>
      </c>
      <c r="F885">
        <v>5</v>
      </c>
    </row>
    <row r="886" spans="1:7" x14ac:dyDescent="0.25">
      <c r="A886">
        <v>1696</v>
      </c>
      <c r="B886" t="s">
        <v>897</v>
      </c>
      <c r="C886" t="s">
        <v>1092</v>
      </c>
      <c r="D886" t="s">
        <v>9</v>
      </c>
      <c r="E886" t="s">
        <v>38</v>
      </c>
      <c r="F886">
        <v>5</v>
      </c>
    </row>
    <row r="887" spans="1:7" x14ac:dyDescent="0.25">
      <c r="A887">
        <v>1695</v>
      </c>
      <c r="B887" t="s">
        <v>897</v>
      </c>
      <c r="C887" t="s">
        <v>1093</v>
      </c>
      <c r="D887" t="s">
        <v>9</v>
      </c>
      <c r="E887" t="s">
        <v>38</v>
      </c>
      <c r="F887">
        <v>5</v>
      </c>
    </row>
    <row r="888" spans="1:7" x14ac:dyDescent="0.25">
      <c r="A888">
        <v>1694</v>
      </c>
      <c r="B888" t="s">
        <v>897</v>
      </c>
      <c r="C888" t="s">
        <v>1094</v>
      </c>
      <c r="D888" t="s">
        <v>13</v>
      </c>
      <c r="E888" t="s">
        <v>38</v>
      </c>
      <c r="F888">
        <v>4.75</v>
      </c>
    </row>
    <row r="889" spans="1:7" x14ac:dyDescent="0.25">
      <c r="A889">
        <v>1693</v>
      </c>
      <c r="B889" t="s">
        <v>897</v>
      </c>
      <c r="C889" t="s">
        <v>1095</v>
      </c>
      <c r="D889" t="s">
        <v>9</v>
      </c>
      <c r="E889" t="s">
        <v>730</v>
      </c>
      <c r="F889">
        <v>5</v>
      </c>
    </row>
    <row r="890" spans="1:7" x14ac:dyDescent="0.25">
      <c r="A890">
        <v>1692</v>
      </c>
      <c r="B890" t="s">
        <v>897</v>
      </c>
      <c r="C890" t="s">
        <v>1096</v>
      </c>
      <c r="D890" t="s">
        <v>13</v>
      </c>
      <c r="E890" t="s">
        <v>371</v>
      </c>
      <c r="F890">
        <v>3.25</v>
      </c>
    </row>
    <row r="891" spans="1:7" x14ac:dyDescent="0.25">
      <c r="A891">
        <v>1691</v>
      </c>
      <c r="B891" t="s">
        <v>897</v>
      </c>
      <c r="C891" t="s">
        <v>1097</v>
      </c>
      <c r="D891" t="s">
        <v>9</v>
      </c>
      <c r="E891" t="s">
        <v>38</v>
      </c>
      <c r="F891">
        <v>3.5</v>
      </c>
    </row>
    <row r="892" spans="1:7" x14ac:dyDescent="0.25">
      <c r="A892">
        <v>1690</v>
      </c>
      <c r="B892" t="s">
        <v>1098</v>
      </c>
      <c r="C892" t="s">
        <v>1099</v>
      </c>
      <c r="D892" t="s">
        <v>44</v>
      </c>
      <c r="E892" t="s">
        <v>79</v>
      </c>
      <c r="F892">
        <v>4</v>
      </c>
    </row>
    <row r="893" spans="1:7" x14ac:dyDescent="0.25">
      <c r="A893">
        <v>1689</v>
      </c>
      <c r="B893" t="s">
        <v>1098</v>
      </c>
      <c r="C893" t="s">
        <v>1100</v>
      </c>
      <c r="D893" t="s">
        <v>13</v>
      </c>
      <c r="E893" t="s">
        <v>79</v>
      </c>
      <c r="F893">
        <v>5</v>
      </c>
      <c r="G893" t="s">
        <v>1101</v>
      </c>
    </row>
    <row r="894" spans="1:7" x14ac:dyDescent="0.25">
      <c r="A894">
        <v>1688</v>
      </c>
      <c r="B894" t="s">
        <v>1098</v>
      </c>
      <c r="C894" t="s">
        <v>1102</v>
      </c>
      <c r="D894" t="s">
        <v>44</v>
      </c>
      <c r="E894" t="s">
        <v>79</v>
      </c>
      <c r="F894">
        <v>3.75</v>
      </c>
    </row>
    <row r="895" spans="1:7" x14ac:dyDescent="0.25">
      <c r="A895">
        <v>1687</v>
      </c>
      <c r="B895" t="s">
        <v>1098</v>
      </c>
      <c r="C895" t="s">
        <v>1103</v>
      </c>
      <c r="D895" t="s">
        <v>13</v>
      </c>
      <c r="E895" t="s">
        <v>79</v>
      </c>
      <c r="F895">
        <v>3.75</v>
      </c>
    </row>
    <row r="896" spans="1:7" x14ac:dyDescent="0.25">
      <c r="A896">
        <v>1686</v>
      </c>
      <c r="B896" t="s">
        <v>1098</v>
      </c>
      <c r="C896" t="s">
        <v>1104</v>
      </c>
      <c r="D896" t="s">
        <v>13</v>
      </c>
      <c r="E896" t="s">
        <v>79</v>
      </c>
      <c r="F896">
        <v>3.5</v>
      </c>
    </row>
    <row r="897" spans="1:6" x14ac:dyDescent="0.25">
      <c r="A897">
        <v>1685</v>
      </c>
      <c r="B897" t="s">
        <v>1098</v>
      </c>
      <c r="C897" t="s">
        <v>1105</v>
      </c>
      <c r="D897" t="s">
        <v>13</v>
      </c>
      <c r="E897" t="s">
        <v>79</v>
      </c>
      <c r="F897">
        <v>4</v>
      </c>
    </row>
    <row r="898" spans="1:6" x14ac:dyDescent="0.25">
      <c r="A898">
        <v>1684</v>
      </c>
      <c r="B898" t="s">
        <v>1098</v>
      </c>
      <c r="C898" t="s">
        <v>1106</v>
      </c>
      <c r="D898" t="s">
        <v>44</v>
      </c>
      <c r="E898" t="s">
        <v>79</v>
      </c>
      <c r="F898">
        <v>4.5</v>
      </c>
    </row>
    <row r="899" spans="1:6" x14ac:dyDescent="0.25">
      <c r="A899">
        <v>1683</v>
      </c>
      <c r="B899" t="s">
        <v>1098</v>
      </c>
      <c r="C899" t="s">
        <v>1107</v>
      </c>
      <c r="D899" t="s">
        <v>13</v>
      </c>
      <c r="E899" t="s">
        <v>79</v>
      </c>
      <c r="F899">
        <v>5</v>
      </c>
    </row>
    <row r="900" spans="1:6" x14ac:dyDescent="0.25">
      <c r="A900">
        <v>1682</v>
      </c>
      <c r="B900" t="s">
        <v>1098</v>
      </c>
      <c r="C900" t="s">
        <v>1099</v>
      </c>
      <c r="D900" t="s">
        <v>13</v>
      </c>
      <c r="E900" t="s">
        <v>79</v>
      </c>
      <c r="F900">
        <v>4</v>
      </c>
    </row>
    <row r="901" spans="1:6" x14ac:dyDescent="0.25">
      <c r="A901">
        <v>1681</v>
      </c>
      <c r="B901" t="s">
        <v>1098</v>
      </c>
      <c r="C901" t="s">
        <v>1102</v>
      </c>
      <c r="D901" t="s">
        <v>44</v>
      </c>
      <c r="E901" t="s">
        <v>79</v>
      </c>
      <c r="F901">
        <v>3.75</v>
      </c>
    </row>
    <row r="902" spans="1:6" x14ac:dyDescent="0.25">
      <c r="A902">
        <v>1680</v>
      </c>
      <c r="B902" t="s">
        <v>1038</v>
      </c>
      <c r="C902" t="s">
        <v>1108</v>
      </c>
      <c r="D902" t="s">
        <v>13</v>
      </c>
      <c r="E902" t="s">
        <v>69</v>
      </c>
      <c r="F902">
        <v>4.5</v>
      </c>
    </row>
    <row r="903" spans="1:6" x14ac:dyDescent="0.25">
      <c r="A903">
        <v>1679</v>
      </c>
      <c r="B903" t="s">
        <v>950</v>
      </c>
      <c r="C903" t="s">
        <v>1109</v>
      </c>
      <c r="D903" t="s">
        <v>44</v>
      </c>
      <c r="E903" t="s">
        <v>14</v>
      </c>
      <c r="F903">
        <v>3.5</v>
      </c>
    </row>
    <row r="904" spans="1:6" x14ac:dyDescent="0.25">
      <c r="A904">
        <v>1678</v>
      </c>
      <c r="B904" t="s">
        <v>41</v>
      </c>
      <c r="C904" t="s">
        <v>1110</v>
      </c>
      <c r="D904" t="s">
        <v>13</v>
      </c>
      <c r="E904" t="s">
        <v>17</v>
      </c>
      <c r="F904">
        <v>5</v>
      </c>
    </row>
    <row r="905" spans="1:6" x14ac:dyDescent="0.25">
      <c r="A905">
        <v>1677</v>
      </c>
      <c r="B905" t="s">
        <v>54</v>
      </c>
      <c r="C905" t="s">
        <v>1111</v>
      </c>
      <c r="D905" t="s">
        <v>13</v>
      </c>
      <c r="E905" t="s">
        <v>25</v>
      </c>
      <c r="F905">
        <v>5</v>
      </c>
    </row>
    <row r="906" spans="1:6" x14ac:dyDescent="0.25">
      <c r="A906">
        <v>1676</v>
      </c>
      <c r="B906" t="s">
        <v>696</v>
      </c>
      <c r="C906" t="s">
        <v>1112</v>
      </c>
      <c r="D906" t="s">
        <v>13</v>
      </c>
      <c r="E906" t="s">
        <v>69</v>
      </c>
      <c r="F906">
        <v>4.25</v>
      </c>
    </row>
    <row r="907" spans="1:6" x14ac:dyDescent="0.25">
      <c r="A907">
        <v>1675</v>
      </c>
      <c r="B907" t="s">
        <v>1059</v>
      </c>
      <c r="C907" t="s">
        <v>1113</v>
      </c>
      <c r="D907" t="s">
        <v>13</v>
      </c>
      <c r="E907" t="s">
        <v>79</v>
      </c>
      <c r="F907">
        <v>4.5</v>
      </c>
    </row>
    <row r="908" spans="1:6" x14ac:dyDescent="0.25">
      <c r="A908">
        <v>1674</v>
      </c>
      <c r="B908" t="s">
        <v>1114</v>
      </c>
      <c r="C908" t="s">
        <v>1115</v>
      </c>
      <c r="D908" t="s">
        <v>9</v>
      </c>
      <c r="E908" t="s">
        <v>25</v>
      </c>
      <c r="F908">
        <v>3.5</v>
      </c>
    </row>
    <row r="909" spans="1:6" x14ac:dyDescent="0.25">
      <c r="A909">
        <v>1673</v>
      </c>
      <c r="B909" t="s">
        <v>1116</v>
      </c>
      <c r="C909" t="s">
        <v>1117</v>
      </c>
      <c r="D909" t="s">
        <v>13</v>
      </c>
      <c r="E909" t="s">
        <v>14</v>
      </c>
      <c r="F909">
        <v>3.5</v>
      </c>
    </row>
    <row r="910" spans="1:6" x14ac:dyDescent="0.25">
      <c r="A910">
        <v>1672</v>
      </c>
      <c r="B910" t="s">
        <v>981</v>
      </c>
      <c r="C910" t="s">
        <v>1118</v>
      </c>
      <c r="D910" t="s">
        <v>9</v>
      </c>
      <c r="E910" t="s">
        <v>465</v>
      </c>
      <c r="F910">
        <v>3.25</v>
      </c>
    </row>
    <row r="911" spans="1:6" x14ac:dyDescent="0.25">
      <c r="A911">
        <v>1671</v>
      </c>
      <c r="B911" t="s">
        <v>1119</v>
      </c>
      <c r="C911" t="s">
        <v>1120</v>
      </c>
      <c r="D911" t="s">
        <v>13</v>
      </c>
      <c r="E911" t="s">
        <v>69</v>
      </c>
      <c r="F911">
        <v>5</v>
      </c>
    </row>
    <row r="912" spans="1:6" x14ac:dyDescent="0.25">
      <c r="A912">
        <v>1670</v>
      </c>
      <c r="B912" t="s">
        <v>1121</v>
      </c>
      <c r="C912" t="s">
        <v>1122</v>
      </c>
      <c r="D912" t="s">
        <v>13</v>
      </c>
      <c r="E912" t="s">
        <v>73</v>
      </c>
      <c r="F912">
        <v>3.75</v>
      </c>
    </row>
    <row r="913" spans="1:6" x14ac:dyDescent="0.25">
      <c r="A913">
        <v>1669</v>
      </c>
      <c r="B913" t="s">
        <v>1123</v>
      </c>
      <c r="C913" t="s">
        <v>1124</v>
      </c>
      <c r="D913" t="s">
        <v>9</v>
      </c>
      <c r="E913" t="s">
        <v>53</v>
      </c>
      <c r="F913">
        <v>1.25</v>
      </c>
    </row>
    <row r="914" spans="1:6" x14ac:dyDescent="0.25">
      <c r="A914">
        <v>1668</v>
      </c>
      <c r="B914" t="s">
        <v>897</v>
      </c>
      <c r="C914" t="s">
        <v>1125</v>
      </c>
      <c r="D914" t="s">
        <v>9</v>
      </c>
      <c r="E914" t="s">
        <v>38</v>
      </c>
      <c r="F914">
        <v>3.5</v>
      </c>
    </row>
    <row r="915" spans="1:6" x14ac:dyDescent="0.25">
      <c r="A915">
        <v>1667</v>
      </c>
      <c r="B915" t="s">
        <v>1126</v>
      </c>
      <c r="C915" t="s">
        <v>1127</v>
      </c>
      <c r="D915" t="s">
        <v>13</v>
      </c>
      <c r="E915" t="s">
        <v>14</v>
      </c>
      <c r="F915">
        <v>5</v>
      </c>
    </row>
    <row r="916" spans="1:6" x14ac:dyDescent="0.25">
      <c r="A916">
        <v>1666</v>
      </c>
      <c r="B916" t="s">
        <v>331</v>
      </c>
      <c r="C916" t="s">
        <v>1128</v>
      </c>
      <c r="D916" t="s">
        <v>9</v>
      </c>
      <c r="E916" t="s">
        <v>53</v>
      </c>
      <c r="F916">
        <v>3</v>
      </c>
    </row>
    <row r="917" spans="1:6" x14ac:dyDescent="0.25">
      <c r="A917">
        <v>1665</v>
      </c>
      <c r="B917" t="s">
        <v>1129</v>
      </c>
      <c r="C917" t="s">
        <v>1130</v>
      </c>
      <c r="D917" t="s">
        <v>13</v>
      </c>
      <c r="E917" t="s">
        <v>53</v>
      </c>
      <c r="F917">
        <v>1.5</v>
      </c>
    </row>
    <row r="918" spans="1:6" x14ac:dyDescent="0.25">
      <c r="A918">
        <v>1664</v>
      </c>
      <c r="B918" t="s">
        <v>668</v>
      </c>
      <c r="C918" t="s">
        <v>1131</v>
      </c>
      <c r="D918" t="s">
        <v>13</v>
      </c>
      <c r="E918" t="s">
        <v>69</v>
      </c>
      <c r="F918">
        <v>2</v>
      </c>
    </row>
    <row r="919" spans="1:6" x14ac:dyDescent="0.25">
      <c r="A919">
        <v>1663</v>
      </c>
      <c r="B919" t="s">
        <v>1055</v>
      </c>
      <c r="C919" t="s">
        <v>1132</v>
      </c>
      <c r="D919" t="s">
        <v>13</v>
      </c>
      <c r="E919" t="s">
        <v>53</v>
      </c>
      <c r="F919">
        <v>4</v>
      </c>
    </row>
    <row r="920" spans="1:6" x14ac:dyDescent="0.25">
      <c r="A920">
        <v>1662</v>
      </c>
      <c r="B920" t="s">
        <v>897</v>
      </c>
      <c r="C920" t="s">
        <v>1133</v>
      </c>
      <c r="D920" t="s">
        <v>13</v>
      </c>
      <c r="E920" t="s">
        <v>38</v>
      </c>
      <c r="F920">
        <v>5</v>
      </c>
    </row>
    <row r="921" spans="1:6" x14ac:dyDescent="0.25">
      <c r="A921">
        <v>1661</v>
      </c>
      <c r="B921" t="s">
        <v>1134</v>
      </c>
      <c r="C921" t="s">
        <v>1135</v>
      </c>
      <c r="D921" t="s">
        <v>9</v>
      </c>
      <c r="E921" t="s">
        <v>79</v>
      </c>
      <c r="F921">
        <v>3.75</v>
      </c>
    </row>
    <row r="922" spans="1:6" x14ac:dyDescent="0.25">
      <c r="A922">
        <v>1660</v>
      </c>
      <c r="B922" t="s">
        <v>188</v>
      </c>
      <c r="C922" t="s">
        <v>1136</v>
      </c>
      <c r="D922" t="s">
        <v>13</v>
      </c>
      <c r="E922" t="s">
        <v>46</v>
      </c>
      <c r="F922">
        <v>3</v>
      </c>
    </row>
    <row r="923" spans="1:6" x14ac:dyDescent="0.25">
      <c r="A923">
        <v>1659</v>
      </c>
      <c r="B923" t="s">
        <v>1137</v>
      </c>
      <c r="C923" t="s">
        <v>1138</v>
      </c>
      <c r="D923" t="s">
        <v>13</v>
      </c>
      <c r="E923" t="s">
        <v>53</v>
      </c>
      <c r="F923">
        <v>2.75</v>
      </c>
    </row>
    <row r="924" spans="1:6" x14ac:dyDescent="0.25">
      <c r="A924">
        <v>1658</v>
      </c>
      <c r="B924" t="s">
        <v>1139</v>
      </c>
      <c r="C924" t="s">
        <v>1140</v>
      </c>
      <c r="D924" t="s">
        <v>44</v>
      </c>
      <c r="E924" t="s">
        <v>25</v>
      </c>
      <c r="F924">
        <v>5</v>
      </c>
    </row>
    <row r="925" spans="1:6" x14ac:dyDescent="0.25">
      <c r="A925">
        <v>1657</v>
      </c>
      <c r="B925" t="s">
        <v>1141</v>
      </c>
      <c r="C925" t="s">
        <v>1142</v>
      </c>
      <c r="D925" t="s">
        <v>13</v>
      </c>
      <c r="E925" t="s">
        <v>345</v>
      </c>
      <c r="F925">
        <v>2.75</v>
      </c>
    </row>
    <row r="926" spans="1:6" x14ac:dyDescent="0.25">
      <c r="A926">
        <v>1656</v>
      </c>
      <c r="B926" t="s">
        <v>897</v>
      </c>
      <c r="C926" t="s">
        <v>1143</v>
      </c>
      <c r="D926" t="s">
        <v>9</v>
      </c>
      <c r="E926" t="s">
        <v>38</v>
      </c>
      <c r="F926">
        <v>3.5</v>
      </c>
    </row>
    <row r="927" spans="1:6" x14ac:dyDescent="0.25">
      <c r="A927">
        <v>1655</v>
      </c>
      <c r="B927" t="s">
        <v>900</v>
      </c>
      <c r="C927" t="s">
        <v>1144</v>
      </c>
      <c r="D927" t="s">
        <v>13</v>
      </c>
      <c r="E927" t="s">
        <v>79</v>
      </c>
      <c r="F927">
        <v>3</v>
      </c>
    </row>
    <row r="928" spans="1:6" x14ac:dyDescent="0.25">
      <c r="A928">
        <v>1654</v>
      </c>
      <c r="B928" t="s">
        <v>766</v>
      </c>
      <c r="C928" t="s">
        <v>1145</v>
      </c>
      <c r="D928" t="s">
        <v>13</v>
      </c>
      <c r="E928" t="s">
        <v>69</v>
      </c>
      <c r="F928">
        <v>5</v>
      </c>
    </row>
    <row r="929" spans="1:7" x14ac:dyDescent="0.25">
      <c r="A929">
        <v>1653</v>
      </c>
      <c r="B929" t="s">
        <v>766</v>
      </c>
      <c r="C929" t="s">
        <v>1146</v>
      </c>
      <c r="D929" t="s">
        <v>13</v>
      </c>
      <c r="E929" t="s">
        <v>69</v>
      </c>
      <c r="F929">
        <v>5</v>
      </c>
    </row>
    <row r="930" spans="1:7" x14ac:dyDescent="0.25">
      <c r="A930">
        <v>1652</v>
      </c>
      <c r="B930" t="s">
        <v>766</v>
      </c>
      <c r="C930" t="s">
        <v>1147</v>
      </c>
      <c r="D930" t="s">
        <v>13</v>
      </c>
      <c r="E930" t="s">
        <v>69</v>
      </c>
      <c r="F930">
        <v>5</v>
      </c>
    </row>
    <row r="931" spans="1:7" x14ac:dyDescent="0.25">
      <c r="A931">
        <v>1651</v>
      </c>
      <c r="B931" t="s">
        <v>1148</v>
      </c>
      <c r="C931" t="s">
        <v>1149</v>
      </c>
      <c r="D931" t="s">
        <v>13</v>
      </c>
      <c r="E931" t="s">
        <v>69</v>
      </c>
      <c r="F931">
        <v>3.75</v>
      </c>
    </row>
    <row r="932" spans="1:7" x14ac:dyDescent="0.25">
      <c r="A932">
        <v>1650</v>
      </c>
      <c r="B932" t="s">
        <v>74</v>
      </c>
      <c r="C932" t="s">
        <v>1150</v>
      </c>
      <c r="D932" t="s">
        <v>13</v>
      </c>
      <c r="E932" t="s">
        <v>25</v>
      </c>
      <c r="F932">
        <v>4.25</v>
      </c>
    </row>
    <row r="933" spans="1:7" x14ac:dyDescent="0.25">
      <c r="A933">
        <v>1649</v>
      </c>
      <c r="B933" t="s">
        <v>218</v>
      </c>
      <c r="C933" t="s">
        <v>1151</v>
      </c>
      <c r="D933" t="s">
        <v>13</v>
      </c>
      <c r="E933" t="s">
        <v>79</v>
      </c>
      <c r="F933">
        <v>4.25</v>
      </c>
    </row>
    <row r="934" spans="1:7" x14ac:dyDescent="0.25">
      <c r="A934">
        <v>1648</v>
      </c>
      <c r="B934" t="s">
        <v>18</v>
      </c>
      <c r="C934" t="s">
        <v>1152</v>
      </c>
      <c r="D934" t="s">
        <v>13</v>
      </c>
      <c r="E934" t="s">
        <v>14</v>
      </c>
      <c r="F934">
        <v>4.25</v>
      </c>
    </row>
    <row r="935" spans="1:7" x14ac:dyDescent="0.25">
      <c r="A935">
        <v>1647</v>
      </c>
      <c r="B935" t="s">
        <v>1153</v>
      </c>
      <c r="C935" t="s">
        <v>1154</v>
      </c>
      <c r="D935" t="s">
        <v>9</v>
      </c>
      <c r="E935" t="s">
        <v>465</v>
      </c>
      <c r="F935">
        <v>2.75</v>
      </c>
    </row>
    <row r="936" spans="1:7" x14ac:dyDescent="0.25">
      <c r="A936">
        <v>1646</v>
      </c>
      <c r="B936" t="s">
        <v>1155</v>
      </c>
      <c r="C936" t="s">
        <v>1156</v>
      </c>
      <c r="D936" t="s">
        <v>30</v>
      </c>
      <c r="E936" t="s">
        <v>53</v>
      </c>
      <c r="F936">
        <v>4</v>
      </c>
    </row>
    <row r="937" spans="1:7" x14ac:dyDescent="0.25">
      <c r="A937">
        <v>1645</v>
      </c>
      <c r="B937" t="s">
        <v>1157</v>
      </c>
      <c r="C937" t="s">
        <v>1158</v>
      </c>
      <c r="D937" t="s">
        <v>44</v>
      </c>
      <c r="E937" t="s">
        <v>1159</v>
      </c>
      <c r="F937">
        <v>3.75</v>
      </c>
    </row>
    <row r="938" spans="1:7" x14ac:dyDescent="0.25">
      <c r="A938">
        <v>1644</v>
      </c>
      <c r="B938" t="s">
        <v>955</v>
      </c>
      <c r="C938" t="s">
        <v>1160</v>
      </c>
      <c r="D938" t="s">
        <v>44</v>
      </c>
      <c r="E938" t="s">
        <v>69</v>
      </c>
      <c r="F938">
        <v>2</v>
      </c>
    </row>
    <row r="939" spans="1:7" x14ac:dyDescent="0.25">
      <c r="A939">
        <v>1643</v>
      </c>
      <c r="B939" t="s">
        <v>1114</v>
      </c>
      <c r="C939" t="s">
        <v>1161</v>
      </c>
      <c r="D939" t="s">
        <v>9</v>
      </c>
      <c r="E939" t="s">
        <v>25</v>
      </c>
      <c r="F939">
        <v>3.5</v>
      </c>
    </row>
    <row r="940" spans="1:7" x14ac:dyDescent="0.25">
      <c r="A940">
        <v>1642</v>
      </c>
      <c r="B940" t="s">
        <v>1162</v>
      </c>
      <c r="C940" t="s">
        <v>1163</v>
      </c>
      <c r="D940" t="s">
        <v>9</v>
      </c>
      <c r="E940" t="s">
        <v>465</v>
      </c>
      <c r="F940">
        <v>0.25</v>
      </c>
    </row>
    <row r="941" spans="1:7" x14ac:dyDescent="0.25">
      <c r="A941">
        <v>1641</v>
      </c>
      <c r="B941" t="s">
        <v>1164</v>
      </c>
      <c r="C941" t="s">
        <v>1165</v>
      </c>
      <c r="D941" t="s">
        <v>44</v>
      </c>
      <c r="E941" t="s">
        <v>17</v>
      </c>
      <c r="F941">
        <v>0</v>
      </c>
    </row>
    <row r="942" spans="1:7" x14ac:dyDescent="0.25">
      <c r="A942">
        <v>1640</v>
      </c>
      <c r="B942" t="s">
        <v>1166</v>
      </c>
      <c r="C942" t="s">
        <v>1167</v>
      </c>
      <c r="D942" t="s">
        <v>13</v>
      </c>
      <c r="E942" t="s">
        <v>14</v>
      </c>
      <c r="F942">
        <v>2</v>
      </c>
    </row>
    <row r="943" spans="1:7" x14ac:dyDescent="0.25">
      <c r="A943">
        <v>1639</v>
      </c>
      <c r="B943" t="s">
        <v>916</v>
      </c>
      <c r="C943" t="s">
        <v>1168</v>
      </c>
      <c r="D943" t="s">
        <v>9</v>
      </c>
      <c r="E943" t="s">
        <v>69</v>
      </c>
      <c r="F943">
        <v>3.75</v>
      </c>
    </row>
    <row r="944" spans="1:7" x14ac:dyDescent="0.25">
      <c r="A944">
        <v>1638</v>
      </c>
      <c r="B944" t="s">
        <v>496</v>
      </c>
      <c r="C944" t="s">
        <v>1169</v>
      </c>
      <c r="D944" t="s">
        <v>13</v>
      </c>
      <c r="E944" t="s">
        <v>14</v>
      </c>
      <c r="F944">
        <v>5</v>
      </c>
      <c r="G944" t="s">
        <v>1170</v>
      </c>
    </row>
    <row r="945" spans="1:6" x14ac:dyDescent="0.25">
      <c r="A945">
        <v>1637</v>
      </c>
      <c r="B945" t="s">
        <v>970</v>
      </c>
      <c r="C945" t="s">
        <v>1171</v>
      </c>
      <c r="D945" t="s">
        <v>13</v>
      </c>
      <c r="E945" t="s">
        <v>149</v>
      </c>
      <c r="F945">
        <v>3</v>
      </c>
    </row>
    <row r="946" spans="1:6" x14ac:dyDescent="0.25">
      <c r="A946">
        <v>1636</v>
      </c>
      <c r="B946" t="s">
        <v>1141</v>
      </c>
      <c r="C946" t="s">
        <v>1172</v>
      </c>
      <c r="D946" t="s">
        <v>13</v>
      </c>
      <c r="E946" t="s">
        <v>345</v>
      </c>
      <c r="F946">
        <v>3.25</v>
      </c>
    </row>
    <row r="947" spans="1:6" x14ac:dyDescent="0.25">
      <c r="A947">
        <v>1635</v>
      </c>
      <c r="B947" t="s">
        <v>322</v>
      </c>
      <c r="C947" t="s">
        <v>1173</v>
      </c>
      <c r="D947" t="s">
        <v>13</v>
      </c>
      <c r="E947" t="s">
        <v>38</v>
      </c>
      <c r="F947">
        <v>2.75</v>
      </c>
    </row>
    <row r="948" spans="1:6" x14ac:dyDescent="0.25">
      <c r="A948">
        <v>1634</v>
      </c>
      <c r="B948" t="s">
        <v>23</v>
      </c>
      <c r="C948" t="s">
        <v>1174</v>
      </c>
      <c r="D948" t="s">
        <v>9</v>
      </c>
      <c r="E948" t="s">
        <v>25</v>
      </c>
      <c r="F948">
        <v>3.5</v>
      </c>
    </row>
    <row r="949" spans="1:6" x14ac:dyDescent="0.25">
      <c r="A949">
        <v>1633</v>
      </c>
      <c r="B949" t="s">
        <v>1123</v>
      </c>
      <c r="C949" t="s">
        <v>1175</v>
      </c>
      <c r="D949" t="s">
        <v>9</v>
      </c>
      <c r="E949" t="s">
        <v>53</v>
      </c>
      <c r="F949">
        <v>3.5</v>
      </c>
    </row>
    <row r="950" spans="1:6" x14ac:dyDescent="0.25">
      <c r="A950">
        <v>1632</v>
      </c>
      <c r="B950" t="s">
        <v>401</v>
      </c>
      <c r="C950" t="s">
        <v>1176</v>
      </c>
      <c r="D950" t="s">
        <v>13</v>
      </c>
      <c r="E950" t="s">
        <v>69</v>
      </c>
      <c r="F950">
        <v>3</v>
      </c>
    </row>
    <row r="951" spans="1:6" x14ac:dyDescent="0.25">
      <c r="A951">
        <v>1631</v>
      </c>
      <c r="B951" t="s">
        <v>15</v>
      </c>
      <c r="C951" t="s">
        <v>1177</v>
      </c>
      <c r="D951" t="s">
        <v>44</v>
      </c>
      <c r="E951" t="s">
        <v>10</v>
      </c>
      <c r="F951">
        <v>4</v>
      </c>
    </row>
    <row r="952" spans="1:6" x14ac:dyDescent="0.25">
      <c r="A952">
        <v>1630</v>
      </c>
      <c r="B952" t="s">
        <v>41</v>
      </c>
      <c r="C952" t="s">
        <v>1178</v>
      </c>
      <c r="D952" t="s">
        <v>44</v>
      </c>
      <c r="E952" t="s">
        <v>79</v>
      </c>
      <c r="F952">
        <v>2.5</v>
      </c>
    </row>
    <row r="953" spans="1:6" x14ac:dyDescent="0.25">
      <c r="A953">
        <v>1629</v>
      </c>
      <c r="B953" t="s">
        <v>955</v>
      </c>
      <c r="C953" t="s">
        <v>1179</v>
      </c>
      <c r="D953" t="s">
        <v>44</v>
      </c>
      <c r="E953" t="s">
        <v>69</v>
      </c>
      <c r="F953">
        <v>3.5</v>
      </c>
    </row>
    <row r="954" spans="1:6" x14ac:dyDescent="0.25">
      <c r="A954">
        <v>1628</v>
      </c>
      <c r="B954" t="s">
        <v>981</v>
      </c>
      <c r="C954" t="s">
        <v>1180</v>
      </c>
      <c r="D954" t="s">
        <v>9</v>
      </c>
      <c r="E954" t="s">
        <v>465</v>
      </c>
      <c r="F954">
        <v>0</v>
      </c>
    </row>
    <row r="955" spans="1:6" x14ac:dyDescent="0.25">
      <c r="A955">
        <v>1627</v>
      </c>
      <c r="B955" t="s">
        <v>889</v>
      </c>
      <c r="C955" t="s">
        <v>1181</v>
      </c>
      <c r="D955" t="s">
        <v>44</v>
      </c>
      <c r="E955" t="s">
        <v>14</v>
      </c>
      <c r="F955">
        <v>2.5</v>
      </c>
    </row>
    <row r="956" spans="1:6" x14ac:dyDescent="0.25">
      <c r="A956">
        <v>1626</v>
      </c>
      <c r="B956" t="s">
        <v>15</v>
      </c>
      <c r="C956" t="s">
        <v>1182</v>
      </c>
      <c r="D956" t="s">
        <v>44</v>
      </c>
      <c r="E956" t="s">
        <v>10</v>
      </c>
      <c r="F956">
        <v>2.75</v>
      </c>
    </row>
    <row r="957" spans="1:6" x14ac:dyDescent="0.25">
      <c r="A957">
        <v>1625</v>
      </c>
      <c r="B957" t="s">
        <v>897</v>
      </c>
      <c r="C957" t="s">
        <v>1183</v>
      </c>
      <c r="D957" t="s">
        <v>44</v>
      </c>
      <c r="E957" t="s">
        <v>38</v>
      </c>
      <c r="F957">
        <v>5</v>
      </c>
    </row>
    <row r="958" spans="1:6" x14ac:dyDescent="0.25">
      <c r="A958">
        <v>1624</v>
      </c>
      <c r="B958" t="s">
        <v>1059</v>
      </c>
      <c r="C958" t="s">
        <v>1184</v>
      </c>
      <c r="D958" t="s">
        <v>13</v>
      </c>
      <c r="E958" t="s">
        <v>79</v>
      </c>
      <c r="F958">
        <v>3</v>
      </c>
    </row>
    <row r="959" spans="1:6" x14ac:dyDescent="0.25">
      <c r="A959">
        <v>1623</v>
      </c>
      <c r="B959" t="s">
        <v>67</v>
      </c>
      <c r="C959" t="s">
        <v>1185</v>
      </c>
      <c r="D959" t="s">
        <v>13</v>
      </c>
      <c r="E959" t="s">
        <v>69</v>
      </c>
      <c r="F959">
        <v>5</v>
      </c>
    </row>
    <row r="960" spans="1:6" x14ac:dyDescent="0.25">
      <c r="A960">
        <v>1622</v>
      </c>
      <c r="B960" t="s">
        <v>41</v>
      </c>
      <c r="C960" t="s">
        <v>1186</v>
      </c>
      <c r="D960" t="s">
        <v>13</v>
      </c>
      <c r="E960" t="s">
        <v>17</v>
      </c>
      <c r="F960">
        <v>4</v>
      </c>
    </row>
    <row r="961" spans="1:7" x14ac:dyDescent="0.25">
      <c r="A961">
        <v>1621</v>
      </c>
      <c r="B961" t="s">
        <v>183</v>
      </c>
      <c r="C961" t="s">
        <v>1187</v>
      </c>
      <c r="D961" t="s">
        <v>44</v>
      </c>
      <c r="E961" t="s">
        <v>10</v>
      </c>
      <c r="F961">
        <v>3</v>
      </c>
    </row>
    <row r="962" spans="1:7" x14ac:dyDescent="0.25">
      <c r="A962">
        <v>1620</v>
      </c>
      <c r="B962" t="s">
        <v>1082</v>
      </c>
      <c r="C962" t="s">
        <v>1188</v>
      </c>
      <c r="D962" t="s">
        <v>13</v>
      </c>
      <c r="E962" t="s">
        <v>69</v>
      </c>
      <c r="F962">
        <v>3.25</v>
      </c>
    </row>
    <row r="963" spans="1:7" x14ac:dyDescent="0.25">
      <c r="A963">
        <v>1619</v>
      </c>
      <c r="B963" t="s">
        <v>15</v>
      </c>
      <c r="C963" t="s">
        <v>1189</v>
      </c>
      <c r="D963" t="s">
        <v>13</v>
      </c>
      <c r="E963" t="s">
        <v>35</v>
      </c>
      <c r="F963">
        <v>3.75</v>
      </c>
    </row>
    <row r="964" spans="1:7" x14ac:dyDescent="0.25">
      <c r="A964">
        <v>1618</v>
      </c>
      <c r="B964" t="s">
        <v>1126</v>
      </c>
      <c r="C964" t="s">
        <v>1190</v>
      </c>
      <c r="D964" t="s">
        <v>13</v>
      </c>
      <c r="E964" t="s">
        <v>14</v>
      </c>
      <c r="F964">
        <v>2.5</v>
      </c>
    </row>
    <row r="965" spans="1:7" x14ac:dyDescent="0.25">
      <c r="A965">
        <v>1617</v>
      </c>
      <c r="B965" t="s">
        <v>67</v>
      </c>
      <c r="C965" t="s">
        <v>1191</v>
      </c>
      <c r="D965" t="s">
        <v>13</v>
      </c>
      <c r="E965" t="s">
        <v>69</v>
      </c>
      <c r="F965">
        <v>5</v>
      </c>
      <c r="G965" t="s">
        <v>1192</v>
      </c>
    </row>
    <row r="966" spans="1:7" x14ac:dyDescent="0.25">
      <c r="A966">
        <v>1616</v>
      </c>
      <c r="B966" t="s">
        <v>1193</v>
      </c>
      <c r="C966" t="s">
        <v>1194</v>
      </c>
      <c r="D966" t="s">
        <v>13</v>
      </c>
      <c r="E966" t="s">
        <v>79</v>
      </c>
      <c r="F966">
        <v>3.5</v>
      </c>
    </row>
    <row r="967" spans="1:7" x14ac:dyDescent="0.25">
      <c r="A967">
        <v>1615</v>
      </c>
      <c r="B967" t="s">
        <v>1195</v>
      </c>
      <c r="C967" t="s">
        <v>1196</v>
      </c>
      <c r="D967" t="s">
        <v>13</v>
      </c>
      <c r="E967" t="s">
        <v>79</v>
      </c>
      <c r="F967">
        <v>4</v>
      </c>
    </row>
    <row r="968" spans="1:7" x14ac:dyDescent="0.25">
      <c r="A968">
        <v>1614</v>
      </c>
      <c r="B968" t="s">
        <v>1197</v>
      </c>
      <c r="C968" t="s">
        <v>1198</v>
      </c>
      <c r="D968" t="s">
        <v>13</v>
      </c>
      <c r="E968" t="s">
        <v>69</v>
      </c>
      <c r="F968">
        <v>5</v>
      </c>
    </row>
    <row r="969" spans="1:7" x14ac:dyDescent="0.25">
      <c r="A969">
        <v>1613</v>
      </c>
      <c r="B969" t="s">
        <v>102</v>
      </c>
      <c r="C969" t="s">
        <v>1199</v>
      </c>
      <c r="D969" t="s">
        <v>44</v>
      </c>
      <c r="E969" t="s">
        <v>10</v>
      </c>
      <c r="F969">
        <v>3.25</v>
      </c>
    </row>
    <row r="970" spans="1:7" x14ac:dyDescent="0.25">
      <c r="A970">
        <v>1612</v>
      </c>
      <c r="B970" t="s">
        <v>1141</v>
      </c>
      <c r="C970" t="s">
        <v>1200</v>
      </c>
      <c r="D970" t="s">
        <v>13</v>
      </c>
      <c r="E970" t="s">
        <v>345</v>
      </c>
      <c r="F970">
        <v>3.25</v>
      </c>
    </row>
    <row r="971" spans="1:7" x14ac:dyDescent="0.25">
      <c r="A971">
        <v>1611</v>
      </c>
      <c r="B971" t="s">
        <v>1157</v>
      </c>
      <c r="C971" t="s">
        <v>1201</v>
      </c>
      <c r="D971" t="s">
        <v>44</v>
      </c>
      <c r="E971" t="s">
        <v>1159</v>
      </c>
      <c r="F971">
        <v>4</v>
      </c>
    </row>
    <row r="972" spans="1:7" x14ac:dyDescent="0.25">
      <c r="A972">
        <v>1610</v>
      </c>
      <c r="B972" t="s">
        <v>1129</v>
      </c>
      <c r="C972" t="s">
        <v>1202</v>
      </c>
      <c r="D972" t="s">
        <v>13</v>
      </c>
      <c r="E972" t="s">
        <v>53</v>
      </c>
      <c r="F972">
        <v>3</v>
      </c>
    </row>
    <row r="973" spans="1:7" x14ac:dyDescent="0.25">
      <c r="A973">
        <v>1609</v>
      </c>
      <c r="B973" t="s">
        <v>1203</v>
      </c>
      <c r="C973" t="s">
        <v>1204</v>
      </c>
      <c r="D973" t="s">
        <v>13</v>
      </c>
      <c r="E973" t="s">
        <v>10</v>
      </c>
      <c r="F973">
        <v>0.25</v>
      </c>
    </row>
    <row r="974" spans="1:7" x14ac:dyDescent="0.25">
      <c r="A974">
        <v>1608</v>
      </c>
      <c r="B974" t="s">
        <v>955</v>
      </c>
      <c r="C974" t="s">
        <v>1205</v>
      </c>
      <c r="D974" t="s">
        <v>13</v>
      </c>
      <c r="E974" t="s">
        <v>69</v>
      </c>
      <c r="F974">
        <v>4.5</v>
      </c>
    </row>
    <row r="975" spans="1:7" x14ac:dyDescent="0.25">
      <c r="A975">
        <v>1607</v>
      </c>
      <c r="B975" t="s">
        <v>183</v>
      </c>
      <c r="C975" t="s">
        <v>1206</v>
      </c>
      <c r="D975" t="s">
        <v>44</v>
      </c>
      <c r="E975" t="s">
        <v>10</v>
      </c>
      <c r="F975">
        <v>2.75</v>
      </c>
    </row>
    <row r="976" spans="1:7" x14ac:dyDescent="0.25">
      <c r="A976">
        <v>1606</v>
      </c>
      <c r="B976" t="s">
        <v>132</v>
      </c>
      <c r="C976" t="s">
        <v>1207</v>
      </c>
      <c r="D976" t="s">
        <v>13</v>
      </c>
      <c r="E976" t="s">
        <v>69</v>
      </c>
      <c r="F976">
        <v>4</v>
      </c>
    </row>
    <row r="977" spans="1:6" x14ac:dyDescent="0.25">
      <c r="A977">
        <v>1605</v>
      </c>
      <c r="B977" t="s">
        <v>15</v>
      </c>
      <c r="C977" t="s">
        <v>1208</v>
      </c>
      <c r="D977" t="s">
        <v>13</v>
      </c>
      <c r="E977" t="s">
        <v>46</v>
      </c>
      <c r="F977">
        <v>3.5</v>
      </c>
    </row>
    <row r="978" spans="1:6" x14ac:dyDescent="0.25">
      <c r="A978">
        <v>1604</v>
      </c>
      <c r="B978" t="s">
        <v>1209</v>
      </c>
      <c r="C978" t="s">
        <v>1210</v>
      </c>
      <c r="D978" t="s">
        <v>13</v>
      </c>
      <c r="E978" t="s">
        <v>10</v>
      </c>
      <c r="F978">
        <v>1</v>
      </c>
    </row>
    <row r="979" spans="1:6" x14ac:dyDescent="0.25">
      <c r="A979">
        <v>1603</v>
      </c>
      <c r="B979" t="s">
        <v>1062</v>
      </c>
      <c r="C979" t="s">
        <v>1211</v>
      </c>
      <c r="D979" t="s">
        <v>13</v>
      </c>
      <c r="E979" t="s">
        <v>73</v>
      </c>
      <c r="F979">
        <v>5</v>
      </c>
    </row>
    <row r="980" spans="1:6" x14ac:dyDescent="0.25">
      <c r="A980">
        <v>1602</v>
      </c>
      <c r="B980" t="s">
        <v>1055</v>
      </c>
      <c r="C980" t="s">
        <v>1212</v>
      </c>
      <c r="D980" t="s">
        <v>13</v>
      </c>
      <c r="E980" t="s">
        <v>53</v>
      </c>
      <c r="F980">
        <v>3.5</v>
      </c>
    </row>
    <row r="981" spans="1:6" x14ac:dyDescent="0.25">
      <c r="A981">
        <v>1601</v>
      </c>
      <c r="B981" t="s">
        <v>41</v>
      </c>
      <c r="C981" t="s">
        <v>1213</v>
      </c>
      <c r="D981" t="s">
        <v>13</v>
      </c>
      <c r="E981" t="s">
        <v>25</v>
      </c>
      <c r="F981">
        <v>5</v>
      </c>
    </row>
    <row r="982" spans="1:6" x14ac:dyDescent="0.25">
      <c r="A982">
        <v>1600</v>
      </c>
      <c r="B982" t="s">
        <v>1000</v>
      </c>
      <c r="C982" t="s">
        <v>1214</v>
      </c>
      <c r="D982" t="s">
        <v>13</v>
      </c>
      <c r="E982" t="s">
        <v>14</v>
      </c>
      <c r="F982">
        <v>5</v>
      </c>
    </row>
    <row r="983" spans="1:6" x14ac:dyDescent="0.25">
      <c r="A983">
        <v>1599</v>
      </c>
      <c r="B983" t="s">
        <v>15</v>
      </c>
      <c r="C983" t="s">
        <v>1215</v>
      </c>
      <c r="D983" t="s">
        <v>13</v>
      </c>
      <c r="E983" t="s">
        <v>22</v>
      </c>
      <c r="F983">
        <v>3.5</v>
      </c>
    </row>
    <row r="984" spans="1:6" x14ac:dyDescent="0.25">
      <c r="A984">
        <v>1598</v>
      </c>
      <c r="B984" t="s">
        <v>897</v>
      </c>
      <c r="C984" t="s">
        <v>1216</v>
      </c>
      <c r="D984" t="s">
        <v>9</v>
      </c>
      <c r="E984" t="s">
        <v>38</v>
      </c>
      <c r="F984">
        <v>4</v>
      </c>
    </row>
    <row r="985" spans="1:6" x14ac:dyDescent="0.25">
      <c r="A985">
        <v>1597</v>
      </c>
      <c r="B985" t="s">
        <v>15</v>
      </c>
      <c r="C985" t="s">
        <v>1217</v>
      </c>
      <c r="D985" t="s">
        <v>30</v>
      </c>
      <c r="E985" t="s">
        <v>17</v>
      </c>
      <c r="F985">
        <v>4</v>
      </c>
    </row>
    <row r="986" spans="1:6" x14ac:dyDescent="0.25">
      <c r="A986">
        <v>1596</v>
      </c>
      <c r="B986" t="s">
        <v>1218</v>
      </c>
      <c r="C986" t="s">
        <v>1219</v>
      </c>
      <c r="D986" t="s">
        <v>13</v>
      </c>
      <c r="E986" t="s">
        <v>69</v>
      </c>
      <c r="F986">
        <v>3</v>
      </c>
    </row>
    <row r="987" spans="1:6" x14ac:dyDescent="0.25">
      <c r="A987">
        <v>1595</v>
      </c>
      <c r="B987" t="s">
        <v>426</v>
      </c>
      <c r="C987" t="s">
        <v>1220</v>
      </c>
      <c r="D987" t="s">
        <v>13</v>
      </c>
      <c r="E987" t="s">
        <v>79</v>
      </c>
      <c r="F987">
        <v>5</v>
      </c>
    </row>
    <row r="988" spans="1:6" x14ac:dyDescent="0.25">
      <c r="A988">
        <v>1594</v>
      </c>
      <c r="B988" t="s">
        <v>26</v>
      </c>
      <c r="C988" t="s">
        <v>1221</v>
      </c>
      <c r="D988" t="s">
        <v>9</v>
      </c>
      <c r="E988" t="s">
        <v>10</v>
      </c>
      <c r="F988">
        <v>2.25</v>
      </c>
    </row>
    <row r="989" spans="1:6" x14ac:dyDescent="0.25">
      <c r="A989">
        <v>1593</v>
      </c>
      <c r="B989" t="s">
        <v>41</v>
      </c>
      <c r="C989" t="s">
        <v>1222</v>
      </c>
      <c r="D989" t="s">
        <v>13</v>
      </c>
      <c r="E989" t="s">
        <v>25</v>
      </c>
      <c r="F989">
        <v>4.25</v>
      </c>
    </row>
    <row r="990" spans="1:6" x14ac:dyDescent="0.25">
      <c r="A990">
        <v>1592</v>
      </c>
      <c r="B990" t="s">
        <v>128</v>
      </c>
      <c r="C990" t="s">
        <v>1223</v>
      </c>
      <c r="D990" t="s">
        <v>13</v>
      </c>
      <c r="E990" t="s">
        <v>14</v>
      </c>
      <c r="F990">
        <v>5</v>
      </c>
    </row>
    <row r="991" spans="1:6" x14ac:dyDescent="0.25">
      <c r="A991">
        <v>1591</v>
      </c>
      <c r="B991" t="s">
        <v>1224</v>
      </c>
      <c r="C991" t="s">
        <v>1225</v>
      </c>
      <c r="D991" t="s">
        <v>13</v>
      </c>
      <c r="E991" t="s">
        <v>69</v>
      </c>
      <c r="F991">
        <v>3.5</v>
      </c>
    </row>
    <row r="992" spans="1:6" x14ac:dyDescent="0.25">
      <c r="A992">
        <v>1590</v>
      </c>
      <c r="B992" t="s">
        <v>1224</v>
      </c>
      <c r="C992" t="s">
        <v>1226</v>
      </c>
      <c r="D992" t="s">
        <v>13</v>
      </c>
      <c r="E992" t="s">
        <v>69</v>
      </c>
      <c r="F992">
        <v>3.75</v>
      </c>
    </row>
    <row r="993" spans="1:7" x14ac:dyDescent="0.25">
      <c r="A993">
        <v>1589</v>
      </c>
      <c r="B993" t="s">
        <v>1227</v>
      </c>
      <c r="C993" t="s">
        <v>1228</v>
      </c>
      <c r="D993" t="s">
        <v>13</v>
      </c>
      <c r="E993" t="s">
        <v>69</v>
      </c>
      <c r="F993">
        <v>3.75</v>
      </c>
    </row>
    <row r="994" spans="1:7" x14ac:dyDescent="0.25">
      <c r="A994">
        <v>1588</v>
      </c>
      <c r="B994" t="s">
        <v>1224</v>
      </c>
      <c r="C994" t="s">
        <v>1229</v>
      </c>
      <c r="D994" t="s">
        <v>13</v>
      </c>
      <c r="E994" t="s">
        <v>69</v>
      </c>
      <c r="F994">
        <v>3.5</v>
      </c>
    </row>
    <row r="995" spans="1:7" x14ac:dyDescent="0.25">
      <c r="A995">
        <v>1587</v>
      </c>
      <c r="B995" t="s">
        <v>1224</v>
      </c>
      <c r="C995" t="s">
        <v>1230</v>
      </c>
      <c r="D995" t="s">
        <v>13</v>
      </c>
      <c r="E995" t="s">
        <v>69</v>
      </c>
      <c r="F995" t="s">
        <v>76</v>
      </c>
    </row>
    <row r="996" spans="1:7" x14ac:dyDescent="0.25">
      <c r="A996">
        <v>1586</v>
      </c>
      <c r="B996" t="s">
        <v>1231</v>
      </c>
      <c r="C996" t="s">
        <v>1232</v>
      </c>
      <c r="D996" t="s">
        <v>13</v>
      </c>
      <c r="E996" t="s">
        <v>69</v>
      </c>
      <c r="F996">
        <v>3.75</v>
      </c>
    </row>
    <row r="997" spans="1:7" x14ac:dyDescent="0.25">
      <c r="A997">
        <v>1585</v>
      </c>
      <c r="B997" t="s">
        <v>595</v>
      </c>
      <c r="C997" t="s">
        <v>1233</v>
      </c>
      <c r="D997" t="s">
        <v>13</v>
      </c>
      <c r="E997" t="s">
        <v>69</v>
      </c>
      <c r="F997">
        <v>5</v>
      </c>
      <c r="G997" t="s">
        <v>1234</v>
      </c>
    </row>
    <row r="998" spans="1:7" x14ac:dyDescent="0.25">
      <c r="A998">
        <v>1584</v>
      </c>
      <c r="B998" t="s">
        <v>1227</v>
      </c>
      <c r="C998" t="s">
        <v>1235</v>
      </c>
      <c r="D998" t="s">
        <v>13</v>
      </c>
      <c r="E998" t="s">
        <v>69</v>
      </c>
      <c r="F998">
        <v>3.75</v>
      </c>
    </row>
    <row r="999" spans="1:7" x14ac:dyDescent="0.25">
      <c r="A999">
        <v>1583</v>
      </c>
      <c r="B999" t="s">
        <v>1231</v>
      </c>
      <c r="C999" t="s">
        <v>1236</v>
      </c>
      <c r="D999" t="s">
        <v>13</v>
      </c>
      <c r="E999" t="s">
        <v>69</v>
      </c>
      <c r="F999">
        <v>4</v>
      </c>
    </row>
    <row r="1000" spans="1:7" x14ac:dyDescent="0.25">
      <c r="A1000">
        <v>1582</v>
      </c>
      <c r="B1000" t="s">
        <v>1224</v>
      </c>
      <c r="C1000" t="s">
        <v>1237</v>
      </c>
      <c r="D1000" t="s">
        <v>13</v>
      </c>
      <c r="E1000" t="s">
        <v>69</v>
      </c>
      <c r="F1000">
        <v>4</v>
      </c>
    </row>
    <row r="1001" spans="1:7" x14ac:dyDescent="0.25">
      <c r="A1001">
        <v>1581</v>
      </c>
      <c r="B1001" t="s">
        <v>1137</v>
      </c>
      <c r="C1001" t="s">
        <v>1238</v>
      </c>
      <c r="D1001" t="s">
        <v>13</v>
      </c>
      <c r="E1001" t="s">
        <v>53</v>
      </c>
      <c r="F1001">
        <v>2.75</v>
      </c>
    </row>
    <row r="1002" spans="1:7" x14ac:dyDescent="0.25">
      <c r="A1002">
        <v>1580</v>
      </c>
      <c r="B1002" t="s">
        <v>1114</v>
      </c>
      <c r="C1002" t="s">
        <v>1115</v>
      </c>
      <c r="D1002" t="s">
        <v>13</v>
      </c>
      <c r="E1002" t="s">
        <v>25</v>
      </c>
      <c r="F1002">
        <v>3.75</v>
      </c>
    </row>
    <row r="1003" spans="1:7" x14ac:dyDescent="0.25">
      <c r="A1003">
        <v>1579</v>
      </c>
      <c r="B1003" t="s">
        <v>1239</v>
      </c>
      <c r="C1003" t="s">
        <v>1240</v>
      </c>
      <c r="D1003" t="s">
        <v>13</v>
      </c>
      <c r="E1003" t="s">
        <v>69</v>
      </c>
      <c r="F1003">
        <v>4</v>
      </c>
    </row>
    <row r="1004" spans="1:7" x14ac:dyDescent="0.25">
      <c r="A1004">
        <v>1578</v>
      </c>
      <c r="B1004" t="s">
        <v>15</v>
      </c>
      <c r="C1004" t="s">
        <v>1241</v>
      </c>
      <c r="D1004" t="s">
        <v>44</v>
      </c>
      <c r="E1004" t="s">
        <v>10</v>
      </c>
      <c r="F1004">
        <v>4</v>
      </c>
    </row>
    <row r="1005" spans="1:7" x14ac:dyDescent="0.25">
      <c r="A1005">
        <v>1577</v>
      </c>
      <c r="B1005" t="s">
        <v>897</v>
      </c>
      <c r="C1005" t="s">
        <v>1242</v>
      </c>
      <c r="D1005" t="s">
        <v>13</v>
      </c>
      <c r="E1005" t="s">
        <v>38</v>
      </c>
      <c r="F1005">
        <v>3.75</v>
      </c>
    </row>
    <row r="1006" spans="1:7" x14ac:dyDescent="0.25">
      <c r="A1006">
        <v>1576</v>
      </c>
      <c r="B1006" t="s">
        <v>132</v>
      </c>
      <c r="C1006" t="s">
        <v>1243</v>
      </c>
      <c r="D1006" t="s">
        <v>13</v>
      </c>
      <c r="E1006" t="s">
        <v>22</v>
      </c>
      <c r="F1006">
        <v>3.75</v>
      </c>
    </row>
    <row r="1007" spans="1:7" x14ac:dyDescent="0.25">
      <c r="A1007">
        <v>1575</v>
      </c>
      <c r="B1007" t="s">
        <v>54</v>
      </c>
      <c r="C1007" t="s">
        <v>1244</v>
      </c>
      <c r="D1007" t="s">
        <v>44</v>
      </c>
      <c r="E1007" t="s">
        <v>25</v>
      </c>
      <c r="F1007">
        <v>5</v>
      </c>
    </row>
    <row r="1008" spans="1:7" x14ac:dyDescent="0.25">
      <c r="A1008">
        <v>1574</v>
      </c>
      <c r="B1008" t="s">
        <v>1000</v>
      </c>
      <c r="C1008" t="s">
        <v>1245</v>
      </c>
      <c r="D1008" t="s">
        <v>13</v>
      </c>
      <c r="E1008" t="s">
        <v>14</v>
      </c>
      <c r="F1008">
        <v>3.5</v>
      </c>
    </row>
    <row r="1009" spans="1:6" x14ac:dyDescent="0.25">
      <c r="A1009">
        <v>1573</v>
      </c>
      <c r="B1009" t="s">
        <v>955</v>
      </c>
      <c r="C1009" t="s">
        <v>1246</v>
      </c>
      <c r="D1009" t="s">
        <v>44</v>
      </c>
      <c r="E1009" t="s">
        <v>69</v>
      </c>
      <c r="F1009">
        <v>4.75</v>
      </c>
    </row>
    <row r="1010" spans="1:6" x14ac:dyDescent="0.25">
      <c r="A1010">
        <v>1572</v>
      </c>
      <c r="B1010" t="s">
        <v>218</v>
      </c>
      <c r="C1010" t="s">
        <v>1247</v>
      </c>
      <c r="D1010" t="s">
        <v>13</v>
      </c>
      <c r="E1010" t="s">
        <v>79</v>
      </c>
      <c r="F1010">
        <v>3.75</v>
      </c>
    </row>
    <row r="1011" spans="1:6" x14ac:dyDescent="0.25">
      <c r="A1011">
        <v>1571</v>
      </c>
      <c r="B1011" t="s">
        <v>1248</v>
      </c>
      <c r="C1011" t="s">
        <v>1249</v>
      </c>
      <c r="D1011" t="s">
        <v>13</v>
      </c>
      <c r="E1011" t="s">
        <v>69</v>
      </c>
      <c r="F1011">
        <v>3.5</v>
      </c>
    </row>
    <row r="1012" spans="1:6" x14ac:dyDescent="0.25">
      <c r="A1012">
        <v>1570</v>
      </c>
      <c r="B1012" t="s">
        <v>102</v>
      </c>
      <c r="C1012" t="s">
        <v>1250</v>
      </c>
      <c r="D1012" t="s">
        <v>44</v>
      </c>
      <c r="E1012" t="s">
        <v>10</v>
      </c>
      <c r="F1012">
        <v>5</v>
      </c>
    </row>
    <row r="1013" spans="1:6" x14ac:dyDescent="0.25">
      <c r="A1013">
        <v>1569</v>
      </c>
      <c r="B1013" t="s">
        <v>132</v>
      </c>
      <c r="C1013" t="s">
        <v>1251</v>
      </c>
      <c r="D1013" t="s">
        <v>13</v>
      </c>
      <c r="E1013" t="s">
        <v>69</v>
      </c>
      <c r="F1013">
        <v>4</v>
      </c>
    </row>
    <row r="1014" spans="1:6" x14ac:dyDescent="0.25">
      <c r="A1014">
        <v>1568</v>
      </c>
      <c r="B1014" t="s">
        <v>897</v>
      </c>
      <c r="C1014" t="s">
        <v>1252</v>
      </c>
      <c r="D1014" t="s">
        <v>9</v>
      </c>
      <c r="E1014" t="s">
        <v>38</v>
      </c>
      <c r="F1014">
        <v>3.5</v>
      </c>
    </row>
    <row r="1015" spans="1:6" x14ac:dyDescent="0.25">
      <c r="A1015">
        <v>1567</v>
      </c>
      <c r="B1015" t="s">
        <v>15</v>
      </c>
      <c r="C1015" t="s">
        <v>1253</v>
      </c>
      <c r="D1015" t="s">
        <v>9</v>
      </c>
      <c r="E1015" t="s">
        <v>10</v>
      </c>
      <c r="F1015">
        <v>4.25</v>
      </c>
    </row>
    <row r="1016" spans="1:6" x14ac:dyDescent="0.25">
      <c r="A1016">
        <v>1566</v>
      </c>
      <c r="B1016" t="s">
        <v>15</v>
      </c>
      <c r="C1016" t="s">
        <v>1254</v>
      </c>
      <c r="D1016" t="s">
        <v>9</v>
      </c>
      <c r="E1016" t="s">
        <v>22</v>
      </c>
      <c r="F1016">
        <v>3.25</v>
      </c>
    </row>
    <row r="1017" spans="1:6" x14ac:dyDescent="0.25">
      <c r="A1017">
        <v>1565</v>
      </c>
      <c r="B1017" t="s">
        <v>1255</v>
      </c>
      <c r="C1017" t="s">
        <v>1256</v>
      </c>
      <c r="D1017" t="s">
        <v>13</v>
      </c>
      <c r="E1017" t="s">
        <v>10</v>
      </c>
      <c r="F1017">
        <v>2.5</v>
      </c>
    </row>
    <row r="1018" spans="1:6" x14ac:dyDescent="0.25">
      <c r="A1018">
        <v>1564</v>
      </c>
      <c r="B1018" t="s">
        <v>1123</v>
      </c>
      <c r="C1018" t="s">
        <v>1257</v>
      </c>
      <c r="D1018" t="s">
        <v>9</v>
      </c>
      <c r="E1018" t="s">
        <v>53</v>
      </c>
      <c r="F1018">
        <v>3</v>
      </c>
    </row>
    <row r="1019" spans="1:6" x14ac:dyDescent="0.25">
      <c r="A1019">
        <v>1563</v>
      </c>
      <c r="B1019" t="s">
        <v>41</v>
      </c>
      <c r="C1019" t="s">
        <v>1258</v>
      </c>
      <c r="D1019" t="s">
        <v>13</v>
      </c>
      <c r="E1019" t="s">
        <v>17</v>
      </c>
      <c r="F1019">
        <v>4.25</v>
      </c>
    </row>
    <row r="1020" spans="1:6" x14ac:dyDescent="0.25">
      <c r="A1020">
        <v>1562</v>
      </c>
      <c r="B1020" t="s">
        <v>1045</v>
      </c>
      <c r="C1020" t="s">
        <v>1259</v>
      </c>
      <c r="D1020" t="s">
        <v>13</v>
      </c>
      <c r="E1020" t="s">
        <v>35</v>
      </c>
      <c r="F1020">
        <v>2.75</v>
      </c>
    </row>
    <row r="1021" spans="1:6" x14ac:dyDescent="0.25">
      <c r="A1021">
        <v>1561</v>
      </c>
      <c r="B1021" t="s">
        <v>1218</v>
      </c>
      <c r="C1021" t="s">
        <v>1260</v>
      </c>
      <c r="D1021" t="s">
        <v>13</v>
      </c>
      <c r="E1021" t="s">
        <v>69</v>
      </c>
      <c r="F1021">
        <v>4.5</v>
      </c>
    </row>
    <row r="1022" spans="1:6" x14ac:dyDescent="0.25">
      <c r="A1022">
        <v>1560</v>
      </c>
      <c r="B1022" t="s">
        <v>1261</v>
      </c>
      <c r="C1022" t="s">
        <v>1262</v>
      </c>
      <c r="D1022" t="s">
        <v>30</v>
      </c>
      <c r="E1022" t="s">
        <v>38</v>
      </c>
      <c r="F1022">
        <v>3.75</v>
      </c>
    </row>
    <row r="1023" spans="1:6" x14ac:dyDescent="0.25">
      <c r="A1023">
        <v>1559</v>
      </c>
      <c r="B1023" t="s">
        <v>218</v>
      </c>
      <c r="C1023" t="s">
        <v>1263</v>
      </c>
      <c r="D1023" t="s">
        <v>13</v>
      </c>
      <c r="E1023" t="s">
        <v>79</v>
      </c>
      <c r="F1023">
        <v>4</v>
      </c>
    </row>
    <row r="1024" spans="1:6" x14ac:dyDescent="0.25">
      <c r="A1024">
        <v>1558</v>
      </c>
      <c r="B1024" t="s">
        <v>1153</v>
      </c>
      <c r="C1024" t="s">
        <v>1264</v>
      </c>
      <c r="D1024" t="s">
        <v>9</v>
      </c>
      <c r="E1024" t="s">
        <v>465</v>
      </c>
      <c r="F1024">
        <v>2</v>
      </c>
    </row>
    <row r="1025" spans="1:6" x14ac:dyDescent="0.25">
      <c r="A1025">
        <v>1557</v>
      </c>
      <c r="B1025" t="s">
        <v>955</v>
      </c>
      <c r="C1025" t="s">
        <v>1265</v>
      </c>
      <c r="D1025" t="s">
        <v>13</v>
      </c>
      <c r="E1025" t="s">
        <v>69</v>
      </c>
      <c r="F1025">
        <v>3.5</v>
      </c>
    </row>
    <row r="1026" spans="1:6" x14ac:dyDescent="0.25">
      <c r="A1026">
        <v>1556</v>
      </c>
      <c r="B1026" t="s">
        <v>20</v>
      </c>
      <c r="C1026" t="s">
        <v>61</v>
      </c>
      <c r="D1026" t="s">
        <v>13</v>
      </c>
      <c r="E1026" t="s">
        <v>22</v>
      </c>
      <c r="F1026">
        <v>3.75</v>
      </c>
    </row>
    <row r="1027" spans="1:6" x14ac:dyDescent="0.25">
      <c r="A1027">
        <v>1555</v>
      </c>
      <c r="B1027" t="s">
        <v>1266</v>
      </c>
      <c r="C1027" t="s">
        <v>1267</v>
      </c>
      <c r="D1027" t="s">
        <v>13</v>
      </c>
      <c r="E1027" t="s">
        <v>516</v>
      </c>
      <c r="F1027">
        <v>3.5</v>
      </c>
    </row>
    <row r="1028" spans="1:6" x14ac:dyDescent="0.25">
      <c r="A1028">
        <v>1554</v>
      </c>
      <c r="B1028" t="s">
        <v>1268</v>
      </c>
      <c r="C1028" t="s">
        <v>1269</v>
      </c>
      <c r="D1028" t="s">
        <v>13</v>
      </c>
      <c r="E1028" t="s">
        <v>1270</v>
      </c>
      <c r="F1028">
        <v>3</v>
      </c>
    </row>
    <row r="1029" spans="1:6" x14ac:dyDescent="0.25">
      <c r="A1029">
        <v>1553</v>
      </c>
      <c r="B1029" t="s">
        <v>668</v>
      </c>
      <c r="C1029" t="s">
        <v>1271</v>
      </c>
      <c r="D1029" t="s">
        <v>13</v>
      </c>
      <c r="E1029" t="s">
        <v>69</v>
      </c>
      <c r="F1029">
        <v>3.75</v>
      </c>
    </row>
    <row r="1030" spans="1:6" x14ac:dyDescent="0.25">
      <c r="A1030">
        <v>1552</v>
      </c>
      <c r="B1030" t="s">
        <v>800</v>
      </c>
      <c r="C1030" t="s">
        <v>1272</v>
      </c>
      <c r="D1030" t="s">
        <v>13</v>
      </c>
      <c r="E1030" t="s">
        <v>38</v>
      </c>
      <c r="F1030">
        <v>3.5</v>
      </c>
    </row>
    <row r="1031" spans="1:6" x14ac:dyDescent="0.25">
      <c r="A1031">
        <v>1551</v>
      </c>
      <c r="B1031" t="s">
        <v>183</v>
      </c>
      <c r="C1031" t="s">
        <v>1273</v>
      </c>
      <c r="D1031" t="s">
        <v>44</v>
      </c>
      <c r="E1031" t="s">
        <v>10</v>
      </c>
      <c r="F1031">
        <v>3.5</v>
      </c>
    </row>
    <row r="1032" spans="1:6" x14ac:dyDescent="0.25">
      <c r="A1032">
        <v>1550</v>
      </c>
      <c r="B1032" t="s">
        <v>809</v>
      </c>
      <c r="C1032" t="s">
        <v>1274</v>
      </c>
      <c r="D1032" t="s">
        <v>13</v>
      </c>
      <c r="E1032" t="s">
        <v>69</v>
      </c>
      <c r="F1032">
        <v>5</v>
      </c>
    </row>
    <row r="1033" spans="1:6" x14ac:dyDescent="0.25">
      <c r="A1033">
        <v>1549</v>
      </c>
      <c r="B1033" t="s">
        <v>374</v>
      </c>
      <c r="C1033" t="s">
        <v>1275</v>
      </c>
      <c r="D1033" t="s">
        <v>13</v>
      </c>
      <c r="E1033" t="s">
        <v>465</v>
      </c>
      <c r="F1033">
        <v>5</v>
      </c>
    </row>
    <row r="1034" spans="1:6" x14ac:dyDescent="0.25">
      <c r="A1034">
        <v>1548</v>
      </c>
      <c r="B1034" t="s">
        <v>23</v>
      </c>
      <c r="C1034" t="s">
        <v>1276</v>
      </c>
      <c r="D1034" t="s">
        <v>9</v>
      </c>
      <c r="E1034" t="s">
        <v>10</v>
      </c>
      <c r="F1034">
        <v>3.75</v>
      </c>
    </row>
    <row r="1035" spans="1:6" x14ac:dyDescent="0.25">
      <c r="A1035">
        <v>1547</v>
      </c>
      <c r="B1035" t="s">
        <v>889</v>
      </c>
      <c r="C1035" t="s">
        <v>1277</v>
      </c>
      <c r="D1035" t="s">
        <v>44</v>
      </c>
      <c r="E1035" t="s">
        <v>14</v>
      </c>
      <c r="F1035">
        <v>4.25</v>
      </c>
    </row>
    <row r="1036" spans="1:6" x14ac:dyDescent="0.25">
      <c r="A1036">
        <v>1546</v>
      </c>
      <c r="B1036" t="s">
        <v>15</v>
      </c>
      <c r="C1036" t="s">
        <v>1278</v>
      </c>
      <c r="D1036" t="s">
        <v>13</v>
      </c>
      <c r="E1036" t="s">
        <v>46</v>
      </c>
      <c r="F1036">
        <v>3.5</v>
      </c>
    </row>
    <row r="1037" spans="1:6" x14ac:dyDescent="0.25">
      <c r="A1037">
        <v>1545</v>
      </c>
      <c r="B1037" t="s">
        <v>1279</v>
      </c>
      <c r="C1037" t="s">
        <v>1280</v>
      </c>
      <c r="D1037" t="s">
        <v>13</v>
      </c>
      <c r="E1037" t="s">
        <v>69</v>
      </c>
      <c r="F1037">
        <v>5</v>
      </c>
    </row>
    <row r="1038" spans="1:6" x14ac:dyDescent="0.25">
      <c r="A1038">
        <v>1544</v>
      </c>
      <c r="B1038" t="s">
        <v>1281</v>
      </c>
      <c r="C1038" t="s">
        <v>1282</v>
      </c>
      <c r="D1038" t="s">
        <v>30</v>
      </c>
      <c r="E1038" t="s">
        <v>17</v>
      </c>
      <c r="F1038">
        <v>1.5</v>
      </c>
    </row>
    <row r="1039" spans="1:6" x14ac:dyDescent="0.25">
      <c r="A1039">
        <v>1543</v>
      </c>
      <c r="B1039" t="s">
        <v>132</v>
      </c>
      <c r="C1039" t="s">
        <v>1283</v>
      </c>
      <c r="D1039" t="s">
        <v>13</v>
      </c>
      <c r="E1039" t="s">
        <v>22</v>
      </c>
      <c r="F1039">
        <v>3.75</v>
      </c>
    </row>
    <row r="1040" spans="1:6" x14ac:dyDescent="0.25">
      <c r="A1040">
        <v>1542</v>
      </c>
      <c r="B1040" t="s">
        <v>1045</v>
      </c>
      <c r="C1040" t="s">
        <v>416</v>
      </c>
      <c r="D1040" t="s">
        <v>9</v>
      </c>
      <c r="E1040" t="s">
        <v>35</v>
      </c>
      <c r="F1040">
        <v>2.5</v>
      </c>
    </row>
    <row r="1041" spans="1:6" x14ac:dyDescent="0.25">
      <c r="A1041">
        <v>1541</v>
      </c>
      <c r="B1041" t="s">
        <v>1049</v>
      </c>
      <c r="C1041" t="s">
        <v>1284</v>
      </c>
      <c r="D1041" t="s">
        <v>13</v>
      </c>
      <c r="E1041" t="s">
        <v>14</v>
      </c>
      <c r="F1041">
        <v>3.75</v>
      </c>
    </row>
    <row r="1042" spans="1:6" x14ac:dyDescent="0.25">
      <c r="A1042">
        <v>1540</v>
      </c>
      <c r="B1042" t="s">
        <v>1193</v>
      </c>
      <c r="C1042" t="s">
        <v>1285</v>
      </c>
      <c r="D1042" t="s">
        <v>13</v>
      </c>
      <c r="E1042" t="s">
        <v>79</v>
      </c>
      <c r="F1042">
        <v>4.25</v>
      </c>
    </row>
    <row r="1043" spans="1:6" x14ac:dyDescent="0.25">
      <c r="A1043">
        <v>1539</v>
      </c>
      <c r="B1043" t="s">
        <v>7</v>
      </c>
      <c r="C1043" t="s">
        <v>1286</v>
      </c>
      <c r="D1043" t="s">
        <v>44</v>
      </c>
      <c r="E1043" t="s">
        <v>10</v>
      </c>
      <c r="F1043">
        <v>3.5</v>
      </c>
    </row>
    <row r="1044" spans="1:6" x14ac:dyDescent="0.25">
      <c r="A1044">
        <v>1538</v>
      </c>
      <c r="B1044" t="s">
        <v>188</v>
      </c>
      <c r="C1044" t="s">
        <v>1287</v>
      </c>
      <c r="D1044" t="s">
        <v>13</v>
      </c>
      <c r="E1044" t="s">
        <v>46</v>
      </c>
      <c r="F1044">
        <v>4.5</v>
      </c>
    </row>
    <row r="1045" spans="1:6" x14ac:dyDescent="0.25">
      <c r="A1045">
        <v>1537</v>
      </c>
      <c r="B1045" t="s">
        <v>322</v>
      </c>
      <c r="C1045" t="s">
        <v>1288</v>
      </c>
      <c r="D1045" t="s">
        <v>13</v>
      </c>
      <c r="E1045" t="s">
        <v>38</v>
      </c>
      <c r="F1045">
        <v>3.75</v>
      </c>
    </row>
    <row r="1046" spans="1:6" x14ac:dyDescent="0.25">
      <c r="A1046">
        <v>1536</v>
      </c>
      <c r="B1046" t="s">
        <v>1129</v>
      </c>
      <c r="C1046" t="s">
        <v>1289</v>
      </c>
      <c r="D1046" t="s">
        <v>13</v>
      </c>
      <c r="E1046" t="s">
        <v>53</v>
      </c>
      <c r="F1046">
        <v>3.25</v>
      </c>
    </row>
    <row r="1047" spans="1:6" x14ac:dyDescent="0.25">
      <c r="A1047">
        <v>1535</v>
      </c>
      <c r="B1047" t="s">
        <v>188</v>
      </c>
      <c r="C1047" t="s">
        <v>1290</v>
      </c>
      <c r="D1047" t="s">
        <v>13</v>
      </c>
      <c r="E1047" t="s">
        <v>46</v>
      </c>
      <c r="F1047">
        <v>3.5</v>
      </c>
    </row>
    <row r="1048" spans="1:6" x14ac:dyDescent="0.25">
      <c r="A1048">
        <v>1534</v>
      </c>
      <c r="B1048" t="s">
        <v>929</v>
      </c>
      <c r="C1048" t="s">
        <v>1291</v>
      </c>
      <c r="D1048" t="s">
        <v>13</v>
      </c>
      <c r="E1048" t="s">
        <v>69</v>
      </c>
      <c r="F1048">
        <v>3.75</v>
      </c>
    </row>
    <row r="1049" spans="1:6" x14ac:dyDescent="0.25">
      <c r="A1049">
        <v>1533</v>
      </c>
      <c r="B1049" t="s">
        <v>1292</v>
      </c>
      <c r="C1049" t="s">
        <v>1293</v>
      </c>
      <c r="D1049" t="s">
        <v>13</v>
      </c>
      <c r="E1049" t="s">
        <v>53</v>
      </c>
      <c r="F1049">
        <v>3.75</v>
      </c>
    </row>
    <row r="1050" spans="1:6" x14ac:dyDescent="0.25">
      <c r="A1050">
        <v>1532</v>
      </c>
      <c r="B1050" t="s">
        <v>1157</v>
      </c>
      <c r="C1050" t="s">
        <v>1294</v>
      </c>
      <c r="D1050" t="s">
        <v>13</v>
      </c>
      <c r="E1050" t="s">
        <v>1159</v>
      </c>
      <c r="F1050">
        <v>4.5</v>
      </c>
    </row>
    <row r="1051" spans="1:6" x14ac:dyDescent="0.25">
      <c r="A1051">
        <v>1531</v>
      </c>
      <c r="B1051" t="s">
        <v>1157</v>
      </c>
      <c r="C1051" t="s">
        <v>1295</v>
      </c>
      <c r="D1051" t="s">
        <v>13</v>
      </c>
      <c r="E1051" t="s">
        <v>1159</v>
      </c>
      <c r="F1051">
        <v>3.75</v>
      </c>
    </row>
    <row r="1052" spans="1:6" x14ac:dyDescent="0.25">
      <c r="A1052">
        <v>1530</v>
      </c>
      <c r="B1052" t="s">
        <v>1157</v>
      </c>
      <c r="C1052" t="s">
        <v>1296</v>
      </c>
      <c r="D1052" t="s">
        <v>13</v>
      </c>
      <c r="E1052" t="s">
        <v>1159</v>
      </c>
      <c r="F1052">
        <v>4</v>
      </c>
    </row>
    <row r="1053" spans="1:6" x14ac:dyDescent="0.25">
      <c r="A1053">
        <v>1529</v>
      </c>
      <c r="B1053" t="s">
        <v>1157</v>
      </c>
      <c r="C1053" t="s">
        <v>1297</v>
      </c>
      <c r="D1053" t="s">
        <v>13</v>
      </c>
      <c r="E1053" t="s">
        <v>1159</v>
      </c>
      <c r="F1053">
        <v>4</v>
      </c>
    </row>
    <row r="1054" spans="1:6" x14ac:dyDescent="0.25">
      <c r="A1054">
        <v>1528</v>
      </c>
      <c r="B1054" t="s">
        <v>1157</v>
      </c>
      <c r="C1054" t="s">
        <v>1298</v>
      </c>
      <c r="D1054" t="s">
        <v>9</v>
      </c>
      <c r="E1054" t="s">
        <v>1159</v>
      </c>
      <c r="F1054">
        <v>3.25</v>
      </c>
    </row>
    <row r="1055" spans="1:6" x14ac:dyDescent="0.25">
      <c r="A1055">
        <v>1527</v>
      </c>
      <c r="B1055" t="s">
        <v>1157</v>
      </c>
      <c r="C1055" t="s">
        <v>1299</v>
      </c>
      <c r="D1055" t="s">
        <v>13</v>
      </c>
      <c r="E1055" t="s">
        <v>1159</v>
      </c>
      <c r="F1055">
        <v>4.5</v>
      </c>
    </row>
    <row r="1056" spans="1:6" x14ac:dyDescent="0.25">
      <c r="A1056">
        <v>1526</v>
      </c>
      <c r="B1056" t="s">
        <v>1157</v>
      </c>
      <c r="C1056" t="s">
        <v>1300</v>
      </c>
      <c r="D1056" t="s">
        <v>13</v>
      </c>
      <c r="E1056" t="s">
        <v>1159</v>
      </c>
      <c r="F1056">
        <v>3.75</v>
      </c>
    </row>
    <row r="1057" spans="1:7" x14ac:dyDescent="0.25">
      <c r="A1057">
        <v>1525</v>
      </c>
      <c r="B1057" t="s">
        <v>916</v>
      </c>
      <c r="C1057" t="s">
        <v>1301</v>
      </c>
      <c r="D1057" t="s">
        <v>9</v>
      </c>
      <c r="E1057" t="s">
        <v>69</v>
      </c>
      <c r="F1057">
        <v>3.75</v>
      </c>
    </row>
    <row r="1058" spans="1:7" x14ac:dyDescent="0.25">
      <c r="A1058">
        <v>1524</v>
      </c>
      <c r="B1058" t="s">
        <v>15</v>
      </c>
      <c r="C1058" t="s">
        <v>1302</v>
      </c>
      <c r="D1058" t="s">
        <v>13</v>
      </c>
      <c r="E1058" t="s">
        <v>35</v>
      </c>
      <c r="F1058">
        <v>3.5</v>
      </c>
    </row>
    <row r="1059" spans="1:7" x14ac:dyDescent="0.25">
      <c r="A1059">
        <v>1523</v>
      </c>
      <c r="B1059" t="s">
        <v>54</v>
      </c>
      <c r="C1059" t="s">
        <v>1303</v>
      </c>
      <c r="D1059" t="s">
        <v>44</v>
      </c>
      <c r="E1059" t="s">
        <v>25</v>
      </c>
      <c r="F1059">
        <v>5</v>
      </c>
    </row>
    <row r="1060" spans="1:7" x14ac:dyDescent="0.25">
      <c r="A1060">
        <v>1522</v>
      </c>
      <c r="B1060" t="s">
        <v>331</v>
      </c>
      <c r="C1060" t="s">
        <v>1304</v>
      </c>
      <c r="D1060" t="s">
        <v>13</v>
      </c>
      <c r="E1060" t="s">
        <v>53</v>
      </c>
      <c r="F1060">
        <v>3.25</v>
      </c>
    </row>
    <row r="1061" spans="1:7" x14ac:dyDescent="0.25">
      <c r="A1061">
        <v>1521</v>
      </c>
      <c r="B1061" t="s">
        <v>102</v>
      </c>
      <c r="C1061" t="s">
        <v>1305</v>
      </c>
      <c r="D1061" t="s">
        <v>30</v>
      </c>
      <c r="E1061" t="s">
        <v>10</v>
      </c>
      <c r="F1061">
        <v>5</v>
      </c>
      <c r="G1061" t="s">
        <v>1306</v>
      </c>
    </row>
    <row r="1062" spans="1:7" x14ac:dyDescent="0.25">
      <c r="A1062">
        <v>1520</v>
      </c>
      <c r="B1062" t="s">
        <v>894</v>
      </c>
      <c r="C1062" t="s">
        <v>1307</v>
      </c>
      <c r="D1062" t="s">
        <v>13</v>
      </c>
      <c r="E1062" t="s">
        <v>38</v>
      </c>
      <c r="F1062">
        <v>3</v>
      </c>
    </row>
    <row r="1063" spans="1:7" x14ac:dyDescent="0.25">
      <c r="A1063">
        <v>1519</v>
      </c>
      <c r="B1063" t="s">
        <v>20</v>
      </c>
      <c r="C1063" t="s">
        <v>1308</v>
      </c>
      <c r="D1063" t="s">
        <v>13</v>
      </c>
      <c r="E1063" t="s">
        <v>22</v>
      </c>
      <c r="F1063">
        <v>3.5</v>
      </c>
    </row>
    <row r="1064" spans="1:7" x14ac:dyDescent="0.25">
      <c r="A1064">
        <v>1518</v>
      </c>
      <c r="B1064" t="s">
        <v>668</v>
      </c>
      <c r="C1064" t="s">
        <v>1309</v>
      </c>
      <c r="D1064" t="s">
        <v>13</v>
      </c>
      <c r="E1064" t="s">
        <v>69</v>
      </c>
      <c r="F1064">
        <v>4.5</v>
      </c>
    </row>
    <row r="1065" spans="1:7" x14ac:dyDescent="0.25">
      <c r="A1065">
        <v>1517</v>
      </c>
      <c r="B1065" t="s">
        <v>1310</v>
      </c>
      <c r="C1065" t="s">
        <v>1311</v>
      </c>
      <c r="D1065" t="s">
        <v>13</v>
      </c>
      <c r="E1065" t="s">
        <v>1270</v>
      </c>
      <c r="F1065">
        <v>3.5</v>
      </c>
    </row>
    <row r="1066" spans="1:7" x14ac:dyDescent="0.25">
      <c r="A1066">
        <v>1516</v>
      </c>
      <c r="B1066" t="s">
        <v>1312</v>
      </c>
      <c r="C1066" t="s">
        <v>1313</v>
      </c>
      <c r="D1066" t="s">
        <v>13</v>
      </c>
      <c r="E1066" t="s">
        <v>10</v>
      </c>
      <c r="F1066">
        <v>3.75</v>
      </c>
    </row>
    <row r="1067" spans="1:7" x14ac:dyDescent="0.25">
      <c r="A1067">
        <v>1515</v>
      </c>
      <c r="B1067" t="s">
        <v>41</v>
      </c>
      <c r="C1067" t="s">
        <v>1314</v>
      </c>
      <c r="D1067" t="s">
        <v>13</v>
      </c>
      <c r="E1067" t="s">
        <v>25</v>
      </c>
      <c r="F1067">
        <v>4</v>
      </c>
    </row>
    <row r="1068" spans="1:7" x14ac:dyDescent="0.25">
      <c r="A1068">
        <v>1514</v>
      </c>
      <c r="B1068" t="s">
        <v>132</v>
      </c>
      <c r="C1068" t="s">
        <v>1315</v>
      </c>
      <c r="D1068" t="s">
        <v>13</v>
      </c>
      <c r="E1068" t="s">
        <v>69</v>
      </c>
      <c r="F1068">
        <v>4.5</v>
      </c>
    </row>
    <row r="1069" spans="1:7" x14ac:dyDescent="0.25">
      <c r="A1069">
        <v>1513</v>
      </c>
      <c r="B1069" t="s">
        <v>897</v>
      </c>
      <c r="C1069" t="s">
        <v>1316</v>
      </c>
      <c r="D1069" t="s">
        <v>13</v>
      </c>
      <c r="E1069" t="s">
        <v>38</v>
      </c>
      <c r="F1069">
        <v>4</v>
      </c>
    </row>
    <row r="1070" spans="1:7" x14ac:dyDescent="0.25">
      <c r="A1070">
        <v>1512</v>
      </c>
      <c r="B1070" t="s">
        <v>1317</v>
      </c>
      <c r="C1070" t="s">
        <v>1318</v>
      </c>
      <c r="D1070" t="s">
        <v>13</v>
      </c>
      <c r="E1070" t="s">
        <v>46</v>
      </c>
      <c r="F1070">
        <v>1.75</v>
      </c>
    </row>
    <row r="1071" spans="1:7" x14ac:dyDescent="0.25">
      <c r="A1071">
        <v>1511</v>
      </c>
      <c r="B1071" t="s">
        <v>1166</v>
      </c>
      <c r="C1071" t="s">
        <v>1319</v>
      </c>
      <c r="D1071" t="s">
        <v>13</v>
      </c>
      <c r="E1071" t="s">
        <v>14</v>
      </c>
      <c r="F1071">
        <v>3.25</v>
      </c>
    </row>
    <row r="1072" spans="1:7" x14ac:dyDescent="0.25">
      <c r="A1072">
        <v>1510</v>
      </c>
      <c r="B1072" t="s">
        <v>343</v>
      </c>
      <c r="C1072" t="s">
        <v>1320</v>
      </c>
      <c r="D1072" t="s">
        <v>13</v>
      </c>
      <c r="E1072" t="s">
        <v>46</v>
      </c>
      <c r="F1072">
        <v>3.25</v>
      </c>
    </row>
    <row r="1073" spans="1:7" x14ac:dyDescent="0.25">
      <c r="A1073">
        <v>1509</v>
      </c>
      <c r="B1073" t="s">
        <v>15</v>
      </c>
      <c r="C1073" t="s">
        <v>1321</v>
      </c>
      <c r="D1073" t="s">
        <v>44</v>
      </c>
      <c r="E1073" t="s">
        <v>10</v>
      </c>
      <c r="F1073">
        <v>3.5</v>
      </c>
    </row>
    <row r="1074" spans="1:7" x14ac:dyDescent="0.25">
      <c r="A1074">
        <v>1508</v>
      </c>
      <c r="B1074" t="s">
        <v>668</v>
      </c>
      <c r="C1074" t="s">
        <v>1322</v>
      </c>
      <c r="D1074" t="s">
        <v>13</v>
      </c>
      <c r="E1074" t="s">
        <v>69</v>
      </c>
      <c r="F1074">
        <v>5</v>
      </c>
      <c r="G1074" t="s">
        <v>1323</v>
      </c>
    </row>
    <row r="1075" spans="1:7" x14ac:dyDescent="0.25">
      <c r="A1075">
        <v>1507</v>
      </c>
      <c r="B1075" t="s">
        <v>15</v>
      </c>
      <c r="C1075" t="s">
        <v>1324</v>
      </c>
      <c r="D1075" t="s">
        <v>13</v>
      </c>
      <c r="E1075" t="s">
        <v>35</v>
      </c>
      <c r="F1075">
        <v>3.5</v>
      </c>
    </row>
    <row r="1076" spans="1:7" x14ac:dyDescent="0.25">
      <c r="A1076">
        <v>1506</v>
      </c>
      <c r="B1076" t="s">
        <v>15</v>
      </c>
      <c r="C1076" t="s">
        <v>1325</v>
      </c>
      <c r="D1076" t="s">
        <v>13</v>
      </c>
      <c r="E1076" t="s">
        <v>22</v>
      </c>
      <c r="F1076">
        <v>3.75</v>
      </c>
    </row>
    <row r="1077" spans="1:7" x14ac:dyDescent="0.25">
      <c r="A1077">
        <v>1505</v>
      </c>
      <c r="B1077" t="s">
        <v>1141</v>
      </c>
      <c r="C1077" t="s">
        <v>1326</v>
      </c>
      <c r="D1077" t="s">
        <v>13</v>
      </c>
      <c r="E1077" t="s">
        <v>345</v>
      </c>
      <c r="F1077">
        <v>3.25</v>
      </c>
    </row>
    <row r="1078" spans="1:7" x14ac:dyDescent="0.25">
      <c r="A1078">
        <v>1504</v>
      </c>
      <c r="B1078" t="s">
        <v>218</v>
      </c>
      <c r="C1078" t="s">
        <v>1327</v>
      </c>
      <c r="D1078" t="s">
        <v>13</v>
      </c>
      <c r="E1078" t="s">
        <v>79</v>
      </c>
      <c r="F1078">
        <v>4.25</v>
      </c>
    </row>
    <row r="1079" spans="1:7" x14ac:dyDescent="0.25">
      <c r="A1079">
        <v>1503</v>
      </c>
      <c r="B1079" t="s">
        <v>41</v>
      </c>
      <c r="C1079" t="s">
        <v>1328</v>
      </c>
      <c r="D1079" t="s">
        <v>44</v>
      </c>
      <c r="E1079" t="s">
        <v>17</v>
      </c>
      <c r="F1079">
        <v>3.25</v>
      </c>
    </row>
    <row r="1080" spans="1:7" x14ac:dyDescent="0.25">
      <c r="A1080">
        <v>1502</v>
      </c>
      <c r="B1080" t="s">
        <v>426</v>
      </c>
      <c r="C1080" t="s">
        <v>1329</v>
      </c>
      <c r="D1080" t="s">
        <v>13</v>
      </c>
      <c r="E1080" t="s">
        <v>79</v>
      </c>
      <c r="F1080">
        <v>4</v>
      </c>
    </row>
    <row r="1081" spans="1:7" x14ac:dyDescent="0.25">
      <c r="A1081">
        <v>1501</v>
      </c>
      <c r="B1081" t="s">
        <v>26</v>
      </c>
      <c r="C1081" t="s">
        <v>1330</v>
      </c>
      <c r="D1081" t="s">
        <v>30</v>
      </c>
      <c r="E1081" t="s">
        <v>10</v>
      </c>
      <c r="F1081">
        <v>3.25</v>
      </c>
    </row>
    <row r="1082" spans="1:7" x14ac:dyDescent="0.25">
      <c r="A1082">
        <v>1500</v>
      </c>
      <c r="B1082" t="s">
        <v>67</v>
      </c>
      <c r="C1082" t="s">
        <v>131</v>
      </c>
      <c r="D1082" t="s">
        <v>13</v>
      </c>
      <c r="E1082" t="s">
        <v>69</v>
      </c>
      <c r="F1082">
        <v>5</v>
      </c>
      <c r="G1082" t="s">
        <v>1331</v>
      </c>
    </row>
    <row r="1083" spans="1:7" x14ac:dyDescent="0.25">
      <c r="A1083">
        <v>1499</v>
      </c>
      <c r="B1083" t="s">
        <v>1137</v>
      </c>
      <c r="C1083" t="s">
        <v>1332</v>
      </c>
      <c r="D1083" t="s">
        <v>13</v>
      </c>
      <c r="E1083" t="s">
        <v>53</v>
      </c>
      <c r="F1083">
        <v>3.25</v>
      </c>
    </row>
    <row r="1084" spans="1:7" x14ac:dyDescent="0.25">
      <c r="A1084">
        <v>1498</v>
      </c>
      <c r="B1084" t="s">
        <v>23</v>
      </c>
      <c r="C1084" t="s">
        <v>1333</v>
      </c>
      <c r="D1084" t="s">
        <v>13</v>
      </c>
      <c r="E1084" t="s">
        <v>25</v>
      </c>
      <c r="F1084">
        <v>3.5</v>
      </c>
    </row>
    <row r="1085" spans="1:7" x14ac:dyDescent="0.25">
      <c r="A1085">
        <v>1497</v>
      </c>
      <c r="B1085" t="s">
        <v>15</v>
      </c>
      <c r="C1085" t="s">
        <v>1334</v>
      </c>
      <c r="D1085" t="s">
        <v>9</v>
      </c>
      <c r="E1085" t="s">
        <v>17</v>
      </c>
      <c r="F1085">
        <v>3.5</v>
      </c>
    </row>
    <row r="1086" spans="1:7" x14ac:dyDescent="0.25">
      <c r="A1086">
        <v>1496</v>
      </c>
      <c r="B1086" t="s">
        <v>218</v>
      </c>
      <c r="C1086" t="s">
        <v>1335</v>
      </c>
      <c r="D1086" t="s">
        <v>13</v>
      </c>
      <c r="E1086" t="s">
        <v>79</v>
      </c>
      <c r="F1086">
        <v>4.5</v>
      </c>
    </row>
    <row r="1087" spans="1:7" x14ac:dyDescent="0.25">
      <c r="A1087">
        <v>1495</v>
      </c>
      <c r="B1087" t="s">
        <v>987</v>
      </c>
      <c r="C1087" t="s">
        <v>1336</v>
      </c>
      <c r="D1087" t="s">
        <v>9</v>
      </c>
      <c r="E1087" t="s">
        <v>69</v>
      </c>
      <c r="F1087">
        <v>3.75</v>
      </c>
    </row>
    <row r="1088" spans="1:7" x14ac:dyDescent="0.25">
      <c r="A1088">
        <v>1494</v>
      </c>
      <c r="B1088" t="s">
        <v>135</v>
      </c>
      <c r="C1088" t="s">
        <v>1337</v>
      </c>
      <c r="D1088" t="s">
        <v>9</v>
      </c>
      <c r="E1088" t="s">
        <v>73</v>
      </c>
      <c r="F1088">
        <v>3.5</v>
      </c>
    </row>
    <row r="1089" spans="1:6" x14ac:dyDescent="0.25">
      <c r="A1089">
        <v>1493</v>
      </c>
      <c r="B1089" t="s">
        <v>102</v>
      </c>
      <c r="C1089" t="s">
        <v>1338</v>
      </c>
      <c r="D1089" t="s">
        <v>44</v>
      </c>
      <c r="E1089" t="s">
        <v>10</v>
      </c>
      <c r="F1089">
        <v>4.25</v>
      </c>
    </row>
    <row r="1090" spans="1:6" x14ac:dyDescent="0.25">
      <c r="A1090">
        <v>1492</v>
      </c>
      <c r="B1090" t="s">
        <v>322</v>
      </c>
      <c r="C1090" t="s">
        <v>1339</v>
      </c>
      <c r="D1090" t="s">
        <v>13</v>
      </c>
      <c r="E1090" t="s">
        <v>38</v>
      </c>
      <c r="F1090">
        <v>4</v>
      </c>
    </row>
    <row r="1091" spans="1:6" x14ac:dyDescent="0.25">
      <c r="A1091">
        <v>1491</v>
      </c>
      <c r="B1091" t="s">
        <v>74</v>
      </c>
      <c r="C1091" t="s">
        <v>1340</v>
      </c>
      <c r="D1091" t="s">
        <v>13</v>
      </c>
      <c r="E1091" t="s">
        <v>25</v>
      </c>
      <c r="F1091">
        <v>3.75</v>
      </c>
    </row>
    <row r="1092" spans="1:6" x14ac:dyDescent="0.25">
      <c r="A1092">
        <v>1490</v>
      </c>
      <c r="B1092" t="s">
        <v>15</v>
      </c>
      <c r="C1092" t="s">
        <v>1341</v>
      </c>
      <c r="D1092" t="s">
        <v>9</v>
      </c>
      <c r="E1092" t="s">
        <v>149</v>
      </c>
      <c r="F1092">
        <v>3.5</v>
      </c>
    </row>
    <row r="1093" spans="1:6" x14ac:dyDescent="0.25">
      <c r="A1093">
        <v>1489</v>
      </c>
      <c r="B1093" t="s">
        <v>132</v>
      </c>
      <c r="C1093" t="s">
        <v>1342</v>
      </c>
      <c r="D1093" t="s">
        <v>13</v>
      </c>
      <c r="E1093" t="s">
        <v>22</v>
      </c>
      <c r="F1093">
        <v>3.25</v>
      </c>
    </row>
    <row r="1094" spans="1:6" x14ac:dyDescent="0.25">
      <c r="A1094">
        <v>1488</v>
      </c>
      <c r="B1094" t="s">
        <v>128</v>
      </c>
      <c r="C1094" t="s">
        <v>379</v>
      </c>
      <c r="D1094" t="s">
        <v>13</v>
      </c>
      <c r="E1094" t="s">
        <v>14</v>
      </c>
      <c r="F1094">
        <v>5</v>
      </c>
    </row>
    <row r="1095" spans="1:6" x14ac:dyDescent="0.25">
      <c r="A1095">
        <v>1487</v>
      </c>
      <c r="B1095" t="s">
        <v>1268</v>
      </c>
      <c r="C1095" t="s">
        <v>1343</v>
      </c>
      <c r="D1095" t="s">
        <v>13</v>
      </c>
      <c r="E1095" t="s">
        <v>1270</v>
      </c>
      <c r="F1095">
        <v>3.25</v>
      </c>
    </row>
    <row r="1096" spans="1:6" x14ac:dyDescent="0.25">
      <c r="A1096">
        <v>1486</v>
      </c>
      <c r="B1096" t="s">
        <v>128</v>
      </c>
      <c r="C1096" t="s">
        <v>1344</v>
      </c>
      <c r="D1096" t="s">
        <v>13</v>
      </c>
      <c r="E1096" t="s">
        <v>14</v>
      </c>
      <c r="F1096">
        <v>5</v>
      </c>
    </row>
    <row r="1097" spans="1:6" x14ac:dyDescent="0.25">
      <c r="A1097">
        <v>1485</v>
      </c>
      <c r="B1097" t="s">
        <v>41</v>
      </c>
      <c r="C1097" t="s">
        <v>1345</v>
      </c>
      <c r="D1097" t="s">
        <v>13</v>
      </c>
      <c r="E1097" t="s">
        <v>17</v>
      </c>
      <c r="F1097">
        <v>5</v>
      </c>
    </row>
    <row r="1098" spans="1:6" x14ac:dyDescent="0.25">
      <c r="A1098">
        <v>1484</v>
      </c>
      <c r="B1098" t="s">
        <v>809</v>
      </c>
      <c r="C1098" t="s">
        <v>1346</v>
      </c>
      <c r="D1098" t="s">
        <v>13</v>
      </c>
      <c r="E1098" t="s">
        <v>69</v>
      </c>
      <c r="F1098">
        <v>3.75</v>
      </c>
    </row>
    <row r="1099" spans="1:6" x14ac:dyDescent="0.25">
      <c r="A1099">
        <v>1483</v>
      </c>
      <c r="B1099" t="s">
        <v>590</v>
      </c>
      <c r="C1099" t="s">
        <v>1347</v>
      </c>
      <c r="D1099" t="s">
        <v>13</v>
      </c>
      <c r="E1099" t="s">
        <v>46</v>
      </c>
      <c r="F1099">
        <v>4</v>
      </c>
    </row>
    <row r="1100" spans="1:6" x14ac:dyDescent="0.25">
      <c r="A1100">
        <v>1482</v>
      </c>
      <c r="B1100" t="s">
        <v>102</v>
      </c>
      <c r="C1100" t="s">
        <v>1348</v>
      </c>
      <c r="D1100" t="s">
        <v>13</v>
      </c>
      <c r="E1100" t="s">
        <v>10</v>
      </c>
      <c r="F1100">
        <v>4</v>
      </c>
    </row>
    <row r="1101" spans="1:6" x14ac:dyDescent="0.25">
      <c r="A1101">
        <v>1481</v>
      </c>
      <c r="B1101" t="s">
        <v>218</v>
      </c>
      <c r="C1101" t="s">
        <v>1349</v>
      </c>
      <c r="D1101" t="s">
        <v>13</v>
      </c>
      <c r="E1101" t="s">
        <v>79</v>
      </c>
      <c r="F1101">
        <v>3.5</v>
      </c>
    </row>
    <row r="1102" spans="1:6" x14ac:dyDescent="0.25">
      <c r="A1102">
        <v>1480</v>
      </c>
      <c r="B1102" t="s">
        <v>54</v>
      </c>
      <c r="C1102" t="s">
        <v>1350</v>
      </c>
      <c r="D1102" t="s">
        <v>13</v>
      </c>
      <c r="E1102" t="s">
        <v>25</v>
      </c>
      <c r="F1102">
        <v>4</v>
      </c>
    </row>
    <row r="1103" spans="1:6" x14ac:dyDescent="0.25">
      <c r="A1103">
        <v>1479</v>
      </c>
      <c r="B1103" t="s">
        <v>15</v>
      </c>
      <c r="C1103" t="s">
        <v>1351</v>
      </c>
      <c r="D1103" t="s">
        <v>9</v>
      </c>
      <c r="E1103" t="s">
        <v>17</v>
      </c>
      <c r="F1103">
        <v>3.5</v>
      </c>
    </row>
    <row r="1104" spans="1:6" x14ac:dyDescent="0.25">
      <c r="A1104">
        <v>1478</v>
      </c>
      <c r="B1104" t="s">
        <v>1148</v>
      </c>
      <c r="C1104" t="s">
        <v>1352</v>
      </c>
      <c r="D1104" t="s">
        <v>13</v>
      </c>
      <c r="E1104" t="s">
        <v>38</v>
      </c>
      <c r="F1104">
        <v>4</v>
      </c>
    </row>
    <row r="1105" spans="1:7" x14ac:dyDescent="0.25">
      <c r="A1105">
        <v>1477</v>
      </c>
      <c r="B1105" t="s">
        <v>897</v>
      </c>
      <c r="C1105" t="s">
        <v>1353</v>
      </c>
      <c r="D1105" t="s">
        <v>13</v>
      </c>
      <c r="E1105" t="s">
        <v>38</v>
      </c>
      <c r="F1105">
        <v>4</v>
      </c>
    </row>
    <row r="1106" spans="1:7" x14ac:dyDescent="0.25">
      <c r="A1106">
        <v>1476</v>
      </c>
      <c r="B1106" t="s">
        <v>970</v>
      </c>
      <c r="C1106" t="s">
        <v>1354</v>
      </c>
      <c r="D1106" t="s">
        <v>13</v>
      </c>
      <c r="E1106" t="s">
        <v>149</v>
      </c>
      <c r="F1106">
        <v>3.5</v>
      </c>
    </row>
    <row r="1107" spans="1:7" x14ac:dyDescent="0.25">
      <c r="A1107">
        <v>1475</v>
      </c>
      <c r="B1107" t="s">
        <v>800</v>
      </c>
      <c r="C1107" t="s">
        <v>1355</v>
      </c>
      <c r="D1107" t="s">
        <v>9</v>
      </c>
      <c r="E1107" t="s">
        <v>38</v>
      </c>
      <c r="F1107">
        <v>3.25</v>
      </c>
    </row>
    <row r="1108" spans="1:7" x14ac:dyDescent="0.25">
      <c r="A1108">
        <v>1474</v>
      </c>
      <c r="B1108" t="s">
        <v>897</v>
      </c>
      <c r="C1108" t="s">
        <v>1356</v>
      </c>
      <c r="D1108" t="s">
        <v>13</v>
      </c>
      <c r="E1108" t="s">
        <v>38</v>
      </c>
      <c r="F1108">
        <v>4</v>
      </c>
    </row>
    <row r="1109" spans="1:7" x14ac:dyDescent="0.25">
      <c r="A1109">
        <v>1473</v>
      </c>
      <c r="B1109" t="s">
        <v>897</v>
      </c>
      <c r="C1109" t="s">
        <v>1357</v>
      </c>
      <c r="D1109" t="s">
        <v>9</v>
      </c>
      <c r="E1109" t="s">
        <v>38</v>
      </c>
      <c r="F1109">
        <v>5</v>
      </c>
    </row>
    <row r="1110" spans="1:7" x14ac:dyDescent="0.25">
      <c r="A1110">
        <v>1472</v>
      </c>
      <c r="B1110" t="s">
        <v>1148</v>
      </c>
      <c r="C1110" t="s">
        <v>1358</v>
      </c>
      <c r="D1110" t="s">
        <v>13</v>
      </c>
      <c r="E1110" t="s">
        <v>38</v>
      </c>
      <c r="F1110">
        <v>3.75</v>
      </c>
    </row>
    <row r="1111" spans="1:7" x14ac:dyDescent="0.25">
      <c r="A1111">
        <v>1471</v>
      </c>
      <c r="B1111" t="s">
        <v>897</v>
      </c>
      <c r="C1111" t="s">
        <v>1359</v>
      </c>
      <c r="D1111" t="s">
        <v>13</v>
      </c>
      <c r="E1111" t="s">
        <v>38</v>
      </c>
      <c r="F1111">
        <v>5</v>
      </c>
      <c r="G1111" t="s">
        <v>1360</v>
      </c>
    </row>
    <row r="1112" spans="1:7" x14ac:dyDescent="0.25">
      <c r="A1112">
        <v>1470</v>
      </c>
      <c r="B1112" t="s">
        <v>897</v>
      </c>
      <c r="C1112" t="s">
        <v>1361</v>
      </c>
      <c r="D1112" t="s">
        <v>9</v>
      </c>
      <c r="E1112" t="s">
        <v>38</v>
      </c>
      <c r="F1112">
        <v>3.5</v>
      </c>
    </row>
    <row r="1113" spans="1:7" x14ac:dyDescent="0.25">
      <c r="A1113">
        <v>1469</v>
      </c>
      <c r="B1113" t="s">
        <v>800</v>
      </c>
      <c r="C1113" t="s">
        <v>1362</v>
      </c>
      <c r="D1113" t="s">
        <v>13</v>
      </c>
      <c r="E1113" t="s">
        <v>149</v>
      </c>
      <c r="F1113">
        <v>3.25</v>
      </c>
    </row>
    <row r="1114" spans="1:7" x14ac:dyDescent="0.25">
      <c r="A1114">
        <v>1468</v>
      </c>
      <c r="B1114" t="s">
        <v>897</v>
      </c>
      <c r="C1114" t="s">
        <v>1363</v>
      </c>
      <c r="D1114" t="s">
        <v>9</v>
      </c>
      <c r="E1114" t="s">
        <v>38</v>
      </c>
      <c r="F1114">
        <v>5</v>
      </c>
    </row>
    <row r="1115" spans="1:7" x14ac:dyDescent="0.25">
      <c r="A1115">
        <v>1467</v>
      </c>
      <c r="B1115" t="s">
        <v>1148</v>
      </c>
      <c r="C1115" t="s">
        <v>1364</v>
      </c>
      <c r="D1115" t="s">
        <v>13</v>
      </c>
      <c r="E1115" t="s">
        <v>38</v>
      </c>
      <c r="F1115">
        <v>4.5</v>
      </c>
    </row>
    <row r="1116" spans="1:7" x14ac:dyDescent="0.25">
      <c r="A1116">
        <v>1466</v>
      </c>
      <c r="B1116" t="s">
        <v>897</v>
      </c>
      <c r="C1116" t="s">
        <v>1365</v>
      </c>
      <c r="D1116" t="s">
        <v>13</v>
      </c>
      <c r="E1116" t="s">
        <v>38</v>
      </c>
      <c r="F1116">
        <v>5</v>
      </c>
      <c r="G1116" t="s">
        <v>1366</v>
      </c>
    </row>
    <row r="1117" spans="1:7" x14ac:dyDescent="0.25">
      <c r="A1117">
        <v>1465</v>
      </c>
      <c r="B1117" t="s">
        <v>970</v>
      </c>
      <c r="C1117" t="s">
        <v>1367</v>
      </c>
      <c r="D1117" t="s">
        <v>13</v>
      </c>
      <c r="E1117" t="s">
        <v>149</v>
      </c>
      <c r="F1117">
        <v>3.5</v>
      </c>
    </row>
    <row r="1118" spans="1:7" x14ac:dyDescent="0.25">
      <c r="A1118">
        <v>1464</v>
      </c>
      <c r="B1118" t="s">
        <v>1279</v>
      </c>
      <c r="C1118" t="s">
        <v>1368</v>
      </c>
      <c r="D1118" t="s">
        <v>13</v>
      </c>
      <c r="E1118" t="s">
        <v>69</v>
      </c>
      <c r="F1118">
        <v>4.75</v>
      </c>
    </row>
    <row r="1119" spans="1:7" x14ac:dyDescent="0.25">
      <c r="A1119">
        <v>1463</v>
      </c>
      <c r="B1119" t="s">
        <v>102</v>
      </c>
      <c r="C1119" t="s">
        <v>1369</v>
      </c>
      <c r="D1119" t="s">
        <v>9</v>
      </c>
      <c r="E1119" t="s">
        <v>17</v>
      </c>
      <c r="F1119">
        <v>3.5</v>
      </c>
    </row>
    <row r="1120" spans="1:7" x14ac:dyDescent="0.25">
      <c r="A1120">
        <v>1462</v>
      </c>
      <c r="B1120" t="s">
        <v>18</v>
      </c>
      <c r="C1120" t="s">
        <v>1370</v>
      </c>
      <c r="D1120" t="s">
        <v>44</v>
      </c>
      <c r="E1120" t="s">
        <v>14</v>
      </c>
      <c r="F1120">
        <v>2.25</v>
      </c>
    </row>
    <row r="1121" spans="1:6" x14ac:dyDescent="0.25">
      <c r="A1121">
        <v>1461</v>
      </c>
      <c r="B1121" t="s">
        <v>15</v>
      </c>
      <c r="C1121" t="s">
        <v>462</v>
      </c>
      <c r="D1121" t="s">
        <v>9</v>
      </c>
      <c r="E1121" t="s">
        <v>35</v>
      </c>
      <c r="F1121">
        <v>4</v>
      </c>
    </row>
    <row r="1122" spans="1:6" x14ac:dyDescent="0.25">
      <c r="A1122">
        <v>1460</v>
      </c>
      <c r="B1122" t="s">
        <v>15</v>
      </c>
      <c r="C1122" t="s">
        <v>1371</v>
      </c>
      <c r="D1122" t="s">
        <v>13</v>
      </c>
      <c r="E1122" t="s">
        <v>35</v>
      </c>
      <c r="F1122">
        <v>3.75</v>
      </c>
    </row>
    <row r="1123" spans="1:6" x14ac:dyDescent="0.25">
      <c r="A1123">
        <v>1459</v>
      </c>
      <c r="B1123" t="s">
        <v>15</v>
      </c>
      <c r="C1123" t="s">
        <v>1372</v>
      </c>
      <c r="D1123" t="s">
        <v>9</v>
      </c>
      <c r="E1123" t="s">
        <v>35</v>
      </c>
      <c r="F1123">
        <v>4</v>
      </c>
    </row>
    <row r="1124" spans="1:6" x14ac:dyDescent="0.25">
      <c r="A1124">
        <v>1458</v>
      </c>
      <c r="B1124" t="s">
        <v>15</v>
      </c>
      <c r="C1124" t="s">
        <v>1373</v>
      </c>
      <c r="D1124" t="s">
        <v>44</v>
      </c>
      <c r="E1124" t="s">
        <v>35</v>
      </c>
      <c r="F1124">
        <v>3.75</v>
      </c>
    </row>
    <row r="1125" spans="1:6" x14ac:dyDescent="0.25">
      <c r="A1125">
        <v>1457</v>
      </c>
      <c r="B1125" t="s">
        <v>15</v>
      </c>
      <c r="C1125" t="s">
        <v>1374</v>
      </c>
      <c r="D1125" t="s">
        <v>13</v>
      </c>
      <c r="E1125" t="s">
        <v>35</v>
      </c>
      <c r="F1125">
        <v>3.75</v>
      </c>
    </row>
    <row r="1126" spans="1:6" x14ac:dyDescent="0.25">
      <c r="A1126">
        <v>1456</v>
      </c>
      <c r="B1126" t="s">
        <v>15</v>
      </c>
      <c r="C1126" t="s">
        <v>1375</v>
      </c>
      <c r="D1126" t="s">
        <v>9</v>
      </c>
      <c r="E1126" t="s">
        <v>35</v>
      </c>
      <c r="F1126">
        <v>3.5</v>
      </c>
    </row>
    <row r="1127" spans="1:6" x14ac:dyDescent="0.25">
      <c r="A1127">
        <v>1455</v>
      </c>
      <c r="B1127" t="s">
        <v>15</v>
      </c>
      <c r="C1127" t="s">
        <v>1376</v>
      </c>
      <c r="D1127" t="s">
        <v>13</v>
      </c>
      <c r="E1127" t="s">
        <v>35</v>
      </c>
      <c r="F1127">
        <v>3.75</v>
      </c>
    </row>
    <row r="1128" spans="1:6" x14ac:dyDescent="0.25">
      <c r="A1128">
        <v>1454</v>
      </c>
      <c r="B1128" t="s">
        <v>15</v>
      </c>
      <c r="C1128" t="s">
        <v>614</v>
      </c>
      <c r="D1128" t="s">
        <v>9</v>
      </c>
      <c r="E1128" t="s">
        <v>35</v>
      </c>
      <c r="F1128">
        <v>4</v>
      </c>
    </row>
    <row r="1129" spans="1:6" x14ac:dyDescent="0.25">
      <c r="A1129">
        <v>1453</v>
      </c>
      <c r="B1129" t="s">
        <v>15</v>
      </c>
      <c r="C1129" t="s">
        <v>1377</v>
      </c>
      <c r="D1129" t="s">
        <v>13</v>
      </c>
      <c r="E1129" t="s">
        <v>35</v>
      </c>
      <c r="F1129">
        <v>5</v>
      </c>
    </row>
    <row r="1130" spans="1:6" x14ac:dyDescent="0.25">
      <c r="A1130">
        <v>1452</v>
      </c>
      <c r="B1130" t="s">
        <v>15</v>
      </c>
      <c r="C1130" t="s">
        <v>1371</v>
      </c>
      <c r="D1130" t="s">
        <v>44</v>
      </c>
      <c r="E1130" t="s">
        <v>35</v>
      </c>
      <c r="F1130">
        <v>3.75</v>
      </c>
    </row>
    <row r="1131" spans="1:6" x14ac:dyDescent="0.25">
      <c r="A1131">
        <v>1451</v>
      </c>
      <c r="B1131" t="s">
        <v>15</v>
      </c>
      <c r="C1131" t="s">
        <v>274</v>
      </c>
      <c r="D1131" t="s">
        <v>9</v>
      </c>
      <c r="E1131" t="s">
        <v>35</v>
      </c>
      <c r="F1131">
        <v>4</v>
      </c>
    </row>
    <row r="1132" spans="1:6" x14ac:dyDescent="0.25">
      <c r="A1132">
        <v>1450</v>
      </c>
      <c r="B1132" t="s">
        <v>15</v>
      </c>
      <c r="C1132" t="s">
        <v>1378</v>
      </c>
      <c r="D1132" t="s">
        <v>13</v>
      </c>
      <c r="E1132" t="s">
        <v>35</v>
      </c>
      <c r="F1132">
        <v>5</v>
      </c>
    </row>
    <row r="1133" spans="1:6" x14ac:dyDescent="0.25">
      <c r="A1133">
        <v>1449</v>
      </c>
      <c r="B1133" t="s">
        <v>15</v>
      </c>
      <c r="C1133" t="s">
        <v>1379</v>
      </c>
      <c r="D1133" t="s">
        <v>9</v>
      </c>
      <c r="E1133" t="s">
        <v>35</v>
      </c>
      <c r="F1133">
        <v>4</v>
      </c>
    </row>
    <row r="1134" spans="1:6" x14ac:dyDescent="0.25">
      <c r="A1134">
        <v>1448</v>
      </c>
      <c r="B1134" t="s">
        <v>15</v>
      </c>
      <c r="C1134" t="s">
        <v>1373</v>
      </c>
      <c r="D1134" t="s">
        <v>13</v>
      </c>
      <c r="E1134" t="s">
        <v>35</v>
      </c>
      <c r="F1134">
        <v>4.25</v>
      </c>
    </row>
    <row r="1135" spans="1:6" x14ac:dyDescent="0.25">
      <c r="A1135">
        <v>1447</v>
      </c>
      <c r="B1135" t="s">
        <v>15</v>
      </c>
      <c r="C1135" t="s">
        <v>1380</v>
      </c>
      <c r="D1135" t="s">
        <v>9</v>
      </c>
      <c r="E1135" t="s">
        <v>35</v>
      </c>
      <c r="F1135">
        <v>4</v>
      </c>
    </row>
    <row r="1136" spans="1:6" x14ac:dyDescent="0.25">
      <c r="A1136">
        <v>1446</v>
      </c>
      <c r="B1136" t="s">
        <v>183</v>
      </c>
      <c r="C1136" t="s">
        <v>1381</v>
      </c>
      <c r="D1136" t="s">
        <v>30</v>
      </c>
      <c r="E1136" t="s">
        <v>10</v>
      </c>
      <c r="F1136">
        <v>4.5</v>
      </c>
    </row>
    <row r="1137" spans="1:6" x14ac:dyDescent="0.25">
      <c r="A1137">
        <v>1445</v>
      </c>
      <c r="B1137" t="s">
        <v>67</v>
      </c>
      <c r="C1137" t="s">
        <v>1382</v>
      </c>
      <c r="D1137" t="s">
        <v>13</v>
      </c>
      <c r="E1137" t="s">
        <v>69</v>
      </c>
      <c r="F1137">
        <v>5</v>
      </c>
    </row>
    <row r="1138" spans="1:6" x14ac:dyDescent="0.25">
      <c r="A1138">
        <v>1444</v>
      </c>
      <c r="B1138" t="s">
        <v>102</v>
      </c>
      <c r="C1138" t="s">
        <v>1383</v>
      </c>
      <c r="D1138" t="s">
        <v>9</v>
      </c>
      <c r="E1138" t="s">
        <v>17</v>
      </c>
      <c r="F1138">
        <v>3.5</v>
      </c>
    </row>
    <row r="1139" spans="1:6" x14ac:dyDescent="0.25">
      <c r="A1139">
        <v>1443</v>
      </c>
      <c r="B1139" t="s">
        <v>41</v>
      </c>
      <c r="C1139" t="s">
        <v>1384</v>
      </c>
      <c r="D1139" t="s">
        <v>13</v>
      </c>
      <c r="E1139" t="s">
        <v>17</v>
      </c>
      <c r="F1139">
        <v>4.25</v>
      </c>
    </row>
    <row r="1140" spans="1:6" x14ac:dyDescent="0.25">
      <c r="A1140">
        <v>1442</v>
      </c>
      <c r="B1140" t="s">
        <v>132</v>
      </c>
      <c r="C1140" t="s">
        <v>1385</v>
      </c>
      <c r="D1140" t="s">
        <v>13</v>
      </c>
      <c r="E1140" t="s">
        <v>35</v>
      </c>
      <c r="F1140">
        <v>3.5</v>
      </c>
    </row>
    <row r="1141" spans="1:6" x14ac:dyDescent="0.25">
      <c r="A1141">
        <v>1441</v>
      </c>
      <c r="B1141" t="s">
        <v>15</v>
      </c>
      <c r="C1141" t="s">
        <v>1386</v>
      </c>
      <c r="D1141" t="s">
        <v>44</v>
      </c>
      <c r="E1141" t="s">
        <v>17</v>
      </c>
      <c r="F1141">
        <v>3.5</v>
      </c>
    </row>
    <row r="1142" spans="1:6" x14ac:dyDescent="0.25">
      <c r="A1142">
        <v>1440</v>
      </c>
      <c r="B1142" t="s">
        <v>1049</v>
      </c>
      <c r="C1142" t="s">
        <v>1387</v>
      </c>
      <c r="D1142" t="s">
        <v>13</v>
      </c>
      <c r="E1142" t="s">
        <v>14</v>
      </c>
      <c r="F1142">
        <v>3</v>
      </c>
    </row>
    <row r="1143" spans="1:6" x14ac:dyDescent="0.25">
      <c r="A1143">
        <v>1439</v>
      </c>
      <c r="B1143" t="s">
        <v>1388</v>
      </c>
      <c r="C1143" t="s">
        <v>1389</v>
      </c>
      <c r="D1143" t="s">
        <v>13</v>
      </c>
      <c r="E1143" t="s">
        <v>69</v>
      </c>
      <c r="F1143">
        <v>3.5</v>
      </c>
    </row>
    <row r="1144" spans="1:6" x14ac:dyDescent="0.25">
      <c r="A1144">
        <v>1438</v>
      </c>
      <c r="B1144" t="s">
        <v>102</v>
      </c>
      <c r="C1144" t="s">
        <v>1390</v>
      </c>
      <c r="D1144" t="s">
        <v>13</v>
      </c>
      <c r="E1144" t="s">
        <v>10</v>
      </c>
      <c r="F1144">
        <v>3.5</v>
      </c>
    </row>
    <row r="1145" spans="1:6" x14ac:dyDescent="0.25">
      <c r="A1145">
        <v>1437</v>
      </c>
      <c r="B1145" t="s">
        <v>343</v>
      </c>
      <c r="C1145" t="s">
        <v>1391</v>
      </c>
      <c r="D1145" t="s">
        <v>13</v>
      </c>
      <c r="E1145" t="s">
        <v>46</v>
      </c>
      <c r="F1145">
        <v>3</v>
      </c>
    </row>
    <row r="1146" spans="1:6" x14ac:dyDescent="0.25">
      <c r="A1146">
        <v>1436</v>
      </c>
      <c r="B1146" t="s">
        <v>1134</v>
      </c>
      <c r="C1146" t="s">
        <v>1392</v>
      </c>
      <c r="D1146" t="s">
        <v>9</v>
      </c>
      <c r="E1146" t="s">
        <v>79</v>
      </c>
      <c r="F1146">
        <v>3.5</v>
      </c>
    </row>
    <row r="1147" spans="1:6" x14ac:dyDescent="0.25">
      <c r="A1147">
        <v>1435</v>
      </c>
      <c r="B1147" t="s">
        <v>132</v>
      </c>
      <c r="C1147" t="s">
        <v>1393</v>
      </c>
      <c r="D1147" t="s">
        <v>13</v>
      </c>
      <c r="E1147" t="s">
        <v>35</v>
      </c>
      <c r="F1147">
        <v>4</v>
      </c>
    </row>
    <row r="1148" spans="1:6" x14ac:dyDescent="0.25">
      <c r="A1148">
        <v>1434</v>
      </c>
      <c r="B1148" t="s">
        <v>132</v>
      </c>
      <c r="C1148" t="s">
        <v>1394</v>
      </c>
      <c r="D1148" t="s">
        <v>9</v>
      </c>
      <c r="E1148" t="s">
        <v>69</v>
      </c>
      <c r="F1148">
        <v>3.5</v>
      </c>
    </row>
    <row r="1149" spans="1:6" x14ac:dyDescent="0.25">
      <c r="A1149">
        <v>1433</v>
      </c>
      <c r="B1149" t="s">
        <v>132</v>
      </c>
      <c r="C1149" t="s">
        <v>292</v>
      </c>
      <c r="D1149" t="s">
        <v>13</v>
      </c>
      <c r="E1149" t="s">
        <v>35</v>
      </c>
      <c r="F1149">
        <v>3.75</v>
      </c>
    </row>
    <row r="1150" spans="1:6" x14ac:dyDescent="0.25">
      <c r="A1150">
        <v>1432</v>
      </c>
      <c r="B1150" t="s">
        <v>132</v>
      </c>
      <c r="C1150" t="s">
        <v>1395</v>
      </c>
      <c r="D1150" t="s">
        <v>13</v>
      </c>
      <c r="E1150" t="s">
        <v>35</v>
      </c>
      <c r="F1150">
        <v>5</v>
      </c>
    </row>
    <row r="1151" spans="1:6" x14ac:dyDescent="0.25">
      <c r="A1151">
        <v>1431</v>
      </c>
      <c r="B1151" t="s">
        <v>132</v>
      </c>
      <c r="C1151" t="s">
        <v>1396</v>
      </c>
      <c r="D1151" t="s">
        <v>13</v>
      </c>
      <c r="E1151" t="s">
        <v>35</v>
      </c>
      <c r="F1151">
        <v>5</v>
      </c>
    </row>
    <row r="1152" spans="1:6" x14ac:dyDescent="0.25">
      <c r="A1152">
        <v>1430</v>
      </c>
      <c r="B1152" t="s">
        <v>23</v>
      </c>
      <c r="C1152" t="s">
        <v>1397</v>
      </c>
      <c r="D1152" t="s">
        <v>44</v>
      </c>
      <c r="E1152" t="s">
        <v>25</v>
      </c>
      <c r="F1152">
        <v>4</v>
      </c>
    </row>
    <row r="1153" spans="1:6" x14ac:dyDescent="0.25">
      <c r="A1153">
        <v>1429</v>
      </c>
      <c r="B1153" t="s">
        <v>15</v>
      </c>
      <c r="C1153" t="s">
        <v>1398</v>
      </c>
      <c r="D1153" t="s">
        <v>13</v>
      </c>
      <c r="E1153" t="s">
        <v>1399</v>
      </c>
      <c r="F1153">
        <v>3.5</v>
      </c>
    </row>
    <row r="1154" spans="1:6" x14ac:dyDescent="0.25">
      <c r="A1154">
        <v>1428</v>
      </c>
      <c r="B1154" t="s">
        <v>183</v>
      </c>
      <c r="C1154" t="s">
        <v>1400</v>
      </c>
      <c r="D1154" t="s">
        <v>13</v>
      </c>
      <c r="E1154" t="s">
        <v>10</v>
      </c>
      <c r="F1154">
        <v>3</v>
      </c>
    </row>
    <row r="1155" spans="1:6" x14ac:dyDescent="0.25">
      <c r="A1155">
        <v>1427</v>
      </c>
      <c r="B1155" t="s">
        <v>1401</v>
      </c>
      <c r="C1155" t="s">
        <v>1313</v>
      </c>
      <c r="D1155" t="s">
        <v>44</v>
      </c>
      <c r="E1155" t="s">
        <v>17</v>
      </c>
      <c r="F1155">
        <v>3.75</v>
      </c>
    </row>
    <row r="1156" spans="1:6" x14ac:dyDescent="0.25">
      <c r="A1156">
        <v>1426</v>
      </c>
      <c r="B1156" t="s">
        <v>74</v>
      </c>
      <c r="C1156" t="s">
        <v>1402</v>
      </c>
      <c r="D1156" t="s">
        <v>44</v>
      </c>
      <c r="E1156" t="s">
        <v>25</v>
      </c>
      <c r="F1156">
        <v>4</v>
      </c>
    </row>
    <row r="1157" spans="1:6" x14ac:dyDescent="0.25">
      <c r="A1157">
        <v>1425</v>
      </c>
      <c r="B1157" t="s">
        <v>955</v>
      </c>
      <c r="C1157" t="s">
        <v>1403</v>
      </c>
      <c r="D1157" t="s">
        <v>13</v>
      </c>
      <c r="E1157" t="s">
        <v>69</v>
      </c>
      <c r="F1157">
        <v>4.5</v>
      </c>
    </row>
    <row r="1158" spans="1:6" x14ac:dyDescent="0.25">
      <c r="A1158">
        <v>1424</v>
      </c>
      <c r="B1158" t="s">
        <v>1404</v>
      </c>
      <c r="C1158" t="s">
        <v>85</v>
      </c>
      <c r="D1158" t="s">
        <v>13</v>
      </c>
      <c r="E1158" t="s">
        <v>516</v>
      </c>
      <c r="F1158">
        <v>1.5</v>
      </c>
    </row>
    <row r="1159" spans="1:6" x14ac:dyDescent="0.25">
      <c r="A1159">
        <v>1423</v>
      </c>
      <c r="B1159" t="s">
        <v>1055</v>
      </c>
      <c r="C1159" t="s">
        <v>1405</v>
      </c>
      <c r="D1159" t="s">
        <v>13</v>
      </c>
      <c r="E1159" t="s">
        <v>53</v>
      </c>
      <c r="F1159">
        <v>3</v>
      </c>
    </row>
    <row r="1160" spans="1:6" x14ac:dyDescent="0.25">
      <c r="A1160">
        <v>1422</v>
      </c>
      <c r="B1160" t="s">
        <v>15</v>
      </c>
      <c r="C1160" t="s">
        <v>1406</v>
      </c>
      <c r="D1160" t="s">
        <v>30</v>
      </c>
      <c r="E1160" t="s">
        <v>17</v>
      </c>
      <c r="F1160">
        <v>3</v>
      </c>
    </row>
    <row r="1161" spans="1:6" x14ac:dyDescent="0.25">
      <c r="A1161">
        <v>1421</v>
      </c>
      <c r="B1161" t="s">
        <v>41</v>
      </c>
      <c r="C1161" t="s">
        <v>1407</v>
      </c>
      <c r="D1161" t="s">
        <v>9</v>
      </c>
      <c r="E1161" t="s">
        <v>79</v>
      </c>
      <c r="F1161">
        <v>2.75</v>
      </c>
    </row>
    <row r="1162" spans="1:6" x14ac:dyDescent="0.25">
      <c r="A1162">
        <v>1420</v>
      </c>
      <c r="B1162" t="s">
        <v>102</v>
      </c>
      <c r="C1162" t="s">
        <v>1408</v>
      </c>
      <c r="D1162" t="s">
        <v>13</v>
      </c>
      <c r="E1162" t="s">
        <v>10</v>
      </c>
      <c r="F1162">
        <v>3.75</v>
      </c>
    </row>
    <row r="1163" spans="1:6" x14ac:dyDescent="0.25">
      <c r="A1163">
        <v>1419</v>
      </c>
      <c r="B1163" t="s">
        <v>331</v>
      </c>
      <c r="C1163" t="s">
        <v>1409</v>
      </c>
      <c r="D1163" t="s">
        <v>9</v>
      </c>
      <c r="E1163" t="s">
        <v>53</v>
      </c>
      <c r="F1163">
        <v>3.5</v>
      </c>
    </row>
    <row r="1164" spans="1:6" x14ac:dyDescent="0.25">
      <c r="A1164">
        <v>1418</v>
      </c>
      <c r="B1164" t="s">
        <v>74</v>
      </c>
      <c r="C1164" t="s">
        <v>1410</v>
      </c>
      <c r="D1164" t="s">
        <v>13</v>
      </c>
      <c r="E1164" t="s">
        <v>25</v>
      </c>
      <c r="F1164">
        <v>1</v>
      </c>
    </row>
    <row r="1165" spans="1:6" x14ac:dyDescent="0.25">
      <c r="A1165">
        <v>1417</v>
      </c>
      <c r="B1165" t="s">
        <v>188</v>
      </c>
      <c r="C1165" t="s">
        <v>1411</v>
      </c>
      <c r="D1165" t="s">
        <v>13</v>
      </c>
      <c r="E1165" t="s">
        <v>14</v>
      </c>
      <c r="F1165">
        <v>1.75</v>
      </c>
    </row>
    <row r="1166" spans="1:6" x14ac:dyDescent="0.25">
      <c r="A1166">
        <v>1416</v>
      </c>
      <c r="B1166" t="s">
        <v>183</v>
      </c>
      <c r="C1166" t="s">
        <v>1412</v>
      </c>
      <c r="D1166" t="s">
        <v>13</v>
      </c>
      <c r="E1166" t="s">
        <v>10</v>
      </c>
      <c r="F1166">
        <v>2</v>
      </c>
    </row>
    <row r="1167" spans="1:6" x14ac:dyDescent="0.25">
      <c r="A1167">
        <v>1415</v>
      </c>
      <c r="B1167" t="s">
        <v>1317</v>
      </c>
      <c r="C1167" t="s">
        <v>1413</v>
      </c>
      <c r="D1167" t="s">
        <v>13</v>
      </c>
      <c r="E1167" t="s">
        <v>46</v>
      </c>
      <c r="F1167">
        <v>0.5</v>
      </c>
    </row>
    <row r="1168" spans="1:6" x14ac:dyDescent="0.25">
      <c r="A1168">
        <v>1414</v>
      </c>
      <c r="B1168" t="s">
        <v>54</v>
      </c>
      <c r="C1168" t="s">
        <v>1414</v>
      </c>
      <c r="D1168" t="s">
        <v>13</v>
      </c>
      <c r="E1168" t="s">
        <v>25</v>
      </c>
      <c r="F1168">
        <v>5</v>
      </c>
    </row>
    <row r="1169" spans="1:6" x14ac:dyDescent="0.25">
      <c r="A1169">
        <v>1413</v>
      </c>
      <c r="B1169" t="s">
        <v>1000</v>
      </c>
      <c r="C1169" t="s">
        <v>1415</v>
      </c>
      <c r="D1169" t="s">
        <v>13</v>
      </c>
      <c r="E1169" t="s">
        <v>14</v>
      </c>
      <c r="F1169">
        <v>5</v>
      </c>
    </row>
    <row r="1170" spans="1:6" x14ac:dyDescent="0.25">
      <c r="A1170">
        <v>1412</v>
      </c>
      <c r="B1170" t="s">
        <v>1317</v>
      </c>
      <c r="C1170" t="s">
        <v>1416</v>
      </c>
      <c r="D1170" t="s">
        <v>13</v>
      </c>
      <c r="E1170" t="s">
        <v>46</v>
      </c>
      <c r="F1170">
        <v>4</v>
      </c>
    </row>
    <row r="1171" spans="1:6" x14ac:dyDescent="0.25">
      <c r="A1171">
        <v>1411</v>
      </c>
      <c r="B1171" t="s">
        <v>496</v>
      </c>
      <c r="C1171" t="s">
        <v>1417</v>
      </c>
      <c r="D1171" t="s">
        <v>13</v>
      </c>
      <c r="E1171" t="s">
        <v>14</v>
      </c>
      <c r="F1171">
        <v>4</v>
      </c>
    </row>
    <row r="1172" spans="1:6" x14ac:dyDescent="0.25">
      <c r="A1172">
        <v>1410</v>
      </c>
      <c r="B1172" t="s">
        <v>1388</v>
      </c>
      <c r="C1172" t="s">
        <v>1418</v>
      </c>
      <c r="D1172" t="s">
        <v>13</v>
      </c>
      <c r="E1172" t="s">
        <v>69</v>
      </c>
      <c r="F1172">
        <v>3.25</v>
      </c>
    </row>
    <row r="1173" spans="1:6" x14ac:dyDescent="0.25">
      <c r="A1173">
        <v>1409</v>
      </c>
      <c r="B1173" t="s">
        <v>1059</v>
      </c>
      <c r="C1173" t="s">
        <v>1419</v>
      </c>
      <c r="D1173" t="s">
        <v>13</v>
      </c>
      <c r="E1173" t="s">
        <v>79</v>
      </c>
      <c r="F1173">
        <v>3.5</v>
      </c>
    </row>
    <row r="1174" spans="1:6" x14ac:dyDescent="0.25">
      <c r="A1174">
        <v>1408</v>
      </c>
      <c r="B1174" t="s">
        <v>1420</v>
      </c>
      <c r="C1174" t="s">
        <v>1421</v>
      </c>
      <c r="D1174" t="s">
        <v>9</v>
      </c>
      <c r="E1174" t="s">
        <v>1159</v>
      </c>
      <c r="F1174">
        <v>3.5</v>
      </c>
    </row>
    <row r="1175" spans="1:6" x14ac:dyDescent="0.25">
      <c r="A1175">
        <v>1407</v>
      </c>
      <c r="B1175" t="s">
        <v>1422</v>
      </c>
      <c r="C1175" t="s">
        <v>1423</v>
      </c>
      <c r="D1175" t="s">
        <v>13</v>
      </c>
      <c r="E1175" t="s">
        <v>17</v>
      </c>
      <c r="F1175">
        <v>5</v>
      </c>
    </row>
    <row r="1176" spans="1:6" x14ac:dyDescent="0.25">
      <c r="A1176">
        <v>1406</v>
      </c>
      <c r="B1176" t="s">
        <v>1424</v>
      </c>
      <c r="C1176" t="s">
        <v>1425</v>
      </c>
      <c r="D1176" t="s">
        <v>13</v>
      </c>
      <c r="E1176" t="s">
        <v>73</v>
      </c>
      <c r="F1176">
        <v>3.75</v>
      </c>
    </row>
    <row r="1177" spans="1:6" x14ac:dyDescent="0.25">
      <c r="A1177">
        <v>1405</v>
      </c>
      <c r="B1177" t="s">
        <v>132</v>
      </c>
      <c r="C1177" t="s">
        <v>1426</v>
      </c>
      <c r="D1177" t="s">
        <v>13</v>
      </c>
      <c r="E1177" t="s">
        <v>22</v>
      </c>
      <c r="F1177">
        <v>3.75</v>
      </c>
    </row>
    <row r="1178" spans="1:6" x14ac:dyDescent="0.25">
      <c r="A1178">
        <v>1404</v>
      </c>
      <c r="B1178" t="s">
        <v>1427</v>
      </c>
      <c r="C1178" t="s">
        <v>1428</v>
      </c>
      <c r="D1178" t="s">
        <v>9</v>
      </c>
      <c r="E1178" t="s">
        <v>38</v>
      </c>
      <c r="F1178">
        <v>4</v>
      </c>
    </row>
    <row r="1179" spans="1:6" x14ac:dyDescent="0.25">
      <c r="A1179">
        <v>1403</v>
      </c>
      <c r="B1179" t="s">
        <v>1429</v>
      </c>
      <c r="C1179" t="s">
        <v>1430</v>
      </c>
      <c r="D1179" t="s">
        <v>9</v>
      </c>
      <c r="E1179" t="s">
        <v>516</v>
      </c>
      <c r="F1179">
        <v>0.5</v>
      </c>
    </row>
    <row r="1180" spans="1:6" x14ac:dyDescent="0.25">
      <c r="A1180">
        <v>1402</v>
      </c>
      <c r="B1180" t="s">
        <v>1431</v>
      </c>
      <c r="C1180" t="s">
        <v>1432</v>
      </c>
      <c r="D1180" t="s">
        <v>13</v>
      </c>
      <c r="E1180" t="s">
        <v>73</v>
      </c>
      <c r="F1180">
        <v>3.75</v>
      </c>
    </row>
    <row r="1181" spans="1:6" x14ac:dyDescent="0.25">
      <c r="A1181">
        <v>1401</v>
      </c>
      <c r="B1181" t="s">
        <v>183</v>
      </c>
      <c r="C1181" t="s">
        <v>1433</v>
      </c>
      <c r="D1181" t="s">
        <v>30</v>
      </c>
      <c r="E1181" t="s">
        <v>10</v>
      </c>
      <c r="F1181">
        <v>3.75</v>
      </c>
    </row>
    <row r="1182" spans="1:6" x14ac:dyDescent="0.25">
      <c r="A1182">
        <v>1400</v>
      </c>
      <c r="B1182" t="s">
        <v>298</v>
      </c>
      <c r="C1182" t="s">
        <v>1434</v>
      </c>
      <c r="D1182" t="s">
        <v>13</v>
      </c>
      <c r="E1182" t="s">
        <v>25</v>
      </c>
      <c r="F1182">
        <v>3.75</v>
      </c>
    </row>
    <row r="1183" spans="1:6" x14ac:dyDescent="0.25">
      <c r="A1183">
        <v>1399</v>
      </c>
      <c r="B1183" t="s">
        <v>1055</v>
      </c>
      <c r="C1183" t="s">
        <v>1435</v>
      </c>
      <c r="D1183" t="s">
        <v>44</v>
      </c>
      <c r="E1183" t="s">
        <v>53</v>
      </c>
      <c r="F1183">
        <v>3.75</v>
      </c>
    </row>
    <row r="1184" spans="1:6" x14ac:dyDescent="0.25">
      <c r="A1184">
        <v>1398</v>
      </c>
      <c r="B1184" t="s">
        <v>15</v>
      </c>
      <c r="C1184" t="s">
        <v>1436</v>
      </c>
      <c r="D1184" t="s">
        <v>13</v>
      </c>
      <c r="E1184" t="s">
        <v>35</v>
      </c>
      <c r="F1184">
        <v>3</v>
      </c>
    </row>
    <row r="1185" spans="1:6" x14ac:dyDescent="0.25">
      <c r="A1185">
        <v>1397</v>
      </c>
      <c r="B1185" t="s">
        <v>1049</v>
      </c>
      <c r="C1185" t="s">
        <v>1437</v>
      </c>
      <c r="D1185" t="s">
        <v>13</v>
      </c>
      <c r="E1185" t="s">
        <v>14</v>
      </c>
      <c r="F1185">
        <v>4</v>
      </c>
    </row>
    <row r="1186" spans="1:6" x14ac:dyDescent="0.25">
      <c r="A1186">
        <v>1396</v>
      </c>
      <c r="B1186" t="s">
        <v>1255</v>
      </c>
      <c r="C1186" t="s">
        <v>1438</v>
      </c>
      <c r="D1186" t="s">
        <v>13</v>
      </c>
      <c r="E1186" t="s">
        <v>10</v>
      </c>
      <c r="F1186">
        <v>4.75</v>
      </c>
    </row>
    <row r="1187" spans="1:6" x14ac:dyDescent="0.25">
      <c r="A1187">
        <v>1395</v>
      </c>
      <c r="B1187" t="s">
        <v>1439</v>
      </c>
      <c r="C1187" t="s">
        <v>1440</v>
      </c>
      <c r="D1187" t="s">
        <v>44</v>
      </c>
      <c r="E1187" t="s">
        <v>17</v>
      </c>
      <c r="F1187">
        <v>4.25</v>
      </c>
    </row>
    <row r="1188" spans="1:6" x14ac:dyDescent="0.25">
      <c r="A1188">
        <v>1394</v>
      </c>
      <c r="B1188" t="s">
        <v>54</v>
      </c>
      <c r="C1188" t="s">
        <v>1441</v>
      </c>
      <c r="D1188" t="s">
        <v>13</v>
      </c>
      <c r="E1188" t="s">
        <v>25</v>
      </c>
      <c r="F1188">
        <v>4.5</v>
      </c>
    </row>
    <row r="1189" spans="1:6" x14ac:dyDescent="0.25">
      <c r="A1189">
        <v>1393</v>
      </c>
      <c r="B1189" t="s">
        <v>1442</v>
      </c>
      <c r="C1189" t="s">
        <v>1443</v>
      </c>
      <c r="D1189" t="s">
        <v>13</v>
      </c>
      <c r="E1189" t="s">
        <v>69</v>
      </c>
      <c r="F1189">
        <v>4.25</v>
      </c>
    </row>
    <row r="1190" spans="1:6" x14ac:dyDescent="0.25">
      <c r="A1190">
        <v>1392</v>
      </c>
      <c r="B1190" t="s">
        <v>1444</v>
      </c>
      <c r="C1190" t="s">
        <v>1445</v>
      </c>
      <c r="D1190" t="s">
        <v>13</v>
      </c>
      <c r="E1190" t="s">
        <v>17</v>
      </c>
      <c r="F1190">
        <v>4</v>
      </c>
    </row>
    <row r="1191" spans="1:6" x14ac:dyDescent="0.25">
      <c r="A1191">
        <v>1391</v>
      </c>
      <c r="B1191" t="s">
        <v>1141</v>
      </c>
      <c r="C1191" t="s">
        <v>1446</v>
      </c>
      <c r="D1191" t="s">
        <v>13</v>
      </c>
      <c r="E1191" t="s">
        <v>345</v>
      </c>
      <c r="F1191">
        <v>3.5</v>
      </c>
    </row>
    <row r="1192" spans="1:6" x14ac:dyDescent="0.25">
      <c r="A1192">
        <v>1390</v>
      </c>
      <c r="B1192" t="s">
        <v>135</v>
      </c>
      <c r="C1192" t="s">
        <v>1447</v>
      </c>
      <c r="D1192" t="s">
        <v>13</v>
      </c>
      <c r="E1192" t="s">
        <v>73</v>
      </c>
      <c r="F1192">
        <v>4.75</v>
      </c>
    </row>
    <row r="1193" spans="1:6" x14ac:dyDescent="0.25">
      <c r="A1193">
        <v>1389</v>
      </c>
      <c r="B1193" t="s">
        <v>1448</v>
      </c>
      <c r="C1193" t="s">
        <v>1449</v>
      </c>
      <c r="D1193" t="s">
        <v>13</v>
      </c>
      <c r="E1193" t="s">
        <v>516</v>
      </c>
      <c r="F1193">
        <v>1.75</v>
      </c>
    </row>
    <row r="1194" spans="1:6" x14ac:dyDescent="0.25">
      <c r="A1194">
        <v>1388</v>
      </c>
      <c r="B1194" t="s">
        <v>54</v>
      </c>
      <c r="C1194" t="s">
        <v>1450</v>
      </c>
      <c r="D1194" t="s">
        <v>13</v>
      </c>
      <c r="E1194" t="s">
        <v>25</v>
      </c>
      <c r="F1194">
        <v>3.75</v>
      </c>
    </row>
    <row r="1195" spans="1:6" x14ac:dyDescent="0.25">
      <c r="A1195">
        <v>1387</v>
      </c>
      <c r="B1195" t="s">
        <v>1451</v>
      </c>
      <c r="C1195" t="s">
        <v>1452</v>
      </c>
      <c r="D1195" t="s">
        <v>13</v>
      </c>
      <c r="E1195" t="s">
        <v>10</v>
      </c>
      <c r="F1195">
        <v>4</v>
      </c>
    </row>
    <row r="1196" spans="1:6" x14ac:dyDescent="0.25">
      <c r="A1196">
        <v>1386</v>
      </c>
      <c r="B1196" t="s">
        <v>1451</v>
      </c>
      <c r="C1196" t="s">
        <v>1453</v>
      </c>
      <c r="D1196" t="s">
        <v>13</v>
      </c>
      <c r="E1196" t="s">
        <v>10</v>
      </c>
      <c r="F1196">
        <v>4.5</v>
      </c>
    </row>
    <row r="1197" spans="1:6" x14ac:dyDescent="0.25">
      <c r="A1197">
        <v>1385</v>
      </c>
      <c r="B1197" t="s">
        <v>1451</v>
      </c>
      <c r="C1197" t="s">
        <v>1454</v>
      </c>
      <c r="D1197" t="s">
        <v>13</v>
      </c>
      <c r="E1197" t="s">
        <v>10</v>
      </c>
      <c r="F1197">
        <v>3.75</v>
      </c>
    </row>
    <row r="1198" spans="1:6" x14ac:dyDescent="0.25">
      <c r="A1198">
        <v>1384</v>
      </c>
      <c r="B1198" t="s">
        <v>1451</v>
      </c>
      <c r="C1198" t="s">
        <v>1455</v>
      </c>
      <c r="D1198" t="s">
        <v>13</v>
      </c>
      <c r="E1198" t="s">
        <v>10</v>
      </c>
      <c r="F1198">
        <v>3</v>
      </c>
    </row>
    <row r="1199" spans="1:6" x14ac:dyDescent="0.25">
      <c r="A1199">
        <v>1383</v>
      </c>
      <c r="B1199" t="s">
        <v>1451</v>
      </c>
      <c r="C1199" t="s">
        <v>1456</v>
      </c>
      <c r="D1199" t="s">
        <v>13</v>
      </c>
      <c r="E1199" t="s">
        <v>10</v>
      </c>
      <c r="F1199">
        <v>4.75</v>
      </c>
    </row>
    <row r="1200" spans="1:6" x14ac:dyDescent="0.25">
      <c r="A1200">
        <v>1382</v>
      </c>
      <c r="B1200" t="s">
        <v>1451</v>
      </c>
      <c r="C1200" t="s">
        <v>1457</v>
      </c>
      <c r="D1200" t="s">
        <v>13</v>
      </c>
      <c r="E1200" t="s">
        <v>10</v>
      </c>
      <c r="F1200">
        <v>4.75</v>
      </c>
    </row>
    <row r="1201" spans="1:6" x14ac:dyDescent="0.25">
      <c r="A1201">
        <v>1381</v>
      </c>
      <c r="B1201" t="s">
        <v>1451</v>
      </c>
      <c r="C1201" t="s">
        <v>109</v>
      </c>
      <c r="D1201" t="s">
        <v>13</v>
      </c>
      <c r="E1201" t="s">
        <v>10</v>
      </c>
      <c r="F1201">
        <v>5</v>
      </c>
    </row>
    <row r="1202" spans="1:6" x14ac:dyDescent="0.25">
      <c r="A1202">
        <v>1380</v>
      </c>
      <c r="B1202" t="s">
        <v>1451</v>
      </c>
      <c r="C1202" t="s">
        <v>1458</v>
      </c>
      <c r="D1202" t="s">
        <v>13</v>
      </c>
      <c r="E1202" t="s">
        <v>10</v>
      </c>
      <c r="F1202">
        <v>3.75</v>
      </c>
    </row>
    <row r="1203" spans="1:6" x14ac:dyDescent="0.25">
      <c r="A1203">
        <v>1379</v>
      </c>
      <c r="B1203" t="s">
        <v>1451</v>
      </c>
      <c r="C1203" t="s">
        <v>1459</v>
      </c>
      <c r="D1203" t="s">
        <v>13</v>
      </c>
      <c r="E1203" t="s">
        <v>10</v>
      </c>
      <c r="F1203">
        <v>4</v>
      </c>
    </row>
    <row r="1204" spans="1:6" x14ac:dyDescent="0.25">
      <c r="A1204">
        <v>1378</v>
      </c>
      <c r="B1204" t="s">
        <v>1451</v>
      </c>
      <c r="C1204" t="s">
        <v>397</v>
      </c>
      <c r="D1204" t="s">
        <v>13</v>
      </c>
      <c r="E1204" t="s">
        <v>10</v>
      </c>
      <c r="F1204">
        <v>5</v>
      </c>
    </row>
    <row r="1205" spans="1:6" x14ac:dyDescent="0.25">
      <c r="A1205">
        <v>1377</v>
      </c>
      <c r="B1205" t="s">
        <v>1451</v>
      </c>
      <c r="C1205" t="s">
        <v>1460</v>
      </c>
      <c r="D1205" t="s">
        <v>13</v>
      </c>
      <c r="E1205" t="s">
        <v>10</v>
      </c>
      <c r="F1205">
        <v>4.25</v>
      </c>
    </row>
    <row r="1206" spans="1:6" x14ac:dyDescent="0.25">
      <c r="A1206">
        <v>1376</v>
      </c>
      <c r="B1206" t="s">
        <v>1451</v>
      </c>
      <c r="C1206" t="s">
        <v>1461</v>
      </c>
      <c r="D1206" t="s">
        <v>13</v>
      </c>
      <c r="E1206" t="s">
        <v>10</v>
      </c>
      <c r="F1206">
        <v>3.75</v>
      </c>
    </row>
    <row r="1207" spans="1:6" x14ac:dyDescent="0.25">
      <c r="A1207">
        <v>1375</v>
      </c>
      <c r="B1207" t="s">
        <v>1451</v>
      </c>
      <c r="C1207" t="s">
        <v>1462</v>
      </c>
      <c r="D1207" t="s">
        <v>13</v>
      </c>
      <c r="E1207" t="s">
        <v>10</v>
      </c>
      <c r="F1207">
        <v>4</v>
      </c>
    </row>
    <row r="1208" spans="1:6" x14ac:dyDescent="0.25">
      <c r="A1208">
        <v>1374</v>
      </c>
      <c r="B1208" t="s">
        <v>178</v>
      </c>
      <c r="C1208" t="s">
        <v>1463</v>
      </c>
      <c r="D1208" t="s">
        <v>13</v>
      </c>
      <c r="E1208" t="s">
        <v>10</v>
      </c>
      <c r="F1208">
        <v>3.25</v>
      </c>
    </row>
    <row r="1209" spans="1:6" x14ac:dyDescent="0.25">
      <c r="A1209">
        <v>1373</v>
      </c>
      <c r="B1209" t="s">
        <v>1429</v>
      </c>
      <c r="C1209" t="s">
        <v>1464</v>
      </c>
      <c r="D1209" t="s">
        <v>9</v>
      </c>
      <c r="E1209" t="s">
        <v>516</v>
      </c>
      <c r="F1209">
        <v>2</v>
      </c>
    </row>
    <row r="1210" spans="1:6" x14ac:dyDescent="0.25">
      <c r="A1210">
        <v>1372</v>
      </c>
      <c r="B1210" t="s">
        <v>23</v>
      </c>
      <c r="C1210" t="s">
        <v>1465</v>
      </c>
      <c r="D1210" t="s">
        <v>9</v>
      </c>
      <c r="E1210" t="s">
        <v>25</v>
      </c>
      <c r="F1210">
        <v>3.75</v>
      </c>
    </row>
    <row r="1211" spans="1:6" x14ac:dyDescent="0.25">
      <c r="A1211">
        <v>1371</v>
      </c>
      <c r="B1211" t="s">
        <v>1162</v>
      </c>
      <c r="C1211" t="s">
        <v>1466</v>
      </c>
      <c r="D1211" t="s">
        <v>9</v>
      </c>
      <c r="E1211" t="s">
        <v>465</v>
      </c>
      <c r="F1211">
        <v>0</v>
      </c>
    </row>
    <row r="1212" spans="1:6" x14ac:dyDescent="0.25">
      <c r="A1212">
        <v>1370</v>
      </c>
      <c r="B1212" t="s">
        <v>1467</v>
      </c>
      <c r="C1212" t="s">
        <v>1468</v>
      </c>
      <c r="D1212" t="s">
        <v>13</v>
      </c>
      <c r="E1212" t="s">
        <v>38</v>
      </c>
      <c r="F1212">
        <v>3.25</v>
      </c>
    </row>
    <row r="1213" spans="1:6" x14ac:dyDescent="0.25">
      <c r="A1213">
        <v>1369</v>
      </c>
      <c r="B1213" t="s">
        <v>496</v>
      </c>
      <c r="C1213" t="s">
        <v>1469</v>
      </c>
      <c r="D1213" t="s">
        <v>13</v>
      </c>
      <c r="E1213" t="s">
        <v>14</v>
      </c>
      <c r="F1213">
        <v>3.25</v>
      </c>
    </row>
    <row r="1214" spans="1:6" x14ac:dyDescent="0.25">
      <c r="A1214">
        <v>1368</v>
      </c>
      <c r="B1214" t="s">
        <v>15</v>
      </c>
      <c r="C1214" t="s">
        <v>1470</v>
      </c>
      <c r="D1214" t="s">
        <v>9</v>
      </c>
      <c r="E1214" t="s">
        <v>149</v>
      </c>
      <c r="F1214">
        <v>3</v>
      </c>
    </row>
    <row r="1215" spans="1:6" x14ac:dyDescent="0.25">
      <c r="A1215">
        <v>1367</v>
      </c>
      <c r="B1215" t="s">
        <v>1471</v>
      </c>
      <c r="C1215" t="s">
        <v>1472</v>
      </c>
      <c r="D1215" t="s">
        <v>13</v>
      </c>
      <c r="E1215" t="s">
        <v>516</v>
      </c>
      <c r="F1215">
        <v>1.5</v>
      </c>
    </row>
    <row r="1216" spans="1:6" x14ac:dyDescent="0.25">
      <c r="A1216">
        <v>1366</v>
      </c>
      <c r="B1216" t="s">
        <v>41</v>
      </c>
      <c r="C1216" t="s">
        <v>1473</v>
      </c>
      <c r="D1216" t="s">
        <v>9</v>
      </c>
      <c r="E1216" t="s">
        <v>17</v>
      </c>
      <c r="F1216">
        <v>4.25</v>
      </c>
    </row>
    <row r="1217" spans="1:7" x14ac:dyDescent="0.25">
      <c r="A1217">
        <v>1365</v>
      </c>
      <c r="B1217" t="s">
        <v>590</v>
      </c>
      <c r="C1217" t="s">
        <v>1474</v>
      </c>
      <c r="D1217" t="s">
        <v>44</v>
      </c>
      <c r="E1217" t="s">
        <v>46</v>
      </c>
      <c r="F1217">
        <v>3.5</v>
      </c>
    </row>
    <row r="1218" spans="1:7" x14ac:dyDescent="0.25">
      <c r="A1218">
        <v>1364</v>
      </c>
      <c r="B1218" t="s">
        <v>1475</v>
      </c>
      <c r="C1218" t="s">
        <v>1476</v>
      </c>
      <c r="D1218" t="s">
        <v>44</v>
      </c>
      <c r="E1218" t="s">
        <v>79</v>
      </c>
      <c r="F1218">
        <v>1.75</v>
      </c>
    </row>
    <row r="1219" spans="1:7" x14ac:dyDescent="0.25">
      <c r="A1219">
        <v>1363</v>
      </c>
      <c r="B1219" t="s">
        <v>188</v>
      </c>
      <c r="C1219" t="s">
        <v>1477</v>
      </c>
      <c r="D1219" t="s">
        <v>13</v>
      </c>
      <c r="E1219" t="s">
        <v>46</v>
      </c>
      <c r="F1219">
        <v>2.75</v>
      </c>
    </row>
    <row r="1220" spans="1:7" x14ac:dyDescent="0.25">
      <c r="A1220">
        <v>1362</v>
      </c>
      <c r="B1220" t="s">
        <v>668</v>
      </c>
      <c r="C1220" t="s">
        <v>1478</v>
      </c>
      <c r="D1220" t="s">
        <v>13</v>
      </c>
      <c r="E1220" t="s">
        <v>69</v>
      </c>
      <c r="F1220">
        <v>3.5</v>
      </c>
    </row>
    <row r="1221" spans="1:7" x14ac:dyDescent="0.25">
      <c r="A1221">
        <v>1361</v>
      </c>
      <c r="B1221" t="s">
        <v>668</v>
      </c>
      <c r="C1221" t="s">
        <v>1479</v>
      </c>
      <c r="D1221" t="s">
        <v>13</v>
      </c>
      <c r="E1221" t="s">
        <v>69</v>
      </c>
      <c r="F1221">
        <v>5</v>
      </c>
    </row>
    <row r="1222" spans="1:7" x14ac:dyDescent="0.25">
      <c r="A1222">
        <v>1360</v>
      </c>
      <c r="B1222" t="s">
        <v>668</v>
      </c>
      <c r="C1222" t="s">
        <v>1480</v>
      </c>
      <c r="D1222" t="s">
        <v>13</v>
      </c>
      <c r="E1222" t="s">
        <v>69</v>
      </c>
      <c r="F1222">
        <v>3.75</v>
      </c>
    </row>
    <row r="1223" spans="1:7" x14ac:dyDescent="0.25">
      <c r="A1223">
        <v>1359</v>
      </c>
      <c r="B1223" t="s">
        <v>668</v>
      </c>
      <c r="C1223" t="s">
        <v>1481</v>
      </c>
      <c r="D1223" t="s">
        <v>9</v>
      </c>
      <c r="E1223" t="s">
        <v>69</v>
      </c>
      <c r="F1223">
        <v>5</v>
      </c>
    </row>
    <row r="1224" spans="1:7" x14ac:dyDescent="0.25">
      <c r="A1224">
        <v>1358</v>
      </c>
      <c r="B1224" t="s">
        <v>668</v>
      </c>
      <c r="C1224" t="s">
        <v>1482</v>
      </c>
      <c r="D1224" t="s">
        <v>13</v>
      </c>
      <c r="E1224" t="s">
        <v>69</v>
      </c>
      <c r="F1224">
        <v>4</v>
      </c>
    </row>
    <row r="1225" spans="1:7" x14ac:dyDescent="0.25">
      <c r="A1225">
        <v>1357</v>
      </c>
      <c r="B1225" t="s">
        <v>668</v>
      </c>
      <c r="C1225" t="s">
        <v>1483</v>
      </c>
      <c r="D1225" t="s">
        <v>9</v>
      </c>
      <c r="E1225" t="s">
        <v>69</v>
      </c>
      <c r="F1225">
        <v>5</v>
      </c>
    </row>
    <row r="1226" spans="1:7" x14ac:dyDescent="0.25">
      <c r="A1226">
        <v>1356</v>
      </c>
      <c r="B1226" t="s">
        <v>668</v>
      </c>
      <c r="C1226" t="s">
        <v>1484</v>
      </c>
      <c r="D1226" t="s">
        <v>13</v>
      </c>
      <c r="E1226" t="s">
        <v>69</v>
      </c>
      <c r="F1226">
        <v>3.25</v>
      </c>
    </row>
    <row r="1227" spans="1:7" x14ac:dyDescent="0.25">
      <c r="A1227">
        <v>1355</v>
      </c>
      <c r="B1227" t="s">
        <v>668</v>
      </c>
      <c r="C1227" t="s">
        <v>1485</v>
      </c>
      <c r="D1227" t="s">
        <v>13</v>
      </c>
      <c r="E1227" t="s">
        <v>69</v>
      </c>
      <c r="F1227">
        <v>3.25</v>
      </c>
    </row>
    <row r="1228" spans="1:7" x14ac:dyDescent="0.25">
      <c r="A1228">
        <v>1354</v>
      </c>
      <c r="B1228" t="s">
        <v>668</v>
      </c>
      <c r="C1228" t="s">
        <v>1479</v>
      </c>
      <c r="D1228" t="s">
        <v>9</v>
      </c>
      <c r="E1228" t="s">
        <v>69</v>
      </c>
      <c r="F1228">
        <v>4.75</v>
      </c>
    </row>
    <row r="1229" spans="1:7" x14ac:dyDescent="0.25">
      <c r="A1229">
        <v>1353</v>
      </c>
      <c r="B1229" t="s">
        <v>668</v>
      </c>
      <c r="C1229" t="s">
        <v>1486</v>
      </c>
      <c r="D1229" t="s">
        <v>13</v>
      </c>
      <c r="E1229" t="s">
        <v>69</v>
      </c>
      <c r="F1229">
        <v>3.75</v>
      </c>
    </row>
    <row r="1230" spans="1:7" x14ac:dyDescent="0.25">
      <c r="A1230">
        <v>1352</v>
      </c>
      <c r="B1230" t="s">
        <v>668</v>
      </c>
      <c r="C1230" t="s">
        <v>1487</v>
      </c>
      <c r="D1230" t="s">
        <v>13</v>
      </c>
      <c r="E1230" t="s">
        <v>69</v>
      </c>
      <c r="F1230">
        <v>3.75</v>
      </c>
    </row>
    <row r="1231" spans="1:7" x14ac:dyDescent="0.25">
      <c r="A1231">
        <v>1351</v>
      </c>
      <c r="B1231" t="s">
        <v>668</v>
      </c>
      <c r="C1231" t="s">
        <v>1488</v>
      </c>
      <c r="D1231" t="s">
        <v>13</v>
      </c>
      <c r="E1231" t="s">
        <v>69</v>
      </c>
      <c r="F1231">
        <v>4</v>
      </c>
    </row>
    <row r="1232" spans="1:7" x14ac:dyDescent="0.25">
      <c r="A1232">
        <v>1350</v>
      </c>
      <c r="B1232" t="s">
        <v>668</v>
      </c>
      <c r="C1232" t="s">
        <v>1481</v>
      </c>
      <c r="D1232" t="s">
        <v>13</v>
      </c>
      <c r="E1232" t="s">
        <v>69</v>
      </c>
      <c r="F1232">
        <v>5</v>
      </c>
      <c r="G1232" t="s">
        <v>1489</v>
      </c>
    </row>
    <row r="1233" spans="1:6" x14ac:dyDescent="0.25">
      <c r="A1233">
        <v>1349</v>
      </c>
      <c r="B1233" t="s">
        <v>668</v>
      </c>
      <c r="C1233" t="s">
        <v>1490</v>
      </c>
      <c r="D1233" t="s">
        <v>9</v>
      </c>
      <c r="E1233" t="s">
        <v>69</v>
      </c>
      <c r="F1233">
        <v>4.5</v>
      </c>
    </row>
    <row r="1234" spans="1:6" x14ac:dyDescent="0.25">
      <c r="A1234">
        <v>1348</v>
      </c>
      <c r="B1234" t="s">
        <v>668</v>
      </c>
      <c r="C1234" t="s">
        <v>1491</v>
      </c>
      <c r="D1234" t="s">
        <v>13</v>
      </c>
      <c r="E1234" t="s">
        <v>69</v>
      </c>
      <c r="F1234">
        <v>3.75</v>
      </c>
    </row>
    <row r="1235" spans="1:6" x14ac:dyDescent="0.25">
      <c r="A1235">
        <v>1347</v>
      </c>
      <c r="B1235" t="s">
        <v>54</v>
      </c>
      <c r="C1235" t="s">
        <v>1492</v>
      </c>
      <c r="D1235" t="s">
        <v>13</v>
      </c>
      <c r="E1235" t="s">
        <v>25</v>
      </c>
      <c r="F1235">
        <v>4</v>
      </c>
    </row>
    <row r="1236" spans="1:6" x14ac:dyDescent="0.25">
      <c r="A1236">
        <v>1346</v>
      </c>
      <c r="B1236" t="s">
        <v>1255</v>
      </c>
      <c r="C1236" t="s">
        <v>1493</v>
      </c>
      <c r="D1236" t="s">
        <v>13</v>
      </c>
      <c r="E1236" t="s">
        <v>10</v>
      </c>
      <c r="F1236">
        <v>3.75</v>
      </c>
    </row>
    <row r="1237" spans="1:6" x14ac:dyDescent="0.25">
      <c r="A1237">
        <v>1345</v>
      </c>
      <c r="B1237" t="s">
        <v>1494</v>
      </c>
      <c r="C1237" t="s">
        <v>1495</v>
      </c>
      <c r="D1237" t="s">
        <v>13</v>
      </c>
      <c r="E1237" t="s">
        <v>17</v>
      </c>
      <c r="F1237">
        <v>2.25</v>
      </c>
    </row>
    <row r="1238" spans="1:6" x14ac:dyDescent="0.25">
      <c r="A1238">
        <v>1344</v>
      </c>
      <c r="B1238" t="s">
        <v>1494</v>
      </c>
      <c r="C1238" t="s">
        <v>1496</v>
      </c>
      <c r="D1238" t="s">
        <v>13</v>
      </c>
      <c r="E1238" t="s">
        <v>17</v>
      </c>
      <c r="F1238">
        <v>4</v>
      </c>
    </row>
    <row r="1239" spans="1:6" x14ac:dyDescent="0.25">
      <c r="A1239">
        <v>1343</v>
      </c>
      <c r="B1239" t="s">
        <v>1494</v>
      </c>
      <c r="C1239" t="s">
        <v>1497</v>
      </c>
      <c r="D1239" t="s">
        <v>13</v>
      </c>
      <c r="E1239" t="s">
        <v>17</v>
      </c>
      <c r="F1239">
        <v>3.25</v>
      </c>
    </row>
    <row r="1240" spans="1:6" x14ac:dyDescent="0.25">
      <c r="A1240">
        <v>1342</v>
      </c>
      <c r="B1240" t="s">
        <v>1119</v>
      </c>
      <c r="C1240" t="s">
        <v>1260</v>
      </c>
      <c r="D1240" t="s">
        <v>13</v>
      </c>
      <c r="E1240" t="s">
        <v>69</v>
      </c>
      <c r="F1240">
        <v>4.5</v>
      </c>
    </row>
    <row r="1241" spans="1:6" x14ac:dyDescent="0.25">
      <c r="A1241">
        <v>1341</v>
      </c>
      <c r="B1241" t="s">
        <v>1498</v>
      </c>
      <c r="C1241" t="s">
        <v>1499</v>
      </c>
      <c r="D1241" t="s">
        <v>44</v>
      </c>
      <c r="E1241" t="s">
        <v>465</v>
      </c>
      <c r="F1241">
        <v>5</v>
      </c>
    </row>
    <row r="1242" spans="1:6" x14ac:dyDescent="0.25">
      <c r="A1242">
        <v>1340</v>
      </c>
      <c r="B1242" t="s">
        <v>135</v>
      </c>
      <c r="C1242" t="s">
        <v>1500</v>
      </c>
      <c r="D1242" t="s">
        <v>13</v>
      </c>
      <c r="E1242" t="s">
        <v>73</v>
      </c>
      <c r="F1242">
        <v>2.75</v>
      </c>
    </row>
    <row r="1243" spans="1:6" x14ac:dyDescent="0.25">
      <c r="A1243">
        <v>1339</v>
      </c>
      <c r="B1243" t="s">
        <v>1261</v>
      </c>
      <c r="C1243" t="s">
        <v>1501</v>
      </c>
      <c r="D1243" t="s">
        <v>30</v>
      </c>
      <c r="E1243" t="s">
        <v>38</v>
      </c>
      <c r="F1243">
        <v>3.75</v>
      </c>
    </row>
    <row r="1244" spans="1:6" x14ac:dyDescent="0.25">
      <c r="A1244">
        <v>1338</v>
      </c>
      <c r="B1244" t="s">
        <v>1502</v>
      </c>
      <c r="C1244" t="s">
        <v>1503</v>
      </c>
      <c r="D1244" t="s">
        <v>13</v>
      </c>
      <c r="E1244" t="s">
        <v>516</v>
      </c>
      <c r="F1244">
        <v>1.5</v>
      </c>
    </row>
    <row r="1245" spans="1:6" x14ac:dyDescent="0.25">
      <c r="A1245">
        <v>1337</v>
      </c>
      <c r="B1245" t="s">
        <v>1504</v>
      </c>
      <c r="C1245" t="s">
        <v>1505</v>
      </c>
      <c r="D1245" t="s">
        <v>13</v>
      </c>
      <c r="E1245" t="s">
        <v>17</v>
      </c>
      <c r="F1245">
        <v>4.25</v>
      </c>
    </row>
    <row r="1246" spans="1:6" x14ac:dyDescent="0.25">
      <c r="A1246">
        <v>1336</v>
      </c>
      <c r="B1246" t="s">
        <v>258</v>
      </c>
      <c r="C1246" t="s">
        <v>1506</v>
      </c>
      <c r="D1246" t="s">
        <v>13</v>
      </c>
      <c r="E1246" t="s">
        <v>17</v>
      </c>
      <c r="F1246">
        <v>3.75</v>
      </c>
    </row>
    <row r="1247" spans="1:6" x14ac:dyDescent="0.25">
      <c r="A1247">
        <v>1335</v>
      </c>
      <c r="B1247" t="s">
        <v>1504</v>
      </c>
      <c r="C1247" t="s">
        <v>1507</v>
      </c>
      <c r="D1247" t="s">
        <v>13</v>
      </c>
      <c r="E1247" t="s">
        <v>17</v>
      </c>
      <c r="F1247">
        <v>4</v>
      </c>
    </row>
    <row r="1248" spans="1:6" x14ac:dyDescent="0.25">
      <c r="A1248">
        <v>1334</v>
      </c>
      <c r="B1248" t="s">
        <v>1504</v>
      </c>
      <c r="C1248" t="s">
        <v>1508</v>
      </c>
      <c r="D1248" t="s">
        <v>13</v>
      </c>
      <c r="E1248" t="s">
        <v>17</v>
      </c>
      <c r="F1248">
        <v>3.75</v>
      </c>
    </row>
    <row r="1249" spans="1:7" x14ac:dyDescent="0.25">
      <c r="A1249">
        <v>1333</v>
      </c>
      <c r="B1249" t="s">
        <v>1504</v>
      </c>
      <c r="C1249" t="s">
        <v>1509</v>
      </c>
      <c r="D1249" t="s">
        <v>13</v>
      </c>
      <c r="E1249" t="s">
        <v>17</v>
      </c>
      <c r="F1249">
        <v>3.75</v>
      </c>
    </row>
    <row r="1250" spans="1:7" x14ac:dyDescent="0.25">
      <c r="A1250">
        <v>1332</v>
      </c>
      <c r="B1250" t="s">
        <v>1504</v>
      </c>
      <c r="C1250" t="s">
        <v>1510</v>
      </c>
      <c r="D1250" t="s">
        <v>13</v>
      </c>
      <c r="E1250" t="s">
        <v>17</v>
      </c>
      <c r="F1250">
        <v>3.75</v>
      </c>
    </row>
    <row r="1251" spans="1:7" x14ac:dyDescent="0.25">
      <c r="A1251">
        <v>1331</v>
      </c>
      <c r="B1251" t="s">
        <v>135</v>
      </c>
      <c r="C1251" t="s">
        <v>1511</v>
      </c>
      <c r="D1251" t="s">
        <v>13</v>
      </c>
      <c r="E1251" t="s">
        <v>73</v>
      </c>
      <c r="F1251">
        <v>3.75</v>
      </c>
    </row>
    <row r="1252" spans="1:7" x14ac:dyDescent="0.25">
      <c r="A1252">
        <v>1330</v>
      </c>
      <c r="B1252" t="s">
        <v>374</v>
      </c>
      <c r="C1252" t="s">
        <v>1512</v>
      </c>
      <c r="D1252" t="s">
        <v>30</v>
      </c>
      <c r="E1252" t="s">
        <v>10</v>
      </c>
      <c r="F1252">
        <v>5</v>
      </c>
      <c r="G1252" t="s">
        <v>1513</v>
      </c>
    </row>
    <row r="1253" spans="1:7" x14ac:dyDescent="0.25">
      <c r="A1253">
        <v>1329</v>
      </c>
      <c r="B1253" t="s">
        <v>331</v>
      </c>
      <c r="C1253" t="s">
        <v>1514</v>
      </c>
      <c r="D1253" t="s">
        <v>9</v>
      </c>
      <c r="E1253" t="s">
        <v>53</v>
      </c>
      <c r="F1253">
        <v>1.25</v>
      </c>
    </row>
    <row r="1254" spans="1:7" x14ac:dyDescent="0.25">
      <c r="A1254">
        <v>1328</v>
      </c>
      <c r="B1254" t="s">
        <v>496</v>
      </c>
      <c r="C1254" t="s">
        <v>1515</v>
      </c>
      <c r="D1254" t="s">
        <v>13</v>
      </c>
      <c r="E1254" t="s">
        <v>14</v>
      </c>
      <c r="F1254">
        <v>3.75</v>
      </c>
    </row>
    <row r="1255" spans="1:7" x14ac:dyDescent="0.25">
      <c r="A1255">
        <v>1327</v>
      </c>
      <c r="B1255" t="s">
        <v>1516</v>
      </c>
      <c r="C1255" t="s">
        <v>1517</v>
      </c>
      <c r="D1255" t="s">
        <v>13</v>
      </c>
      <c r="E1255" t="s">
        <v>79</v>
      </c>
      <c r="F1255">
        <v>3</v>
      </c>
    </row>
    <row r="1256" spans="1:7" x14ac:dyDescent="0.25">
      <c r="A1256">
        <v>1326</v>
      </c>
      <c r="B1256" t="s">
        <v>668</v>
      </c>
      <c r="C1256" t="s">
        <v>1518</v>
      </c>
      <c r="D1256" t="s">
        <v>13</v>
      </c>
      <c r="E1256" t="s">
        <v>69</v>
      </c>
      <c r="F1256">
        <v>3.75</v>
      </c>
    </row>
    <row r="1257" spans="1:7" x14ac:dyDescent="0.25">
      <c r="A1257">
        <v>1325</v>
      </c>
      <c r="B1257" t="s">
        <v>1045</v>
      </c>
      <c r="C1257" t="s">
        <v>1519</v>
      </c>
      <c r="D1257" t="s">
        <v>9</v>
      </c>
      <c r="E1257" t="s">
        <v>35</v>
      </c>
      <c r="F1257">
        <v>3.25</v>
      </c>
    </row>
    <row r="1258" spans="1:7" x14ac:dyDescent="0.25">
      <c r="A1258">
        <v>1324</v>
      </c>
      <c r="B1258" t="s">
        <v>1148</v>
      </c>
      <c r="C1258" t="s">
        <v>944</v>
      </c>
      <c r="D1258" t="s">
        <v>13</v>
      </c>
      <c r="E1258" t="s">
        <v>38</v>
      </c>
      <c r="F1258">
        <v>3.5</v>
      </c>
    </row>
    <row r="1259" spans="1:7" x14ac:dyDescent="0.25">
      <c r="A1259">
        <v>1323</v>
      </c>
      <c r="B1259" t="s">
        <v>1475</v>
      </c>
      <c r="C1259" t="s">
        <v>1520</v>
      </c>
      <c r="D1259" t="s">
        <v>13</v>
      </c>
      <c r="E1259" t="s">
        <v>79</v>
      </c>
      <c r="F1259">
        <v>2</v>
      </c>
    </row>
    <row r="1260" spans="1:7" x14ac:dyDescent="0.25">
      <c r="A1260">
        <v>1322</v>
      </c>
      <c r="B1260" t="s">
        <v>1521</v>
      </c>
      <c r="C1260" t="s">
        <v>1522</v>
      </c>
      <c r="D1260" t="s">
        <v>13</v>
      </c>
      <c r="E1260" t="s">
        <v>25</v>
      </c>
      <c r="F1260">
        <v>4</v>
      </c>
    </row>
    <row r="1261" spans="1:7" x14ac:dyDescent="0.25">
      <c r="A1261">
        <v>1321</v>
      </c>
      <c r="B1261" t="s">
        <v>1451</v>
      </c>
      <c r="C1261" t="s">
        <v>1506</v>
      </c>
      <c r="D1261" t="s">
        <v>13</v>
      </c>
      <c r="E1261" t="s">
        <v>10</v>
      </c>
      <c r="F1261">
        <v>3.75</v>
      </c>
    </row>
    <row r="1262" spans="1:7" x14ac:dyDescent="0.25">
      <c r="A1262">
        <v>1320</v>
      </c>
      <c r="B1262" t="s">
        <v>897</v>
      </c>
      <c r="C1262" t="s">
        <v>1523</v>
      </c>
      <c r="D1262" t="s">
        <v>9</v>
      </c>
      <c r="E1262" t="s">
        <v>38</v>
      </c>
      <c r="F1262">
        <v>3.75</v>
      </c>
    </row>
    <row r="1263" spans="1:7" x14ac:dyDescent="0.25">
      <c r="A1263">
        <v>1319</v>
      </c>
      <c r="B1263" t="s">
        <v>1388</v>
      </c>
      <c r="C1263" t="s">
        <v>1524</v>
      </c>
      <c r="D1263" t="s">
        <v>13</v>
      </c>
      <c r="E1263" t="s">
        <v>69</v>
      </c>
      <c r="F1263">
        <v>4.25</v>
      </c>
    </row>
    <row r="1264" spans="1:7" x14ac:dyDescent="0.25">
      <c r="A1264">
        <v>1318</v>
      </c>
      <c r="B1264" t="s">
        <v>15</v>
      </c>
      <c r="C1264" t="s">
        <v>1525</v>
      </c>
      <c r="D1264" t="s">
        <v>44</v>
      </c>
      <c r="E1264" t="s">
        <v>10</v>
      </c>
      <c r="F1264">
        <v>4</v>
      </c>
    </row>
    <row r="1265" spans="1:7" x14ac:dyDescent="0.25">
      <c r="A1265">
        <v>1317</v>
      </c>
      <c r="B1265" t="s">
        <v>243</v>
      </c>
      <c r="C1265" t="s">
        <v>1526</v>
      </c>
      <c r="D1265" t="s">
        <v>13</v>
      </c>
      <c r="E1265" t="s">
        <v>14</v>
      </c>
      <c r="F1265">
        <v>2.5</v>
      </c>
    </row>
    <row r="1266" spans="1:7" x14ac:dyDescent="0.25">
      <c r="A1266">
        <v>1316</v>
      </c>
      <c r="B1266" t="s">
        <v>74</v>
      </c>
      <c r="C1266" t="s">
        <v>1527</v>
      </c>
      <c r="D1266" t="s">
        <v>13</v>
      </c>
      <c r="E1266" t="s">
        <v>25</v>
      </c>
      <c r="F1266">
        <v>2.75</v>
      </c>
    </row>
    <row r="1267" spans="1:7" x14ac:dyDescent="0.25">
      <c r="A1267">
        <v>1315</v>
      </c>
      <c r="B1267" t="s">
        <v>1404</v>
      </c>
      <c r="C1267" t="s">
        <v>1149</v>
      </c>
      <c r="D1267" t="s">
        <v>13</v>
      </c>
      <c r="E1267" t="s">
        <v>516</v>
      </c>
      <c r="F1267">
        <v>2.75</v>
      </c>
    </row>
    <row r="1268" spans="1:7" x14ac:dyDescent="0.25">
      <c r="A1268">
        <v>1314</v>
      </c>
      <c r="B1268" t="s">
        <v>54</v>
      </c>
      <c r="C1268" t="s">
        <v>1528</v>
      </c>
      <c r="D1268" t="s">
        <v>13</v>
      </c>
      <c r="E1268" t="s">
        <v>25</v>
      </c>
      <c r="F1268">
        <v>5</v>
      </c>
    </row>
    <row r="1269" spans="1:7" x14ac:dyDescent="0.25">
      <c r="A1269">
        <v>1313</v>
      </c>
      <c r="B1269" t="s">
        <v>1529</v>
      </c>
      <c r="C1269" t="s">
        <v>1530</v>
      </c>
      <c r="D1269" t="s">
        <v>13</v>
      </c>
      <c r="E1269" t="s">
        <v>73</v>
      </c>
      <c r="F1269">
        <v>3.25</v>
      </c>
    </row>
    <row r="1270" spans="1:7" x14ac:dyDescent="0.25">
      <c r="A1270">
        <v>1312</v>
      </c>
      <c r="B1270" t="s">
        <v>102</v>
      </c>
      <c r="C1270" t="s">
        <v>1531</v>
      </c>
      <c r="D1270" t="s">
        <v>13</v>
      </c>
      <c r="E1270" t="s">
        <v>10</v>
      </c>
      <c r="F1270">
        <v>3.75</v>
      </c>
    </row>
    <row r="1271" spans="1:7" x14ac:dyDescent="0.25">
      <c r="A1271">
        <v>1311</v>
      </c>
      <c r="B1271" t="s">
        <v>1431</v>
      </c>
      <c r="C1271" t="s">
        <v>1532</v>
      </c>
      <c r="D1271" t="s">
        <v>13</v>
      </c>
      <c r="E1271" t="s">
        <v>73</v>
      </c>
      <c r="F1271">
        <v>4</v>
      </c>
    </row>
    <row r="1272" spans="1:7" x14ac:dyDescent="0.25">
      <c r="A1272">
        <v>1310</v>
      </c>
      <c r="B1272" t="s">
        <v>1533</v>
      </c>
      <c r="C1272" t="s">
        <v>1534</v>
      </c>
      <c r="D1272" t="s">
        <v>30</v>
      </c>
      <c r="E1272" t="s">
        <v>17</v>
      </c>
      <c r="F1272">
        <v>3</v>
      </c>
    </row>
    <row r="1273" spans="1:7" x14ac:dyDescent="0.25">
      <c r="A1273">
        <v>1309</v>
      </c>
      <c r="B1273" t="s">
        <v>894</v>
      </c>
      <c r="C1273" t="s">
        <v>1535</v>
      </c>
      <c r="D1273" t="s">
        <v>9</v>
      </c>
      <c r="E1273" t="s">
        <v>38</v>
      </c>
      <c r="F1273">
        <v>3.75</v>
      </c>
    </row>
    <row r="1274" spans="1:7" x14ac:dyDescent="0.25">
      <c r="A1274">
        <v>1308</v>
      </c>
      <c r="B1274" t="s">
        <v>41</v>
      </c>
      <c r="C1274" t="s">
        <v>946</v>
      </c>
      <c r="D1274" t="s">
        <v>13</v>
      </c>
      <c r="E1274" t="s">
        <v>25</v>
      </c>
      <c r="F1274">
        <v>5</v>
      </c>
      <c r="G1274" t="s">
        <v>1536</v>
      </c>
    </row>
    <row r="1275" spans="1:7" x14ac:dyDescent="0.25">
      <c r="A1275">
        <v>1307</v>
      </c>
      <c r="B1275" t="s">
        <v>15</v>
      </c>
      <c r="C1275" t="s">
        <v>1537</v>
      </c>
      <c r="D1275" t="s">
        <v>9</v>
      </c>
      <c r="E1275" t="s">
        <v>10</v>
      </c>
      <c r="F1275">
        <v>3.75</v>
      </c>
    </row>
    <row r="1276" spans="1:7" x14ac:dyDescent="0.25">
      <c r="A1276">
        <v>1306</v>
      </c>
      <c r="B1276" t="s">
        <v>1045</v>
      </c>
      <c r="C1276" t="s">
        <v>1538</v>
      </c>
      <c r="D1276" t="s">
        <v>13</v>
      </c>
      <c r="E1276" t="s">
        <v>35</v>
      </c>
      <c r="F1276">
        <v>2.5</v>
      </c>
    </row>
    <row r="1277" spans="1:7" x14ac:dyDescent="0.25">
      <c r="A1277">
        <v>1305</v>
      </c>
      <c r="B1277" t="s">
        <v>496</v>
      </c>
      <c r="C1277" t="s">
        <v>1539</v>
      </c>
      <c r="D1277" t="s">
        <v>13</v>
      </c>
      <c r="E1277" t="s">
        <v>14</v>
      </c>
      <c r="F1277">
        <v>3.75</v>
      </c>
    </row>
    <row r="1278" spans="1:7" x14ac:dyDescent="0.25">
      <c r="A1278">
        <v>1304</v>
      </c>
      <c r="B1278" t="s">
        <v>15</v>
      </c>
      <c r="C1278" t="s">
        <v>1540</v>
      </c>
      <c r="D1278" t="s">
        <v>13</v>
      </c>
      <c r="E1278" t="s">
        <v>46</v>
      </c>
      <c r="F1278">
        <v>4.75</v>
      </c>
    </row>
    <row r="1279" spans="1:7" x14ac:dyDescent="0.25">
      <c r="A1279">
        <v>1303</v>
      </c>
      <c r="B1279" t="s">
        <v>996</v>
      </c>
      <c r="C1279" t="s">
        <v>1541</v>
      </c>
      <c r="D1279" t="s">
        <v>9</v>
      </c>
      <c r="E1279" t="s">
        <v>465</v>
      </c>
      <c r="F1279">
        <v>1.5</v>
      </c>
    </row>
    <row r="1280" spans="1:7" x14ac:dyDescent="0.25">
      <c r="A1280">
        <v>1302</v>
      </c>
      <c r="B1280" t="s">
        <v>897</v>
      </c>
      <c r="C1280" t="s">
        <v>1542</v>
      </c>
      <c r="D1280" t="s">
        <v>13</v>
      </c>
      <c r="E1280" t="s">
        <v>38</v>
      </c>
      <c r="F1280">
        <v>5</v>
      </c>
      <c r="G1280" t="s">
        <v>1543</v>
      </c>
    </row>
    <row r="1281" spans="1:6" x14ac:dyDescent="0.25">
      <c r="A1281">
        <v>1301</v>
      </c>
      <c r="B1281" t="s">
        <v>343</v>
      </c>
      <c r="C1281" t="s">
        <v>1544</v>
      </c>
      <c r="D1281" t="s">
        <v>13</v>
      </c>
      <c r="E1281" t="s">
        <v>46</v>
      </c>
      <c r="F1281">
        <v>3.25</v>
      </c>
    </row>
    <row r="1282" spans="1:6" x14ac:dyDescent="0.25">
      <c r="A1282">
        <v>1300</v>
      </c>
      <c r="B1282" t="s">
        <v>23</v>
      </c>
      <c r="C1282" t="s">
        <v>1545</v>
      </c>
      <c r="D1282" t="s">
        <v>13</v>
      </c>
      <c r="E1282" t="s">
        <v>25</v>
      </c>
      <c r="F1282">
        <v>5</v>
      </c>
    </row>
    <row r="1283" spans="1:6" x14ac:dyDescent="0.25">
      <c r="A1283">
        <v>1299</v>
      </c>
      <c r="B1283" t="s">
        <v>1546</v>
      </c>
      <c r="C1283" t="s">
        <v>1547</v>
      </c>
      <c r="D1283" t="s">
        <v>9</v>
      </c>
      <c r="E1283" t="s">
        <v>465</v>
      </c>
      <c r="F1283">
        <v>1</v>
      </c>
    </row>
    <row r="1284" spans="1:6" x14ac:dyDescent="0.25">
      <c r="A1284">
        <v>1298</v>
      </c>
      <c r="B1284" t="s">
        <v>1548</v>
      </c>
      <c r="C1284" t="s">
        <v>1549</v>
      </c>
      <c r="D1284" t="s">
        <v>44</v>
      </c>
      <c r="E1284" t="s">
        <v>25</v>
      </c>
      <c r="F1284">
        <v>4</v>
      </c>
    </row>
    <row r="1285" spans="1:6" x14ac:dyDescent="0.25">
      <c r="A1285">
        <v>1297</v>
      </c>
      <c r="B1285" t="s">
        <v>1550</v>
      </c>
      <c r="C1285" t="s">
        <v>1551</v>
      </c>
      <c r="D1285" t="s">
        <v>13</v>
      </c>
      <c r="E1285" t="s">
        <v>73</v>
      </c>
      <c r="F1285">
        <v>3.25</v>
      </c>
    </row>
    <row r="1286" spans="1:6" x14ac:dyDescent="0.25">
      <c r="A1286">
        <v>1296</v>
      </c>
      <c r="B1286" t="s">
        <v>1049</v>
      </c>
      <c r="C1286" t="s">
        <v>1552</v>
      </c>
      <c r="D1286" t="s">
        <v>13</v>
      </c>
      <c r="E1286" t="s">
        <v>14</v>
      </c>
      <c r="F1286">
        <v>3.5</v>
      </c>
    </row>
    <row r="1287" spans="1:6" x14ac:dyDescent="0.25">
      <c r="A1287">
        <v>1295</v>
      </c>
      <c r="B1287" t="s">
        <v>1049</v>
      </c>
      <c r="C1287" t="s">
        <v>1553</v>
      </c>
      <c r="D1287" t="s">
        <v>13</v>
      </c>
      <c r="E1287" t="s">
        <v>14</v>
      </c>
      <c r="F1287">
        <v>3.25</v>
      </c>
    </row>
    <row r="1288" spans="1:6" x14ac:dyDescent="0.25">
      <c r="A1288">
        <v>1294</v>
      </c>
      <c r="B1288" t="s">
        <v>1427</v>
      </c>
      <c r="C1288" t="s">
        <v>171</v>
      </c>
      <c r="D1288" t="s">
        <v>9</v>
      </c>
      <c r="E1288" t="s">
        <v>38</v>
      </c>
      <c r="F1288">
        <v>3</v>
      </c>
    </row>
    <row r="1289" spans="1:6" x14ac:dyDescent="0.25">
      <c r="A1289">
        <v>1293</v>
      </c>
      <c r="B1289" t="s">
        <v>183</v>
      </c>
      <c r="C1289" t="s">
        <v>1554</v>
      </c>
      <c r="D1289" t="s">
        <v>13</v>
      </c>
      <c r="E1289" t="s">
        <v>35</v>
      </c>
      <c r="F1289">
        <v>4.25</v>
      </c>
    </row>
    <row r="1290" spans="1:6" x14ac:dyDescent="0.25">
      <c r="A1290">
        <v>1292</v>
      </c>
      <c r="B1290" t="s">
        <v>15</v>
      </c>
      <c r="C1290" t="s">
        <v>1555</v>
      </c>
      <c r="D1290" t="s">
        <v>9</v>
      </c>
      <c r="E1290" t="s">
        <v>1399</v>
      </c>
      <c r="F1290">
        <v>3</v>
      </c>
    </row>
    <row r="1291" spans="1:6" x14ac:dyDescent="0.25">
      <c r="A1291">
        <v>1291</v>
      </c>
      <c r="B1291" t="s">
        <v>1123</v>
      </c>
      <c r="C1291" t="s">
        <v>1556</v>
      </c>
      <c r="D1291" t="s">
        <v>9</v>
      </c>
      <c r="E1291" t="s">
        <v>53</v>
      </c>
      <c r="F1291">
        <v>3.25</v>
      </c>
    </row>
    <row r="1292" spans="1:6" x14ac:dyDescent="0.25">
      <c r="A1292">
        <v>1290</v>
      </c>
      <c r="B1292" t="s">
        <v>41</v>
      </c>
      <c r="C1292" t="s">
        <v>1557</v>
      </c>
      <c r="D1292" t="s">
        <v>30</v>
      </c>
      <c r="E1292" t="s">
        <v>25</v>
      </c>
      <c r="F1292">
        <v>4.5</v>
      </c>
    </row>
    <row r="1293" spans="1:6" x14ac:dyDescent="0.25">
      <c r="A1293">
        <v>1289</v>
      </c>
      <c r="B1293" t="s">
        <v>426</v>
      </c>
      <c r="C1293" t="s">
        <v>1558</v>
      </c>
      <c r="D1293" t="s">
        <v>13</v>
      </c>
      <c r="E1293" t="s">
        <v>79</v>
      </c>
      <c r="F1293">
        <v>4</v>
      </c>
    </row>
    <row r="1294" spans="1:6" x14ac:dyDescent="0.25">
      <c r="A1294">
        <v>1288</v>
      </c>
      <c r="B1294" t="s">
        <v>188</v>
      </c>
      <c r="C1294" t="s">
        <v>1559</v>
      </c>
      <c r="D1294" t="s">
        <v>44</v>
      </c>
      <c r="E1294" t="s">
        <v>46</v>
      </c>
      <c r="F1294">
        <v>3.75</v>
      </c>
    </row>
    <row r="1295" spans="1:6" x14ac:dyDescent="0.25">
      <c r="A1295">
        <v>1287</v>
      </c>
      <c r="B1295" t="s">
        <v>1560</v>
      </c>
      <c r="C1295" t="s">
        <v>1561</v>
      </c>
      <c r="D1295" t="s">
        <v>13</v>
      </c>
      <c r="E1295" t="s">
        <v>10</v>
      </c>
      <c r="F1295">
        <v>5</v>
      </c>
    </row>
    <row r="1296" spans="1:6" x14ac:dyDescent="0.25">
      <c r="A1296">
        <v>1286</v>
      </c>
      <c r="B1296" t="s">
        <v>1502</v>
      </c>
      <c r="C1296" t="s">
        <v>1562</v>
      </c>
      <c r="D1296" t="s">
        <v>13</v>
      </c>
      <c r="E1296" t="s">
        <v>516</v>
      </c>
      <c r="F1296">
        <v>3.25</v>
      </c>
    </row>
    <row r="1297" spans="1:7" x14ac:dyDescent="0.25">
      <c r="A1297">
        <v>1285</v>
      </c>
      <c r="B1297" t="s">
        <v>1157</v>
      </c>
      <c r="C1297" t="s">
        <v>1563</v>
      </c>
      <c r="D1297" t="s">
        <v>44</v>
      </c>
      <c r="E1297" t="s">
        <v>1159</v>
      </c>
      <c r="F1297">
        <v>3.25</v>
      </c>
    </row>
    <row r="1298" spans="1:7" x14ac:dyDescent="0.25">
      <c r="A1298">
        <v>1284</v>
      </c>
      <c r="B1298" t="s">
        <v>1533</v>
      </c>
      <c r="C1298" t="s">
        <v>1564</v>
      </c>
      <c r="D1298" t="s">
        <v>30</v>
      </c>
      <c r="E1298" t="s">
        <v>17</v>
      </c>
      <c r="F1298">
        <v>4.25</v>
      </c>
    </row>
    <row r="1299" spans="1:7" x14ac:dyDescent="0.25">
      <c r="A1299">
        <v>1283</v>
      </c>
      <c r="B1299" t="s">
        <v>41</v>
      </c>
      <c r="C1299" t="s">
        <v>1565</v>
      </c>
      <c r="D1299" t="s">
        <v>9</v>
      </c>
      <c r="E1299" t="s">
        <v>25</v>
      </c>
      <c r="F1299">
        <v>4</v>
      </c>
    </row>
    <row r="1300" spans="1:7" x14ac:dyDescent="0.25">
      <c r="A1300">
        <v>1282</v>
      </c>
      <c r="B1300" t="s">
        <v>1045</v>
      </c>
      <c r="C1300" t="s">
        <v>1566</v>
      </c>
      <c r="D1300" t="s">
        <v>13</v>
      </c>
      <c r="E1300" t="s">
        <v>35</v>
      </c>
      <c r="F1300">
        <v>2.75</v>
      </c>
    </row>
    <row r="1301" spans="1:7" x14ac:dyDescent="0.25">
      <c r="A1301">
        <v>1281</v>
      </c>
      <c r="B1301" t="s">
        <v>1567</v>
      </c>
      <c r="C1301" t="s">
        <v>1568</v>
      </c>
      <c r="D1301" t="s">
        <v>44</v>
      </c>
      <c r="E1301" t="s">
        <v>10</v>
      </c>
      <c r="F1301">
        <v>2.25</v>
      </c>
    </row>
    <row r="1302" spans="1:7" x14ac:dyDescent="0.25">
      <c r="A1302">
        <v>1280</v>
      </c>
      <c r="B1302" t="s">
        <v>1126</v>
      </c>
      <c r="C1302" t="s">
        <v>1569</v>
      </c>
      <c r="D1302" t="s">
        <v>13</v>
      </c>
      <c r="E1302" t="s">
        <v>14</v>
      </c>
      <c r="F1302">
        <v>5</v>
      </c>
    </row>
    <row r="1303" spans="1:7" x14ac:dyDescent="0.25">
      <c r="A1303">
        <v>1279</v>
      </c>
      <c r="B1303" t="s">
        <v>1266</v>
      </c>
      <c r="C1303" t="s">
        <v>1570</v>
      </c>
      <c r="D1303" t="s">
        <v>13</v>
      </c>
      <c r="E1303" t="s">
        <v>516</v>
      </c>
      <c r="F1303">
        <v>3.5</v>
      </c>
    </row>
    <row r="1304" spans="1:7" x14ac:dyDescent="0.25">
      <c r="A1304">
        <v>1278</v>
      </c>
      <c r="B1304" t="s">
        <v>74</v>
      </c>
      <c r="C1304" t="s">
        <v>1571</v>
      </c>
      <c r="D1304" t="s">
        <v>13</v>
      </c>
      <c r="E1304" t="s">
        <v>25</v>
      </c>
      <c r="F1304">
        <v>3.25</v>
      </c>
    </row>
    <row r="1305" spans="1:7" x14ac:dyDescent="0.25">
      <c r="A1305">
        <v>1277</v>
      </c>
      <c r="B1305" t="s">
        <v>331</v>
      </c>
      <c r="C1305" t="s">
        <v>1572</v>
      </c>
      <c r="D1305" t="s">
        <v>13</v>
      </c>
      <c r="E1305" t="s">
        <v>53</v>
      </c>
      <c r="F1305">
        <v>2</v>
      </c>
    </row>
    <row r="1306" spans="1:7" x14ac:dyDescent="0.25">
      <c r="A1306">
        <v>1276</v>
      </c>
      <c r="B1306" t="s">
        <v>1388</v>
      </c>
      <c r="C1306" t="s">
        <v>1573</v>
      </c>
      <c r="D1306" t="s">
        <v>13</v>
      </c>
      <c r="E1306" t="s">
        <v>69</v>
      </c>
      <c r="F1306">
        <v>4.25</v>
      </c>
    </row>
    <row r="1307" spans="1:7" x14ac:dyDescent="0.25">
      <c r="A1307">
        <v>1275</v>
      </c>
      <c r="B1307" t="s">
        <v>1049</v>
      </c>
      <c r="C1307" t="s">
        <v>1574</v>
      </c>
      <c r="D1307" t="s">
        <v>13</v>
      </c>
      <c r="E1307" t="s">
        <v>14</v>
      </c>
      <c r="F1307">
        <v>4.5</v>
      </c>
    </row>
    <row r="1308" spans="1:7" x14ac:dyDescent="0.25">
      <c r="A1308">
        <v>1274</v>
      </c>
      <c r="B1308" t="s">
        <v>1049</v>
      </c>
      <c r="C1308" t="s">
        <v>1575</v>
      </c>
      <c r="D1308" t="s">
        <v>13</v>
      </c>
      <c r="E1308" t="s">
        <v>14</v>
      </c>
      <c r="F1308">
        <v>3.75</v>
      </c>
    </row>
    <row r="1309" spans="1:7" x14ac:dyDescent="0.25">
      <c r="A1309">
        <v>1273</v>
      </c>
      <c r="B1309" t="s">
        <v>1404</v>
      </c>
      <c r="C1309" t="s">
        <v>1576</v>
      </c>
      <c r="D1309" t="s">
        <v>13</v>
      </c>
      <c r="E1309" t="s">
        <v>516</v>
      </c>
      <c r="F1309">
        <v>3.25</v>
      </c>
    </row>
    <row r="1310" spans="1:7" x14ac:dyDescent="0.25">
      <c r="A1310">
        <v>1272</v>
      </c>
      <c r="B1310" t="s">
        <v>23</v>
      </c>
      <c r="C1310" t="s">
        <v>1577</v>
      </c>
      <c r="D1310" t="s">
        <v>13</v>
      </c>
      <c r="E1310" t="s">
        <v>25</v>
      </c>
      <c r="F1310">
        <v>3.5</v>
      </c>
    </row>
    <row r="1311" spans="1:7" x14ac:dyDescent="0.25">
      <c r="A1311">
        <v>1271</v>
      </c>
      <c r="B1311" t="s">
        <v>757</v>
      </c>
      <c r="C1311" t="s">
        <v>1578</v>
      </c>
      <c r="D1311" t="s">
        <v>13</v>
      </c>
      <c r="E1311" t="s">
        <v>35</v>
      </c>
      <c r="F1311">
        <v>5</v>
      </c>
      <c r="G1311" t="s">
        <v>1579</v>
      </c>
    </row>
    <row r="1312" spans="1:7" x14ac:dyDescent="0.25">
      <c r="A1312">
        <v>1270</v>
      </c>
      <c r="B1312" t="s">
        <v>1266</v>
      </c>
      <c r="C1312" t="s">
        <v>1580</v>
      </c>
      <c r="D1312" t="s">
        <v>13</v>
      </c>
      <c r="E1312" t="s">
        <v>516</v>
      </c>
      <c r="F1312">
        <v>5</v>
      </c>
    </row>
    <row r="1313" spans="1:6" x14ac:dyDescent="0.25">
      <c r="A1313">
        <v>1269</v>
      </c>
      <c r="B1313" t="s">
        <v>1317</v>
      </c>
      <c r="C1313" t="s">
        <v>1581</v>
      </c>
      <c r="D1313" t="s">
        <v>13</v>
      </c>
      <c r="E1313" t="s">
        <v>46</v>
      </c>
      <c r="F1313">
        <v>2.5</v>
      </c>
    </row>
    <row r="1314" spans="1:6" x14ac:dyDescent="0.25">
      <c r="A1314">
        <v>1268</v>
      </c>
      <c r="B1314" t="s">
        <v>1049</v>
      </c>
      <c r="C1314" t="s">
        <v>1582</v>
      </c>
      <c r="D1314" t="s">
        <v>13</v>
      </c>
      <c r="E1314" t="s">
        <v>14</v>
      </c>
      <c r="F1314">
        <v>3.25</v>
      </c>
    </row>
    <row r="1315" spans="1:6" x14ac:dyDescent="0.25">
      <c r="A1315">
        <v>1267</v>
      </c>
      <c r="B1315" t="s">
        <v>1583</v>
      </c>
      <c r="C1315" t="s">
        <v>1584</v>
      </c>
      <c r="D1315" t="s">
        <v>9</v>
      </c>
      <c r="E1315" t="s">
        <v>73</v>
      </c>
      <c r="F1315">
        <v>3.75</v>
      </c>
    </row>
    <row r="1316" spans="1:6" x14ac:dyDescent="0.25">
      <c r="A1316">
        <v>1266</v>
      </c>
      <c r="B1316" t="s">
        <v>1583</v>
      </c>
      <c r="C1316" t="s">
        <v>1585</v>
      </c>
      <c r="D1316" t="s">
        <v>9</v>
      </c>
      <c r="E1316" t="s">
        <v>73</v>
      </c>
      <c r="F1316">
        <v>4</v>
      </c>
    </row>
    <row r="1317" spans="1:6" x14ac:dyDescent="0.25">
      <c r="A1317">
        <v>1265</v>
      </c>
      <c r="B1317" t="s">
        <v>1583</v>
      </c>
      <c r="C1317" t="s">
        <v>1586</v>
      </c>
      <c r="D1317" t="s">
        <v>9</v>
      </c>
      <c r="E1317" t="s">
        <v>73</v>
      </c>
      <c r="F1317">
        <v>3.75</v>
      </c>
    </row>
    <row r="1318" spans="1:6" x14ac:dyDescent="0.25">
      <c r="A1318">
        <v>1264</v>
      </c>
      <c r="B1318" t="s">
        <v>1583</v>
      </c>
      <c r="C1318" t="s">
        <v>1587</v>
      </c>
      <c r="D1318" t="s">
        <v>9</v>
      </c>
      <c r="E1318" t="s">
        <v>73</v>
      </c>
      <c r="F1318">
        <v>4.25</v>
      </c>
    </row>
    <row r="1319" spans="1:6" x14ac:dyDescent="0.25">
      <c r="A1319">
        <v>1263</v>
      </c>
      <c r="B1319" t="s">
        <v>15</v>
      </c>
      <c r="C1319" t="s">
        <v>1588</v>
      </c>
      <c r="D1319" t="s">
        <v>9</v>
      </c>
      <c r="E1319" t="s">
        <v>10</v>
      </c>
      <c r="F1319">
        <v>4.25</v>
      </c>
    </row>
    <row r="1320" spans="1:6" x14ac:dyDescent="0.25">
      <c r="A1320">
        <v>1262</v>
      </c>
      <c r="B1320" t="s">
        <v>1583</v>
      </c>
      <c r="C1320" t="s">
        <v>1589</v>
      </c>
      <c r="D1320" t="s">
        <v>9</v>
      </c>
      <c r="E1320" t="s">
        <v>73</v>
      </c>
      <c r="F1320">
        <v>3.75</v>
      </c>
    </row>
    <row r="1321" spans="1:6" x14ac:dyDescent="0.25">
      <c r="A1321">
        <v>1261</v>
      </c>
      <c r="B1321" t="s">
        <v>1590</v>
      </c>
      <c r="C1321" t="s">
        <v>1591</v>
      </c>
      <c r="D1321" t="s">
        <v>9</v>
      </c>
      <c r="E1321" t="s">
        <v>73</v>
      </c>
      <c r="F1321">
        <v>3.75</v>
      </c>
    </row>
    <row r="1322" spans="1:6" x14ac:dyDescent="0.25">
      <c r="A1322">
        <v>1260</v>
      </c>
      <c r="B1322" t="s">
        <v>1583</v>
      </c>
      <c r="C1322" t="s">
        <v>1592</v>
      </c>
      <c r="D1322" t="s">
        <v>13</v>
      </c>
      <c r="E1322" t="s">
        <v>73</v>
      </c>
      <c r="F1322">
        <v>5</v>
      </c>
    </row>
    <row r="1323" spans="1:6" x14ac:dyDescent="0.25">
      <c r="A1323">
        <v>1259</v>
      </c>
      <c r="B1323" t="s">
        <v>1590</v>
      </c>
      <c r="C1323" t="s">
        <v>1593</v>
      </c>
      <c r="D1323" t="s">
        <v>9</v>
      </c>
      <c r="E1323" t="s">
        <v>73</v>
      </c>
      <c r="F1323">
        <v>3.75</v>
      </c>
    </row>
    <row r="1324" spans="1:6" x14ac:dyDescent="0.25">
      <c r="A1324">
        <v>1258</v>
      </c>
      <c r="B1324" t="s">
        <v>1594</v>
      </c>
      <c r="C1324" t="s">
        <v>1595</v>
      </c>
      <c r="D1324" t="s">
        <v>13</v>
      </c>
      <c r="E1324" t="s">
        <v>73</v>
      </c>
      <c r="F1324">
        <v>4.5</v>
      </c>
    </row>
    <row r="1325" spans="1:6" x14ac:dyDescent="0.25">
      <c r="A1325">
        <v>1257</v>
      </c>
      <c r="B1325" t="s">
        <v>1583</v>
      </c>
      <c r="C1325" t="s">
        <v>1596</v>
      </c>
      <c r="D1325" t="s">
        <v>9</v>
      </c>
      <c r="E1325" t="s">
        <v>73</v>
      </c>
      <c r="F1325">
        <v>4</v>
      </c>
    </row>
    <row r="1326" spans="1:6" x14ac:dyDescent="0.25">
      <c r="A1326">
        <v>1256</v>
      </c>
      <c r="B1326" t="s">
        <v>1590</v>
      </c>
      <c r="C1326" t="s">
        <v>1597</v>
      </c>
      <c r="D1326" t="s">
        <v>9</v>
      </c>
      <c r="E1326" t="s">
        <v>73</v>
      </c>
      <c r="F1326">
        <v>4.25</v>
      </c>
    </row>
    <row r="1327" spans="1:6" x14ac:dyDescent="0.25">
      <c r="A1327">
        <v>1255</v>
      </c>
      <c r="B1327" t="s">
        <v>1427</v>
      </c>
      <c r="C1327" t="s">
        <v>912</v>
      </c>
      <c r="D1327" t="s">
        <v>9</v>
      </c>
      <c r="E1327" t="s">
        <v>38</v>
      </c>
      <c r="F1327">
        <v>3.25</v>
      </c>
    </row>
    <row r="1328" spans="1:6" x14ac:dyDescent="0.25">
      <c r="A1328">
        <v>1254</v>
      </c>
      <c r="B1328" t="s">
        <v>590</v>
      </c>
      <c r="C1328" t="s">
        <v>1598</v>
      </c>
      <c r="D1328" t="s">
        <v>44</v>
      </c>
      <c r="E1328" t="s">
        <v>46</v>
      </c>
      <c r="F1328">
        <v>2.75</v>
      </c>
    </row>
    <row r="1329" spans="1:6" x14ac:dyDescent="0.25">
      <c r="A1329">
        <v>1253</v>
      </c>
      <c r="B1329" t="s">
        <v>15</v>
      </c>
      <c r="C1329" t="s">
        <v>1599</v>
      </c>
      <c r="D1329" t="s">
        <v>30</v>
      </c>
      <c r="E1329" t="s">
        <v>17</v>
      </c>
      <c r="F1329">
        <v>3.75</v>
      </c>
    </row>
    <row r="1330" spans="1:6" x14ac:dyDescent="0.25">
      <c r="A1330">
        <v>1252</v>
      </c>
      <c r="B1330" t="s">
        <v>1429</v>
      </c>
      <c r="C1330" t="s">
        <v>1600</v>
      </c>
      <c r="D1330" t="s">
        <v>13</v>
      </c>
      <c r="E1330" t="s">
        <v>516</v>
      </c>
      <c r="F1330">
        <v>2.25</v>
      </c>
    </row>
    <row r="1331" spans="1:6" x14ac:dyDescent="0.25">
      <c r="A1331">
        <v>1251</v>
      </c>
      <c r="B1331" t="s">
        <v>897</v>
      </c>
      <c r="C1331" t="s">
        <v>1601</v>
      </c>
      <c r="D1331" t="s">
        <v>13</v>
      </c>
      <c r="E1331" t="s">
        <v>38</v>
      </c>
      <c r="F1331">
        <v>3.5</v>
      </c>
    </row>
    <row r="1332" spans="1:6" x14ac:dyDescent="0.25">
      <c r="A1332">
        <v>1250</v>
      </c>
      <c r="B1332" t="s">
        <v>23</v>
      </c>
      <c r="C1332" t="s">
        <v>1602</v>
      </c>
      <c r="D1332" t="s">
        <v>44</v>
      </c>
      <c r="E1332" t="s">
        <v>25</v>
      </c>
      <c r="F1332">
        <v>3.75</v>
      </c>
    </row>
    <row r="1333" spans="1:6" x14ac:dyDescent="0.25">
      <c r="A1333">
        <v>1249</v>
      </c>
      <c r="B1333" t="s">
        <v>15</v>
      </c>
      <c r="C1333" t="s">
        <v>1603</v>
      </c>
      <c r="D1333" t="s">
        <v>9</v>
      </c>
      <c r="E1333" t="s">
        <v>1399</v>
      </c>
      <c r="F1333">
        <v>2.75</v>
      </c>
    </row>
    <row r="1334" spans="1:6" x14ac:dyDescent="0.25">
      <c r="A1334">
        <v>1248</v>
      </c>
      <c r="B1334" t="s">
        <v>1049</v>
      </c>
      <c r="C1334" t="s">
        <v>1604</v>
      </c>
      <c r="D1334" t="s">
        <v>13</v>
      </c>
      <c r="E1334" t="s">
        <v>14</v>
      </c>
      <c r="F1334">
        <v>4</v>
      </c>
    </row>
    <row r="1335" spans="1:6" x14ac:dyDescent="0.25">
      <c r="A1335">
        <v>1247</v>
      </c>
      <c r="B1335" t="s">
        <v>102</v>
      </c>
      <c r="C1335" t="s">
        <v>1605</v>
      </c>
      <c r="D1335" t="s">
        <v>13</v>
      </c>
      <c r="E1335" t="s">
        <v>10</v>
      </c>
      <c r="F1335">
        <v>4</v>
      </c>
    </row>
    <row r="1336" spans="1:6" x14ac:dyDescent="0.25">
      <c r="A1336">
        <v>1246</v>
      </c>
      <c r="B1336" t="s">
        <v>1422</v>
      </c>
      <c r="C1336" t="s">
        <v>1606</v>
      </c>
      <c r="D1336" t="s">
        <v>13</v>
      </c>
      <c r="E1336" t="s">
        <v>17</v>
      </c>
      <c r="F1336">
        <v>4</v>
      </c>
    </row>
    <row r="1337" spans="1:6" x14ac:dyDescent="0.25">
      <c r="A1337">
        <v>1245</v>
      </c>
      <c r="B1337" t="s">
        <v>188</v>
      </c>
      <c r="C1337" t="s">
        <v>1607</v>
      </c>
      <c r="D1337" t="s">
        <v>13</v>
      </c>
      <c r="E1337" t="s">
        <v>46</v>
      </c>
      <c r="F1337">
        <v>3.5</v>
      </c>
    </row>
    <row r="1338" spans="1:6" x14ac:dyDescent="0.25">
      <c r="A1338">
        <v>1244</v>
      </c>
      <c r="B1338" t="s">
        <v>1516</v>
      </c>
      <c r="C1338" t="s">
        <v>1608</v>
      </c>
      <c r="D1338" t="s">
        <v>13</v>
      </c>
      <c r="E1338" t="s">
        <v>79</v>
      </c>
      <c r="F1338">
        <v>3.75</v>
      </c>
    </row>
    <row r="1339" spans="1:6" x14ac:dyDescent="0.25">
      <c r="A1339">
        <v>1243</v>
      </c>
      <c r="B1339" t="s">
        <v>15</v>
      </c>
      <c r="C1339" t="s">
        <v>1609</v>
      </c>
      <c r="D1339" t="s">
        <v>13</v>
      </c>
      <c r="E1339" t="s">
        <v>46</v>
      </c>
      <c r="F1339">
        <v>1.75</v>
      </c>
    </row>
    <row r="1340" spans="1:6" x14ac:dyDescent="0.25">
      <c r="A1340">
        <v>1242</v>
      </c>
      <c r="B1340" t="s">
        <v>1281</v>
      </c>
      <c r="C1340" t="s">
        <v>1610</v>
      </c>
      <c r="D1340" t="s">
        <v>30</v>
      </c>
      <c r="E1340" t="s">
        <v>17</v>
      </c>
      <c r="F1340">
        <v>4</v>
      </c>
    </row>
    <row r="1341" spans="1:6" x14ac:dyDescent="0.25">
      <c r="A1341">
        <v>1241</v>
      </c>
      <c r="B1341" t="s">
        <v>15</v>
      </c>
      <c r="C1341" t="s">
        <v>1611</v>
      </c>
      <c r="D1341" t="s">
        <v>13</v>
      </c>
      <c r="E1341" t="s">
        <v>10</v>
      </c>
      <c r="F1341">
        <v>3.75</v>
      </c>
    </row>
    <row r="1342" spans="1:6" x14ac:dyDescent="0.25">
      <c r="A1342">
        <v>1240</v>
      </c>
      <c r="B1342" t="s">
        <v>132</v>
      </c>
      <c r="C1342" t="s">
        <v>1612</v>
      </c>
      <c r="D1342" t="s">
        <v>13</v>
      </c>
      <c r="E1342" t="s">
        <v>69</v>
      </c>
      <c r="F1342">
        <v>4</v>
      </c>
    </row>
    <row r="1343" spans="1:6" x14ac:dyDescent="0.25">
      <c r="A1343">
        <v>1239</v>
      </c>
      <c r="B1343" t="s">
        <v>1613</v>
      </c>
      <c r="C1343" t="s">
        <v>1614</v>
      </c>
      <c r="D1343" t="s">
        <v>13</v>
      </c>
      <c r="E1343" t="s">
        <v>73</v>
      </c>
      <c r="F1343">
        <v>4</v>
      </c>
    </row>
    <row r="1344" spans="1:6" x14ac:dyDescent="0.25">
      <c r="A1344">
        <v>1238</v>
      </c>
      <c r="B1344" t="s">
        <v>374</v>
      </c>
      <c r="C1344" t="s">
        <v>1615</v>
      </c>
      <c r="D1344" t="s">
        <v>13</v>
      </c>
      <c r="E1344" t="s">
        <v>10</v>
      </c>
      <c r="F1344">
        <v>5</v>
      </c>
    </row>
    <row r="1345" spans="1:6" x14ac:dyDescent="0.25">
      <c r="A1345">
        <v>1237</v>
      </c>
      <c r="B1345" t="s">
        <v>897</v>
      </c>
      <c r="C1345" t="s">
        <v>1616</v>
      </c>
      <c r="D1345" t="s">
        <v>13</v>
      </c>
      <c r="E1345" t="s">
        <v>38</v>
      </c>
      <c r="F1345">
        <v>3.5</v>
      </c>
    </row>
    <row r="1346" spans="1:6" x14ac:dyDescent="0.25">
      <c r="A1346">
        <v>1236</v>
      </c>
      <c r="B1346" t="s">
        <v>1114</v>
      </c>
      <c r="C1346" t="s">
        <v>1617</v>
      </c>
      <c r="D1346" t="s">
        <v>9</v>
      </c>
      <c r="E1346" t="s">
        <v>25</v>
      </c>
      <c r="F1346">
        <v>3.25</v>
      </c>
    </row>
    <row r="1347" spans="1:6" x14ac:dyDescent="0.25">
      <c r="A1347">
        <v>1235</v>
      </c>
      <c r="B1347" t="s">
        <v>15</v>
      </c>
      <c r="C1347" t="s">
        <v>1618</v>
      </c>
      <c r="D1347" t="s">
        <v>13</v>
      </c>
      <c r="E1347" t="s">
        <v>46</v>
      </c>
      <c r="F1347">
        <v>3.75</v>
      </c>
    </row>
    <row r="1348" spans="1:6" x14ac:dyDescent="0.25">
      <c r="A1348">
        <v>1234</v>
      </c>
      <c r="B1348" t="s">
        <v>1404</v>
      </c>
      <c r="C1348" t="s">
        <v>1619</v>
      </c>
      <c r="D1348" t="s">
        <v>13</v>
      </c>
      <c r="E1348" t="s">
        <v>516</v>
      </c>
      <c r="F1348">
        <v>2.75</v>
      </c>
    </row>
    <row r="1349" spans="1:6" x14ac:dyDescent="0.25">
      <c r="A1349">
        <v>1233</v>
      </c>
      <c r="B1349" t="s">
        <v>15</v>
      </c>
      <c r="C1349" t="s">
        <v>1620</v>
      </c>
      <c r="D1349" t="s">
        <v>13</v>
      </c>
      <c r="E1349" t="s">
        <v>1399</v>
      </c>
      <c r="F1349">
        <v>3.25</v>
      </c>
    </row>
    <row r="1350" spans="1:6" x14ac:dyDescent="0.25">
      <c r="A1350">
        <v>1232</v>
      </c>
      <c r="B1350" t="s">
        <v>1550</v>
      </c>
      <c r="C1350" t="s">
        <v>1621</v>
      </c>
      <c r="D1350" t="s">
        <v>13</v>
      </c>
      <c r="E1350" t="s">
        <v>73</v>
      </c>
      <c r="F1350">
        <v>3.25</v>
      </c>
    </row>
    <row r="1351" spans="1:6" x14ac:dyDescent="0.25">
      <c r="A1351">
        <v>1231</v>
      </c>
      <c r="B1351" t="s">
        <v>496</v>
      </c>
      <c r="C1351" t="s">
        <v>1622</v>
      </c>
      <c r="D1351" t="s">
        <v>13</v>
      </c>
      <c r="E1351" t="s">
        <v>14</v>
      </c>
      <c r="F1351">
        <v>3.75</v>
      </c>
    </row>
    <row r="1352" spans="1:6" x14ac:dyDescent="0.25">
      <c r="A1352">
        <v>1230</v>
      </c>
      <c r="B1352" t="s">
        <v>1442</v>
      </c>
      <c r="C1352" t="s">
        <v>1623</v>
      </c>
      <c r="D1352" t="s">
        <v>13</v>
      </c>
      <c r="E1352" t="s">
        <v>69</v>
      </c>
      <c r="F1352">
        <v>4</v>
      </c>
    </row>
    <row r="1353" spans="1:6" x14ac:dyDescent="0.25">
      <c r="A1353">
        <v>1229</v>
      </c>
      <c r="B1353" t="s">
        <v>1624</v>
      </c>
      <c r="C1353" t="s">
        <v>1625</v>
      </c>
      <c r="D1353" t="s">
        <v>13</v>
      </c>
      <c r="E1353" t="s">
        <v>10</v>
      </c>
      <c r="F1353">
        <v>2.5</v>
      </c>
    </row>
    <row r="1354" spans="1:6" x14ac:dyDescent="0.25">
      <c r="A1354">
        <v>1228</v>
      </c>
      <c r="B1354" t="s">
        <v>102</v>
      </c>
      <c r="C1354" t="s">
        <v>1626</v>
      </c>
      <c r="D1354" t="s">
        <v>13</v>
      </c>
      <c r="E1354" t="s">
        <v>10</v>
      </c>
      <c r="F1354">
        <v>3.75</v>
      </c>
    </row>
    <row r="1355" spans="1:6" x14ac:dyDescent="0.25">
      <c r="A1355">
        <v>1227</v>
      </c>
      <c r="B1355" t="s">
        <v>1546</v>
      </c>
      <c r="C1355" t="s">
        <v>1627</v>
      </c>
      <c r="D1355" t="s">
        <v>44</v>
      </c>
      <c r="E1355" t="s">
        <v>465</v>
      </c>
      <c r="F1355">
        <v>0.5</v>
      </c>
    </row>
    <row r="1356" spans="1:6" x14ac:dyDescent="0.25">
      <c r="A1356">
        <v>1226</v>
      </c>
      <c r="B1356" t="s">
        <v>218</v>
      </c>
      <c r="C1356" t="s">
        <v>1628</v>
      </c>
      <c r="D1356" t="s">
        <v>44</v>
      </c>
      <c r="E1356" t="s">
        <v>79</v>
      </c>
      <c r="F1356">
        <v>3.75</v>
      </c>
    </row>
    <row r="1357" spans="1:6" x14ac:dyDescent="0.25">
      <c r="A1357">
        <v>1225</v>
      </c>
      <c r="B1357" t="s">
        <v>15</v>
      </c>
      <c r="C1357" t="s">
        <v>1629</v>
      </c>
      <c r="D1357" t="s">
        <v>30</v>
      </c>
      <c r="E1357" t="s">
        <v>17</v>
      </c>
      <c r="F1357">
        <v>3.75</v>
      </c>
    </row>
    <row r="1358" spans="1:6" x14ac:dyDescent="0.25">
      <c r="A1358">
        <v>1224</v>
      </c>
      <c r="B1358" t="s">
        <v>1630</v>
      </c>
      <c r="C1358" t="s">
        <v>1631</v>
      </c>
      <c r="D1358" t="s">
        <v>13</v>
      </c>
      <c r="E1358" t="s">
        <v>25</v>
      </c>
      <c r="F1358">
        <v>4</v>
      </c>
    </row>
    <row r="1359" spans="1:6" x14ac:dyDescent="0.25">
      <c r="A1359">
        <v>1223</v>
      </c>
      <c r="B1359" t="s">
        <v>1471</v>
      </c>
      <c r="C1359" t="s">
        <v>1632</v>
      </c>
      <c r="D1359" t="s">
        <v>13</v>
      </c>
      <c r="E1359" t="s">
        <v>69</v>
      </c>
      <c r="F1359">
        <v>2.5</v>
      </c>
    </row>
    <row r="1360" spans="1:6" x14ac:dyDescent="0.25">
      <c r="A1360">
        <v>1222</v>
      </c>
      <c r="B1360" t="s">
        <v>15</v>
      </c>
      <c r="C1360" t="s">
        <v>1633</v>
      </c>
      <c r="D1360" t="s">
        <v>9</v>
      </c>
      <c r="E1360" t="s">
        <v>149</v>
      </c>
      <c r="F1360">
        <v>3.75</v>
      </c>
    </row>
    <row r="1361" spans="1:6" x14ac:dyDescent="0.25">
      <c r="A1361">
        <v>1221</v>
      </c>
      <c r="B1361" t="s">
        <v>1583</v>
      </c>
      <c r="C1361" t="s">
        <v>1634</v>
      </c>
      <c r="D1361" t="s">
        <v>13</v>
      </c>
      <c r="E1361" t="s">
        <v>73</v>
      </c>
      <c r="F1361">
        <v>4.5</v>
      </c>
    </row>
    <row r="1362" spans="1:6" x14ac:dyDescent="0.25">
      <c r="A1362">
        <v>1220</v>
      </c>
      <c r="B1362" t="s">
        <v>15</v>
      </c>
      <c r="C1362" t="s">
        <v>1635</v>
      </c>
      <c r="D1362" t="s">
        <v>9</v>
      </c>
      <c r="E1362" t="s">
        <v>10</v>
      </c>
      <c r="F1362">
        <v>3</v>
      </c>
    </row>
    <row r="1363" spans="1:6" x14ac:dyDescent="0.25">
      <c r="A1363">
        <v>1219</v>
      </c>
      <c r="B1363" t="s">
        <v>178</v>
      </c>
      <c r="C1363" t="s">
        <v>1636</v>
      </c>
      <c r="D1363" t="s">
        <v>13</v>
      </c>
      <c r="E1363" t="s">
        <v>10</v>
      </c>
      <c r="F1363">
        <v>3.5</v>
      </c>
    </row>
    <row r="1364" spans="1:6" x14ac:dyDescent="0.25">
      <c r="A1364">
        <v>1218</v>
      </c>
      <c r="B1364" t="s">
        <v>188</v>
      </c>
      <c r="C1364" t="s">
        <v>1637</v>
      </c>
      <c r="D1364" t="s">
        <v>13</v>
      </c>
      <c r="E1364" t="s">
        <v>79</v>
      </c>
      <c r="F1364">
        <v>3.75</v>
      </c>
    </row>
    <row r="1365" spans="1:6" x14ac:dyDescent="0.25">
      <c r="A1365">
        <v>1217</v>
      </c>
      <c r="B1365" t="s">
        <v>588</v>
      </c>
      <c r="C1365" t="s">
        <v>1638</v>
      </c>
      <c r="D1365" t="s">
        <v>9</v>
      </c>
      <c r="E1365" t="s">
        <v>46</v>
      </c>
      <c r="F1365">
        <v>3.5</v>
      </c>
    </row>
    <row r="1366" spans="1:6" x14ac:dyDescent="0.25">
      <c r="A1366">
        <v>1216</v>
      </c>
      <c r="B1366" t="s">
        <v>1502</v>
      </c>
      <c r="C1366" t="s">
        <v>1639</v>
      </c>
      <c r="D1366" t="s">
        <v>13</v>
      </c>
      <c r="E1366" t="s">
        <v>516</v>
      </c>
      <c r="F1366">
        <v>1</v>
      </c>
    </row>
    <row r="1367" spans="1:6" x14ac:dyDescent="0.25">
      <c r="A1367">
        <v>1215</v>
      </c>
      <c r="B1367" t="s">
        <v>1550</v>
      </c>
      <c r="C1367" t="s">
        <v>1640</v>
      </c>
      <c r="D1367" t="s">
        <v>9</v>
      </c>
      <c r="E1367" t="s">
        <v>73</v>
      </c>
      <c r="F1367">
        <v>4.75</v>
      </c>
    </row>
    <row r="1368" spans="1:6" x14ac:dyDescent="0.25">
      <c r="A1368">
        <v>1214</v>
      </c>
      <c r="B1368" t="s">
        <v>1590</v>
      </c>
      <c r="C1368" t="s">
        <v>1641</v>
      </c>
      <c r="D1368" t="s">
        <v>9</v>
      </c>
      <c r="E1368" t="s">
        <v>73</v>
      </c>
      <c r="F1368">
        <v>5</v>
      </c>
    </row>
    <row r="1369" spans="1:6" x14ac:dyDescent="0.25">
      <c r="A1369">
        <v>1213</v>
      </c>
      <c r="B1369" t="s">
        <v>1642</v>
      </c>
      <c r="C1369" t="s">
        <v>1643</v>
      </c>
      <c r="D1369" t="s">
        <v>30</v>
      </c>
      <c r="E1369" t="s">
        <v>79</v>
      </c>
      <c r="F1369">
        <v>0.5</v>
      </c>
    </row>
    <row r="1370" spans="1:6" x14ac:dyDescent="0.25">
      <c r="A1370">
        <v>1212</v>
      </c>
      <c r="B1370" t="s">
        <v>1148</v>
      </c>
      <c r="C1370" t="s">
        <v>1644</v>
      </c>
      <c r="D1370" t="s">
        <v>13</v>
      </c>
      <c r="E1370" t="s">
        <v>38</v>
      </c>
      <c r="F1370">
        <v>3.5</v>
      </c>
    </row>
    <row r="1371" spans="1:6" x14ac:dyDescent="0.25">
      <c r="A1371">
        <v>1211</v>
      </c>
      <c r="B1371" t="s">
        <v>15</v>
      </c>
      <c r="C1371" t="s">
        <v>1645</v>
      </c>
      <c r="D1371" t="s">
        <v>44</v>
      </c>
      <c r="E1371" t="s">
        <v>46</v>
      </c>
      <c r="F1371">
        <v>3</v>
      </c>
    </row>
    <row r="1372" spans="1:6" x14ac:dyDescent="0.25">
      <c r="A1372">
        <v>1210</v>
      </c>
      <c r="B1372" t="s">
        <v>496</v>
      </c>
      <c r="C1372" t="s">
        <v>1646</v>
      </c>
      <c r="D1372" t="s">
        <v>13</v>
      </c>
      <c r="E1372" t="s">
        <v>14</v>
      </c>
      <c r="F1372">
        <v>4</v>
      </c>
    </row>
    <row r="1373" spans="1:6" x14ac:dyDescent="0.25">
      <c r="A1373">
        <v>1209</v>
      </c>
      <c r="B1373" t="s">
        <v>1502</v>
      </c>
      <c r="C1373" t="s">
        <v>1647</v>
      </c>
      <c r="D1373" t="s">
        <v>13</v>
      </c>
      <c r="E1373" t="s">
        <v>516</v>
      </c>
      <c r="F1373">
        <v>3.25</v>
      </c>
    </row>
    <row r="1374" spans="1:6" x14ac:dyDescent="0.25">
      <c r="A1374">
        <v>1208</v>
      </c>
      <c r="B1374" t="s">
        <v>1475</v>
      </c>
      <c r="C1374" t="s">
        <v>1648</v>
      </c>
      <c r="D1374" t="s">
        <v>13</v>
      </c>
      <c r="E1374" t="s">
        <v>79</v>
      </c>
      <c r="F1374">
        <v>3.5</v>
      </c>
    </row>
    <row r="1375" spans="1:6" x14ac:dyDescent="0.25">
      <c r="A1375">
        <v>1207</v>
      </c>
      <c r="B1375" t="s">
        <v>15</v>
      </c>
      <c r="C1375" t="s">
        <v>1649</v>
      </c>
      <c r="D1375" t="s">
        <v>44</v>
      </c>
      <c r="E1375" t="s">
        <v>10</v>
      </c>
      <c r="F1375">
        <v>5</v>
      </c>
    </row>
    <row r="1376" spans="1:6" x14ac:dyDescent="0.25">
      <c r="A1376">
        <v>1206</v>
      </c>
      <c r="B1376" t="s">
        <v>1650</v>
      </c>
      <c r="C1376" t="s">
        <v>1651</v>
      </c>
      <c r="D1376" t="s">
        <v>13</v>
      </c>
      <c r="E1376" t="s">
        <v>14</v>
      </c>
      <c r="F1376">
        <v>1</v>
      </c>
    </row>
    <row r="1377" spans="1:7" x14ac:dyDescent="0.25">
      <c r="A1377">
        <v>1205</v>
      </c>
      <c r="B1377" t="s">
        <v>897</v>
      </c>
      <c r="C1377" t="s">
        <v>1652</v>
      </c>
      <c r="D1377" t="s">
        <v>13</v>
      </c>
      <c r="E1377" t="s">
        <v>38</v>
      </c>
      <c r="F1377">
        <v>3.5</v>
      </c>
    </row>
    <row r="1378" spans="1:7" x14ac:dyDescent="0.25">
      <c r="A1378">
        <v>1204</v>
      </c>
      <c r="B1378" t="s">
        <v>15</v>
      </c>
      <c r="C1378" t="s">
        <v>1653</v>
      </c>
      <c r="D1378" t="s">
        <v>9</v>
      </c>
      <c r="E1378" t="s">
        <v>1399</v>
      </c>
      <c r="F1378">
        <v>3.5</v>
      </c>
    </row>
    <row r="1379" spans="1:7" x14ac:dyDescent="0.25">
      <c r="A1379">
        <v>1203</v>
      </c>
      <c r="B1379" t="s">
        <v>1550</v>
      </c>
      <c r="C1379" t="s">
        <v>1654</v>
      </c>
      <c r="D1379" t="s">
        <v>13</v>
      </c>
      <c r="E1379" t="s">
        <v>73</v>
      </c>
      <c r="F1379">
        <v>3.5</v>
      </c>
    </row>
    <row r="1380" spans="1:7" x14ac:dyDescent="0.25">
      <c r="A1380">
        <v>1202</v>
      </c>
      <c r="B1380" t="s">
        <v>953</v>
      </c>
      <c r="C1380" t="s">
        <v>1655</v>
      </c>
      <c r="D1380" t="s">
        <v>13</v>
      </c>
      <c r="E1380" t="s">
        <v>10</v>
      </c>
      <c r="F1380">
        <v>3.25</v>
      </c>
    </row>
    <row r="1381" spans="1:7" x14ac:dyDescent="0.25">
      <c r="A1381">
        <v>1201</v>
      </c>
      <c r="B1381" t="s">
        <v>496</v>
      </c>
      <c r="C1381" t="s">
        <v>1656</v>
      </c>
      <c r="D1381" t="s">
        <v>13</v>
      </c>
      <c r="E1381" t="s">
        <v>14</v>
      </c>
      <c r="F1381">
        <v>4.25</v>
      </c>
    </row>
    <row r="1382" spans="1:7" x14ac:dyDescent="0.25">
      <c r="A1382">
        <v>1200</v>
      </c>
      <c r="B1382" t="s">
        <v>1312</v>
      </c>
      <c r="C1382" t="s">
        <v>860</v>
      </c>
      <c r="D1382" t="s">
        <v>13</v>
      </c>
      <c r="E1382" t="s">
        <v>10</v>
      </c>
      <c r="F1382">
        <v>3.75</v>
      </c>
    </row>
    <row r="1383" spans="1:7" x14ac:dyDescent="0.25">
      <c r="A1383">
        <v>1199</v>
      </c>
      <c r="B1383" t="s">
        <v>897</v>
      </c>
      <c r="C1383" t="s">
        <v>1657</v>
      </c>
      <c r="D1383" t="s">
        <v>13</v>
      </c>
      <c r="E1383" t="s">
        <v>38</v>
      </c>
      <c r="F1383">
        <v>3.75</v>
      </c>
    </row>
    <row r="1384" spans="1:7" x14ac:dyDescent="0.25">
      <c r="A1384">
        <v>1198</v>
      </c>
      <c r="B1384" t="s">
        <v>23</v>
      </c>
      <c r="C1384" t="s">
        <v>1658</v>
      </c>
      <c r="D1384" t="s">
        <v>13</v>
      </c>
      <c r="E1384" t="s">
        <v>25</v>
      </c>
      <c r="F1384">
        <v>5</v>
      </c>
      <c r="G1384" t="s">
        <v>1659</v>
      </c>
    </row>
    <row r="1385" spans="1:7" x14ac:dyDescent="0.25">
      <c r="A1385">
        <v>1197</v>
      </c>
      <c r="B1385" t="s">
        <v>15</v>
      </c>
      <c r="C1385" t="s">
        <v>1660</v>
      </c>
      <c r="D1385" t="s">
        <v>9</v>
      </c>
      <c r="E1385" t="s">
        <v>10</v>
      </c>
      <c r="F1385">
        <v>4.5</v>
      </c>
    </row>
    <row r="1386" spans="1:7" x14ac:dyDescent="0.25">
      <c r="A1386">
        <v>1196</v>
      </c>
      <c r="B1386" t="s">
        <v>15</v>
      </c>
      <c r="C1386" t="s">
        <v>1661</v>
      </c>
      <c r="D1386" t="s">
        <v>44</v>
      </c>
      <c r="E1386" t="s">
        <v>17</v>
      </c>
      <c r="F1386">
        <v>3.5</v>
      </c>
    </row>
    <row r="1387" spans="1:7" x14ac:dyDescent="0.25">
      <c r="A1387">
        <v>1195</v>
      </c>
      <c r="B1387" t="s">
        <v>1471</v>
      </c>
      <c r="C1387" t="s">
        <v>1662</v>
      </c>
      <c r="D1387" t="s">
        <v>13</v>
      </c>
      <c r="E1387" t="s">
        <v>69</v>
      </c>
      <c r="F1387">
        <v>2.5</v>
      </c>
    </row>
    <row r="1388" spans="1:7" x14ac:dyDescent="0.25">
      <c r="A1388">
        <v>1194</v>
      </c>
      <c r="B1388" t="s">
        <v>54</v>
      </c>
      <c r="C1388" t="s">
        <v>1663</v>
      </c>
      <c r="D1388" t="s">
        <v>44</v>
      </c>
      <c r="E1388" t="s">
        <v>25</v>
      </c>
      <c r="F1388">
        <v>4</v>
      </c>
    </row>
    <row r="1389" spans="1:7" x14ac:dyDescent="0.25">
      <c r="A1389">
        <v>1193</v>
      </c>
      <c r="B1389" t="s">
        <v>15</v>
      </c>
      <c r="C1389" t="s">
        <v>1664</v>
      </c>
      <c r="D1389" t="s">
        <v>9</v>
      </c>
      <c r="E1389" t="s">
        <v>149</v>
      </c>
      <c r="F1389">
        <v>3.75</v>
      </c>
    </row>
    <row r="1390" spans="1:7" x14ac:dyDescent="0.25">
      <c r="A1390">
        <v>1192</v>
      </c>
      <c r="B1390" t="s">
        <v>1049</v>
      </c>
      <c r="C1390" t="s">
        <v>1665</v>
      </c>
      <c r="D1390" t="s">
        <v>13</v>
      </c>
      <c r="E1390" t="s">
        <v>14</v>
      </c>
      <c r="F1390">
        <v>3.75</v>
      </c>
    </row>
    <row r="1391" spans="1:7" x14ac:dyDescent="0.25">
      <c r="A1391">
        <v>1191</v>
      </c>
      <c r="B1391" t="s">
        <v>1550</v>
      </c>
      <c r="C1391" t="s">
        <v>1666</v>
      </c>
      <c r="D1391" t="s">
        <v>13</v>
      </c>
      <c r="E1391" t="s">
        <v>73</v>
      </c>
      <c r="F1391">
        <v>4</v>
      </c>
    </row>
    <row r="1392" spans="1:7" x14ac:dyDescent="0.25">
      <c r="A1392">
        <v>1190</v>
      </c>
      <c r="B1392" t="s">
        <v>1667</v>
      </c>
      <c r="C1392" t="s">
        <v>1668</v>
      </c>
      <c r="D1392" t="s">
        <v>44</v>
      </c>
      <c r="E1392" t="s">
        <v>10</v>
      </c>
      <c r="F1392">
        <v>3.75</v>
      </c>
    </row>
    <row r="1393" spans="1:7" x14ac:dyDescent="0.25">
      <c r="A1393">
        <v>1189</v>
      </c>
      <c r="B1393" t="s">
        <v>26</v>
      </c>
      <c r="C1393" t="s">
        <v>1669</v>
      </c>
      <c r="D1393" t="s">
        <v>44</v>
      </c>
      <c r="E1393" t="s">
        <v>10</v>
      </c>
      <c r="F1393">
        <v>5</v>
      </c>
    </row>
    <row r="1394" spans="1:7" x14ac:dyDescent="0.25">
      <c r="A1394">
        <v>1188</v>
      </c>
      <c r="B1394" t="s">
        <v>1134</v>
      </c>
      <c r="C1394" t="s">
        <v>1670</v>
      </c>
      <c r="D1394" t="s">
        <v>9</v>
      </c>
      <c r="E1394" t="s">
        <v>79</v>
      </c>
      <c r="F1394">
        <v>3</v>
      </c>
    </row>
    <row r="1395" spans="1:7" x14ac:dyDescent="0.25">
      <c r="A1395">
        <v>1187</v>
      </c>
      <c r="B1395" t="s">
        <v>41</v>
      </c>
      <c r="C1395" t="s">
        <v>1671</v>
      </c>
      <c r="D1395" t="s">
        <v>9</v>
      </c>
      <c r="E1395" t="s">
        <v>25</v>
      </c>
      <c r="F1395">
        <v>3.5</v>
      </c>
    </row>
    <row r="1396" spans="1:7" x14ac:dyDescent="0.25">
      <c r="A1396">
        <v>1186</v>
      </c>
      <c r="B1396" t="s">
        <v>15</v>
      </c>
      <c r="C1396" t="s">
        <v>1672</v>
      </c>
      <c r="D1396" t="s">
        <v>13</v>
      </c>
      <c r="E1396" t="s">
        <v>1399</v>
      </c>
      <c r="F1396">
        <v>3.75</v>
      </c>
    </row>
    <row r="1397" spans="1:7" x14ac:dyDescent="0.25">
      <c r="A1397">
        <v>1185</v>
      </c>
      <c r="B1397" t="s">
        <v>1404</v>
      </c>
      <c r="C1397" t="s">
        <v>1673</v>
      </c>
      <c r="D1397" t="s">
        <v>13</v>
      </c>
      <c r="E1397" t="s">
        <v>516</v>
      </c>
      <c r="F1397">
        <v>3.25</v>
      </c>
    </row>
    <row r="1398" spans="1:7" x14ac:dyDescent="0.25">
      <c r="A1398">
        <v>1184</v>
      </c>
      <c r="B1398" t="s">
        <v>374</v>
      </c>
      <c r="C1398" t="s">
        <v>1674</v>
      </c>
      <c r="D1398" t="s">
        <v>9</v>
      </c>
      <c r="E1398" t="s">
        <v>10</v>
      </c>
      <c r="F1398">
        <v>3.5</v>
      </c>
    </row>
    <row r="1399" spans="1:7" x14ac:dyDescent="0.25">
      <c r="A1399">
        <v>1183</v>
      </c>
      <c r="B1399" t="s">
        <v>54</v>
      </c>
      <c r="C1399" t="s">
        <v>1675</v>
      </c>
      <c r="D1399" t="s">
        <v>13</v>
      </c>
      <c r="E1399" t="s">
        <v>25</v>
      </c>
      <c r="F1399">
        <v>5</v>
      </c>
      <c r="G1399" t="s">
        <v>1676</v>
      </c>
    </row>
    <row r="1400" spans="1:7" x14ac:dyDescent="0.25">
      <c r="A1400">
        <v>1182</v>
      </c>
      <c r="B1400" t="s">
        <v>1266</v>
      </c>
      <c r="C1400" t="s">
        <v>1677</v>
      </c>
      <c r="D1400" t="s">
        <v>13</v>
      </c>
      <c r="E1400" t="s">
        <v>516</v>
      </c>
      <c r="F1400">
        <v>3.75</v>
      </c>
    </row>
    <row r="1401" spans="1:7" x14ac:dyDescent="0.25">
      <c r="A1401">
        <v>1181</v>
      </c>
      <c r="B1401" t="s">
        <v>23</v>
      </c>
      <c r="C1401" t="s">
        <v>1678</v>
      </c>
      <c r="D1401" t="s">
        <v>13</v>
      </c>
      <c r="E1401" t="s">
        <v>25</v>
      </c>
      <c r="F1401">
        <v>4</v>
      </c>
    </row>
    <row r="1402" spans="1:7" x14ac:dyDescent="0.25">
      <c r="A1402">
        <v>1180</v>
      </c>
      <c r="B1402" t="s">
        <v>18</v>
      </c>
      <c r="C1402" t="s">
        <v>1679</v>
      </c>
      <c r="D1402" t="s">
        <v>13</v>
      </c>
      <c r="E1402" t="s">
        <v>14</v>
      </c>
      <c r="F1402">
        <v>3.75</v>
      </c>
    </row>
    <row r="1403" spans="1:7" x14ac:dyDescent="0.25">
      <c r="A1403">
        <v>1179</v>
      </c>
      <c r="B1403" t="s">
        <v>183</v>
      </c>
      <c r="C1403" t="s">
        <v>1680</v>
      </c>
      <c r="D1403" t="s">
        <v>13</v>
      </c>
      <c r="E1403" t="s">
        <v>10</v>
      </c>
      <c r="F1403">
        <v>4.25</v>
      </c>
    </row>
    <row r="1404" spans="1:7" x14ac:dyDescent="0.25">
      <c r="A1404">
        <v>1178</v>
      </c>
      <c r="B1404" t="s">
        <v>41</v>
      </c>
      <c r="C1404" t="s">
        <v>1681</v>
      </c>
      <c r="D1404" t="s">
        <v>9</v>
      </c>
      <c r="E1404" t="s">
        <v>17</v>
      </c>
      <c r="F1404">
        <v>5</v>
      </c>
    </row>
    <row r="1405" spans="1:7" x14ac:dyDescent="0.25">
      <c r="A1405">
        <v>1177</v>
      </c>
      <c r="B1405" t="s">
        <v>1583</v>
      </c>
      <c r="C1405" t="s">
        <v>1682</v>
      </c>
      <c r="D1405" t="s">
        <v>13</v>
      </c>
      <c r="E1405" t="s">
        <v>73</v>
      </c>
      <c r="F1405">
        <v>4</v>
      </c>
    </row>
    <row r="1406" spans="1:7" x14ac:dyDescent="0.25">
      <c r="A1406">
        <v>1176</v>
      </c>
      <c r="B1406" t="s">
        <v>102</v>
      </c>
      <c r="C1406" t="s">
        <v>1683</v>
      </c>
      <c r="D1406" t="s">
        <v>13</v>
      </c>
      <c r="E1406" t="s">
        <v>10</v>
      </c>
      <c r="F1406">
        <v>3.5</v>
      </c>
    </row>
    <row r="1407" spans="1:7" x14ac:dyDescent="0.25">
      <c r="A1407">
        <v>1175</v>
      </c>
      <c r="B1407" t="s">
        <v>1529</v>
      </c>
      <c r="C1407" t="s">
        <v>1684</v>
      </c>
      <c r="D1407" t="s">
        <v>13</v>
      </c>
      <c r="E1407" t="s">
        <v>73</v>
      </c>
      <c r="F1407">
        <v>4.25</v>
      </c>
    </row>
    <row r="1408" spans="1:7" x14ac:dyDescent="0.25">
      <c r="A1408">
        <v>1174</v>
      </c>
      <c r="B1408" t="s">
        <v>621</v>
      </c>
      <c r="C1408" t="s">
        <v>1685</v>
      </c>
      <c r="D1408" t="s">
        <v>13</v>
      </c>
      <c r="E1408" t="s">
        <v>10</v>
      </c>
      <c r="F1408">
        <v>4</v>
      </c>
    </row>
    <row r="1409" spans="1:6" x14ac:dyDescent="0.25">
      <c r="A1409">
        <v>1173</v>
      </c>
      <c r="B1409" t="s">
        <v>1431</v>
      </c>
      <c r="C1409" t="s">
        <v>1686</v>
      </c>
      <c r="D1409" t="s">
        <v>13</v>
      </c>
      <c r="E1409" t="s">
        <v>73</v>
      </c>
      <c r="F1409">
        <v>3.5</v>
      </c>
    </row>
    <row r="1410" spans="1:6" x14ac:dyDescent="0.25">
      <c r="A1410">
        <v>1172</v>
      </c>
      <c r="B1410" t="s">
        <v>677</v>
      </c>
      <c r="C1410" t="s">
        <v>1687</v>
      </c>
      <c r="D1410" t="s">
        <v>13</v>
      </c>
      <c r="E1410" t="s">
        <v>17</v>
      </c>
      <c r="F1410">
        <v>2.75</v>
      </c>
    </row>
    <row r="1411" spans="1:6" x14ac:dyDescent="0.25">
      <c r="A1411">
        <v>1171</v>
      </c>
      <c r="B1411" t="s">
        <v>1448</v>
      </c>
      <c r="C1411" t="s">
        <v>1688</v>
      </c>
      <c r="D1411" t="s">
        <v>13</v>
      </c>
      <c r="E1411" t="s">
        <v>516</v>
      </c>
      <c r="F1411">
        <v>3</v>
      </c>
    </row>
    <row r="1412" spans="1:6" x14ac:dyDescent="0.25">
      <c r="A1412">
        <v>1170</v>
      </c>
      <c r="B1412" t="s">
        <v>26</v>
      </c>
      <c r="C1412" t="s">
        <v>1689</v>
      </c>
      <c r="D1412" t="s">
        <v>9</v>
      </c>
      <c r="E1412" t="s">
        <v>10</v>
      </c>
      <c r="F1412">
        <v>3.75</v>
      </c>
    </row>
    <row r="1413" spans="1:6" x14ac:dyDescent="0.25">
      <c r="A1413">
        <v>1169</v>
      </c>
      <c r="B1413" t="s">
        <v>1546</v>
      </c>
      <c r="C1413" t="s">
        <v>1690</v>
      </c>
      <c r="D1413" t="s">
        <v>9</v>
      </c>
      <c r="E1413" t="s">
        <v>465</v>
      </c>
      <c r="F1413">
        <v>1.75</v>
      </c>
    </row>
    <row r="1414" spans="1:6" x14ac:dyDescent="0.25">
      <c r="A1414">
        <v>1168</v>
      </c>
      <c r="B1414" t="s">
        <v>15</v>
      </c>
      <c r="C1414" t="s">
        <v>1691</v>
      </c>
      <c r="D1414" t="s">
        <v>44</v>
      </c>
      <c r="E1414" t="s">
        <v>10</v>
      </c>
      <c r="F1414">
        <v>3.25</v>
      </c>
    </row>
    <row r="1415" spans="1:6" x14ac:dyDescent="0.25">
      <c r="A1415">
        <v>1167</v>
      </c>
      <c r="B1415" t="s">
        <v>783</v>
      </c>
      <c r="C1415" t="s">
        <v>1313</v>
      </c>
      <c r="D1415" t="s">
        <v>9</v>
      </c>
      <c r="E1415" t="s">
        <v>516</v>
      </c>
      <c r="F1415">
        <v>3.75</v>
      </c>
    </row>
    <row r="1416" spans="1:6" x14ac:dyDescent="0.25">
      <c r="A1416">
        <v>1166</v>
      </c>
      <c r="B1416" t="s">
        <v>1516</v>
      </c>
      <c r="C1416" t="s">
        <v>1692</v>
      </c>
      <c r="D1416" t="s">
        <v>44</v>
      </c>
      <c r="E1416" t="s">
        <v>14</v>
      </c>
      <c r="F1416">
        <v>5</v>
      </c>
    </row>
    <row r="1417" spans="1:6" x14ac:dyDescent="0.25">
      <c r="A1417">
        <v>1165</v>
      </c>
      <c r="B1417" t="s">
        <v>15</v>
      </c>
      <c r="C1417" t="s">
        <v>1693</v>
      </c>
      <c r="D1417" t="s">
        <v>30</v>
      </c>
      <c r="E1417" t="s">
        <v>17</v>
      </c>
      <c r="F1417">
        <v>3.75</v>
      </c>
    </row>
    <row r="1418" spans="1:6" x14ac:dyDescent="0.25">
      <c r="A1418">
        <v>1164</v>
      </c>
      <c r="B1418" t="s">
        <v>1546</v>
      </c>
      <c r="C1418" t="s">
        <v>1694</v>
      </c>
      <c r="D1418" t="s">
        <v>44</v>
      </c>
      <c r="E1418" t="s">
        <v>465</v>
      </c>
      <c r="F1418">
        <v>2</v>
      </c>
    </row>
    <row r="1419" spans="1:6" x14ac:dyDescent="0.25">
      <c r="A1419">
        <v>1163</v>
      </c>
      <c r="B1419" t="s">
        <v>1317</v>
      </c>
      <c r="C1419" t="s">
        <v>1695</v>
      </c>
      <c r="D1419" t="s">
        <v>13</v>
      </c>
      <c r="E1419" t="s">
        <v>79</v>
      </c>
      <c r="F1419">
        <v>3.25</v>
      </c>
    </row>
    <row r="1420" spans="1:6" x14ac:dyDescent="0.25">
      <c r="A1420">
        <v>1162</v>
      </c>
      <c r="B1420" t="s">
        <v>15</v>
      </c>
      <c r="C1420" t="s">
        <v>1696</v>
      </c>
      <c r="D1420" t="s">
        <v>13</v>
      </c>
      <c r="E1420" t="s">
        <v>10</v>
      </c>
      <c r="F1420">
        <v>4.75</v>
      </c>
    </row>
    <row r="1421" spans="1:6" x14ac:dyDescent="0.25">
      <c r="A1421">
        <v>1161</v>
      </c>
      <c r="B1421" t="s">
        <v>1550</v>
      </c>
      <c r="C1421" t="s">
        <v>1697</v>
      </c>
      <c r="D1421" t="s">
        <v>13</v>
      </c>
      <c r="E1421" t="s">
        <v>73</v>
      </c>
      <c r="F1421">
        <v>3.75</v>
      </c>
    </row>
    <row r="1422" spans="1:6" x14ac:dyDescent="0.25">
      <c r="A1422">
        <v>1160</v>
      </c>
      <c r="B1422" t="s">
        <v>23</v>
      </c>
      <c r="C1422" t="s">
        <v>1698</v>
      </c>
      <c r="D1422" t="s">
        <v>13</v>
      </c>
      <c r="E1422" t="s">
        <v>25</v>
      </c>
      <c r="F1422">
        <v>3.75</v>
      </c>
    </row>
    <row r="1423" spans="1:6" x14ac:dyDescent="0.25">
      <c r="A1423">
        <v>1159</v>
      </c>
      <c r="B1423" t="s">
        <v>1699</v>
      </c>
      <c r="C1423" t="s">
        <v>397</v>
      </c>
      <c r="D1423" t="s">
        <v>30</v>
      </c>
      <c r="E1423" t="s">
        <v>10</v>
      </c>
      <c r="F1423">
        <v>5</v>
      </c>
    </row>
    <row r="1424" spans="1:6" x14ac:dyDescent="0.25">
      <c r="A1424">
        <v>1158</v>
      </c>
      <c r="B1424" t="s">
        <v>15</v>
      </c>
      <c r="C1424" t="s">
        <v>1700</v>
      </c>
      <c r="D1424" t="s">
        <v>44</v>
      </c>
      <c r="E1424" t="s">
        <v>46</v>
      </c>
      <c r="F1424">
        <v>4</v>
      </c>
    </row>
    <row r="1425" spans="1:6" x14ac:dyDescent="0.25">
      <c r="A1425">
        <v>1157</v>
      </c>
      <c r="B1425" t="s">
        <v>1701</v>
      </c>
      <c r="C1425" t="s">
        <v>1702</v>
      </c>
      <c r="D1425" t="s">
        <v>9</v>
      </c>
      <c r="E1425" t="s">
        <v>516</v>
      </c>
      <c r="F1425">
        <v>4.25</v>
      </c>
    </row>
    <row r="1426" spans="1:6" x14ac:dyDescent="0.25">
      <c r="A1426">
        <v>1156</v>
      </c>
      <c r="B1426" t="s">
        <v>331</v>
      </c>
      <c r="C1426" t="s">
        <v>1703</v>
      </c>
      <c r="D1426" t="s">
        <v>13</v>
      </c>
      <c r="E1426" t="s">
        <v>53</v>
      </c>
      <c r="F1426">
        <v>3.75</v>
      </c>
    </row>
    <row r="1427" spans="1:6" x14ac:dyDescent="0.25">
      <c r="A1427">
        <v>1155</v>
      </c>
      <c r="B1427" t="s">
        <v>1704</v>
      </c>
      <c r="C1427" t="s">
        <v>1705</v>
      </c>
      <c r="D1427" t="s">
        <v>1706</v>
      </c>
      <c r="E1427" t="s">
        <v>17</v>
      </c>
      <c r="F1427">
        <v>5</v>
      </c>
    </row>
    <row r="1428" spans="1:6" x14ac:dyDescent="0.25">
      <c r="A1428">
        <v>1154</v>
      </c>
      <c r="B1428" t="s">
        <v>1475</v>
      </c>
      <c r="C1428" t="s">
        <v>1707</v>
      </c>
      <c r="D1428" t="s">
        <v>13</v>
      </c>
      <c r="E1428" t="s">
        <v>79</v>
      </c>
      <c r="F1428">
        <v>3.5</v>
      </c>
    </row>
    <row r="1429" spans="1:6" x14ac:dyDescent="0.25">
      <c r="A1429">
        <v>1153</v>
      </c>
      <c r="B1429" t="s">
        <v>1049</v>
      </c>
      <c r="C1429" t="s">
        <v>1708</v>
      </c>
      <c r="D1429" t="s">
        <v>13</v>
      </c>
      <c r="E1429" t="s">
        <v>14</v>
      </c>
      <c r="F1429">
        <v>4</v>
      </c>
    </row>
    <row r="1430" spans="1:6" x14ac:dyDescent="0.25">
      <c r="A1430">
        <v>1152</v>
      </c>
      <c r="B1430" t="s">
        <v>374</v>
      </c>
      <c r="C1430" t="s">
        <v>1709</v>
      </c>
      <c r="D1430" t="s">
        <v>13</v>
      </c>
      <c r="E1430" t="s">
        <v>10</v>
      </c>
      <c r="F1430">
        <v>4</v>
      </c>
    </row>
    <row r="1431" spans="1:6" x14ac:dyDescent="0.25">
      <c r="A1431">
        <v>1151</v>
      </c>
      <c r="B1431" t="s">
        <v>469</v>
      </c>
      <c r="C1431" t="s">
        <v>1710</v>
      </c>
      <c r="D1431" t="s">
        <v>13</v>
      </c>
      <c r="E1431" t="s">
        <v>471</v>
      </c>
      <c r="F1431">
        <v>3.75</v>
      </c>
    </row>
    <row r="1432" spans="1:6" x14ac:dyDescent="0.25">
      <c r="A1432">
        <v>1150</v>
      </c>
      <c r="B1432" t="s">
        <v>469</v>
      </c>
      <c r="C1432" t="s">
        <v>1711</v>
      </c>
      <c r="D1432" t="s">
        <v>13</v>
      </c>
      <c r="E1432" t="s">
        <v>471</v>
      </c>
      <c r="F1432">
        <v>3.5</v>
      </c>
    </row>
    <row r="1433" spans="1:6" x14ac:dyDescent="0.25">
      <c r="A1433">
        <v>1149</v>
      </c>
      <c r="B1433" t="s">
        <v>469</v>
      </c>
      <c r="C1433" t="s">
        <v>1712</v>
      </c>
      <c r="D1433" t="s">
        <v>13</v>
      </c>
      <c r="E1433" t="s">
        <v>471</v>
      </c>
      <c r="F1433">
        <v>3.5</v>
      </c>
    </row>
    <row r="1434" spans="1:6" x14ac:dyDescent="0.25">
      <c r="A1434">
        <v>1148</v>
      </c>
      <c r="B1434" t="s">
        <v>469</v>
      </c>
      <c r="C1434" t="s">
        <v>1713</v>
      </c>
      <c r="D1434" t="s">
        <v>13</v>
      </c>
      <c r="E1434" t="s">
        <v>471</v>
      </c>
      <c r="F1434">
        <v>3.5</v>
      </c>
    </row>
    <row r="1435" spans="1:6" x14ac:dyDescent="0.25">
      <c r="A1435">
        <v>1147</v>
      </c>
      <c r="B1435" t="s">
        <v>469</v>
      </c>
      <c r="C1435" t="s">
        <v>1714</v>
      </c>
      <c r="D1435" t="s">
        <v>13</v>
      </c>
      <c r="E1435" t="s">
        <v>471</v>
      </c>
      <c r="F1435">
        <v>3.5</v>
      </c>
    </row>
    <row r="1436" spans="1:6" x14ac:dyDescent="0.25">
      <c r="A1436">
        <v>1146</v>
      </c>
      <c r="B1436" t="s">
        <v>469</v>
      </c>
      <c r="C1436" t="s">
        <v>1715</v>
      </c>
      <c r="D1436" t="s">
        <v>13</v>
      </c>
      <c r="E1436" t="s">
        <v>471</v>
      </c>
      <c r="F1436">
        <v>3.5</v>
      </c>
    </row>
    <row r="1437" spans="1:6" x14ac:dyDescent="0.25">
      <c r="A1437">
        <v>1145</v>
      </c>
      <c r="B1437" t="s">
        <v>469</v>
      </c>
      <c r="C1437" t="s">
        <v>1716</v>
      </c>
      <c r="D1437" t="s">
        <v>13</v>
      </c>
      <c r="E1437" t="s">
        <v>471</v>
      </c>
      <c r="F1437">
        <v>3.75</v>
      </c>
    </row>
    <row r="1438" spans="1:6" x14ac:dyDescent="0.25">
      <c r="A1438">
        <v>1144</v>
      </c>
      <c r="B1438" t="s">
        <v>469</v>
      </c>
      <c r="C1438" t="s">
        <v>1717</v>
      </c>
      <c r="D1438" t="s">
        <v>13</v>
      </c>
      <c r="E1438" t="s">
        <v>471</v>
      </c>
      <c r="F1438">
        <v>3.5</v>
      </c>
    </row>
    <row r="1439" spans="1:6" x14ac:dyDescent="0.25">
      <c r="A1439">
        <v>1143</v>
      </c>
      <c r="B1439" t="s">
        <v>469</v>
      </c>
      <c r="C1439" t="s">
        <v>1718</v>
      </c>
      <c r="D1439" t="s">
        <v>13</v>
      </c>
      <c r="E1439" t="s">
        <v>471</v>
      </c>
      <c r="F1439">
        <v>4.25</v>
      </c>
    </row>
    <row r="1440" spans="1:6" x14ac:dyDescent="0.25">
      <c r="A1440">
        <v>1142</v>
      </c>
      <c r="B1440" t="s">
        <v>469</v>
      </c>
      <c r="C1440" t="s">
        <v>1719</v>
      </c>
      <c r="D1440" t="s">
        <v>13</v>
      </c>
      <c r="E1440" t="s">
        <v>471</v>
      </c>
      <c r="F1440">
        <v>4</v>
      </c>
    </row>
    <row r="1441" spans="1:6" x14ac:dyDescent="0.25">
      <c r="A1441">
        <v>1141</v>
      </c>
      <c r="B1441" t="s">
        <v>469</v>
      </c>
      <c r="C1441" t="s">
        <v>1720</v>
      </c>
      <c r="D1441" t="s">
        <v>13</v>
      </c>
      <c r="E1441" t="s">
        <v>471</v>
      </c>
      <c r="F1441">
        <v>3.25</v>
      </c>
    </row>
    <row r="1442" spans="1:6" x14ac:dyDescent="0.25">
      <c r="A1442">
        <v>1140</v>
      </c>
      <c r="B1442" t="s">
        <v>469</v>
      </c>
      <c r="C1442" t="s">
        <v>1721</v>
      </c>
      <c r="D1442" t="s">
        <v>13</v>
      </c>
      <c r="E1442" t="s">
        <v>471</v>
      </c>
      <c r="F1442">
        <v>5</v>
      </c>
    </row>
    <row r="1443" spans="1:6" x14ac:dyDescent="0.25">
      <c r="A1443">
        <v>1139</v>
      </c>
      <c r="B1443" t="s">
        <v>469</v>
      </c>
      <c r="C1443" t="s">
        <v>1722</v>
      </c>
      <c r="D1443" t="s">
        <v>13</v>
      </c>
      <c r="E1443" t="s">
        <v>471</v>
      </c>
      <c r="F1443">
        <v>3.75</v>
      </c>
    </row>
    <row r="1444" spans="1:6" x14ac:dyDescent="0.25">
      <c r="A1444">
        <v>1138</v>
      </c>
      <c r="B1444" t="s">
        <v>439</v>
      </c>
      <c r="C1444" t="s">
        <v>1723</v>
      </c>
      <c r="D1444" t="s">
        <v>13</v>
      </c>
      <c r="E1444" t="s">
        <v>10</v>
      </c>
      <c r="F1444">
        <v>4.75</v>
      </c>
    </row>
    <row r="1445" spans="1:6" x14ac:dyDescent="0.25">
      <c r="A1445">
        <v>1137</v>
      </c>
      <c r="B1445" t="s">
        <v>1045</v>
      </c>
      <c r="C1445" t="s">
        <v>1724</v>
      </c>
      <c r="D1445" t="s">
        <v>13</v>
      </c>
      <c r="E1445" t="s">
        <v>35</v>
      </c>
      <c r="F1445">
        <v>3.75</v>
      </c>
    </row>
    <row r="1446" spans="1:6" x14ac:dyDescent="0.25">
      <c r="A1446">
        <v>1136</v>
      </c>
      <c r="B1446" t="s">
        <v>15</v>
      </c>
      <c r="C1446" t="s">
        <v>397</v>
      </c>
      <c r="D1446" t="s">
        <v>13</v>
      </c>
      <c r="E1446" t="s">
        <v>10</v>
      </c>
      <c r="F1446">
        <v>5</v>
      </c>
    </row>
    <row r="1447" spans="1:6" x14ac:dyDescent="0.25">
      <c r="A1447">
        <v>1135</v>
      </c>
      <c r="B1447" t="s">
        <v>135</v>
      </c>
      <c r="C1447" t="s">
        <v>1725</v>
      </c>
      <c r="D1447" t="s">
        <v>13</v>
      </c>
      <c r="E1447" t="s">
        <v>73</v>
      </c>
      <c r="F1447">
        <v>4.25</v>
      </c>
    </row>
    <row r="1448" spans="1:6" x14ac:dyDescent="0.25">
      <c r="A1448">
        <v>1134</v>
      </c>
      <c r="B1448" t="s">
        <v>1521</v>
      </c>
      <c r="C1448" t="s">
        <v>1726</v>
      </c>
      <c r="D1448" t="s">
        <v>13</v>
      </c>
      <c r="E1448" t="s">
        <v>25</v>
      </c>
      <c r="F1448">
        <v>4</v>
      </c>
    </row>
    <row r="1449" spans="1:6" x14ac:dyDescent="0.25">
      <c r="A1449">
        <v>1133</v>
      </c>
      <c r="B1449" t="s">
        <v>326</v>
      </c>
      <c r="C1449" t="s">
        <v>1727</v>
      </c>
      <c r="D1449" t="s">
        <v>13</v>
      </c>
      <c r="E1449" t="s">
        <v>46</v>
      </c>
      <c r="F1449">
        <v>3.75</v>
      </c>
    </row>
    <row r="1450" spans="1:6" x14ac:dyDescent="0.25">
      <c r="A1450">
        <v>1132</v>
      </c>
      <c r="B1450" t="s">
        <v>1429</v>
      </c>
      <c r="C1450" t="s">
        <v>1728</v>
      </c>
      <c r="D1450" t="s">
        <v>9</v>
      </c>
      <c r="E1450" t="s">
        <v>516</v>
      </c>
      <c r="F1450">
        <v>1.5</v>
      </c>
    </row>
    <row r="1451" spans="1:6" x14ac:dyDescent="0.25">
      <c r="A1451">
        <v>1131</v>
      </c>
      <c r="B1451" t="s">
        <v>18</v>
      </c>
      <c r="C1451" t="s">
        <v>1729</v>
      </c>
      <c r="D1451" t="s">
        <v>13</v>
      </c>
      <c r="E1451" t="s">
        <v>14</v>
      </c>
      <c r="F1451">
        <v>3.75</v>
      </c>
    </row>
    <row r="1452" spans="1:6" x14ac:dyDescent="0.25">
      <c r="A1452">
        <v>1130</v>
      </c>
      <c r="B1452" t="s">
        <v>15</v>
      </c>
      <c r="C1452" t="s">
        <v>1730</v>
      </c>
      <c r="D1452" t="s">
        <v>9</v>
      </c>
      <c r="E1452" t="s">
        <v>17</v>
      </c>
      <c r="F1452">
        <v>3.5</v>
      </c>
    </row>
    <row r="1453" spans="1:6" x14ac:dyDescent="0.25">
      <c r="A1453">
        <v>1129</v>
      </c>
      <c r="B1453" t="s">
        <v>1255</v>
      </c>
      <c r="C1453" t="s">
        <v>1731</v>
      </c>
      <c r="D1453" t="s">
        <v>13</v>
      </c>
      <c r="E1453" t="s">
        <v>10</v>
      </c>
      <c r="F1453">
        <v>3.5</v>
      </c>
    </row>
    <row r="1454" spans="1:6" x14ac:dyDescent="0.25">
      <c r="A1454">
        <v>1128</v>
      </c>
      <c r="B1454" t="s">
        <v>1157</v>
      </c>
      <c r="C1454" t="s">
        <v>1732</v>
      </c>
      <c r="D1454" t="s">
        <v>13</v>
      </c>
      <c r="E1454" t="s">
        <v>1159</v>
      </c>
      <c r="F1454">
        <v>3.25</v>
      </c>
    </row>
    <row r="1455" spans="1:6" x14ac:dyDescent="0.25">
      <c r="A1455">
        <v>1127</v>
      </c>
      <c r="B1455" t="s">
        <v>1162</v>
      </c>
      <c r="C1455" t="s">
        <v>1733</v>
      </c>
      <c r="D1455" t="s">
        <v>9</v>
      </c>
      <c r="E1455" t="s">
        <v>465</v>
      </c>
      <c r="F1455">
        <v>2.75</v>
      </c>
    </row>
    <row r="1456" spans="1:6" x14ac:dyDescent="0.25">
      <c r="A1456">
        <v>1126</v>
      </c>
      <c r="B1456" t="s">
        <v>1550</v>
      </c>
      <c r="C1456" t="s">
        <v>1734</v>
      </c>
      <c r="D1456" t="s">
        <v>13</v>
      </c>
      <c r="E1456" t="s">
        <v>73</v>
      </c>
      <c r="F1456">
        <v>4</v>
      </c>
    </row>
    <row r="1457" spans="1:6" x14ac:dyDescent="0.25">
      <c r="A1457">
        <v>1125</v>
      </c>
      <c r="B1457" t="s">
        <v>183</v>
      </c>
      <c r="C1457" t="s">
        <v>1735</v>
      </c>
      <c r="D1457" t="s">
        <v>13</v>
      </c>
      <c r="E1457" t="s">
        <v>17</v>
      </c>
      <c r="F1457">
        <v>5</v>
      </c>
    </row>
    <row r="1458" spans="1:6" x14ac:dyDescent="0.25">
      <c r="A1458">
        <v>1124</v>
      </c>
      <c r="B1458" t="s">
        <v>23</v>
      </c>
      <c r="C1458" t="s">
        <v>1736</v>
      </c>
      <c r="D1458" t="s">
        <v>44</v>
      </c>
      <c r="E1458" t="s">
        <v>25</v>
      </c>
      <c r="F1458">
        <v>4.25</v>
      </c>
    </row>
    <row r="1459" spans="1:6" x14ac:dyDescent="0.25">
      <c r="A1459">
        <v>1123</v>
      </c>
      <c r="B1459" t="s">
        <v>102</v>
      </c>
      <c r="C1459" t="s">
        <v>1737</v>
      </c>
      <c r="D1459" t="s">
        <v>13</v>
      </c>
      <c r="E1459" t="s">
        <v>10</v>
      </c>
      <c r="F1459">
        <v>4.25</v>
      </c>
    </row>
    <row r="1460" spans="1:6" x14ac:dyDescent="0.25">
      <c r="A1460">
        <v>1122</v>
      </c>
      <c r="B1460" t="s">
        <v>1738</v>
      </c>
      <c r="C1460" t="s">
        <v>1739</v>
      </c>
      <c r="D1460" t="s">
        <v>13</v>
      </c>
      <c r="E1460" t="s">
        <v>10</v>
      </c>
      <c r="F1460">
        <v>4.25</v>
      </c>
    </row>
    <row r="1461" spans="1:6" x14ac:dyDescent="0.25">
      <c r="A1461">
        <v>1121</v>
      </c>
      <c r="B1461" t="s">
        <v>188</v>
      </c>
      <c r="C1461" t="s">
        <v>1740</v>
      </c>
      <c r="D1461" t="s">
        <v>13</v>
      </c>
      <c r="E1461" t="s">
        <v>79</v>
      </c>
      <c r="F1461">
        <v>3.75</v>
      </c>
    </row>
    <row r="1462" spans="1:6" x14ac:dyDescent="0.25">
      <c r="A1462">
        <v>1120</v>
      </c>
      <c r="B1462" t="s">
        <v>1583</v>
      </c>
      <c r="C1462" t="s">
        <v>1741</v>
      </c>
      <c r="D1462" t="s">
        <v>13</v>
      </c>
      <c r="E1462" t="s">
        <v>73</v>
      </c>
      <c r="F1462">
        <v>4.75</v>
      </c>
    </row>
    <row r="1463" spans="1:6" x14ac:dyDescent="0.25">
      <c r="A1463">
        <v>1119</v>
      </c>
      <c r="B1463" t="s">
        <v>1266</v>
      </c>
      <c r="C1463" t="s">
        <v>1742</v>
      </c>
      <c r="D1463" t="s">
        <v>13</v>
      </c>
      <c r="E1463" t="s">
        <v>516</v>
      </c>
      <c r="F1463">
        <v>3.75</v>
      </c>
    </row>
    <row r="1464" spans="1:6" x14ac:dyDescent="0.25">
      <c r="A1464">
        <v>1118</v>
      </c>
      <c r="B1464" t="s">
        <v>1546</v>
      </c>
      <c r="C1464" t="s">
        <v>1743</v>
      </c>
      <c r="D1464" t="s">
        <v>44</v>
      </c>
      <c r="E1464" t="s">
        <v>465</v>
      </c>
      <c r="F1464">
        <v>2.75</v>
      </c>
    </row>
    <row r="1465" spans="1:6" x14ac:dyDescent="0.25">
      <c r="A1465">
        <v>1117</v>
      </c>
      <c r="B1465" t="s">
        <v>1281</v>
      </c>
      <c r="C1465" t="s">
        <v>1744</v>
      </c>
      <c r="D1465" t="s">
        <v>30</v>
      </c>
      <c r="E1465" t="s">
        <v>17</v>
      </c>
      <c r="F1465">
        <v>4.25</v>
      </c>
    </row>
    <row r="1466" spans="1:6" x14ac:dyDescent="0.25">
      <c r="A1466">
        <v>1116</v>
      </c>
      <c r="B1466" t="s">
        <v>178</v>
      </c>
      <c r="C1466" t="s">
        <v>1745</v>
      </c>
      <c r="D1466" t="s">
        <v>13</v>
      </c>
      <c r="E1466" t="s">
        <v>10</v>
      </c>
      <c r="F1466">
        <v>5</v>
      </c>
    </row>
    <row r="1467" spans="1:6" x14ac:dyDescent="0.25">
      <c r="A1467">
        <v>1115</v>
      </c>
      <c r="B1467" t="s">
        <v>15</v>
      </c>
      <c r="C1467" t="s">
        <v>1746</v>
      </c>
      <c r="D1467" t="s">
        <v>30</v>
      </c>
      <c r="E1467" t="s">
        <v>17</v>
      </c>
      <c r="F1467">
        <v>3.75</v>
      </c>
    </row>
    <row r="1468" spans="1:6" x14ac:dyDescent="0.25">
      <c r="A1468">
        <v>1114</v>
      </c>
      <c r="B1468" t="s">
        <v>1747</v>
      </c>
      <c r="C1468" t="s">
        <v>1748</v>
      </c>
      <c r="D1468" t="s">
        <v>13</v>
      </c>
      <c r="E1468" t="s">
        <v>73</v>
      </c>
      <c r="F1468">
        <v>4</v>
      </c>
    </row>
    <row r="1469" spans="1:6" x14ac:dyDescent="0.25">
      <c r="A1469">
        <v>1113</v>
      </c>
      <c r="B1469" t="s">
        <v>23</v>
      </c>
      <c r="C1469" t="s">
        <v>1749</v>
      </c>
      <c r="D1469" t="s">
        <v>9</v>
      </c>
      <c r="E1469" t="s">
        <v>25</v>
      </c>
      <c r="F1469">
        <v>3.5</v>
      </c>
    </row>
    <row r="1470" spans="1:6" x14ac:dyDescent="0.25">
      <c r="A1470">
        <v>1112</v>
      </c>
      <c r="B1470" t="s">
        <v>897</v>
      </c>
      <c r="C1470" t="s">
        <v>1750</v>
      </c>
      <c r="D1470" t="s">
        <v>13</v>
      </c>
      <c r="E1470" t="s">
        <v>38</v>
      </c>
      <c r="F1470">
        <v>3.75</v>
      </c>
    </row>
    <row r="1471" spans="1:6" x14ac:dyDescent="0.25">
      <c r="A1471">
        <v>1111</v>
      </c>
      <c r="B1471" t="s">
        <v>1475</v>
      </c>
      <c r="C1471" t="s">
        <v>1751</v>
      </c>
      <c r="D1471" t="s">
        <v>13</v>
      </c>
      <c r="E1471" t="s">
        <v>79</v>
      </c>
      <c r="F1471">
        <v>3.25</v>
      </c>
    </row>
    <row r="1472" spans="1:6" x14ac:dyDescent="0.25">
      <c r="A1472">
        <v>1110</v>
      </c>
      <c r="B1472" t="s">
        <v>1752</v>
      </c>
      <c r="C1472" t="s">
        <v>1753</v>
      </c>
      <c r="D1472" t="s">
        <v>13</v>
      </c>
      <c r="E1472" t="s">
        <v>25</v>
      </c>
      <c r="F1472">
        <v>4.5</v>
      </c>
    </row>
    <row r="1473" spans="1:6" x14ac:dyDescent="0.25">
      <c r="A1473">
        <v>1109</v>
      </c>
      <c r="B1473" t="s">
        <v>1424</v>
      </c>
      <c r="C1473" t="s">
        <v>1754</v>
      </c>
      <c r="D1473" t="s">
        <v>84</v>
      </c>
      <c r="E1473" t="s">
        <v>73</v>
      </c>
      <c r="F1473">
        <v>4.25</v>
      </c>
    </row>
    <row r="1474" spans="1:6" x14ac:dyDescent="0.25">
      <c r="A1474">
        <v>1108</v>
      </c>
      <c r="B1474" t="s">
        <v>1134</v>
      </c>
      <c r="C1474" t="s">
        <v>1755</v>
      </c>
      <c r="D1474" t="s">
        <v>9</v>
      </c>
      <c r="E1474" t="s">
        <v>79</v>
      </c>
      <c r="F1474">
        <v>3.5</v>
      </c>
    </row>
    <row r="1475" spans="1:6" x14ac:dyDescent="0.25">
      <c r="A1475">
        <v>1107</v>
      </c>
      <c r="B1475" t="s">
        <v>15</v>
      </c>
      <c r="C1475" t="s">
        <v>1756</v>
      </c>
      <c r="D1475" t="s">
        <v>44</v>
      </c>
      <c r="E1475" t="s">
        <v>46</v>
      </c>
      <c r="F1475">
        <v>3.5</v>
      </c>
    </row>
    <row r="1476" spans="1:6" x14ac:dyDescent="0.25">
      <c r="A1476">
        <v>1106</v>
      </c>
      <c r="B1476" t="s">
        <v>15</v>
      </c>
      <c r="C1476" t="s">
        <v>1757</v>
      </c>
      <c r="D1476" t="s">
        <v>44</v>
      </c>
      <c r="E1476" t="s">
        <v>10</v>
      </c>
      <c r="F1476">
        <v>4.5</v>
      </c>
    </row>
    <row r="1477" spans="1:6" x14ac:dyDescent="0.25">
      <c r="A1477">
        <v>1105</v>
      </c>
      <c r="B1477" t="s">
        <v>41</v>
      </c>
      <c r="C1477" t="s">
        <v>1758</v>
      </c>
      <c r="D1477" t="s">
        <v>30</v>
      </c>
      <c r="E1477" t="s">
        <v>25</v>
      </c>
      <c r="F1477">
        <v>5</v>
      </c>
    </row>
    <row r="1478" spans="1:6" x14ac:dyDescent="0.25">
      <c r="A1478">
        <v>1104</v>
      </c>
      <c r="B1478" t="s">
        <v>996</v>
      </c>
      <c r="C1478" t="s">
        <v>171</v>
      </c>
      <c r="D1478" t="s">
        <v>13</v>
      </c>
      <c r="E1478" t="s">
        <v>465</v>
      </c>
      <c r="F1478">
        <v>3.5</v>
      </c>
    </row>
    <row r="1479" spans="1:6" x14ac:dyDescent="0.25">
      <c r="A1479">
        <v>1103</v>
      </c>
      <c r="B1479" t="s">
        <v>183</v>
      </c>
      <c r="C1479" t="s">
        <v>1759</v>
      </c>
      <c r="D1479" t="s">
        <v>30</v>
      </c>
      <c r="E1479" t="s">
        <v>10</v>
      </c>
      <c r="F1479">
        <v>5</v>
      </c>
    </row>
    <row r="1480" spans="1:6" x14ac:dyDescent="0.25">
      <c r="A1480">
        <v>1102</v>
      </c>
      <c r="B1480" t="s">
        <v>1502</v>
      </c>
      <c r="C1480" t="s">
        <v>1760</v>
      </c>
      <c r="D1480" t="s">
        <v>13</v>
      </c>
      <c r="E1480" t="s">
        <v>516</v>
      </c>
      <c r="F1480">
        <v>3</v>
      </c>
    </row>
    <row r="1481" spans="1:6" x14ac:dyDescent="0.25">
      <c r="A1481">
        <v>1101</v>
      </c>
      <c r="B1481" t="s">
        <v>1590</v>
      </c>
      <c r="C1481" t="s">
        <v>1761</v>
      </c>
      <c r="D1481" t="s">
        <v>9</v>
      </c>
      <c r="E1481" t="s">
        <v>73</v>
      </c>
      <c r="F1481">
        <v>4.25</v>
      </c>
    </row>
    <row r="1482" spans="1:6" x14ac:dyDescent="0.25">
      <c r="A1482">
        <v>1100</v>
      </c>
      <c r="B1482" t="s">
        <v>1762</v>
      </c>
      <c r="C1482" t="s">
        <v>1763</v>
      </c>
      <c r="D1482" t="s">
        <v>13</v>
      </c>
      <c r="E1482" t="s">
        <v>1764</v>
      </c>
      <c r="F1482">
        <v>3.75</v>
      </c>
    </row>
    <row r="1483" spans="1:6" x14ac:dyDescent="0.25">
      <c r="A1483">
        <v>1099</v>
      </c>
      <c r="B1483" t="s">
        <v>1762</v>
      </c>
      <c r="C1483" t="s">
        <v>1765</v>
      </c>
      <c r="D1483" t="s">
        <v>13</v>
      </c>
      <c r="E1483" t="s">
        <v>1764</v>
      </c>
      <c r="F1483">
        <v>3.25</v>
      </c>
    </row>
    <row r="1484" spans="1:6" x14ac:dyDescent="0.25">
      <c r="A1484">
        <v>1098</v>
      </c>
      <c r="B1484" t="s">
        <v>1121</v>
      </c>
      <c r="C1484" t="s">
        <v>1766</v>
      </c>
      <c r="D1484" t="s">
        <v>13</v>
      </c>
      <c r="E1484" t="s">
        <v>73</v>
      </c>
      <c r="F1484">
        <v>3.75</v>
      </c>
    </row>
    <row r="1485" spans="1:6" x14ac:dyDescent="0.25">
      <c r="A1485">
        <v>1097</v>
      </c>
      <c r="B1485" t="s">
        <v>1767</v>
      </c>
      <c r="C1485" t="s">
        <v>1768</v>
      </c>
      <c r="D1485" t="s">
        <v>13</v>
      </c>
      <c r="E1485" t="s">
        <v>14</v>
      </c>
      <c r="F1485">
        <v>3.75</v>
      </c>
    </row>
    <row r="1486" spans="1:6" x14ac:dyDescent="0.25">
      <c r="A1486">
        <v>1096</v>
      </c>
      <c r="B1486" t="s">
        <v>1767</v>
      </c>
      <c r="C1486" t="s">
        <v>1769</v>
      </c>
      <c r="D1486" t="s">
        <v>13</v>
      </c>
      <c r="E1486" t="s">
        <v>14</v>
      </c>
      <c r="F1486">
        <v>3.5</v>
      </c>
    </row>
    <row r="1487" spans="1:6" x14ac:dyDescent="0.25">
      <c r="A1487">
        <v>1095</v>
      </c>
      <c r="B1487" t="s">
        <v>1767</v>
      </c>
      <c r="C1487" t="s">
        <v>1770</v>
      </c>
      <c r="D1487" t="s">
        <v>13</v>
      </c>
      <c r="E1487" t="s">
        <v>14</v>
      </c>
      <c r="F1487">
        <v>3.25</v>
      </c>
    </row>
    <row r="1488" spans="1:6" x14ac:dyDescent="0.25">
      <c r="A1488">
        <v>1094</v>
      </c>
      <c r="B1488" t="s">
        <v>1767</v>
      </c>
      <c r="C1488" t="s">
        <v>1771</v>
      </c>
      <c r="D1488" t="s">
        <v>13</v>
      </c>
      <c r="E1488" t="s">
        <v>14</v>
      </c>
      <c r="F1488">
        <v>4.25</v>
      </c>
    </row>
    <row r="1489" spans="1:7" x14ac:dyDescent="0.25">
      <c r="A1489">
        <v>1093</v>
      </c>
      <c r="B1489" t="s">
        <v>1767</v>
      </c>
      <c r="C1489" t="s">
        <v>1772</v>
      </c>
      <c r="D1489" t="s">
        <v>13</v>
      </c>
      <c r="E1489" t="s">
        <v>14</v>
      </c>
      <c r="F1489">
        <v>4.5</v>
      </c>
    </row>
    <row r="1490" spans="1:7" x14ac:dyDescent="0.25">
      <c r="A1490">
        <v>1092</v>
      </c>
      <c r="B1490" t="s">
        <v>1767</v>
      </c>
      <c r="C1490" t="s">
        <v>1773</v>
      </c>
      <c r="D1490" t="s">
        <v>13</v>
      </c>
      <c r="E1490" t="s">
        <v>14</v>
      </c>
      <c r="F1490">
        <v>5</v>
      </c>
    </row>
    <row r="1491" spans="1:7" x14ac:dyDescent="0.25">
      <c r="A1491">
        <v>1091</v>
      </c>
      <c r="B1491" t="s">
        <v>1767</v>
      </c>
      <c r="C1491" t="s">
        <v>1774</v>
      </c>
      <c r="D1491" t="s">
        <v>13</v>
      </c>
      <c r="E1491" t="s">
        <v>14</v>
      </c>
      <c r="F1491">
        <v>4</v>
      </c>
    </row>
    <row r="1492" spans="1:7" x14ac:dyDescent="0.25">
      <c r="A1492">
        <v>1090</v>
      </c>
      <c r="B1492" t="s">
        <v>1767</v>
      </c>
      <c r="C1492" t="s">
        <v>1775</v>
      </c>
      <c r="D1492" t="s">
        <v>13</v>
      </c>
      <c r="E1492" t="s">
        <v>14</v>
      </c>
      <c r="F1492">
        <v>3.25</v>
      </c>
    </row>
    <row r="1493" spans="1:7" x14ac:dyDescent="0.25">
      <c r="A1493">
        <v>1089</v>
      </c>
      <c r="B1493" t="s">
        <v>1767</v>
      </c>
      <c r="C1493" t="s">
        <v>1776</v>
      </c>
      <c r="D1493" t="s">
        <v>13</v>
      </c>
      <c r="E1493" t="s">
        <v>14</v>
      </c>
      <c r="F1493">
        <v>4.25</v>
      </c>
    </row>
    <row r="1494" spans="1:7" x14ac:dyDescent="0.25">
      <c r="A1494">
        <v>1088</v>
      </c>
      <c r="B1494" t="s">
        <v>1767</v>
      </c>
      <c r="C1494" t="s">
        <v>1777</v>
      </c>
      <c r="D1494" t="s">
        <v>13</v>
      </c>
      <c r="E1494" t="s">
        <v>14</v>
      </c>
      <c r="F1494">
        <v>3.75</v>
      </c>
    </row>
    <row r="1495" spans="1:7" x14ac:dyDescent="0.25">
      <c r="A1495">
        <v>1087</v>
      </c>
      <c r="B1495" t="s">
        <v>67</v>
      </c>
      <c r="C1495" t="s">
        <v>1198</v>
      </c>
      <c r="D1495" t="s">
        <v>13</v>
      </c>
      <c r="E1495" t="s">
        <v>69</v>
      </c>
      <c r="F1495">
        <v>5</v>
      </c>
      <c r="G1495" t="s">
        <v>1778</v>
      </c>
    </row>
    <row r="1496" spans="1:7" x14ac:dyDescent="0.25">
      <c r="A1496">
        <v>1086</v>
      </c>
      <c r="B1496" t="s">
        <v>1471</v>
      </c>
      <c r="C1496" t="s">
        <v>1779</v>
      </c>
      <c r="D1496" t="s">
        <v>13</v>
      </c>
      <c r="E1496" t="s">
        <v>516</v>
      </c>
      <c r="F1496">
        <v>3</v>
      </c>
    </row>
    <row r="1497" spans="1:7" x14ac:dyDescent="0.25">
      <c r="A1497">
        <v>1085</v>
      </c>
      <c r="B1497" t="s">
        <v>1055</v>
      </c>
      <c r="C1497" t="s">
        <v>1780</v>
      </c>
      <c r="D1497" t="s">
        <v>13</v>
      </c>
      <c r="E1497" t="s">
        <v>53</v>
      </c>
      <c r="F1497">
        <v>3.5</v>
      </c>
    </row>
    <row r="1498" spans="1:7" x14ac:dyDescent="0.25">
      <c r="A1498">
        <v>1084</v>
      </c>
      <c r="B1498" t="s">
        <v>1546</v>
      </c>
      <c r="C1498" t="s">
        <v>1781</v>
      </c>
      <c r="D1498" t="s">
        <v>9</v>
      </c>
      <c r="E1498" t="s">
        <v>465</v>
      </c>
      <c r="F1498">
        <v>1.5</v>
      </c>
    </row>
    <row r="1499" spans="1:7" x14ac:dyDescent="0.25">
      <c r="A1499">
        <v>1083</v>
      </c>
      <c r="B1499" t="s">
        <v>15</v>
      </c>
      <c r="C1499" t="s">
        <v>1782</v>
      </c>
      <c r="D1499" t="s">
        <v>9</v>
      </c>
      <c r="E1499" t="s">
        <v>10</v>
      </c>
      <c r="F1499">
        <v>4.75</v>
      </c>
    </row>
    <row r="1500" spans="1:7" x14ac:dyDescent="0.25">
      <c r="A1500">
        <v>1082</v>
      </c>
      <c r="B1500" t="s">
        <v>135</v>
      </c>
      <c r="C1500" t="s">
        <v>1783</v>
      </c>
      <c r="D1500" t="s">
        <v>13</v>
      </c>
      <c r="E1500" t="s">
        <v>73</v>
      </c>
      <c r="F1500">
        <v>4.5</v>
      </c>
    </row>
    <row r="1501" spans="1:7" x14ac:dyDescent="0.25">
      <c r="A1501">
        <v>1081</v>
      </c>
      <c r="B1501" t="s">
        <v>1126</v>
      </c>
      <c r="C1501" t="s">
        <v>1784</v>
      </c>
      <c r="D1501" t="s">
        <v>13</v>
      </c>
      <c r="E1501" t="s">
        <v>14</v>
      </c>
      <c r="F1501">
        <v>3.25</v>
      </c>
    </row>
    <row r="1502" spans="1:7" x14ac:dyDescent="0.25">
      <c r="A1502">
        <v>1080</v>
      </c>
      <c r="B1502" t="s">
        <v>1126</v>
      </c>
      <c r="C1502" t="s">
        <v>1785</v>
      </c>
      <c r="D1502" t="s">
        <v>13</v>
      </c>
      <c r="E1502" t="s">
        <v>14</v>
      </c>
      <c r="F1502">
        <v>3.5</v>
      </c>
    </row>
    <row r="1503" spans="1:7" x14ac:dyDescent="0.25">
      <c r="A1503">
        <v>1079</v>
      </c>
      <c r="B1503" t="s">
        <v>1126</v>
      </c>
      <c r="C1503" t="s">
        <v>1786</v>
      </c>
      <c r="D1503" t="s">
        <v>13</v>
      </c>
      <c r="E1503" t="s">
        <v>14</v>
      </c>
      <c r="F1503">
        <v>5</v>
      </c>
    </row>
    <row r="1504" spans="1:7" x14ac:dyDescent="0.25">
      <c r="A1504">
        <v>1078</v>
      </c>
      <c r="B1504" t="s">
        <v>1126</v>
      </c>
      <c r="C1504" t="s">
        <v>1787</v>
      </c>
      <c r="D1504" t="s">
        <v>13</v>
      </c>
      <c r="E1504" t="s">
        <v>14</v>
      </c>
      <c r="F1504">
        <v>3.75</v>
      </c>
    </row>
    <row r="1505" spans="1:6" x14ac:dyDescent="0.25">
      <c r="A1505">
        <v>1077</v>
      </c>
      <c r="B1505" t="s">
        <v>1126</v>
      </c>
      <c r="C1505" t="s">
        <v>1788</v>
      </c>
      <c r="D1505" t="s">
        <v>13</v>
      </c>
      <c r="E1505" t="s">
        <v>14</v>
      </c>
      <c r="F1505">
        <v>5</v>
      </c>
    </row>
    <row r="1506" spans="1:6" x14ac:dyDescent="0.25">
      <c r="A1506">
        <v>1076</v>
      </c>
      <c r="B1506" t="s">
        <v>1126</v>
      </c>
      <c r="C1506" t="s">
        <v>1789</v>
      </c>
      <c r="D1506" t="s">
        <v>13</v>
      </c>
      <c r="E1506" t="s">
        <v>14</v>
      </c>
      <c r="F1506">
        <v>3.75</v>
      </c>
    </row>
    <row r="1507" spans="1:6" x14ac:dyDescent="0.25">
      <c r="A1507">
        <v>1075</v>
      </c>
      <c r="B1507" t="s">
        <v>1126</v>
      </c>
      <c r="C1507" t="s">
        <v>1790</v>
      </c>
      <c r="D1507" t="s">
        <v>13</v>
      </c>
      <c r="E1507" t="s">
        <v>14</v>
      </c>
      <c r="F1507">
        <v>5</v>
      </c>
    </row>
    <row r="1508" spans="1:6" x14ac:dyDescent="0.25">
      <c r="A1508">
        <v>1074</v>
      </c>
      <c r="B1508" t="s">
        <v>1126</v>
      </c>
      <c r="C1508" t="s">
        <v>1791</v>
      </c>
      <c r="D1508" t="s">
        <v>13</v>
      </c>
      <c r="E1508" t="s">
        <v>14</v>
      </c>
      <c r="F1508">
        <v>4.25</v>
      </c>
    </row>
    <row r="1509" spans="1:6" x14ac:dyDescent="0.25">
      <c r="A1509">
        <v>1073</v>
      </c>
      <c r="B1509" t="s">
        <v>1126</v>
      </c>
      <c r="C1509" t="s">
        <v>1792</v>
      </c>
      <c r="D1509" t="s">
        <v>13</v>
      </c>
      <c r="E1509" t="s">
        <v>14</v>
      </c>
      <c r="F1509">
        <v>3.75</v>
      </c>
    </row>
    <row r="1510" spans="1:6" x14ac:dyDescent="0.25">
      <c r="A1510">
        <v>1072</v>
      </c>
      <c r="B1510" t="s">
        <v>1126</v>
      </c>
      <c r="C1510" t="s">
        <v>1793</v>
      </c>
      <c r="D1510" t="s">
        <v>13</v>
      </c>
      <c r="E1510" t="s">
        <v>14</v>
      </c>
      <c r="F1510">
        <v>4</v>
      </c>
    </row>
    <row r="1511" spans="1:6" x14ac:dyDescent="0.25">
      <c r="A1511">
        <v>1071</v>
      </c>
      <c r="B1511" t="s">
        <v>15</v>
      </c>
      <c r="C1511" t="s">
        <v>1794</v>
      </c>
      <c r="D1511" t="s">
        <v>13</v>
      </c>
      <c r="E1511" t="s">
        <v>10</v>
      </c>
      <c r="F1511">
        <v>4</v>
      </c>
    </row>
    <row r="1512" spans="1:6" x14ac:dyDescent="0.25">
      <c r="A1512">
        <v>1070</v>
      </c>
      <c r="B1512" t="s">
        <v>1630</v>
      </c>
      <c r="C1512" t="s">
        <v>1795</v>
      </c>
      <c r="D1512" t="s">
        <v>13</v>
      </c>
      <c r="E1512" t="s">
        <v>25</v>
      </c>
      <c r="F1512">
        <v>4</v>
      </c>
    </row>
    <row r="1513" spans="1:6" x14ac:dyDescent="0.25">
      <c r="A1513">
        <v>1069</v>
      </c>
      <c r="B1513" t="s">
        <v>15</v>
      </c>
      <c r="C1513" t="s">
        <v>740</v>
      </c>
      <c r="D1513" t="s">
        <v>44</v>
      </c>
      <c r="E1513" t="s">
        <v>10</v>
      </c>
      <c r="F1513">
        <v>5</v>
      </c>
    </row>
    <row r="1514" spans="1:6" x14ac:dyDescent="0.25">
      <c r="A1514">
        <v>1068</v>
      </c>
      <c r="B1514" t="s">
        <v>1045</v>
      </c>
      <c r="C1514" t="s">
        <v>1796</v>
      </c>
      <c r="D1514" t="s">
        <v>13</v>
      </c>
      <c r="E1514" t="s">
        <v>35</v>
      </c>
      <c r="F1514">
        <v>3.75</v>
      </c>
    </row>
    <row r="1515" spans="1:6" x14ac:dyDescent="0.25">
      <c r="A1515">
        <v>1067</v>
      </c>
      <c r="B1515" t="s">
        <v>15</v>
      </c>
      <c r="C1515" t="s">
        <v>1797</v>
      </c>
      <c r="D1515" t="s">
        <v>9</v>
      </c>
      <c r="E1515" t="s">
        <v>10</v>
      </c>
      <c r="F1515">
        <v>3.75</v>
      </c>
    </row>
    <row r="1516" spans="1:6" x14ac:dyDescent="0.25">
      <c r="A1516">
        <v>1066</v>
      </c>
      <c r="B1516" t="s">
        <v>1798</v>
      </c>
      <c r="C1516" t="s">
        <v>1799</v>
      </c>
      <c r="D1516" t="s">
        <v>13</v>
      </c>
      <c r="E1516" t="s">
        <v>17</v>
      </c>
      <c r="F1516">
        <v>3.5</v>
      </c>
    </row>
    <row r="1517" spans="1:6" x14ac:dyDescent="0.25">
      <c r="A1517">
        <v>1065</v>
      </c>
      <c r="B1517" t="s">
        <v>1798</v>
      </c>
      <c r="C1517" t="s">
        <v>1800</v>
      </c>
      <c r="D1517" t="s">
        <v>13</v>
      </c>
      <c r="E1517" t="s">
        <v>17</v>
      </c>
      <c r="F1517">
        <v>4.25</v>
      </c>
    </row>
    <row r="1518" spans="1:6" x14ac:dyDescent="0.25">
      <c r="A1518">
        <v>1064</v>
      </c>
      <c r="B1518" t="s">
        <v>1798</v>
      </c>
      <c r="C1518" t="s">
        <v>1801</v>
      </c>
      <c r="D1518" t="s">
        <v>13</v>
      </c>
      <c r="E1518" t="s">
        <v>17</v>
      </c>
      <c r="F1518">
        <v>4</v>
      </c>
    </row>
    <row r="1519" spans="1:6" x14ac:dyDescent="0.25">
      <c r="A1519">
        <v>1063</v>
      </c>
      <c r="B1519" t="s">
        <v>1798</v>
      </c>
      <c r="C1519" t="s">
        <v>1802</v>
      </c>
      <c r="D1519" t="s">
        <v>13</v>
      </c>
      <c r="E1519" t="s">
        <v>17</v>
      </c>
      <c r="F1519">
        <v>3.75</v>
      </c>
    </row>
    <row r="1520" spans="1:6" x14ac:dyDescent="0.25">
      <c r="A1520">
        <v>1062</v>
      </c>
      <c r="B1520" t="s">
        <v>1798</v>
      </c>
      <c r="C1520" t="s">
        <v>1803</v>
      </c>
      <c r="D1520" t="s">
        <v>13</v>
      </c>
      <c r="E1520" t="s">
        <v>17</v>
      </c>
      <c r="F1520">
        <v>3.75</v>
      </c>
    </row>
    <row r="1521" spans="1:6" x14ac:dyDescent="0.25">
      <c r="A1521">
        <v>1061</v>
      </c>
      <c r="B1521" t="s">
        <v>1798</v>
      </c>
      <c r="C1521" t="s">
        <v>1804</v>
      </c>
      <c r="D1521" t="s">
        <v>13</v>
      </c>
      <c r="E1521" t="s">
        <v>17</v>
      </c>
      <c r="F1521">
        <v>4</v>
      </c>
    </row>
    <row r="1522" spans="1:6" x14ac:dyDescent="0.25">
      <c r="A1522">
        <v>1060</v>
      </c>
      <c r="B1522" t="s">
        <v>1805</v>
      </c>
      <c r="C1522" t="s">
        <v>1806</v>
      </c>
      <c r="D1522" t="s">
        <v>13</v>
      </c>
      <c r="E1522" t="s">
        <v>17</v>
      </c>
      <c r="F1522">
        <v>3.75</v>
      </c>
    </row>
    <row r="1523" spans="1:6" x14ac:dyDescent="0.25">
      <c r="A1523">
        <v>1059</v>
      </c>
      <c r="B1523" t="s">
        <v>668</v>
      </c>
      <c r="C1523" t="s">
        <v>1807</v>
      </c>
      <c r="D1523" t="s">
        <v>13</v>
      </c>
      <c r="E1523" t="s">
        <v>69</v>
      </c>
      <c r="F1523">
        <v>3.25</v>
      </c>
    </row>
    <row r="1524" spans="1:6" x14ac:dyDescent="0.25">
      <c r="A1524">
        <v>1058</v>
      </c>
      <c r="B1524" t="s">
        <v>496</v>
      </c>
      <c r="C1524" t="s">
        <v>1808</v>
      </c>
      <c r="D1524" t="s">
        <v>13</v>
      </c>
      <c r="E1524" t="s">
        <v>14</v>
      </c>
      <c r="F1524">
        <v>4</v>
      </c>
    </row>
    <row r="1525" spans="1:6" x14ac:dyDescent="0.25">
      <c r="A1525">
        <v>1057</v>
      </c>
      <c r="B1525" t="s">
        <v>496</v>
      </c>
      <c r="C1525" t="s">
        <v>1809</v>
      </c>
      <c r="D1525" t="s">
        <v>13</v>
      </c>
      <c r="E1525" t="s">
        <v>14</v>
      </c>
      <c r="F1525">
        <v>3.5</v>
      </c>
    </row>
    <row r="1526" spans="1:6" x14ac:dyDescent="0.25">
      <c r="A1526">
        <v>1056</v>
      </c>
      <c r="B1526" t="s">
        <v>496</v>
      </c>
      <c r="C1526" t="s">
        <v>1810</v>
      </c>
      <c r="D1526" t="s">
        <v>13</v>
      </c>
      <c r="E1526" t="s">
        <v>14</v>
      </c>
      <c r="F1526">
        <v>5</v>
      </c>
    </row>
    <row r="1527" spans="1:6" x14ac:dyDescent="0.25">
      <c r="A1527">
        <v>1055</v>
      </c>
      <c r="B1527" t="s">
        <v>496</v>
      </c>
      <c r="C1527" t="s">
        <v>1811</v>
      </c>
      <c r="D1527" t="s">
        <v>13</v>
      </c>
      <c r="E1527" t="s">
        <v>14</v>
      </c>
      <c r="F1527">
        <v>5</v>
      </c>
    </row>
    <row r="1528" spans="1:6" x14ac:dyDescent="0.25">
      <c r="A1528">
        <v>1054</v>
      </c>
      <c r="B1528" t="s">
        <v>496</v>
      </c>
      <c r="C1528" t="s">
        <v>1812</v>
      </c>
      <c r="D1528" t="s">
        <v>13</v>
      </c>
      <c r="E1528" t="s">
        <v>14</v>
      </c>
      <c r="F1528">
        <v>3.75</v>
      </c>
    </row>
    <row r="1529" spans="1:6" x14ac:dyDescent="0.25">
      <c r="A1529">
        <v>1053</v>
      </c>
      <c r="B1529" t="s">
        <v>496</v>
      </c>
      <c r="C1529" t="s">
        <v>1813</v>
      </c>
      <c r="D1529" t="s">
        <v>13</v>
      </c>
      <c r="E1529" t="s">
        <v>14</v>
      </c>
      <c r="F1529">
        <v>4</v>
      </c>
    </row>
    <row r="1530" spans="1:6" x14ac:dyDescent="0.25">
      <c r="A1530">
        <v>1052</v>
      </c>
      <c r="B1530" t="s">
        <v>496</v>
      </c>
      <c r="C1530" t="s">
        <v>1814</v>
      </c>
      <c r="D1530" t="s">
        <v>13</v>
      </c>
      <c r="E1530" t="s">
        <v>14</v>
      </c>
      <c r="F1530">
        <v>4.25</v>
      </c>
    </row>
    <row r="1531" spans="1:6" x14ac:dyDescent="0.25">
      <c r="A1531">
        <v>1051</v>
      </c>
      <c r="B1531" t="s">
        <v>102</v>
      </c>
      <c r="C1531" t="s">
        <v>1815</v>
      </c>
      <c r="D1531" t="s">
        <v>13</v>
      </c>
      <c r="E1531" t="s">
        <v>10</v>
      </c>
      <c r="F1531">
        <v>3.75</v>
      </c>
    </row>
    <row r="1532" spans="1:6" x14ac:dyDescent="0.25">
      <c r="A1532">
        <v>1050</v>
      </c>
      <c r="B1532" t="s">
        <v>343</v>
      </c>
      <c r="C1532" t="s">
        <v>1816</v>
      </c>
      <c r="D1532" t="s">
        <v>13</v>
      </c>
      <c r="E1532" t="s">
        <v>46</v>
      </c>
      <c r="F1532">
        <v>3</v>
      </c>
    </row>
    <row r="1533" spans="1:6" x14ac:dyDescent="0.25">
      <c r="A1533">
        <v>1049</v>
      </c>
      <c r="B1533" t="s">
        <v>1546</v>
      </c>
      <c r="C1533" t="s">
        <v>1817</v>
      </c>
      <c r="D1533" t="s">
        <v>44</v>
      </c>
      <c r="E1533" t="s">
        <v>465</v>
      </c>
      <c r="F1533">
        <v>2</v>
      </c>
    </row>
    <row r="1534" spans="1:6" x14ac:dyDescent="0.25">
      <c r="A1534">
        <v>1048</v>
      </c>
      <c r="B1534" t="s">
        <v>74</v>
      </c>
      <c r="C1534" t="s">
        <v>1402</v>
      </c>
      <c r="D1534" t="s">
        <v>9</v>
      </c>
      <c r="E1534" t="s">
        <v>25</v>
      </c>
      <c r="F1534">
        <v>3.5</v>
      </c>
    </row>
    <row r="1535" spans="1:6" x14ac:dyDescent="0.25">
      <c r="A1535">
        <v>1047</v>
      </c>
      <c r="B1535" t="s">
        <v>7</v>
      </c>
      <c r="C1535" t="s">
        <v>1818</v>
      </c>
      <c r="D1535" t="s">
        <v>30</v>
      </c>
      <c r="E1535" t="s">
        <v>10</v>
      </c>
      <c r="F1535">
        <v>4</v>
      </c>
    </row>
    <row r="1536" spans="1:6" x14ac:dyDescent="0.25">
      <c r="A1536">
        <v>1046</v>
      </c>
      <c r="B1536" t="s">
        <v>183</v>
      </c>
      <c r="C1536" t="s">
        <v>1819</v>
      </c>
      <c r="D1536" t="s">
        <v>13</v>
      </c>
      <c r="E1536" t="s">
        <v>17</v>
      </c>
      <c r="F1536">
        <v>4</v>
      </c>
    </row>
    <row r="1537" spans="1:6" x14ac:dyDescent="0.25">
      <c r="A1537">
        <v>1045</v>
      </c>
      <c r="B1537" t="s">
        <v>15</v>
      </c>
      <c r="C1537" t="s">
        <v>1820</v>
      </c>
      <c r="D1537" t="s">
        <v>30</v>
      </c>
      <c r="E1537" t="s">
        <v>17</v>
      </c>
      <c r="F1537">
        <v>3.5</v>
      </c>
    </row>
    <row r="1538" spans="1:6" x14ac:dyDescent="0.25">
      <c r="A1538">
        <v>1044</v>
      </c>
      <c r="B1538" t="s">
        <v>41</v>
      </c>
      <c r="C1538" t="s">
        <v>1821</v>
      </c>
      <c r="D1538" t="s">
        <v>44</v>
      </c>
      <c r="E1538" t="s">
        <v>79</v>
      </c>
      <c r="F1538">
        <v>3.25</v>
      </c>
    </row>
    <row r="1539" spans="1:6" x14ac:dyDescent="0.25">
      <c r="A1539">
        <v>1043</v>
      </c>
      <c r="B1539" t="s">
        <v>1317</v>
      </c>
      <c r="C1539" t="s">
        <v>1822</v>
      </c>
      <c r="D1539" t="s">
        <v>13</v>
      </c>
      <c r="E1539" t="s">
        <v>79</v>
      </c>
      <c r="F1539">
        <v>3</v>
      </c>
    </row>
    <row r="1540" spans="1:6" x14ac:dyDescent="0.25">
      <c r="A1540">
        <v>1042</v>
      </c>
      <c r="B1540" t="s">
        <v>41</v>
      </c>
      <c r="C1540" t="s">
        <v>1823</v>
      </c>
      <c r="D1540" t="s">
        <v>13</v>
      </c>
      <c r="E1540" t="s">
        <v>79</v>
      </c>
      <c r="F1540">
        <v>5</v>
      </c>
    </row>
    <row r="1541" spans="1:6" x14ac:dyDescent="0.25">
      <c r="A1541">
        <v>1041</v>
      </c>
      <c r="B1541" t="s">
        <v>1266</v>
      </c>
      <c r="C1541" t="s">
        <v>1824</v>
      </c>
      <c r="D1541" t="s">
        <v>13</v>
      </c>
      <c r="E1541" t="s">
        <v>516</v>
      </c>
      <c r="F1541">
        <v>4</v>
      </c>
    </row>
    <row r="1542" spans="1:6" x14ac:dyDescent="0.25">
      <c r="A1542">
        <v>1040</v>
      </c>
      <c r="B1542" t="s">
        <v>996</v>
      </c>
      <c r="C1542" t="s">
        <v>978</v>
      </c>
      <c r="D1542" t="s">
        <v>13</v>
      </c>
      <c r="E1542" t="s">
        <v>465</v>
      </c>
      <c r="F1542">
        <v>1</v>
      </c>
    </row>
    <row r="1543" spans="1:6" x14ac:dyDescent="0.25">
      <c r="A1543">
        <v>1039</v>
      </c>
      <c r="B1543" t="s">
        <v>102</v>
      </c>
      <c r="C1543" t="s">
        <v>1825</v>
      </c>
      <c r="D1543" t="s">
        <v>44</v>
      </c>
      <c r="E1543" t="s">
        <v>17</v>
      </c>
      <c r="F1543">
        <v>4.25</v>
      </c>
    </row>
    <row r="1544" spans="1:6" x14ac:dyDescent="0.25">
      <c r="A1544">
        <v>1038</v>
      </c>
      <c r="B1544" t="s">
        <v>621</v>
      </c>
      <c r="C1544" t="s">
        <v>1826</v>
      </c>
      <c r="D1544" t="s">
        <v>13</v>
      </c>
      <c r="E1544" t="s">
        <v>10</v>
      </c>
      <c r="F1544">
        <v>4.25</v>
      </c>
    </row>
    <row r="1545" spans="1:6" x14ac:dyDescent="0.25">
      <c r="A1545">
        <v>1037</v>
      </c>
      <c r="B1545" t="s">
        <v>1114</v>
      </c>
      <c r="C1545" t="s">
        <v>1827</v>
      </c>
      <c r="D1545" t="s">
        <v>13</v>
      </c>
      <c r="E1545" t="s">
        <v>25</v>
      </c>
      <c r="F1545">
        <v>4</v>
      </c>
    </row>
    <row r="1546" spans="1:6" x14ac:dyDescent="0.25">
      <c r="A1546">
        <v>1036</v>
      </c>
      <c r="B1546" t="s">
        <v>1475</v>
      </c>
      <c r="C1546" t="s">
        <v>1828</v>
      </c>
      <c r="D1546" t="s">
        <v>44</v>
      </c>
      <c r="E1546" t="s">
        <v>79</v>
      </c>
      <c r="F1546">
        <v>3.5</v>
      </c>
    </row>
    <row r="1547" spans="1:6" x14ac:dyDescent="0.25">
      <c r="A1547">
        <v>1035</v>
      </c>
      <c r="B1547" t="s">
        <v>18</v>
      </c>
      <c r="C1547" t="s">
        <v>1829</v>
      </c>
      <c r="D1547" t="s">
        <v>44</v>
      </c>
      <c r="E1547" t="s">
        <v>14</v>
      </c>
      <c r="F1547">
        <v>3.5</v>
      </c>
    </row>
    <row r="1548" spans="1:6" x14ac:dyDescent="0.25">
      <c r="A1548">
        <v>1034</v>
      </c>
      <c r="B1548" t="s">
        <v>996</v>
      </c>
      <c r="C1548" t="s">
        <v>1830</v>
      </c>
      <c r="D1548" t="s">
        <v>9</v>
      </c>
      <c r="E1548" t="s">
        <v>465</v>
      </c>
      <c r="F1548">
        <v>2.25</v>
      </c>
    </row>
    <row r="1549" spans="1:6" x14ac:dyDescent="0.25">
      <c r="A1549">
        <v>1033</v>
      </c>
      <c r="B1549" t="s">
        <v>15</v>
      </c>
      <c r="C1549" t="s">
        <v>1831</v>
      </c>
      <c r="D1549" t="s">
        <v>9</v>
      </c>
      <c r="E1549" t="s">
        <v>10</v>
      </c>
      <c r="F1549">
        <v>3.75</v>
      </c>
    </row>
    <row r="1550" spans="1:6" x14ac:dyDescent="0.25">
      <c r="A1550">
        <v>1032</v>
      </c>
      <c r="B1550" t="s">
        <v>897</v>
      </c>
      <c r="C1550" t="s">
        <v>1832</v>
      </c>
      <c r="D1550" t="s">
        <v>13</v>
      </c>
      <c r="E1550" t="s">
        <v>38</v>
      </c>
      <c r="F1550">
        <v>4</v>
      </c>
    </row>
    <row r="1551" spans="1:6" x14ac:dyDescent="0.25">
      <c r="A1551">
        <v>1031</v>
      </c>
      <c r="B1551" t="s">
        <v>1630</v>
      </c>
      <c r="C1551" t="s">
        <v>1833</v>
      </c>
      <c r="D1551" t="s">
        <v>13</v>
      </c>
      <c r="E1551" t="s">
        <v>25</v>
      </c>
      <c r="F1551">
        <v>4</v>
      </c>
    </row>
    <row r="1552" spans="1:6" x14ac:dyDescent="0.25">
      <c r="A1552">
        <v>1030</v>
      </c>
      <c r="B1552" t="s">
        <v>23</v>
      </c>
      <c r="C1552" t="s">
        <v>1834</v>
      </c>
      <c r="D1552" t="s">
        <v>13</v>
      </c>
      <c r="E1552" t="s">
        <v>25</v>
      </c>
      <c r="F1552">
        <v>3.75</v>
      </c>
    </row>
    <row r="1553" spans="1:6" x14ac:dyDescent="0.25">
      <c r="A1553">
        <v>1029</v>
      </c>
      <c r="B1553" t="s">
        <v>23</v>
      </c>
      <c r="C1553" t="s">
        <v>1835</v>
      </c>
      <c r="D1553" t="s">
        <v>13</v>
      </c>
      <c r="E1553" t="s">
        <v>25</v>
      </c>
      <c r="F1553">
        <v>5</v>
      </c>
    </row>
    <row r="1554" spans="1:6" x14ac:dyDescent="0.25">
      <c r="A1554">
        <v>1028</v>
      </c>
      <c r="B1554" t="s">
        <v>23</v>
      </c>
      <c r="C1554" t="s">
        <v>1836</v>
      </c>
      <c r="D1554" t="s">
        <v>13</v>
      </c>
      <c r="E1554" t="s">
        <v>25</v>
      </c>
      <c r="F1554">
        <v>4</v>
      </c>
    </row>
    <row r="1555" spans="1:6" x14ac:dyDescent="0.25">
      <c r="A1555">
        <v>1027</v>
      </c>
      <c r="B1555" t="s">
        <v>23</v>
      </c>
      <c r="C1555" t="s">
        <v>1837</v>
      </c>
      <c r="D1555" t="s">
        <v>44</v>
      </c>
      <c r="E1555" t="s">
        <v>25</v>
      </c>
      <c r="F1555">
        <v>4</v>
      </c>
    </row>
    <row r="1556" spans="1:6" x14ac:dyDescent="0.25">
      <c r="A1556">
        <v>1026</v>
      </c>
      <c r="B1556" t="s">
        <v>23</v>
      </c>
      <c r="C1556" t="s">
        <v>1838</v>
      </c>
      <c r="D1556" t="s">
        <v>13</v>
      </c>
      <c r="E1556" t="s">
        <v>25</v>
      </c>
      <c r="F1556">
        <v>3.75</v>
      </c>
    </row>
    <row r="1557" spans="1:6" x14ac:dyDescent="0.25">
      <c r="A1557">
        <v>1025</v>
      </c>
      <c r="B1557" t="s">
        <v>23</v>
      </c>
      <c r="C1557" t="s">
        <v>1839</v>
      </c>
      <c r="D1557" t="s">
        <v>13</v>
      </c>
      <c r="E1557" t="s">
        <v>25</v>
      </c>
      <c r="F1557">
        <v>3.75</v>
      </c>
    </row>
    <row r="1558" spans="1:6" x14ac:dyDescent="0.25">
      <c r="A1558">
        <v>1024</v>
      </c>
      <c r="B1558" t="s">
        <v>1630</v>
      </c>
      <c r="C1558" t="s">
        <v>1840</v>
      </c>
      <c r="D1558" t="s">
        <v>13</v>
      </c>
      <c r="E1558" t="s">
        <v>25</v>
      </c>
      <c r="F1558">
        <v>3.5</v>
      </c>
    </row>
    <row r="1559" spans="1:6" x14ac:dyDescent="0.25">
      <c r="A1559">
        <v>1023</v>
      </c>
      <c r="B1559" t="s">
        <v>23</v>
      </c>
      <c r="C1559" t="s">
        <v>1841</v>
      </c>
      <c r="D1559" t="s">
        <v>13</v>
      </c>
      <c r="E1559" t="s">
        <v>25</v>
      </c>
      <c r="F1559">
        <v>4.5</v>
      </c>
    </row>
    <row r="1560" spans="1:6" x14ac:dyDescent="0.25">
      <c r="A1560">
        <v>1022</v>
      </c>
      <c r="B1560" t="s">
        <v>1630</v>
      </c>
      <c r="C1560" t="s">
        <v>1842</v>
      </c>
      <c r="D1560" t="s">
        <v>13</v>
      </c>
      <c r="E1560" t="s">
        <v>25</v>
      </c>
      <c r="F1560">
        <v>5</v>
      </c>
    </row>
    <row r="1561" spans="1:6" x14ac:dyDescent="0.25">
      <c r="A1561">
        <v>1021</v>
      </c>
      <c r="B1561" t="s">
        <v>23</v>
      </c>
      <c r="C1561" t="s">
        <v>1843</v>
      </c>
      <c r="D1561" t="s">
        <v>13</v>
      </c>
      <c r="E1561" t="s">
        <v>25</v>
      </c>
      <c r="F1561">
        <v>4.25</v>
      </c>
    </row>
    <row r="1562" spans="1:6" x14ac:dyDescent="0.25">
      <c r="A1562">
        <v>1020</v>
      </c>
      <c r="B1562" t="s">
        <v>23</v>
      </c>
      <c r="C1562" t="s">
        <v>1844</v>
      </c>
      <c r="D1562" t="s">
        <v>44</v>
      </c>
      <c r="E1562" t="s">
        <v>25</v>
      </c>
      <c r="F1562">
        <v>4.75</v>
      </c>
    </row>
    <row r="1563" spans="1:6" x14ac:dyDescent="0.25">
      <c r="A1563">
        <v>1019</v>
      </c>
      <c r="B1563" t="s">
        <v>23</v>
      </c>
      <c r="C1563" t="s">
        <v>1845</v>
      </c>
      <c r="D1563" t="s">
        <v>13</v>
      </c>
      <c r="E1563" t="s">
        <v>25</v>
      </c>
      <c r="F1563">
        <v>4</v>
      </c>
    </row>
    <row r="1564" spans="1:6" x14ac:dyDescent="0.25">
      <c r="A1564">
        <v>1018</v>
      </c>
      <c r="B1564" t="s">
        <v>23</v>
      </c>
      <c r="C1564" t="s">
        <v>1736</v>
      </c>
      <c r="D1564" t="s">
        <v>13</v>
      </c>
      <c r="E1564" t="s">
        <v>25</v>
      </c>
      <c r="F1564">
        <v>4.25</v>
      </c>
    </row>
    <row r="1565" spans="1:6" x14ac:dyDescent="0.25">
      <c r="A1565">
        <v>1017</v>
      </c>
      <c r="B1565" t="s">
        <v>23</v>
      </c>
      <c r="C1565" t="s">
        <v>1846</v>
      </c>
      <c r="D1565" t="s">
        <v>13</v>
      </c>
      <c r="E1565" t="s">
        <v>25</v>
      </c>
      <c r="F1565">
        <v>3.75</v>
      </c>
    </row>
    <row r="1566" spans="1:6" x14ac:dyDescent="0.25">
      <c r="A1566">
        <v>1016</v>
      </c>
      <c r="B1566" t="s">
        <v>15</v>
      </c>
      <c r="C1566" t="s">
        <v>1847</v>
      </c>
      <c r="D1566" t="s">
        <v>9</v>
      </c>
      <c r="E1566" t="s">
        <v>17</v>
      </c>
      <c r="F1566">
        <v>3.5</v>
      </c>
    </row>
    <row r="1567" spans="1:6" x14ac:dyDescent="0.25">
      <c r="A1567">
        <v>1015</v>
      </c>
      <c r="B1567" t="s">
        <v>1848</v>
      </c>
      <c r="C1567" t="s">
        <v>1849</v>
      </c>
      <c r="D1567" t="s">
        <v>13</v>
      </c>
      <c r="E1567" t="s">
        <v>17</v>
      </c>
      <c r="F1567">
        <v>2.75</v>
      </c>
    </row>
    <row r="1568" spans="1:6" x14ac:dyDescent="0.25">
      <c r="A1568">
        <v>1014</v>
      </c>
      <c r="B1568" t="s">
        <v>15</v>
      </c>
      <c r="C1568" t="s">
        <v>1850</v>
      </c>
      <c r="D1568" t="s">
        <v>44</v>
      </c>
      <c r="E1568" t="s">
        <v>10</v>
      </c>
      <c r="F1568">
        <v>4.25</v>
      </c>
    </row>
    <row r="1569" spans="1:6" x14ac:dyDescent="0.25">
      <c r="A1569">
        <v>1013</v>
      </c>
      <c r="B1569" t="s">
        <v>1055</v>
      </c>
      <c r="C1569" t="s">
        <v>1851</v>
      </c>
      <c r="D1569" t="s">
        <v>13</v>
      </c>
      <c r="E1569" t="s">
        <v>53</v>
      </c>
      <c r="F1569">
        <v>3.5</v>
      </c>
    </row>
    <row r="1570" spans="1:6" x14ac:dyDescent="0.25">
      <c r="A1570">
        <v>1012</v>
      </c>
      <c r="B1570" t="s">
        <v>811</v>
      </c>
      <c r="C1570" t="s">
        <v>1852</v>
      </c>
      <c r="D1570" t="s">
        <v>13</v>
      </c>
      <c r="E1570" t="s">
        <v>1853</v>
      </c>
      <c r="F1570">
        <v>3.5</v>
      </c>
    </row>
    <row r="1571" spans="1:6" x14ac:dyDescent="0.25">
      <c r="A1571">
        <v>1011</v>
      </c>
      <c r="B1571" t="s">
        <v>102</v>
      </c>
      <c r="C1571" t="s">
        <v>1854</v>
      </c>
      <c r="D1571" t="s">
        <v>44</v>
      </c>
      <c r="E1571" t="s">
        <v>17</v>
      </c>
      <c r="F1571">
        <v>4</v>
      </c>
    </row>
    <row r="1572" spans="1:6" x14ac:dyDescent="0.25">
      <c r="A1572">
        <v>1010</v>
      </c>
      <c r="B1572" t="s">
        <v>1475</v>
      </c>
      <c r="C1572" t="s">
        <v>1855</v>
      </c>
      <c r="D1572" t="s">
        <v>44</v>
      </c>
      <c r="E1572" t="s">
        <v>79</v>
      </c>
      <c r="F1572">
        <v>3.75</v>
      </c>
    </row>
    <row r="1573" spans="1:6" x14ac:dyDescent="0.25">
      <c r="A1573">
        <v>1009</v>
      </c>
      <c r="B1573" t="s">
        <v>996</v>
      </c>
      <c r="C1573" t="s">
        <v>1856</v>
      </c>
      <c r="D1573" t="s">
        <v>9</v>
      </c>
      <c r="E1573" t="s">
        <v>465</v>
      </c>
      <c r="F1573">
        <v>2</v>
      </c>
    </row>
    <row r="1574" spans="1:6" x14ac:dyDescent="0.25">
      <c r="A1574">
        <v>1008</v>
      </c>
      <c r="B1574" t="s">
        <v>74</v>
      </c>
      <c r="C1574" t="s">
        <v>1857</v>
      </c>
      <c r="D1574" t="s">
        <v>44</v>
      </c>
      <c r="E1574" t="s">
        <v>25</v>
      </c>
      <c r="F1574">
        <v>3.5</v>
      </c>
    </row>
    <row r="1575" spans="1:6" x14ac:dyDescent="0.25">
      <c r="A1575">
        <v>1007</v>
      </c>
      <c r="B1575" t="s">
        <v>15</v>
      </c>
      <c r="C1575" t="s">
        <v>1858</v>
      </c>
      <c r="D1575" t="s">
        <v>44</v>
      </c>
      <c r="E1575" t="s">
        <v>46</v>
      </c>
      <c r="F1575">
        <v>4.5</v>
      </c>
    </row>
    <row r="1576" spans="1:6" x14ac:dyDescent="0.25">
      <c r="A1576">
        <v>1006</v>
      </c>
      <c r="B1576" t="s">
        <v>1859</v>
      </c>
      <c r="C1576" t="s">
        <v>1860</v>
      </c>
      <c r="D1576" t="s">
        <v>13</v>
      </c>
      <c r="E1576" t="s">
        <v>1861</v>
      </c>
      <c r="F1576">
        <v>4</v>
      </c>
    </row>
    <row r="1577" spans="1:6" x14ac:dyDescent="0.25">
      <c r="A1577">
        <v>1005</v>
      </c>
      <c r="B1577" t="s">
        <v>590</v>
      </c>
      <c r="C1577" t="s">
        <v>886</v>
      </c>
      <c r="D1577" t="s">
        <v>44</v>
      </c>
      <c r="E1577" t="s">
        <v>79</v>
      </c>
      <c r="F1577">
        <v>2.75</v>
      </c>
    </row>
    <row r="1578" spans="1:6" x14ac:dyDescent="0.25">
      <c r="A1578">
        <v>1004</v>
      </c>
      <c r="B1578" t="s">
        <v>322</v>
      </c>
      <c r="C1578" t="s">
        <v>1184</v>
      </c>
      <c r="D1578" t="s">
        <v>13</v>
      </c>
      <c r="E1578" t="s">
        <v>38</v>
      </c>
      <c r="F1578">
        <v>3</v>
      </c>
    </row>
    <row r="1579" spans="1:6" x14ac:dyDescent="0.25">
      <c r="A1579">
        <v>1003</v>
      </c>
      <c r="B1579" t="s">
        <v>15</v>
      </c>
      <c r="C1579" t="s">
        <v>1862</v>
      </c>
      <c r="D1579" t="s">
        <v>30</v>
      </c>
      <c r="E1579" t="s">
        <v>17</v>
      </c>
      <c r="F1579">
        <v>4.5</v>
      </c>
    </row>
    <row r="1580" spans="1:6" x14ac:dyDescent="0.25">
      <c r="A1580">
        <v>1002</v>
      </c>
      <c r="B1580" t="s">
        <v>1546</v>
      </c>
      <c r="C1580" t="s">
        <v>1863</v>
      </c>
      <c r="D1580" t="s">
        <v>44</v>
      </c>
      <c r="E1580" t="s">
        <v>465</v>
      </c>
      <c r="F1580">
        <v>2</v>
      </c>
    </row>
    <row r="1581" spans="1:6" x14ac:dyDescent="0.25">
      <c r="A1581">
        <v>1001</v>
      </c>
      <c r="B1581" t="s">
        <v>54</v>
      </c>
      <c r="C1581" t="s">
        <v>1864</v>
      </c>
      <c r="D1581" t="s">
        <v>13</v>
      </c>
      <c r="E1581" t="s">
        <v>25</v>
      </c>
      <c r="F1581">
        <v>3.5</v>
      </c>
    </row>
    <row r="1582" spans="1:6" x14ac:dyDescent="0.25">
      <c r="A1582">
        <v>1000</v>
      </c>
      <c r="B1582" t="s">
        <v>102</v>
      </c>
      <c r="C1582" t="s">
        <v>1865</v>
      </c>
      <c r="D1582" t="s">
        <v>30</v>
      </c>
      <c r="E1582" t="s">
        <v>17</v>
      </c>
      <c r="F1582">
        <v>4.25</v>
      </c>
    </row>
    <row r="1583" spans="1:6" x14ac:dyDescent="0.25">
      <c r="A1583">
        <v>999</v>
      </c>
      <c r="B1583" t="s">
        <v>1866</v>
      </c>
      <c r="C1583" t="s">
        <v>1867</v>
      </c>
      <c r="D1583" t="s">
        <v>9</v>
      </c>
      <c r="E1583" t="s">
        <v>516</v>
      </c>
      <c r="F1583">
        <v>1.5</v>
      </c>
    </row>
    <row r="1584" spans="1:6" x14ac:dyDescent="0.25">
      <c r="A1584">
        <v>998</v>
      </c>
      <c r="B1584" t="s">
        <v>41</v>
      </c>
      <c r="C1584" t="s">
        <v>1868</v>
      </c>
      <c r="D1584" t="s">
        <v>9</v>
      </c>
      <c r="E1584" t="s">
        <v>25</v>
      </c>
      <c r="F1584">
        <v>4.5</v>
      </c>
    </row>
    <row r="1585" spans="1:7" x14ac:dyDescent="0.25">
      <c r="A1585">
        <v>997</v>
      </c>
      <c r="B1585" t="s">
        <v>1073</v>
      </c>
      <c r="C1585" t="s">
        <v>1869</v>
      </c>
      <c r="D1585" t="s">
        <v>13</v>
      </c>
      <c r="E1585" t="s">
        <v>10</v>
      </c>
      <c r="F1585">
        <v>4.25</v>
      </c>
    </row>
    <row r="1586" spans="1:7" x14ac:dyDescent="0.25">
      <c r="A1586">
        <v>996</v>
      </c>
      <c r="B1586" t="s">
        <v>102</v>
      </c>
      <c r="C1586" t="s">
        <v>1870</v>
      </c>
      <c r="D1586" t="s">
        <v>44</v>
      </c>
      <c r="E1586" t="s">
        <v>17</v>
      </c>
      <c r="F1586">
        <v>4</v>
      </c>
    </row>
    <row r="1587" spans="1:7" x14ac:dyDescent="0.25">
      <c r="A1587">
        <v>995</v>
      </c>
      <c r="B1587" t="s">
        <v>1266</v>
      </c>
      <c r="C1587" t="s">
        <v>93</v>
      </c>
      <c r="D1587" t="s">
        <v>13</v>
      </c>
      <c r="E1587" t="s">
        <v>516</v>
      </c>
      <c r="F1587">
        <v>3</v>
      </c>
    </row>
    <row r="1588" spans="1:7" x14ac:dyDescent="0.25">
      <c r="A1588">
        <v>994</v>
      </c>
      <c r="B1588" t="s">
        <v>322</v>
      </c>
      <c r="C1588" t="s">
        <v>1871</v>
      </c>
      <c r="D1588" t="s">
        <v>13</v>
      </c>
      <c r="E1588" t="s">
        <v>38</v>
      </c>
      <c r="F1588">
        <v>3.25</v>
      </c>
    </row>
    <row r="1589" spans="1:7" x14ac:dyDescent="0.25">
      <c r="A1589">
        <v>993</v>
      </c>
      <c r="B1589" t="s">
        <v>811</v>
      </c>
      <c r="C1589" t="s">
        <v>1872</v>
      </c>
      <c r="D1589" t="s">
        <v>13</v>
      </c>
      <c r="E1589" t="s">
        <v>1853</v>
      </c>
      <c r="F1589">
        <v>3.5</v>
      </c>
    </row>
    <row r="1590" spans="1:7" x14ac:dyDescent="0.25">
      <c r="A1590">
        <v>992</v>
      </c>
      <c r="B1590" t="s">
        <v>757</v>
      </c>
      <c r="C1590" t="s">
        <v>1873</v>
      </c>
      <c r="D1590" t="s">
        <v>13</v>
      </c>
      <c r="E1590" t="s">
        <v>35</v>
      </c>
      <c r="F1590">
        <v>5</v>
      </c>
      <c r="G1590" t="s">
        <v>1874</v>
      </c>
    </row>
    <row r="1591" spans="1:7" x14ac:dyDescent="0.25">
      <c r="A1591">
        <v>991</v>
      </c>
      <c r="B1591" t="s">
        <v>757</v>
      </c>
      <c r="C1591" t="s">
        <v>1875</v>
      </c>
      <c r="D1591" t="s">
        <v>13</v>
      </c>
      <c r="E1591" t="s">
        <v>35</v>
      </c>
      <c r="F1591">
        <v>5</v>
      </c>
      <c r="G1591" t="s">
        <v>1876</v>
      </c>
    </row>
    <row r="1592" spans="1:7" x14ac:dyDescent="0.25">
      <c r="A1592">
        <v>990</v>
      </c>
      <c r="B1592" t="s">
        <v>15</v>
      </c>
      <c r="C1592" t="s">
        <v>1877</v>
      </c>
      <c r="D1592" t="s">
        <v>30</v>
      </c>
      <c r="E1592" t="s">
        <v>17</v>
      </c>
      <c r="F1592">
        <v>2.75</v>
      </c>
    </row>
    <row r="1593" spans="1:7" x14ac:dyDescent="0.25">
      <c r="A1593">
        <v>989</v>
      </c>
      <c r="B1593" t="s">
        <v>1752</v>
      </c>
      <c r="C1593" t="s">
        <v>1878</v>
      </c>
      <c r="D1593" t="s">
        <v>13</v>
      </c>
      <c r="E1593" t="s">
        <v>25</v>
      </c>
      <c r="F1593">
        <v>4</v>
      </c>
    </row>
    <row r="1594" spans="1:7" x14ac:dyDescent="0.25">
      <c r="A1594">
        <v>988</v>
      </c>
      <c r="B1594" t="s">
        <v>1859</v>
      </c>
      <c r="C1594" t="s">
        <v>1879</v>
      </c>
      <c r="D1594" t="s">
        <v>13</v>
      </c>
      <c r="E1594" t="s">
        <v>1861</v>
      </c>
      <c r="F1594">
        <v>3.25</v>
      </c>
    </row>
    <row r="1595" spans="1:7" x14ac:dyDescent="0.25">
      <c r="A1595">
        <v>987</v>
      </c>
      <c r="B1595" t="s">
        <v>727</v>
      </c>
      <c r="C1595" t="s">
        <v>1880</v>
      </c>
      <c r="D1595" t="s">
        <v>13</v>
      </c>
      <c r="E1595" t="s">
        <v>340</v>
      </c>
      <c r="F1595">
        <v>2.75</v>
      </c>
    </row>
    <row r="1596" spans="1:7" x14ac:dyDescent="0.25">
      <c r="A1596">
        <v>986</v>
      </c>
      <c r="B1596" t="s">
        <v>54</v>
      </c>
      <c r="C1596" t="s">
        <v>1881</v>
      </c>
      <c r="D1596" t="s">
        <v>13</v>
      </c>
      <c r="E1596" t="s">
        <v>25</v>
      </c>
      <c r="F1596">
        <v>4</v>
      </c>
    </row>
    <row r="1597" spans="1:7" x14ac:dyDescent="0.25">
      <c r="A1597">
        <v>985</v>
      </c>
      <c r="B1597" t="s">
        <v>1266</v>
      </c>
      <c r="C1597" t="s">
        <v>1882</v>
      </c>
      <c r="D1597" t="s">
        <v>9</v>
      </c>
      <c r="E1597" t="s">
        <v>516</v>
      </c>
      <c r="F1597">
        <v>1</v>
      </c>
    </row>
    <row r="1598" spans="1:7" x14ac:dyDescent="0.25">
      <c r="A1598">
        <v>984</v>
      </c>
      <c r="B1598" t="s">
        <v>1883</v>
      </c>
      <c r="C1598" t="s">
        <v>1884</v>
      </c>
      <c r="D1598" t="s">
        <v>30</v>
      </c>
      <c r="E1598" t="s">
        <v>17</v>
      </c>
      <c r="F1598">
        <v>5</v>
      </c>
    </row>
    <row r="1599" spans="1:7" x14ac:dyDescent="0.25">
      <c r="A1599">
        <v>983</v>
      </c>
      <c r="B1599" t="s">
        <v>1883</v>
      </c>
      <c r="C1599" t="s">
        <v>1885</v>
      </c>
      <c r="D1599" t="s">
        <v>30</v>
      </c>
      <c r="E1599" t="s">
        <v>17</v>
      </c>
      <c r="F1599">
        <v>3.75</v>
      </c>
    </row>
    <row r="1600" spans="1:7" x14ac:dyDescent="0.25">
      <c r="A1600">
        <v>982</v>
      </c>
      <c r="B1600" t="s">
        <v>1883</v>
      </c>
      <c r="C1600" t="s">
        <v>1886</v>
      </c>
      <c r="D1600" t="s">
        <v>30</v>
      </c>
      <c r="E1600" t="s">
        <v>17</v>
      </c>
      <c r="F1600">
        <v>5</v>
      </c>
    </row>
    <row r="1601" spans="1:6" x14ac:dyDescent="0.25">
      <c r="A1601">
        <v>981</v>
      </c>
      <c r="B1601" t="s">
        <v>1887</v>
      </c>
      <c r="C1601" t="s">
        <v>1888</v>
      </c>
      <c r="D1601" t="s">
        <v>13</v>
      </c>
      <c r="E1601" t="s">
        <v>17</v>
      </c>
      <c r="F1601">
        <v>4</v>
      </c>
    </row>
    <row r="1602" spans="1:6" x14ac:dyDescent="0.25">
      <c r="A1602">
        <v>980</v>
      </c>
      <c r="B1602" t="s">
        <v>1883</v>
      </c>
      <c r="C1602" t="s">
        <v>1889</v>
      </c>
      <c r="D1602" t="s">
        <v>30</v>
      </c>
      <c r="E1602" t="s">
        <v>17</v>
      </c>
      <c r="F1602">
        <v>4</v>
      </c>
    </row>
    <row r="1603" spans="1:6" x14ac:dyDescent="0.25">
      <c r="A1603">
        <v>979</v>
      </c>
      <c r="B1603" t="s">
        <v>1883</v>
      </c>
      <c r="C1603" t="s">
        <v>1890</v>
      </c>
      <c r="D1603" t="s">
        <v>30</v>
      </c>
      <c r="E1603" t="s">
        <v>17</v>
      </c>
      <c r="F1603">
        <v>4</v>
      </c>
    </row>
    <row r="1604" spans="1:6" x14ac:dyDescent="0.25">
      <c r="A1604">
        <v>978</v>
      </c>
      <c r="B1604" t="s">
        <v>1883</v>
      </c>
      <c r="C1604" t="s">
        <v>1891</v>
      </c>
      <c r="D1604" t="s">
        <v>30</v>
      </c>
      <c r="E1604" t="s">
        <v>17</v>
      </c>
      <c r="F1604">
        <v>5</v>
      </c>
    </row>
    <row r="1605" spans="1:6" x14ac:dyDescent="0.25">
      <c r="A1605">
        <v>977</v>
      </c>
      <c r="B1605" t="s">
        <v>1883</v>
      </c>
      <c r="C1605" t="s">
        <v>397</v>
      </c>
      <c r="D1605" t="s">
        <v>13</v>
      </c>
      <c r="E1605" t="s">
        <v>17</v>
      </c>
      <c r="F1605">
        <v>4.5</v>
      </c>
    </row>
    <row r="1606" spans="1:6" x14ac:dyDescent="0.25">
      <c r="A1606">
        <v>976</v>
      </c>
      <c r="B1606" t="s">
        <v>15</v>
      </c>
      <c r="C1606" t="s">
        <v>1892</v>
      </c>
      <c r="D1606" t="s">
        <v>44</v>
      </c>
      <c r="E1606" t="s">
        <v>10</v>
      </c>
      <c r="F1606">
        <v>4</v>
      </c>
    </row>
    <row r="1607" spans="1:6" x14ac:dyDescent="0.25">
      <c r="A1607">
        <v>975</v>
      </c>
      <c r="B1607" t="s">
        <v>74</v>
      </c>
      <c r="C1607" t="s">
        <v>1893</v>
      </c>
      <c r="D1607" t="s">
        <v>44</v>
      </c>
      <c r="E1607" t="s">
        <v>25</v>
      </c>
      <c r="F1607">
        <v>4.5</v>
      </c>
    </row>
    <row r="1608" spans="1:6" x14ac:dyDescent="0.25">
      <c r="A1608">
        <v>974</v>
      </c>
      <c r="B1608" t="s">
        <v>1866</v>
      </c>
      <c r="C1608" t="s">
        <v>1894</v>
      </c>
      <c r="D1608" t="s">
        <v>9</v>
      </c>
      <c r="E1608" t="s">
        <v>516</v>
      </c>
      <c r="F1608">
        <v>2.25</v>
      </c>
    </row>
    <row r="1609" spans="1:6" x14ac:dyDescent="0.25">
      <c r="A1609">
        <v>973</v>
      </c>
      <c r="B1609" t="s">
        <v>1422</v>
      </c>
      <c r="C1609" t="s">
        <v>1895</v>
      </c>
      <c r="D1609" t="s">
        <v>13</v>
      </c>
      <c r="E1609" t="s">
        <v>17</v>
      </c>
      <c r="F1609">
        <v>4</v>
      </c>
    </row>
    <row r="1610" spans="1:6" x14ac:dyDescent="0.25">
      <c r="A1610">
        <v>972</v>
      </c>
      <c r="B1610" t="s">
        <v>1896</v>
      </c>
      <c r="C1610" t="s">
        <v>1897</v>
      </c>
      <c r="D1610" t="s">
        <v>13</v>
      </c>
      <c r="E1610" t="s">
        <v>79</v>
      </c>
      <c r="F1610">
        <v>3</v>
      </c>
    </row>
    <row r="1611" spans="1:6" x14ac:dyDescent="0.25">
      <c r="A1611">
        <v>971</v>
      </c>
      <c r="B1611" t="s">
        <v>1422</v>
      </c>
      <c r="C1611" t="s">
        <v>1898</v>
      </c>
      <c r="D1611" t="s">
        <v>44</v>
      </c>
      <c r="E1611" t="s">
        <v>17</v>
      </c>
      <c r="F1611">
        <v>4.25</v>
      </c>
    </row>
    <row r="1612" spans="1:6" x14ac:dyDescent="0.25">
      <c r="A1612">
        <v>970</v>
      </c>
      <c r="B1612" t="s">
        <v>1422</v>
      </c>
      <c r="C1612" t="s">
        <v>1899</v>
      </c>
      <c r="D1612" t="s">
        <v>30</v>
      </c>
      <c r="E1612" t="s">
        <v>17</v>
      </c>
      <c r="F1612">
        <v>2</v>
      </c>
    </row>
    <row r="1613" spans="1:6" x14ac:dyDescent="0.25">
      <c r="A1613">
        <v>969</v>
      </c>
      <c r="B1613" t="s">
        <v>1422</v>
      </c>
      <c r="C1613" t="s">
        <v>1900</v>
      </c>
      <c r="D1613" t="s">
        <v>44</v>
      </c>
      <c r="E1613" t="s">
        <v>17</v>
      </c>
      <c r="F1613">
        <v>4</v>
      </c>
    </row>
    <row r="1614" spans="1:6" x14ac:dyDescent="0.25">
      <c r="A1614">
        <v>968</v>
      </c>
      <c r="B1614" t="s">
        <v>1422</v>
      </c>
      <c r="C1614" t="s">
        <v>1901</v>
      </c>
      <c r="D1614" t="s">
        <v>30</v>
      </c>
      <c r="E1614" t="s">
        <v>17</v>
      </c>
      <c r="F1614">
        <v>3</v>
      </c>
    </row>
    <row r="1615" spans="1:6" x14ac:dyDescent="0.25">
      <c r="A1615">
        <v>967</v>
      </c>
      <c r="B1615" t="s">
        <v>1422</v>
      </c>
      <c r="C1615" t="s">
        <v>1902</v>
      </c>
      <c r="D1615" t="s">
        <v>44</v>
      </c>
      <c r="E1615" t="s">
        <v>17</v>
      </c>
      <c r="F1615">
        <v>4.5</v>
      </c>
    </row>
    <row r="1616" spans="1:6" x14ac:dyDescent="0.25">
      <c r="A1616">
        <v>966</v>
      </c>
      <c r="B1616" t="s">
        <v>1422</v>
      </c>
      <c r="C1616" t="s">
        <v>1903</v>
      </c>
      <c r="D1616" t="s">
        <v>13</v>
      </c>
      <c r="E1616" t="s">
        <v>17</v>
      </c>
      <c r="F1616">
        <v>4</v>
      </c>
    </row>
    <row r="1617" spans="1:6" x14ac:dyDescent="0.25">
      <c r="A1617">
        <v>965</v>
      </c>
      <c r="B1617" t="s">
        <v>1422</v>
      </c>
      <c r="C1617" t="s">
        <v>1904</v>
      </c>
      <c r="D1617" t="s">
        <v>30</v>
      </c>
      <c r="E1617" t="s">
        <v>17</v>
      </c>
      <c r="F1617">
        <v>3.75</v>
      </c>
    </row>
    <row r="1618" spans="1:6" x14ac:dyDescent="0.25">
      <c r="A1618">
        <v>964</v>
      </c>
      <c r="B1618" t="s">
        <v>15</v>
      </c>
      <c r="C1618" t="s">
        <v>1905</v>
      </c>
      <c r="D1618" t="s">
        <v>44</v>
      </c>
      <c r="E1618" t="s">
        <v>10</v>
      </c>
      <c r="F1618">
        <v>5</v>
      </c>
    </row>
    <row r="1619" spans="1:6" x14ac:dyDescent="0.25">
      <c r="A1619">
        <v>963</v>
      </c>
      <c r="B1619" t="s">
        <v>1866</v>
      </c>
      <c r="C1619" t="s">
        <v>1906</v>
      </c>
      <c r="D1619" t="s">
        <v>9</v>
      </c>
      <c r="E1619" t="s">
        <v>516</v>
      </c>
      <c r="F1619">
        <v>3.25</v>
      </c>
    </row>
    <row r="1620" spans="1:6" x14ac:dyDescent="0.25">
      <c r="A1620">
        <v>962</v>
      </c>
      <c r="B1620" t="s">
        <v>41</v>
      </c>
      <c r="C1620" t="s">
        <v>1907</v>
      </c>
      <c r="D1620" t="s">
        <v>44</v>
      </c>
      <c r="E1620" t="s">
        <v>17</v>
      </c>
      <c r="F1620">
        <v>4.25</v>
      </c>
    </row>
    <row r="1621" spans="1:6" x14ac:dyDescent="0.25">
      <c r="A1621">
        <v>961</v>
      </c>
      <c r="B1621" t="s">
        <v>727</v>
      </c>
      <c r="C1621" t="s">
        <v>1908</v>
      </c>
      <c r="D1621" t="s">
        <v>13</v>
      </c>
      <c r="E1621" t="s">
        <v>340</v>
      </c>
      <c r="F1621">
        <v>2.75</v>
      </c>
    </row>
    <row r="1622" spans="1:6" x14ac:dyDescent="0.25">
      <c r="A1622">
        <v>960</v>
      </c>
      <c r="B1622" t="s">
        <v>15</v>
      </c>
      <c r="C1622" t="s">
        <v>1909</v>
      </c>
      <c r="D1622" t="s">
        <v>44</v>
      </c>
      <c r="E1622" t="s">
        <v>17</v>
      </c>
      <c r="F1622">
        <v>3.25</v>
      </c>
    </row>
    <row r="1623" spans="1:6" x14ac:dyDescent="0.25">
      <c r="A1623">
        <v>959</v>
      </c>
      <c r="B1623" t="s">
        <v>1073</v>
      </c>
      <c r="C1623" t="s">
        <v>1910</v>
      </c>
      <c r="D1623" t="s">
        <v>13</v>
      </c>
      <c r="E1623" t="s">
        <v>10</v>
      </c>
      <c r="F1623">
        <v>3.25</v>
      </c>
    </row>
    <row r="1624" spans="1:6" x14ac:dyDescent="0.25">
      <c r="A1624">
        <v>958</v>
      </c>
      <c r="B1624" t="s">
        <v>1073</v>
      </c>
      <c r="C1624" t="s">
        <v>1911</v>
      </c>
      <c r="D1624" t="s">
        <v>44</v>
      </c>
      <c r="E1624" t="s">
        <v>10</v>
      </c>
      <c r="F1624">
        <v>4.25</v>
      </c>
    </row>
    <row r="1625" spans="1:6" x14ac:dyDescent="0.25">
      <c r="A1625">
        <v>957</v>
      </c>
      <c r="B1625" t="s">
        <v>1073</v>
      </c>
      <c r="C1625" t="s">
        <v>1912</v>
      </c>
      <c r="D1625" t="s">
        <v>13</v>
      </c>
      <c r="E1625" t="s">
        <v>10</v>
      </c>
      <c r="F1625">
        <v>4.25</v>
      </c>
    </row>
    <row r="1626" spans="1:6" x14ac:dyDescent="0.25">
      <c r="A1626">
        <v>956</v>
      </c>
      <c r="B1626" t="s">
        <v>1073</v>
      </c>
      <c r="C1626" t="s">
        <v>1913</v>
      </c>
      <c r="D1626" t="s">
        <v>13</v>
      </c>
      <c r="E1626" t="s">
        <v>10</v>
      </c>
      <c r="F1626">
        <v>5</v>
      </c>
    </row>
    <row r="1627" spans="1:6" x14ac:dyDescent="0.25">
      <c r="A1627">
        <v>955</v>
      </c>
      <c r="B1627" t="s">
        <v>1073</v>
      </c>
      <c r="C1627" t="s">
        <v>1313</v>
      </c>
      <c r="D1627" t="s">
        <v>44</v>
      </c>
      <c r="E1627" t="s">
        <v>10</v>
      </c>
      <c r="F1627">
        <v>4</v>
      </c>
    </row>
    <row r="1628" spans="1:6" x14ac:dyDescent="0.25">
      <c r="A1628">
        <v>954</v>
      </c>
      <c r="B1628" t="s">
        <v>1073</v>
      </c>
      <c r="C1628" t="s">
        <v>1914</v>
      </c>
      <c r="D1628" t="s">
        <v>13</v>
      </c>
      <c r="E1628" t="s">
        <v>10</v>
      </c>
      <c r="F1628">
        <v>3.25</v>
      </c>
    </row>
    <row r="1629" spans="1:6" x14ac:dyDescent="0.25">
      <c r="A1629">
        <v>953</v>
      </c>
      <c r="B1629" t="s">
        <v>1073</v>
      </c>
      <c r="C1629" t="s">
        <v>1911</v>
      </c>
      <c r="D1629" t="s">
        <v>13</v>
      </c>
      <c r="E1629" t="s">
        <v>10</v>
      </c>
      <c r="F1629">
        <v>4.75</v>
      </c>
    </row>
    <row r="1630" spans="1:6" x14ac:dyDescent="0.25">
      <c r="A1630">
        <v>952</v>
      </c>
      <c r="B1630" t="s">
        <v>1866</v>
      </c>
      <c r="C1630" t="s">
        <v>1915</v>
      </c>
      <c r="D1630" t="s">
        <v>9</v>
      </c>
      <c r="E1630" t="s">
        <v>516</v>
      </c>
      <c r="F1630">
        <v>3.5</v>
      </c>
    </row>
    <row r="1631" spans="1:6" x14ac:dyDescent="0.25">
      <c r="A1631">
        <v>951</v>
      </c>
      <c r="B1631" t="s">
        <v>331</v>
      </c>
      <c r="C1631" t="s">
        <v>1916</v>
      </c>
      <c r="D1631" t="s">
        <v>13</v>
      </c>
      <c r="E1631" t="s">
        <v>1861</v>
      </c>
      <c r="F1631">
        <v>4</v>
      </c>
    </row>
    <row r="1632" spans="1:6" x14ac:dyDescent="0.25">
      <c r="A1632">
        <v>950</v>
      </c>
      <c r="B1632" t="s">
        <v>74</v>
      </c>
      <c r="C1632" t="s">
        <v>1917</v>
      </c>
      <c r="D1632" t="s">
        <v>9</v>
      </c>
      <c r="E1632" t="s">
        <v>25</v>
      </c>
      <c r="F1632">
        <v>3.75</v>
      </c>
    </row>
    <row r="1633" spans="1:7" x14ac:dyDescent="0.25">
      <c r="A1633">
        <v>949</v>
      </c>
      <c r="B1633" t="s">
        <v>1266</v>
      </c>
      <c r="C1633" t="s">
        <v>1918</v>
      </c>
      <c r="D1633" t="s">
        <v>13</v>
      </c>
      <c r="E1633" t="s">
        <v>516</v>
      </c>
      <c r="F1633">
        <v>3.5</v>
      </c>
    </row>
    <row r="1634" spans="1:7" x14ac:dyDescent="0.25">
      <c r="A1634">
        <v>948</v>
      </c>
      <c r="B1634" t="s">
        <v>727</v>
      </c>
      <c r="C1634" t="s">
        <v>1919</v>
      </c>
      <c r="D1634" t="s">
        <v>13</v>
      </c>
      <c r="E1634" t="s">
        <v>340</v>
      </c>
      <c r="F1634">
        <v>3.5</v>
      </c>
    </row>
    <row r="1635" spans="1:7" x14ac:dyDescent="0.25">
      <c r="A1635">
        <v>947</v>
      </c>
      <c r="B1635" t="s">
        <v>102</v>
      </c>
      <c r="C1635" t="s">
        <v>1920</v>
      </c>
      <c r="D1635" t="s">
        <v>30</v>
      </c>
      <c r="E1635" t="s">
        <v>17</v>
      </c>
      <c r="F1635">
        <v>4</v>
      </c>
    </row>
    <row r="1636" spans="1:7" x14ac:dyDescent="0.25">
      <c r="A1636">
        <v>946</v>
      </c>
      <c r="B1636" t="s">
        <v>1921</v>
      </c>
      <c r="C1636" t="s">
        <v>1922</v>
      </c>
      <c r="D1636" t="s">
        <v>9</v>
      </c>
      <c r="E1636" t="s">
        <v>17</v>
      </c>
      <c r="F1636">
        <v>1.75</v>
      </c>
    </row>
    <row r="1637" spans="1:7" x14ac:dyDescent="0.25">
      <c r="A1637">
        <v>945</v>
      </c>
      <c r="B1637" t="s">
        <v>1866</v>
      </c>
      <c r="C1637" t="s">
        <v>1923</v>
      </c>
      <c r="D1637" t="s">
        <v>9</v>
      </c>
      <c r="E1637" t="s">
        <v>516</v>
      </c>
      <c r="F1637">
        <v>2.75</v>
      </c>
    </row>
    <row r="1638" spans="1:7" x14ac:dyDescent="0.25">
      <c r="A1638">
        <v>944</v>
      </c>
      <c r="B1638" t="s">
        <v>322</v>
      </c>
      <c r="C1638" t="s">
        <v>1924</v>
      </c>
      <c r="D1638" t="s">
        <v>13</v>
      </c>
      <c r="E1638" t="s">
        <v>38</v>
      </c>
      <c r="F1638">
        <v>3</v>
      </c>
    </row>
    <row r="1639" spans="1:7" x14ac:dyDescent="0.25">
      <c r="A1639">
        <v>943</v>
      </c>
      <c r="B1639" t="s">
        <v>1859</v>
      </c>
      <c r="C1639" t="s">
        <v>1925</v>
      </c>
      <c r="D1639" t="s">
        <v>13</v>
      </c>
      <c r="E1639" t="s">
        <v>1861</v>
      </c>
      <c r="F1639">
        <v>3.25</v>
      </c>
    </row>
    <row r="1640" spans="1:7" x14ac:dyDescent="0.25">
      <c r="A1640">
        <v>942</v>
      </c>
      <c r="B1640" t="s">
        <v>326</v>
      </c>
      <c r="C1640" t="s">
        <v>1926</v>
      </c>
      <c r="D1640" t="s">
        <v>13</v>
      </c>
      <c r="E1640" t="s">
        <v>79</v>
      </c>
      <c r="F1640">
        <v>3.25</v>
      </c>
    </row>
    <row r="1641" spans="1:7" x14ac:dyDescent="0.25">
      <c r="A1641">
        <v>941</v>
      </c>
      <c r="B1641" t="s">
        <v>1266</v>
      </c>
      <c r="C1641" t="s">
        <v>1927</v>
      </c>
      <c r="D1641" t="s">
        <v>13</v>
      </c>
      <c r="E1641" t="s">
        <v>516</v>
      </c>
      <c r="F1641">
        <v>3.75</v>
      </c>
    </row>
    <row r="1642" spans="1:7" x14ac:dyDescent="0.25">
      <c r="A1642">
        <v>940</v>
      </c>
      <c r="B1642" t="s">
        <v>322</v>
      </c>
      <c r="C1642" t="s">
        <v>1928</v>
      </c>
      <c r="D1642" t="s">
        <v>13</v>
      </c>
      <c r="E1642" t="s">
        <v>38</v>
      </c>
      <c r="F1642">
        <v>3.5</v>
      </c>
    </row>
    <row r="1643" spans="1:7" x14ac:dyDescent="0.25">
      <c r="A1643">
        <v>939</v>
      </c>
      <c r="B1643" t="s">
        <v>1866</v>
      </c>
      <c r="C1643" t="s">
        <v>1929</v>
      </c>
      <c r="D1643" t="s">
        <v>9</v>
      </c>
      <c r="E1643" t="s">
        <v>516</v>
      </c>
      <c r="F1643">
        <v>3.75</v>
      </c>
    </row>
    <row r="1644" spans="1:7" x14ac:dyDescent="0.25">
      <c r="A1644">
        <v>938</v>
      </c>
      <c r="B1644" t="s">
        <v>102</v>
      </c>
      <c r="C1644" t="s">
        <v>1930</v>
      </c>
      <c r="D1644" t="s">
        <v>30</v>
      </c>
      <c r="E1644" t="s">
        <v>17</v>
      </c>
      <c r="F1644">
        <v>3.75</v>
      </c>
    </row>
    <row r="1645" spans="1:7" x14ac:dyDescent="0.25">
      <c r="A1645">
        <v>937</v>
      </c>
      <c r="B1645" t="s">
        <v>897</v>
      </c>
      <c r="C1645" t="s">
        <v>1931</v>
      </c>
      <c r="D1645" t="s">
        <v>13</v>
      </c>
      <c r="E1645" t="s">
        <v>38</v>
      </c>
      <c r="F1645">
        <v>3.75</v>
      </c>
    </row>
    <row r="1646" spans="1:7" x14ac:dyDescent="0.25">
      <c r="A1646">
        <v>936</v>
      </c>
      <c r="B1646" t="s">
        <v>39</v>
      </c>
      <c r="C1646" t="s">
        <v>1932</v>
      </c>
      <c r="D1646" t="s">
        <v>13</v>
      </c>
      <c r="E1646" t="s">
        <v>17</v>
      </c>
      <c r="F1646">
        <v>5</v>
      </c>
    </row>
    <row r="1647" spans="1:7" x14ac:dyDescent="0.25">
      <c r="A1647">
        <v>935</v>
      </c>
      <c r="B1647" t="s">
        <v>102</v>
      </c>
      <c r="C1647" t="s">
        <v>1933</v>
      </c>
      <c r="D1647" t="s">
        <v>9</v>
      </c>
      <c r="E1647" t="s">
        <v>17</v>
      </c>
      <c r="F1647">
        <v>3.5</v>
      </c>
    </row>
    <row r="1648" spans="1:7" x14ac:dyDescent="0.25">
      <c r="A1648">
        <v>934</v>
      </c>
      <c r="B1648" t="s">
        <v>41</v>
      </c>
      <c r="C1648" t="s">
        <v>1934</v>
      </c>
      <c r="D1648" t="s">
        <v>13</v>
      </c>
      <c r="E1648" t="s">
        <v>17</v>
      </c>
      <c r="F1648">
        <v>5</v>
      </c>
      <c r="G1648" t="s">
        <v>1935</v>
      </c>
    </row>
    <row r="1649" spans="1:6" x14ac:dyDescent="0.25">
      <c r="A1649">
        <v>933</v>
      </c>
      <c r="B1649" t="s">
        <v>54</v>
      </c>
      <c r="C1649" t="s">
        <v>1936</v>
      </c>
      <c r="D1649" t="s">
        <v>9</v>
      </c>
      <c r="E1649" t="s">
        <v>25</v>
      </c>
      <c r="F1649">
        <v>4.5</v>
      </c>
    </row>
    <row r="1650" spans="1:6" x14ac:dyDescent="0.25">
      <c r="A1650">
        <v>932</v>
      </c>
      <c r="B1650" t="s">
        <v>54</v>
      </c>
      <c r="C1650" t="s">
        <v>1937</v>
      </c>
      <c r="D1650" t="s">
        <v>13</v>
      </c>
      <c r="E1650" t="s">
        <v>25</v>
      </c>
      <c r="F1650">
        <v>5</v>
      </c>
    </row>
    <row r="1651" spans="1:6" x14ac:dyDescent="0.25">
      <c r="A1651">
        <v>931</v>
      </c>
      <c r="B1651" t="s">
        <v>326</v>
      </c>
      <c r="C1651" t="s">
        <v>1938</v>
      </c>
      <c r="D1651" t="s">
        <v>30</v>
      </c>
      <c r="E1651" t="s">
        <v>79</v>
      </c>
      <c r="F1651">
        <v>3.75</v>
      </c>
    </row>
    <row r="1652" spans="1:6" x14ac:dyDescent="0.25">
      <c r="A1652">
        <v>930</v>
      </c>
      <c r="B1652" t="s">
        <v>102</v>
      </c>
      <c r="C1652" t="s">
        <v>1939</v>
      </c>
      <c r="D1652" t="s">
        <v>9</v>
      </c>
      <c r="E1652" t="s">
        <v>17</v>
      </c>
      <c r="F1652">
        <v>3.5</v>
      </c>
    </row>
    <row r="1653" spans="1:6" x14ac:dyDescent="0.25">
      <c r="A1653">
        <v>929</v>
      </c>
      <c r="B1653" t="s">
        <v>1055</v>
      </c>
      <c r="C1653" t="s">
        <v>1940</v>
      </c>
      <c r="D1653" t="s">
        <v>13</v>
      </c>
      <c r="E1653" t="s">
        <v>53</v>
      </c>
      <c r="F1653">
        <v>3.75</v>
      </c>
    </row>
    <row r="1654" spans="1:6" x14ac:dyDescent="0.25">
      <c r="A1654">
        <v>928</v>
      </c>
      <c r="B1654" t="s">
        <v>326</v>
      </c>
      <c r="C1654" t="s">
        <v>1941</v>
      </c>
      <c r="D1654" t="s">
        <v>30</v>
      </c>
      <c r="E1654" t="s">
        <v>79</v>
      </c>
      <c r="F1654">
        <v>4</v>
      </c>
    </row>
    <row r="1655" spans="1:6" x14ac:dyDescent="0.25">
      <c r="A1655">
        <v>927</v>
      </c>
      <c r="B1655" t="s">
        <v>54</v>
      </c>
      <c r="C1655" t="s">
        <v>1936</v>
      </c>
      <c r="D1655" t="s">
        <v>44</v>
      </c>
      <c r="E1655" t="s">
        <v>25</v>
      </c>
      <c r="F1655">
        <v>4.75</v>
      </c>
    </row>
    <row r="1656" spans="1:6" x14ac:dyDescent="0.25">
      <c r="A1656">
        <v>926</v>
      </c>
      <c r="B1656" t="s">
        <v>809</v>
      </c>
      <c r="C1656" t="s">
        <v>1942</v>
      </c>
      <c r="D1656" t="s">
        <v>13</v>
      </c>
      <c r="E1656" t="s">
        <v>69</v>
      </c>
      <c r="F1656">
        <v>2.75</v>
      </c>
    </row>
    <row r="1657" spans="1:6" x14ac:dyDescent="0.25">
      <c r="A1657">
        <v>925</v>
      </c>
      <c r="B1657" t="s">
        <v>1114</v>
      </c>
      <c r="C1657" t="s">
        <v>1943</v>
      </c>
      <c r="D1657" t="s">
        <v>13</v>
      </c>
      <c r="E1657" t="s">
        <v>25</v>
      </c>
      <c r="F1657">
        <v>3.75</v>
      </c>
    </row>
    <row r="1658" spans="1:6" x14ac:dyDescent="0.25">
      <c r="A1658">
        <v>924</v>
      </c>
      <c r="B1658" t="s">
        <v>102</v>
      </c>
      <c r="C1658" t="s">
        <v>1944</v>
      </c>
      <c r="D1658" t="s">
        <v>13</v>
      </c>
      <c r="E1658" t="s">
        <v>17</v>
      </c>
      <c r="F1658">
        <v>3.75</v>
      </c>
    </row>
    <row r="1659" spans="1:6" x14ac:dyDescent="0.25">
      <c r="A1659">
        <v>923</v>
      </c>
      <c r="B1659" t="s">
        <v>809</v>
      </c>
      <c r="C1659" t="s">
        <v>1945</v>
      </c>
      <c r="D1659" t="s">
        <v>13</v>
      </c>
      <c r="E1659" t="s">
        <v>69</v>
      </c>
      <c r="F1659">
        <v>3.5</v>
      </c>
    </row>
    <row r="1660" spans="1:6" x14ac:dyDescent="0.25">
      <c r="A1660">
        <v>922</v>
      </c>
      <c r="B1660" t="s">
        <v>1946</v>
      </c>
      <c r="C1660" t="s">
        <v>1947</v>
      </c>
      <c r="D1660" t="s">
        <v>44</v>
      </c>
      <c r="E1660" t="s">
        <v>38</v>
      </c>
      <c r="F1660">
        <v>1.25</v>
      </c>
    </row>
    <row r="1661" spans="1:6" x14ac:dyDescent="0.25">
      <c r="A1661">
        <v>921</v>
      </c>
      <c r="B1661" t="s">
        <v>74</v>
      </c>
      <c r="C1661" t="s">
        <v>1948</v>
      </c>
      <c r="D1661" t="s">
        <v>44</v>
      </c>
      <c r="E1661" t="s">
        <v>25</v>
      </c>
      <c r="F1661">
        <v>3.5</v>
      </c>
    </row>
    <row r="1662" spans="1:6" x14ac:dyDescent="0.25">
      <c r="A1662">
        <v>920</v>
      </c>
      <c r="B1662" t="s">
        <v>258</v>
      </c>
      <c r="C1662" t="s">
        <v>1949</v>
      </c>
      <c r="D1662" t="s">
        <v>13</v>
      </c>
      <c r="E1662" t="s">
        <v>17</v>
      </c>
      <c r="F1662">
        <v>3</v>
      </c>
    </row>
    <row r="1663" spans="1:6" x14ac:dyDescent="0.25">
      <c r="A1663">
        <v>919</v>
      </c>
      <c r="B1663" t="s">
        <v>102</v>
      </c>
      <c r="C1663" t="s">
        <v>1939</v>
      </c>
      <c r="D1663" t="s">
        <v>13</v>
      </c>
      <c r="E1663" t="s">
        <v>17</v>
      </c>
      <c r="F1663">
        <v>3.5</v>
      </c>
    </row>
    <row r="1664" spans="1:6" x14ac:dyDescent="0.25">
      <c r="A1664">
        <v>918</v>
      </c>
      <c r="B1664" t="s">
        <v>41</v>
      </c>
      <c r="C1664" t="s">
        <v>1950</v>
      </c>
      <c r="D1664" t="s">
        <v>9</v>
      </c>
      <c r="E1664" t="s">
        <v>25</v>
      </c>
      <c r="F1664">
        <v>4.5</v>
      </c>
    </row>
    <row r="1665" spans="1:7" x14ac:dyDescent="0.25">
      <c r="A1665">
        <v>917</v>
      </c>
      <c r="B1665" t="s">
        <v>1055</v>
      </c>
      <c r="C1665" t="s">
        <v>1951</v>
      </c>
      <c r="D1665" t="s">
        <v>13</v>
      </c>
      <c r="E1665" t="s">
        <v>53</v>
      </c>
      <c r="F1665">
        <v>3.25</v>
      </c>
    </row>
    <row r="1666" spans="1:7" x14ac:dyDescent="0.25">
      <c r="A1666">
        <v>916</v>
      </c>
      <c r="B1666" t="s">
        <v>1952</v>
      </c>
      <c r="C1666" t="s">
        <v>1953</v>
      </c>
      <c r="D1666" t="s">
        <v>44</v>
      </c>
      <c r="E1666" t="s">
        <v>10</v>
      </c>
      <c r="F1666">
        <v>4.25</v>
      </c>
    </row>
    <row r="1667" spans="1:7" x14ac:dyDescent="0.25">
      <c r="A1667">
        <v>915</v>
      </c>
      <c r="B1667" t="s">
        <v>322</v>
      </c>
      <c r="C1667" t="s">
        <v>1954</v>
      </c>
      <c r="D1667" t="s">
        <v>13</v>
      </c>
      <c r="E1667" t="s">
        <v>38</v>
      </c>
      <c r="F1667">
        <v>3.5</v>
      </c>
    </row>
    <row r="1668" spans="1:7" x14ac:dyDescent="0.25">
      <c r="A1668">
        <v>914</v>
      </c>
      <c r="B1668" t="s">
        <v>15</v>
      </c>
      <c r="C1668" t="s">
        <v>1955</v>
      </c>
      <c r="D1668" t="s">
        <v>13</v>
      </c>
      <c r="E1668" t="s">
        <v>10</v>
      </c>
      <c r="F1668">
        <v>4</v>
      </c>
    </row>
    <row r="1669" spans="1:7" x14ac:dyDescent="0.25">
      <c r="A1669">
        <v>913</v>
      </c>
      <c r="B1669" t="s">
        <v>41</v>
      </c>
      <c r="C1669" t="s">
        <v>1956</v>
      </c>
      <c r="D1669" t="s">
        <v>9</v>
      </c>
      <c r="E1669" t="s">
        <v>25</v>
      </c>
      <c r="F1669">
        <v>4.25</v>
      </c>
    </row>
    <row r="1670" spans="1:7" x14ac:dyDescent="0.25">
      <c r="A1670">
        <v>912</v>
      </c>
      <c r="B1670" t="s">
        <v>102</v>
      </c>
      <c r="C1670" t="s">
        <v>1957</v>
      </c>
      <c r="D1670" t="s">
        <v>9</v>
      </c>
      <c r="E1670" t="s">
        <v>17</v>
      </c>
      <c r="F1670">
        <v>3.75</v>
      </c>
    </row>
    <row r="1671" spans="1:7" x14ac:dyDescent="0.25">
      <c r="A1671">
        <v>911</v>
      </c>
      <c r="B1671" t="s">
        <v>15</v>
      </c>
      <c r="C1671" t="s">
        <v>1958</v>
      </c>
      <c r="D1671" t="s">
        <v>13</v>
      </c>
      <c r="E1671" t="s">
        <v>17</v>
      </c>
      <c r="F1671">
        <v>3.75</v>
      </c>
    </row>
    <row r="1672" spans="1:7" ht="31.5" x14ac:dyDescent="0.25">
      <c r="A1672">
        <v>910</v>
      </c>
      <c r="B1672" t="s">
        <v>54</v>
      </c>
      <c r="C1672" t="s">
        <v>1959</v>
      </c>
      <c r="D1672" t="s">
        <v>44</v>
      </c>
      <c r="E1672" t="s">
        <v>25</v>
      </c>
      <c r="F1672">
        <v>4.25</v>
      </c>
      <c r="G1672" s="1" t="s">
        <v>1960</v>
      </c>
    </row>
    <row r="1673" spans="1:7" x14ac:dyDescent="0.25">
      <c r="A1673">
        <v>909</v>
      </c>
      <c r="B1673" t="s">
        <v>135</v>
      </c>
      <c r="C1673" t="s">
        <v>1961</v>
      </c>
      <c r="D1673" t="s">
        <v>13</v>
      </c>
      <c r="E1673" t="s">
        <v>73</v>
      </c>
      <c r="F1673">
        <v>4.25</v>
      </c>
    </row>
    <row r="1674" spans="1:7" x14ac:dyDescent="0.25">
      <c r="A1674">
        <v>908</v>
      </c>
      <c r="B1674" t="s">
        <v>374</v>
      </c>
      <c r="C1674" t="s">
        <v>1962</v>
      </c>
      <c r="D1674" t="s">
        <v>9</v>
      </c>
      <c r="E1674" t="s">
        <v>17</v>
      </c>
      <c r="F1674">
        <v>3.5</v>
      </c>
    </row>
    <row r="1675" spans="1:7" x14ac:dyDescent="0.25">
      <c r="A1675">
        <v>907</v>
      </c>
      <c r="B1675" t="s">
        <v>41</v>
      </c>
      <c r="C1675" t="s">
        <v>1963</v>
      </c>
      <c r="D1675" t="s">
        <v>9</v>
      </c>
      <c r="E1675" t="s">
        <v>25</v>
      </c>
      <c r="F1675">
        <v>4</v>
      </c>
    </row>
    <row r="1676" spans="1:7" x14ac:dyDescent="0.25">
      <c r="A1676">
        <v>906</v>
      </c>
      <c r="B1676" t="s">
        <v>1964</v>
      </c>
      <c r="C1676" t="s">
        <v>1965</v>
      </c>
      <c r="D1676" t="s">
        <v>13</v>
      </c>
      <c r="E1676" t="s">
        <v>69</v>
      </c>
      <c r="F1676">
        <v>5</v>
      </c>
    </row>
    <row r="1677" spans="1:7" x14ac:dyDescent="0.25">
      <c r="A1677">
        <v>905</v>
      </c>
      <c r="B1677" t="s">
        <v>1848</v>
      </c>
      <c r="C1677" t="s">
        <v>1966</v>
      </c>
      <c r="D1677" t="s">
        <v>9</v>
      </c>
      <c r="E1677" t="s">
        <v>17</v>
      </c>
      <c r="F1677">
        <v>3.25</v>
      </c>
    </row>
    <row r="1678" spans="1:7" x14ac:dyDescent="0.25">
      <c r="A1678">
        <v>904</v>
      </c>
      <c r="B1678" t="s">
        <v>183</v>
      </c>
      <c r="C1678" t="s">
        <v>1967</v>
      </c>
      <c r="D1678" t="s">
        <v>30</v>
      </c>
      <c r="E1678" t="s">
        <v>10</v>
      </c>
      <c r="F1678">
        <v>4.75</v>
      </c>
    </row>
    <row r="1679" spans="1:7" x14ac:dyDescent="0.25">
      <c r="A1679">
        <v>903</v>
      </c>
      <c r="B1679" t="s">
        <v>1968</v>
      </c>
      <c r="C1679" t="s">
        <v>1969</v>
      </c>
      <c r="D1679" t="s">
        <v>30</v>
      </c>
      <c r="E1679" t="s">
        <v>25</v>
      </c>
      <c r="F1679">
        <v>3.5</v>
      </c>
    </row>
    <row r="1680" spans="1:7" x14ac:dyDescent="0.25">
      <c r="A1680">
        <v>902</v>
      </c>
      <c r="B1680" t="s">
        <v>1946</v>
      </c>
      <c r="C1680" t="s">
        <v>1970</v>
      </c>
      <c r="D1680" t="s">
        <v>44</v>
      </c>
      <c r="E1680" t="s">
        <v>38</v>
      </c>
      <c r="F1680">
        <v>3.25</v>
      </c>
    </row>
    <row r="1681" spans="1:6" x14ac:dyDescent="0.25">
      <c r="A1681">
        <v>901</v>
      </c>
      <c r="B1681" t="s">
        <v>1971</v>
      </c>
      <c r="C1681" t="s">
        <v>1972</v>
      </c>
      <c r="D1681" t="s">
        <v>13</v>
      </c>
      <c r="E1681" t="s">
        <v>73</v>
      </c>
      <c r="F1681">
        <v>3.5</v>
      </c>
    </row>
    <row r="1682" spans="1:6" x14ac:dyDescent="0.25">
      <c r="A1682">
        <v>900</v>
      </c>
      <c r="B1682" t="s">
        <v>102</v>
      </c>
      <c r="C1682" t="s">
        <v>1973</v>
      </c>
      <c r="D1682" t="s">
        <v>9</v>
      </c>
      <c r="E1682" t="s">
        <v>17</v>
      </c>
      <c r="F1682">
        <v>3.5</v>
      </c>
    </row>
    <row r="1683" spans="1:6" x14ac:dyDescent="0.25">
      <c r="A1683">
        <v>899</v>
      </c>
      <c r="B1683" t="s">
        <v>1974</v>
      </c>
      <c r="C1683" t="s">
        <v>1975</v>
      </c>
      <c r="D1683" t="s">
        <v>13</v>
      </c>
      <c r="E1683" t="s">
        <v>280</v>
      </c>
      <c r="F1683">
        <v>4.25</v>
      </c>
    </row>
    <row r="1684" spans="1:6" x14ac:dyDescent="0.25">
      <c r="A1684">
        <v>898</v>
      </c>
      <c r="B1684" t="s">
        <v>1976</v>
      </c>
      <c r="C1684" t="s">
        <v>1977</v>
      </c>
      <c r="D1684" t="s">
        <v>9</v>
      </c>
      <c r="E1684" t="s">
        <v>79</v>
      </c>
      <c r="F1684">
        <v>1.5</v>
      </c>
    </row>
    <row r="1685" spans="1:6" x14ac:dyDescent="0.25">
      <c r="A1685">
        <v>897</v>
      </c>
      <c r="B1685" t="s">
        <v>1974</v>
      </c>
      <c r="C1685" t="s">
        <v>1978</v>
      </c>
      <c r="D1685" t="s">
        <v>13</v>
      </c>
      <c r="E1685" t="s">
        <v>280</v>
      </c>
      <c r="F1685">
        <v>4</v>
      </c>
    </row>
    <row r="1686" spans="1:6" x14ac:dyDescent="0.25">
      <c r="A1686">
        <v>896</v>
      </c>
      <c r="B1686" t="s">
        <v>1055</v>
      </c>
      <c r="C1686" t="s">
        <v>1979</v>
      </c>
      <c r="D1686" t="s">
        <v>13</v>
      </c>
      <c r="E1686" t="s">
        <v>53</v>
      </c>
      <c r="F1686">
        <v>3.5</v>
      </c>
    </row>
    <row r="1687" spans="1:6" x14ac:dyDescent="0.25">
      <c r="A1687">
        <v>895</v>
      </c>
      <c r="B1687" t="s">
        <v>1613</v>
      </c>
      <c r="C1687" t="s">
        <v>1980</v>
      </c>
      <c r="D1687" t="s">
        <v>13</v>
      </c>
      <c r="E1687" t="s">
        <v>73</v>
      </c>
      <c r="F1687">
        <v>5</v>
      </c>
    </row>
    <row r="1688" spans="1:6" x14ac:dyDescent="0.25">
      <c r="A1688">
        <v>894</v>
      </c>
      <c r="B1688" t="s">
        <v>1968</v>
      </c>
      <c r="C1688" t="s">
        <v>1981</v>
      </c>
      <c r="D1688" t="s">
        <v>30</v>
      </c>
      <c r="E1688" t="s">
        <v>25</v>
      </c>
      <c r="F1688">
        <v>3</v>
      </c>
    </row>
    <row r="1689" spans="1:6" x14ac:dyDescent="0.25">
      <c r="A1689">
        <v>893</v>
      </c>
      <c r="B1689" t="s">
        <v>54</v>
      </c>
      <c r="C1689" t="s">
        <v>1982</v>
      </c>
      <c r="D1689" t="s">
        <v>44</v>
      </c>
      <c r="E1689" t="s">
        <v>25</v>
      </c>
      <c r="F1689">
        <v>3.25</v>
      </c>
    </row>
    <row r="1690" spans="1:6" x14ac:dyDescent="0.25">
      <c r="A1690">
        <v>892</v>
      </c>
      <c r="B1690" t="s">
        <v>1583</v>
      </c>
      <c r="C1690" t="s">
        <v>1983</v>
      </c>
      <c r="D1690" t="s">
        <v>13</v>
      </c>
      <c r="E1690" t="s">
        <v>73</v>
      </c>
      <c r="F1690">
        <v>4.5</v>
      </c>
    </row>
    <row r="1691" spans="1:6" x14ac:dyDescent="0.25">
      <c r="A1691">
        <v>891</v>
      </c>
      <c r="B1691" t="s">
        <v>1055</v>
      </c>
      <c r="C1691" t="s">
        <v>1984</v>
      </c>
      <c r="D1691" t="s">
        <v>13</v>
      </c>
      <c r="E1691" t="s">
        <v>53</v>
      </c>
      <c r="F1691">
        <v>2.75</v>
      </c>
    </row>
    <row r="1692" spans="1:6" x14ac:dyDescent="0.25">
      <c r="A1692">
        <v>890</v>
      </c>
      <c r="B1692" t="s">
        <v>1985</v>
      </c>
      <c r="C1692" t="s">
        <v>1986</v>
      </c>
      <c r="D1692" t="s">
        <v>13</v>
      </c>
      <c r="E1692" t="s">
        <v>53</v>
      </c>
      <c r="F1692">
        <v>3.5</v>
      </c>
    </row>
    <row r="1693" spans="1:6" x14ac:dyDescent="0.25">
      <c r="A1693">
        <v>889</v>
      </c>
      <c r="B1693" t="s">
        <v>39</v>
      </c>
      <c r="C1693" t="s">
        <v>1987</v>
      </c>
      <c r="D1693" t="s">
        <v>13</v>
      </c>
      <c r="E1693" t="s">
        <v>17</v>
      </c>
      <c r="F1693">
        <v>4</v>
      </c>
    </row>
    <row r="1694" spans="1:6" x14ac:dyDescent="0.25">
      <c r="A1694">
        <v>888</v>
      </c>
      <c r="B1694" t="s">
        <v>39</v>
      </c>
      <c r="C1694" t="s">
        <v>1988</v>
      </c>
      <c r="D1694" t="s">
        <v>13</v>
      </c>
      <c r="E1694" t="s">
        <v>17</v>
      </c>
      <c r="F1694">
        <v>4.25</v>
      </c>
    </row>
    <row r="1695" spans="1:6" x14ac:dyDescent="0.25">
      <c r="A1695">
        <v>887</v>
      </c>
      <c r="B1695" t="s">
        <v>39</v>
      </c>
      <c r="C1695" t="s">
        <v>1989</v>
      </c>
      <c r="D1695" t="s">
        <v>13</v>
      </c>
      <c r="E1695" t="s">
        <v>17</v>
      </c>
      <c r="F1695">
        <v>4</v>
      </c>
    </row>
    <row r="1696" spans="1:6" x14ac:dyDescent="0.25">
      <c r="A1696">
        <v>886</v>
      </c>
      <c r="B1696" t="s">
        <v>39</v>
      </c>
      <c r="C1696" t="s">
        <v>1990</v>
      </c>
      <c r="D1696" t="s">
        <v>13</v>
      </c>
      <c r="E1696" t="s">
        <v>17</v>
      </c>
      <c r="F1696">
        <v>4.75</v>
      </c>
    </row>
    <row r="1697" spans="1:6" x14ac:dyDescent="0.25">
      <c r="A1697">
        <v>885</v>
      </c>
      <c r="B1697" t="s">
        <v>39</v>
      </c>
      <c r="C1697" t="s">
        <v>1991</v>
      </c>
      <c r="D1697" t="s">
        <v>13</v>
      </c>
      <c r="E1697" t="s">
        <v>17</v>
      </c>
      <c r="F1697">
        <v>5</v>
      </c>
    </row>
    <row r="1698" spans="1:6" x14ac:dyDescent="0.25">
      <c r="A1698">
        <v>884</v>
      </c>
      <c r="B1698" t="s">
        <v>39</v>
      </c>
      <c r="C1698" t="s">
        <v>1992</v>
      </c>
      <c r="D1698" t="s">
        <v>13</v>
      </c>
      <c r="E1698" t="s">
        <v>17</v>
      </c>
      <c r="F1698">
        <v>4</v>
      </c>
    </row>
    <row r="1699" spans="1:6" x14ac:dyDescent="0.25">
      <c r="A1699">
        <v>883</v>
      </c>
      <c r="B1699" t="s">
        <v>39</v>
      </c>
      <c r="C1699" t="s">
        <v>1993</v>
      </c>
      <c r="D1699" t="s">
        <v>13</v>
      </c>
      <c r="E1699" t="s">
        <v>17</v>
      </c>
      <c r="F1699">
        <v>4.5</v>
      </c>
    </row>
    <row r="1700" spans="1:6" x14ac:dyDescent="0.25">
      <c r="A1700">
        <v>882</v>
      </c>
      <c r="B1700" t="s">
        <v>1613</v>
      </c>
      <c r="C1700" t="s">
        <v>1994</v>
      </c>
      <c r="D1700" t="s">
        <v>13</v>
      </c>
      <c r="E1700" t="s">
        <v>73</v>
      </c>
      <c r="F1700">
        <v>5</v>
      </c>
    </row>
    <row r="1701" spans="1:6" x14ac:dyDescent="0.25">
      <c r="A1701">
        <v>881</v>
      </c>
      <c r="B1701" t="s">
        <v>1968</v>
      </c>
      <c r="C1701" t="s">
        <v>1995</v>
      </c>
      <c r="D1701" t="s">
        <v>30</v>
      </c>
      <c r="E1701" t="s">
        <v>25</v>
      </c>
      <c r="F1701">
        <v>3.25</v>
      </c>
    </row>
    <row r="1702" spans="1:6" x14ac:dyDescent="0.25">
      <c r="A1702">
        <v>880</v>
      </c>
      <c r="B1702" t="s">
        <v>1475</v>
      </c>
      <c r="C1702" t="s">
        <v>1996</v>
      </c>
      <c r="D1702" t="s">
        <v>9</v>
      </c>
      <c r="E1702" t="s">
        <v>79</v>
      </c>
      <c r="F1702">
        <v>2.75</v>
      </c>
    </row>
    <row r="1703" spans="1:6" x14ac:dyDescent="0.25">
      <c r="A1703">
        <v>879</v>
      </c>
      <c r="B1703" t="s">
        <v>1997</v>
      </c>
      <c r="C1703" t="s">
        <v>1998</v>
      </c>
      <c r="D1703" t="s">
        <v>44</v>
      </c>
      <c r="E1703" t="s">
        <v>25</v>
      </c>
      <c r="F1703">
        <v>5</v>
      </c>
    </row>
    <row r="1704" spans="1:6" x14ac:dyDescent="0.25">
      <c r="A1704">
        <v>878</v>
      </c>
      <c r="B1704" t="s">
        <v>15</v>
      </c>
      <c r="C1704" t="s">
        <v>1999</v>
      </c>
      <c r="D1704" t="s">
        <v>13</v>
      </c>
      <c r="E1704" t="s">
        <v>17</v>
      </c>
      <c r="F1704">
        <v>3.75</v>
      </c>
    </row>
    <row r="1705" spans="1:6" x14ac:dyDescent="0.25">
      <c r="A1705">
        <v>877</v>
      </c>
      <c r="B1705" t="s">
        <v>41</v>
      </c>
      <c r="C1705" t="s">
        <v>2000</v>
      </c>
      <c r="D1705" t="s">
        <v>44</v>
      </c>
      <c r="E1705" t="s">
        <v>17</v>
      </c>
      <c r="F1705">
        <v>4.25</v>
      </c>
    </row>
    <row r="1706" spans="1:6" x14ac:dyDescent="0.25">
      <c r="A1706">
        <v>876</v>
      </c>
      <c r="B1706" t="s">
        <v>1971</v>
      </c>
      <c r="C1706" t="s">
        <v>2001</v>
      </c>
      <c r="D1706" t="s">
        <v>13</v>
      </c>
      <c r="E1706" t="s">
        <v>73</v>
      </c>
      <c r="F1706">
        <v>3.25</v>
      </c>
    </row>
    <row r="1707" spans="1:6" x14ac:dyDescent="0.25">
      <c r="A1707">
        <v>875</v>
      </c>
      <c r="B1707" t="s">
        <v>1946</v>
      </c>
      <c r="C1707" t="s">
        <v>2002</v>
      </c>
      <c r="D1707" t="s">
        <v>44</v>
      </c>
      <c r="E1707" t="s">
        <v>38</v>
      </c>
      <c r="F1707">
        <v>2.5</v>
      </c>
    </row>
    <row r="1708" spans="1:6" x14ac:dyDescent="0.25">
      <c r="A1708">
        <v>874</v>
      </c>
      <c r="B1708" t="s">
        <v>2003</v>
      </c>
      <c r="C1708" t="s">
        <v>2004</v>
      </c>
      <c r="D1708" t="s">
        <v>44</v>
      </c>
      <c r="E1708" t="s">
        <v>10</v>
      </c>
      <c r="F1708">
        <v>3.5</v>
      </c>
    </row>
    <row r="1709" spans="1:6" x14ac:dyDescent="0.25">
      <c r="A1709">
        <v>873</v>
      </c>
      <c r="B1709" t="s">
        <v>331</v>
      </c>
      <c r="C1709" t="s">
        <v>2005</v>
      </c>
      <c r="D1709" t="s">
        <v>13</v>
      </c>
      <c r="E1709" t="s">
        <v>53</v>
      </c>
      <c r="F1709">
        <v>3.5</v>
      </c>
    </row>
    <row r="1710" spans="1:6" x14ac:dyDescent="0.25">
      <c r="A1710">
        <v>872</v>
      </c>
      <c r="B1710" t="s">
        <v>41</v>
      </c>
      <c r="C1710" t="s">
        <v>2006</v>
      </c>
      <c r="D1710" t="s">
        <v>44</v>
      </c>
      <c r="E1710" t="s">
        <v>17</v>
      </c>
      <c r="F1710">
        <v>5</v>
      </c>
    </row>
    <row r="1711" spans="1:6" x14ac:dyDescent="0.25">
      <c r="A1711">
        <v>871</v>
      </c>
      <c r="B1711" t="s">
        <v>2007</v>
      </c>
      <c r="C1711" t="s">
        <v>2008</v>
      </c>
      <c r="D1711" t="s">
        <v>13</v>
      </c>
      <c r="E1711" t="s">
        <v>79</v>
      </c>
      <c r="F1711">
        <v>4</v>
      </c>
    </row>
    <row r="1712" spans="1:6" x14ac:dyDescent="0.25">
      <c r="A1712">
        <v>870</v>
      </c>
      <c r="B1712" t="s">
        <v>1613</v>
      </c>
      <c r="C1712" t="s">
        <v>2009</v>
      </c>
      <c r="D1712" t="s">
        <v>13</v>
      </c>
      <c r="E1712" t="s">
        <v>73</v>
      </c>
      <c r="F1712">
        <v>3.75</v>
      </c>
    </row>
    <row r="1713" spans="1:6" x14ac:dyDescent="0.25">
      <c r="A1713">
        <v>869</v>
      </c>
      <c r="B1713" t="s">
        <v>1055</v>
      </c>
      <c r="C1713" t="s">
        <v>2010</v>
      </c>
      <c r="D1713" t="s">
        <v>13</v>
      </c>
      <c r="E1713" t="s">
        <v>53</v>
      </c>
      <c r="F1713">
        <v>3.25</v>
      </c>
    </row>
    <row r="1714" spans="1:6" x14ac:dyDescent="0.25">
      <c r="A1714">
        <v>868</v>
      </c>
      <c r="B1714" t="s">
        <v>2011</v>
      </c>
      <c r="C1714" t="s">
        <v>2012</v>
      </c>
      <c r="D1714" t="s">
        <v>44</v>
      </c>
      <c r="E1714" t="s">
        <v>25</v>
      </c>
      <c r="F1714">
        <v>3.75</v>
      </c>
    </row>
    <row r="1715" spans="1:6" x14ac:dyDescent="0.25">
      <c r="A1715">
        <v>867</v>
      </c>
      <c r="B1715" t="s">
        <v>135</v>
      </c>
      <c r="C1715" t="s">
        <v>2013</v>
      </c>
      <c r="D1715" t="s">
        <v>13</v>
      </c>
      <c r="E1715" t="s">
        <v>73</v>
      </c>
      <c r="F1715">
        <v>4</v>
      </c>
    </row>
    <row r="1716" spans="1:6" x14ac:dyDescent="0.25">
      <c r="A1716">
        <v>866</v>
      </c>
      <c r="B1716" t="s">
        <v>218</v>
      </c>
      <c r="C1716" t="s">
        <v>2014</v>
      </c>
      <c r="D1716" t="s">
        <v>13</v>
      </c>
      <c r="E1716" t="s">
        <v>79</v>
      </c>
      <c r="F1716">
        <v>4</v>
      </c>
    </row>
    <row r="1717" spans="1:6" x14ac:dyDescent="0.25">
      <c r="A1717">
        <v>865</v>
      </c>
      <c r="B1717" t="s">
        <v>255</v>
      </c>
      <c r="C1717" t="s">
        <v>2015</v>
      </c>
      <c r="D1717" t="s">
        <v>9</v>
      </c>
      <c r="E1717" t="s">
        <v>38</v>
      </c>
      <c r="F1717">
        <v>3</v>
      </c>
    </row>
    <row r="1718" spans="1:6" x14ac:dyDescent="0.25">
      <c r="A1718">
        <v>864</v>
      </c>
      <c r="B1718" t="s">
        <v>1985</v>
      </c>
      <c r="C1718" t="s">
        <v>2016</v>
      </c>
      <c r="D1718" t="s">
        <v>13</v>
      </c>
      <c r="E1718" t="s">
        <v>14</v>
      </c>
      <c r="F1718">
        <v>3.5</v>
      </c>
    </row>
    <row r="1719" spans="1:6" x14ac:dyDescent="0.25">
      <c r="A1719">
        <v>863</v>
      </c>
      <c r="B1719" t="s">
        <v>135</v>
      </c>
      <c r="C1719" t="s">
        <v>2017</v>
      </c>
      <c r="D1719" t="s">
        <v>13</v>
      </c>
      <c r="E1719" t="s">
        <v>73</v>
      </c>
      <c r="F1719">
        <v>5</v>
      </c>
    </row>
    <row r="1720" spans="1:6" x14ac:dyDescent="0.25">
      <c r="A1720">
        <v>862</v>
      </c>
      <c r="B1720" t="s">
        <v>15</v>
      </c>
      <c r="C1720" t="s">
        <v>2018</v>
      </c>
      <c r="D1720" t="s">
        <v>13</v>
      </c>
      <c r="E1720" t="s">
        <v>17</v>
      </c>
      <c r="F1720">
        <v>4.25</v>
      </c>
    </row>
    <row r="1721" spans="1:6" x14ac:dyDescent="0.25">
      <c r="A1721">
        <v>861</v>
      </c>
      <c r="B1721" t="s">
        <v>1055</v>
      </c>
      <c r="C1721" t="s">
        <v>2019</v>
      </c>
      <c r="D1721" t="s">
        <v>13</v>
      </c>
      <c r="E1721" t="s">
        <v>53</v>
      </c>
      <c r="F1721">
        <v>3.25</v>
      </c>
    </row>
    <row r="1722" spans="1:6" x14ac:dyDescent="0.25">
      <c r="A1722">
        <v>860</v>
      </c>
      <c r="B1722" t="s">
        <v>900</v>
      </c>
      <c r="C1722" t="s">
        <v>2020</v>
      </c>
      <c r="D1722" t="s">
        <v>13</v>
      </c>
      <c r="E1722" t="s">
        <v>79</v>
      </c>
      <c r="F1722">
        <v>2.75</v>
      </c>
    </row>
    <row r="1723" spans="1:6" x14ac:dyDescent="0.25">
      <c r="A1723">
        <v>859</v>
      </c>
      <c r="B1723" t="s">
        <v>1848</v>
      </c>
      <c r="C1723" t="s">
        <v>2021</v>
      </c>
      <c r="D1723" t="s">
        <v>9</v>
      </c>
      <c r="E1723" t="s">
        <v>17</v>
      </c>
      <c r="F1723">
        <v>3.75</v>
      </c>
    </row>
    <row r="1724" spans="1:6" x14ac:dyDescent="0.25">
      <c r="A1724">
        <v>858</v>
      </c>
      <c r="B1724" t="s">
        <v>135</v>
      </c>
      <c r="C1724" t="s">
        <v>2022</v>
      </c>
      <c r="D1724" t="s">
        <v>13</v>
      </c>
      <c r="E1724" t="s">
        <v>73</v>
      </c>
      <c r="F1724">
        <v>4.5</v>
      </c>
    </row>
    <row r="1725" spans="1:6" x14ac:dyDescent="0.25">
      <c r="A1725">
        <v>857</v>
      </c>
      <c r="B1725" t="s">
        <v>346</v>
      </c>
      <c r="C1725" t="s">
        <v>2023</v>
      </c>
      <c r="D1725" t="s">
        <v>44</v>
      </c>
      <c r="E1725" t="s">
        <v>25</v>
      </c>
      <c r="F1725">
        <v>4.25</v>
      </c>
    </row>
    <row r="1726" spans="1:6" x14ac:dyDescent="0.25">
      <c r="A1726">
        <v>856</v>
      </c>
      <c r="B1726" t="s">
        <v>255</v>
      </c>
      <c r="C1726" t="s">
        <v>2024</v>
      </c>
      <c r="D1726" t="s">
        <v>44</v>
      </c>
      <c r="E1726" t="s">
        <v>38</v>
      </c>
      <c r="F1726">
        <v>4.75</v>
      </c>
    </row>
    <row r="1727" spans="1:6" x14ac:dyDescent="0.25">
      <c r="A1727">
        <v>855</v>
      </c>
      <c r="B1727" t="s">
        <v>1055</v>
      </c>
      <c r="C1727" t="s">
        <v>2025</v>
      </c>
      <c r="D1727" t="s">
        <v>44</v>
      </c>
      <c r="E1727" t="s">
        <v>53</v>
      </c>
      <c r="F1727">
        <v>4.25</v>
      </c>
    </row>
    <row r="1728" spans="1:6" x14ac:dyDescent="0.25">
      <c r="A1728">
        <v>854</v>
      </c>
      <c r="B1728" t="s">
        <v>1976</v>
      </c>
      <c r="C1728" t="s">
        <v>2026</v>
      </c>
      <c r="D1728" t="s">
        <v>44</v>
      </c>
      <c r="E1728" t="s">
        <v>79</v>
      </c>
      <c r="F1728">
        <v>3.5</v>
      </c>
    </row>
    <row r="1729" spans="1:6" x14ac:dyDescent="0.25">
      <c r="A1729">
        <v>853</v>
      </c>
      <c r="B1729" t="s">
        <v>2027</v>
      </c>
      <c r="C1729" t="s">
        <v>2028</v>
      </c>
      <c r="D1729" t="s">
        <v>44</v>
      </c>
      <c r="E1729" t="s">
        <v>25</v>
      </c>
      <c r="F1729">
        <v>4.5</v>
      </c>
    </row>
    <row r="1730" spans="1:6" x14ac:dyDescent="0.25">
      <c r="A1730">
        <v>852</v>
      </c>
      <c r="B1730" t="s">
        <v>1613</v>
      </c>
      <c r="C1730" t="s">
        <v>2029</v>
      </c>
      <c r="D1730" t="s">
        <v>13</v>
      </c>
      <c r="E1730" t="s">
        <v>73</v>
      </c>
      <c r="F1730">
        <v>4</v>
      </c>
    </row>
    <row r="1731" spans="1:6" x14ac:dyDescent="0.25">
      <c r="A1731">
        <v>851</v>
      </c>
      <c r="B1731" t="s">
        <v>2007</v>
      </c>
      <c r="C1731" t="s">
        <v>2030</v>
      </c>
      <c r="D1731" t="s">
        <v>44</v>
      </c>
      <c r="E1731" t="s">
        <v>79</v>
      </c>
      <c r="F1731">
        <v>3.5</v>
      </c>
    </row>
    <row r="1732" spans="1:6" x14ac:dyDescent="0.25">
      <c r="A1732">
        <v>850</v>
      </c>
      <c r="B1732" t="s">
        <v>15</v>
      </c>
      <c r="C1732" t="s">
        <v>2031</v>
      </c>
      <c r="D1732" t="s">
        <v>13</v>
      </c>
      <c r="E1732" t="s">
        <v>17</v>
      </c>
      <c r="F1732">
        <v>4</v>
      </c>
    </row>
    <row r="1733" spans="1:6" x14ac:dyDescent="0.25">
      <c r="A1733">
        <v>849</v>
      </c>
      <c r="B1733" t="s">
        <v>15</v>
      </c>
      <c r="C1733" t="s">
        <v>2032</v>
      </c>
      <c r="D1733" t="s">
        <v>13</v>
      </c>
      <c r="E1733" t="s">
        <v>17</v>
      </c>
      <c r="F1733">
        <v>3.5</v>
      </c>
    </row>
    <row r="1734" spans="1:6" x14ac:dyDescent="0.25">
      <c r="A1734">
        <v>848</v>
      </c>
      <c r="B1734" t="s">
        <v>1475</v>
      </c>
      <c r="C1734" t="s">
        <v>2033</v>
      </c>
      <c r="D1734" t="s">
        <v>9</v>
      </c>
      <c r="E1734" t="s">
        <v>79</v>
      </c>
      <c r="F1734">
        <v>3.5</v>
      </c>
    </row>
    <row r="1735" spans="1:6" x14ac:dyDescent="0.25">
      <c r="A1735">
        <v>847</v>
      </c>
      <c r="B1735" t="s">
        <v>621</v>
      </c>
      <c r="C1735" t="s">
        <v>2034</v>
      </c>
      <c r="D1735" t="s">
        <v>44</v>
      </c>
      <c r="E1735" t="s">
        <v>10</v>
      </c>
      <c r="F1735">
        <v>3.25</v>
      </c>
    </row>
    <row r="1736" spans="1:6" x14ac:dyDescent="0.25">
      <c r="A1736">
        <v>846</v>
      </c>
      <c r="B1736" t="s">
        <v>331</v>
      </c>
      <c r="C1736" t="s">
        <v>2035</v>
      </c>
      <c r="D1736" t="s">
        <v>13</v>
      </c>
      <c r="E1736" t="s">
        <v>53</v>
      </c>
      <c r="F1736">
        <v>3.75</v>
      </c>
    </row>
    <row r="1737" spans="1:6" x14ac:dyDescent="0.25">
      <c r="A1737">
        <v>845</v>
      </c>
      <c r="B1737" t="s">
        <v>41</v>
      </c>
      <c r="C1737" t="s">
        <v>2036</v>
      </c>
      <c r="D1737" t="s">
        <v>13</v>
      </c>
      <c r="E1737" t="s">
        <v>25</v>
      </c>
      <c r="F1737">
        <v>4.25</v>
      </c>
    </row>
    <row r="1738" spans="1:6" x14ac:dyDescent="0.25">
      <c r="A1738">
        <v>844</v>
      </c>
      <c r="B1738" t="s">
        <v>132</v>
      </c>
      <c r="C1738" t="s">
        <v>2037</v>
      </c>
      <c r="D1738" t="s">
        <v>13</v>
      </c>
      <c r="E1738" t="s">
        <v>69</v>
      </c>
      <c r="F1738">
        <v>4</v>
      </c>
    </row>
    <row r="1739" spans="1:6" x14ac:dyDescent="0.25">
      <c r="A1739">
        <v>843</v>
      </c>
      <c r="B1739" t="s">
        <v>15</v>
      </c>
      <c r="C1739" t="s">
        <v>2038</v>
      </c>
      <c r="D1739" t="s">
        <v>13</v>
      </c>
      <c r="E1739" t="s">
        <v>17</v>
      </c>
      <c r="F1739">
        <v>3.5</v>
      </c>
    </row>
    <row r="1740" spans="1:6" x14ac:dyDescent="0.25">
      <c r="A1740">
        <v>842</v>
      </c>
      <c r="B1740" t="s">
        <v>426</v>
      </c>
      <c r="C1740" t="s">
        <v>2039</v>
      </c>
      <c r="D1740" t="s">
        <v>44</v>
      </c>
      <c r="E1740" t="s">
        <v>79</v>
      </c>
      <c r="F1740">
        <v>3.75</v>
      </c>
    </row>
    <row r="1741" spans="1:6" x14ac:dyDescent="0.25">
      <c r="A1741">
        <v>841</v>
      </c>
      <c r="B1741" t="s">
        <v>41</v>
      </c>
      <c r="C1741" t="s">
        <v>2040</v>
      </c>
      <c r="D1741" t="s">
        <v>13</v>
      </c>
      <c r="E1741" t="s">
        <v>25</v>
      </c>
      <c r="F1741">
        <v>4</v>
      </c>
    </row>
    <row r="1742" spans="1:6" x14ac:dyDescent="0.25">
      <c r="A1742">
        <v>840</v>
      </c>
      <c r="B1742" t="s">
        <v>1317</v>
      </c>
      <c r="C1742" t="s">
        <v>2041</v>
      </c>
      <c r="D1742" t="s">
        <v>30</v>
      </c>
      <c r="E1742" t="s">
        <v>79</v>
      </c>
      <c r="F1742">
        <v>3.75</v>
      </c>
    </row>
    <row r="1743" spans="1:6" x14ac:dyDescent="0.25">
      <c r="A1743">
        <v>839</v>
      </c>
      <c r="B1743" t="s">
        <v>2011</v>
      </c>
      <c r="C1743" t="s">
        <v>2042</v>
      </c>
      <c r="D1743" t="s">
        <v>9</v>
      </c>
      <c r="E1743" t="s">
        <v>25</v>
      </c>
      <c r="F1743">
        <v>2</v>
      </c>
    </row>
    <row r="1744" spans="1:6" x14ac:dyDescent="0.25">
      <c r="A1744">
        <v>838</v>
      </c>
      <c r="B1744" t="s">
        <v>1971</v>
      </c>
      <c r="C1744" t="s">
        <v>2043</v>
      </c>
      <c r="D1744" t="s">
        <v>13</v>
      </c>
      <c r="E1744" t="s">
        <v>73</v>
      </c>
      <c r="F1744">
        <v>4</v>
      </c>
    </row>
    <row r="1745" spans="1:7" x14ac:dyDescent="0.25">
      <c r="A1745">
        <v>837</v>
      </c>
      <c r="B1745" t="s">
        <v>15</v>
      </c>
      <c r="C1745" t="s">
        <v>2044</v>
      </c>
      <c r="D1745" t="s">
        <v>13</v>
      </c>
      <c r="E1745" t="s">
        <v>17</v>
      </c>
      <c r="F1745">
        <v>4.5</v>
      </c>
    </row>
    <row r="1746" spans="1:7" x14ac:dyDescent="0.25">
      <c r="A1746">
        <v>836</v>
      </c>
      <c r="B1746" t="s">
        <v>51</v>
      </c>
      <c r="C1746" t="s">
        <v>2045</v>
      </c>
      <c r="D1746" t="s">
        <v>13</v>
      </c>
      <c r="E1746" t="s">
        <v>53</v>
      </c>
      <c r="F1746">
        <v>3.5</v>
      </c>
    </row>
    <row r="1747" spans="1:7" x14ac:dyDescent="0.25">
      <c r="A1747">
        <v>835</v>
      </c>
      <c r="B1747" t="s">
        <v>1546</v>
      </c>
      <c r="C1747" t="s">
        <v>2046</v>
      </c>
      <c r="D1747" t="s">
        <v>13</v>
      </c>
      <c r="E1747" t="s">
        <v>465</v>
      </c>
      <c r="F1747">
        <v>2.5</v>
      </c>
    </row>
    <row r="1748" spans="1:7" x14ac:dyDescent="0.25">
      <c r="A1748">
        <v>834</v>
      </c>
      <c r="B1748" t="s">
        <v>135</v>
      </c>
      <c r="C1748" t="s">
        <v>2047</v>
      </c>
      <c r="D1748" t="s">
        <v>13</v>
      </c>
      <c r="E1748" t="s">
        <v>73</v>
      </c>
      <c r="F1748">
        <v>3.75</v>
      </c>
    </row>
    <row r="1749" spans="1:7" x14ac:dyDescent="0.25">
      <c r="A1749">
        <v>833</v>
      </c>
      <c r="B1749" t="s">
        <v>322</v>
      </c>
      <c r="C1749" t="s">
        <v>2048</v>
      </c>
      <c r="D1749" t="s">
        <v>13</v>
      </c>
      <c r="E1749" t="s">
        <v>38</v>
      </c>
      <c r="F1749">
        <v>3.5</v>
      </c>
    </row>
    <row r="1750" spans="1:7" x14ac:dyDescent="0.25">
      <c r="A1750">
        <v>832</v>
      </c>
      <c r="B1750" t="s">
        <v>2007</v>
      </c>
      <c r="C1750" t="s">
        <v>2049</v>
      </c>
      <c r="D1750" t="s">
        <v>13</v>
      </c>
      <c r="E1750" t="s">
        <v>79</v>
      </c>
      <c r="F1750">
        <v>3.75</v>
      </c>
    </row>
    <row r="1751" spans="1:7" x14ac:dyDescent="0.25">
      <c r="A1751">
        <v>831</v>
      </c>
      <c r="B1751" t="s">
        <v>331</v>
      </c>
      <c r="C1751" t="s">
        <v>2050</v>
      </c>
      <c r="D1751" t="s">
        <v>13</v>
      </c>
      <c r="E1751" t="s">
        <v>53</v>
      </c>
      <c r="F1751">
        <v>3.25</v>
      </c>
    </row>
    <row r="1752" spans="1:7" x14ac:dyDescent="0.25">
      <c r="A1752">
        <v>830</v>
      </c>
      <c r="B1752" t="s">
        <v>2051</v>
      </c>
      <c r="C1752" t="s">
        <v>2052</v>
      </c>
      <c r="D1752" t="s">
        <v>9</v>
      </c>
      <c r="E1752" t="s">
        <v>10</v>
      </c>
      <c r="F1752">
        <v>4.5</v>
      </c>
    </row>
    <row r="1753" spans="1:7" x14ac:dyDescent="0.25">
      <c r="A1753">
        <v>829</v>
      </c>
      <c r="B1753" t="s">
        <v>54</v>
      </c>
      <c r="C1753" t="s">
        <v>2053</v>
      </c>
      <c r="D1753" t="s">
        <v>44</v>
      </c>
      <c r="E1753" t="s">
        <v>25</v>
      </c>
      <c r="F1753">
        <v>4.75</v>
      </c>
    </row>
    <row r="1754" spans="1:7" x14ac:dyDescent="0.25">
      <c r="A1754">
        <v>828</v>
      </c>
      <c r="B1754" t="s">
        <v>54</v>
      </c>
      <c r="C1754" t="s">
        <v>2054</v>
      </c>
      <c r="D1754" t="s">
        <v>13</v>
      </c>
      <c r="E1754" t="s">
        <v>25</v>
      </c>
      <c r="F1754">
        <v>3.5</v>
      </c>
    </row>
    <row r="1755" spans="1:7" x14ac:dyDescent="0.25">
      <c r="A1755">
        <v>827</v>
      </c>
      <c r="B1755" t="s">
        <v>54</v>
      </c>
      <c r="C1755" t="s">
        <v>2055</v>
      </c>
      <c r="D1755" t="s">
        <v>13</v>
      </c>
      <c r="E1755" t="s">
        <v>25</v>
      </c>
      <c r="F1755">
        <v>4.75</v>
      </c>
    </row>
    <row r="1756" spans="1:7" x14ac:dyDescent="0.25">
      <c r="A1756">
        <v>826</v>
      </c>
      <c r="B1756" t="s">
        <v>54</v>
      </c>
      <c r="C1756" t="s">
        <v>2056</v>
      </c>
      <c r="D1756" t="s">
        <v>13</v>
      </c>
      <c r="E1756" t="s">
        <v>25</v>
      </c>
      <c r="F1756">
        <v>5</v>
      </c>
    </row>
    <row r="1757" spans="1:7" x14ac:dyDescent="0.25">
      <c r="A1757">
        <v>825</v>
      </c>
      <c r="B1757" t="s">
        <v>54</v>
      </c>
      <c r="C1757" t="s">
        <v>2057</v>
      </c>
      <c r="D1757" t="s">
        <v>9</v>
      </c>
      <c r="E1757" t="s">
        <v>10</v>
      </c>
      <c r="F1757">
        <v>3.25</v>
      </c>
    </row>
    <row r="1758" spans="1:7" x14ac:dyDescent="0.25">
      <c r="A1758">
        <v>824</v>
      </c>
      <c r="B1758" t="s">
        <v>54</v>
      </c>
      <c r="C1758" t="s">
        <v>2058</v>
      </c>
      <c r="D1758" t="s">
        <v>13</v>
      </c>
      <c r="E1758" t="s">
        <v>25</v>
      </c>
      <c r="F1758">
        <v>5</v>
      </c>
    </row>
    <row r="1759" spans="1:7" x14ac:dyDescent="0.25">
      <c r="A1759">
        <v>823</v>
      </c>
      <c r="B1759" t="s">
        <v>54</v>
      </c>
      <c r="C1759" t="s">
        <v>1936</v>
      </c>
      <c r="D1759" t="s">
        <v>13</v>
      </c>
      <c r="E1759" t="s">
        <v>25</v>
      </c>
      <c r="F1759">
        <v>5</v>
      </c>
      <c r="G1759" t="s">
        <v>2059</v>
      </c>
    </row>
    <row r="1760" spans="1:7" x14ac:dyDescent="0.25">
      <c r="A1760">
        <v>822</v>
      </c>
      <c r="B1760" t="s">
        <v>54</v>
      </c>
      <c r="C1760" t="s">
        <v>2060</v>
      </c>
      <c r="D1760" t="s">
        <v>44</v>
      </c>
      <c r="E1760" t="s">
        <v>25</v>
      </c>
      <c r="F1760">
        <v>3.5</v>
      </c>
    </row>
    <row r="1761" spans="1:6" x14ac:dyDescent="0.25">
      <c r="A1761">
        <v>821</v>
      </c>
      <c r="B1761" t="s">
        <v>218</v>
      </c>
      <c r="C1761" t="s">
        <v>2061</v>
      </c>
      <c r="D1761" t="s">
        <v>13</v>
      </c>
      <c r="E1761" t="s">
        <v>79</v>
      </c>
      <c r="F1761">
        <v>5</v>
      </c>
    </row>
    <row r="1762" spans="1:6" x14ac:dyDescent="0.25">
      <c r="A1762">
        <v>820</v>
      </c>
      <c r="B1762" t="s">
        <v>1946</v>
      </c>
      <c r="C1762" t="s">
        <v>2062</v>
      </c>
      <c r="D1762" t="s">
        <v>44</v>
      </c>
      <c r="E1762" t="s">
        <v>38</v>
      </c>
      <c r="F1762">
        <v>3.75</v>
      </c>
    </row>
    <row r="1763" spans="1:6" x14ac:dyDescent="0.25">
      <c r="A1763">
        <v>819</v>
      </c>
      <c r="B1763" t="s">
        <v>102</v>
      </c>
      <c r="C1763" t="s">
        <v>2063</v>
      </c>
      <c r="D1763" t="s">
        <v>13</v>
      </c>
      <c r="E1763" t="s">
        <v>10</v>
      </c>
      <c r="F1763">
        <v>4</v>
      </c>
    </row>
    <row r="1764" spans="1:6" x14ac:dyDescent="0.25">
      <c r="A1764">
        <v>818</v>
      </c>
      <c r="B1764" t="s">
        <v>1613</v>
      </c>
      <c r="C1764" t="s">
        <v>2064</v>
      </c>
      <c r="D1764" t="s">
        <v>13</v>
      </c>
      <c r="E1764" t="s">
        <v>73</v>
      </c>
      <c r="F1764">
        <v>4</v>
      </c>
    </row>
    <row r="1765" spans="1:6" x14ac:dyDescent="0.25">
      <c r="A1765">
        <v>817</v>
      </c>
      <c r="B1765" t="s">
        <v>2065</v>
      </c>
      <c r="C1765" t="s">
        <v>2066</v>
      </c>
      <c r="D1765" t="s">
        <v>44</v>
      </c>
      <c r="E1765" t="s">
        <v>14</v>
      </c>
      <c r="F1765">
        <v>3.75</v>
      </c>
    </row>
    <row r="1766" spans="1:6" x14ac:dyDescent="0.25">
      <c r="A1766">
        <v>816</v>
      </c>
      <c r="B1766" t="s">
        <v>1055</v>
      </c>
      <c r="C1766" t="s">
        <v>2067</v>
      </c>
      <c r="D1766" t="s">
        <v>13</v>
      </c>
      <c r="E1766" t="s">
        <v>53</v>
      </c>
      <c r="F1766">
        <v>3.75</v>
      </c>
    </row>
    <row r="1767" spans="1:6" x14ac:dyDescent="0.25">
      <c r="A1767">
        <v>815</v>
      </c>
      <c r="B1767" t="s">
        <v>1134</v>
      </c>
      <c r="C1767" t="s">
        <v>2068</v>
      </c>
      <c r="D1767" t="s">
        <v>9</v>
      </c>
      <c r="E1767" t="s">
        <v>79</v>
      </c>
      <c r="F1767">
        <v>3.25</v>
      </c>
    </row>
    <row r="1768" spans="1:6" x14ac:dyDescent="0.25">
      <c r="A1768">
        <v>814</v>
      </c>
      <c r="B1768" t="s">
        <v>135</v>
      </c>
      <c r="C1768" t="s">
        <v>1933</v>
      </c>
      <c r="D1768" t="s">
        <v>13</v>
      </c>
      <c r="E1768" t="s">
        <v>73</v>
      </c>
      <c r="F1768">
        <v>3.5</v>
      </c>
    </row>
    <row r="1769" spans="1:6" x14ac:dyDescent="0.25">
      <c r="A1769">
        <v>813</v>
      </c>
      <c r="B1769" t="s">
        <v>1546</v>
      </c>
      <c r="C1769" t="s">
        <v>2069</v>
      </c>
      <c r="D1769" t="s">
        <v>13</v>
      </c>
      <c r="E1769" t="s">
        <v>465</v>
      </c>
      <c r="F1769">
        <v>2</v>
      </c>
    </row>
    <row r="1770" spans="1:6" x14ac:dyDescent="0.25">
      <c r="A1770">
        <v>812</v>
      </c>
      <c r="B1770" t="s">
        <v>218</v>
      </c>
      <c r="C1770" t="s">
        <v>1755</v>
      </c>
      <c r="D1770" t="s">
        <v>13</v>
      </c>
      <c r="E1770" t="s">
        <v>79</v>
      </c>
      <c r="F1770">
        <v>3.75</v>
      </c>
    </row>
    <row r="1771" spans="1:6" x14ac:dyDescent="0.25">
      <c r="A1771">
        <v>811</v>
      </c>
      <c r="B1771" t="s">
        <v>1546</v>
      </c>
      <c r="C1771" t="s">
        <v>2070</v>
      </c>
      <c r="D1771" t="s">
        <v>13</v>
      </c>
      <c r="E1771" t="s">
        <v>465</v>
      </c>
      <c r="F1771">
        <v>1.75</v>
      </c>
    </row>
    <row r="1772" spans="1:6" x14ac:dyDescent="0.25">
      <c r="A1772">
        <v>810</v>
      </c>
      <c r="B1772" t="s">
        <v>1583</v>
      </c>
      <c r="C1772" t="s">
        <v>2071</v>
      </c>
      <c r="D1772" t="s">
        <v>13</v>
      </c>
      <c r="E1772" t="s">
        <v>73</v>
      </c>
      <c r="F1772">
        <v>4.25</v>
      </c>
    </row>
    <row r="1773" spans="1:6" x14ac:dyDescent="0.25">
      <c r="A1773">
        <v>809</v>
      </c>
      <c r="B1773" t="s">
        <v>41</v>
      </c>
      <c r="C1773" t="s">
        <v>2072</v>
      </c>
      <c r="D1773" t="s">
        <v>13</v>
      </c>
      <c r="E1773" t="s">
        <v>25</v>
      </c>
      <c r="F1773">
        <v>4</v>
      </c>
    </row>
    <row r="1774" spans="1:6" x14ac:dyDescent="0.25">
      <c r="A1774">
        <v>808</v>
      </c>
      <c r="B1774" t="s">
        <v>2073</v>
      </c>
      <c r="C1774" t="s">
        <v>2074</v>
      </c>
      <c r="D1774" t="s">
        <v>44</v>
      </c>
      <c r="E1774" t="s">
        <v>38</v>
      </c>
      <c r="F1774">
        <v>3.5</v>
      </c>
    </row>
    <row r="1775" spans="1:6" x14ac:dyDescent="0.25">
      <c r="A1775">
        <v>807</v>
      </c>
      <c r="B1775" t="s">
        <v>1613</v>
      </c>
      <c r="C1775" t="s">
        <v>2075</v>
      </c>
      <c r="D1775" t="s">
        <v>13</v>
      </c>
      <c r="E1775" t="s">
        <v>73</v>
      </c>
      <c r="F1775">
        <v>4</v>
      </c>
    </row>
    <row r="1776" spans="1:6" x14ac:dyDescent="0.25">
      <c r="A1776">
        <v>806</v>
      </c>
      <c r="B1776" t="s">
        <v>2076</v>
      </c>
      <c r="C1776" t="s">
        <v>2077</v>
      </c>
      <c r="D1776" t="s">
        <v>44</v>
      </c>
      <c r="E1776" t="s">
        <v>25</v>
      </c>
      <c r="F1776">
        <v>3.5</v>
      </c>
    </row>
    <row r="1777" spans="1:6" x14ac:dyDescent="0.25">
      <c r="A1777">
        <v>805</v>
      </c>
      <c r="B1777" t="s">
        <v>26</v>
      </c>
      <c r="C1777" t="s">
        <v>2078</v>
      </c>
      <c r="D1777" t="s">
        <v>44</v>
      </c>
      <c r="E1777" t="s">
        <v>10</v>
      </c>
      <c r="F1777">
        <v>1.25</v>
      </c>
    </row>
    <row r="1778" spans="1:6" x14ac:dyDescent="0.25">
      <c r="A1778">
        <v>804</v>
      </c>
      <c r="B1778" t="s">
        <v>255</v>
      </c>
      <c r="C1778" t="s">
        <v>2079</v>
      </c>
      <c r="D1778" t="s">
        <v>9</v>
      </c>
      <c r="E1778" t="s">
        <v>38</v>
      </c>
      <c r="F1778">
        <v>1.75</v>
      </c>
    </row>
    <row r="1779" spans="1:6" x14ac:dyDescent="0.25">
      <c r="A1779">
        <v>803</v>
      </c>
      <c r="B1779" t="s">
        <v>218</v>
      </c>
      <c r="C1779" t="s">
        <v>2080</v>
      </c>
      <c r="D1779" t="s">
        <v>44</v>
      </c>
      <c r="E1779" t="s">
        <v>79</v>
      </c>
      <c r="F1779">
        <v>4</v>
      </c>
    </row>
    <row r="1780" spans="1:6" x14ac:dyDescent="0.25">
      <c r="A1780">
        <v>802</v>
      </c>
      <c r="B1780" t="s">
        <v>1971</v>
      </c>
      <c r="C1780" t="s">
        <v>2081</v>
      </c>
      <c r="D1780" t="s">
        <v>13</v>
      </c>
      <c r="E1780" t="s">
        <v>73</v>
      </c>
      <c r="F1780">
        <v>4.5</v>
      </c>
    </row>
    <row r="1781" spans="1:6" x14ac:dyDescent="0.25">
      <c r="A1781">
        <v>801</v>
      </c>
      <c r="B1781" t="s">
        <v>2082</v>
      </c>
      <c r="C1781" t="s">
        <v>2083</v>
      </c>
      <c r="D1781" t="s">
        <v>13</v>
      </c>
      <c r="E1781" t="s">
        <v>53</v>
      </c>
      <c r="F1781">
        <v>3.75</v>
      </c>
    </row>
    <row r="1782" spans="1:6" x14ac:dyDescent="0.25">
      <c r="A1782">
        <v>800</v>
      </c>
      <c r="B1782" t="s">
        <v>1546</v>
      </c>
      <c r="C1782" t="s">
        <v>2084</v>
      </c>
      <c r="D1782" t="s">
        <v>13</v>
      </c>
      <c r="E1782" t="s">
        <v>465</v>
      </c>
      <c r="F1782">
        <v>3</v>
      </c>
    </row>
    <row r="1783" spans="1:6" x14ac:dyDescent="0.25">
      <c r="A1783">
        <v>799</v>
      </c>
      <c r="B1783" t="s">
        <v>41</v>
      </c>
      <c r="C1783" t="s">
        <v>2085</v>
      </c>
      <c r="D1783" t="s">
        <v>44</v>
      </c>
      <c r="E1783" t="s">
        <v>17</v>
      </c>
      <c r="F1783">
        <v>4.25</v>
      </c>
    </row>
    <row r="1784" spans="1:6" x14ac:dyDescent="0.25">
      <c r="A1784">
        <v>798</v>
      </c>
      <c r="B1784" t="s">
        <v>1475</v>
      </c>
      <c r="C1784" t="s">
        <v>2086</v>
      </c>
      <c r="D1784" t="s">
        <v>9</v>
      </c>
      <c r="E1784" t="s">
        <v>79</v>
      </c>
      <c r="F1784">
        <v>3</v>
      </c>
    </row>
    <row r="1785" spans="1:6" x14ac:dyDescent="0.25">
      <c r="A1785">
        <v>797</v>
      </c>
      <c r="B1785" t="s">
        <v>2087</v>
      </c>
      <c r="C1785" t="s">
        <v>2070</v>
      </c>
      <c r="D1785" t="s">
        <v>13</v>
      </c>
      <c r="E1785" t="s">
        <v>2088</v>
      </c>
      <c r="F1785">
        <v>3.75</v>
      </c>
    </row>
    <row r="1786" spans="1:6" x14ac:dyDescent="0.25">
      <c r="A1786">
        <v>796</v>
      </c>
      <c r="B1786" t="s">
        <v>1055</v>
      </c>
      <c r="C1786" t="s">
        <v>2089</v>
      </c>
      <c r="D1786" t="s">
        <v>13</v>
      </c>
      <c r="E1786" t="s">
        <v>53</v>
      </c>
      <c r="F1786">
        <v>3</v>
      </c>
    </row>
    <row r="1787" spans="1:6" x14ac:dyDescent="0.25">
      <c r="A1787">
        <v>795</v>
      </c>
      <c r="B1787" t="s">
        <v>218</v>
      </c>
      <c r="C1787" t="s">
        <v>2090</v>
      </c>
      <c r="D1787" t="s">
        <v>30</v>
      </c>
      <c r="E1787" t="s">
        <v>79</v>
      </c>
      <c r="F1787">
        <v>2.75</v>
      </c>
    </row>
    <row r="1788" spans="1:6" x14ac:dyDescent="0.25">
      <c r="A1788">
        <v>794</v>
      </c>
      <c r="B1788" t="s">
        <v>1971</v>
      </c>
      <c r="C1788" t="s">
        <v>2091</v>
      </c>
      <c r="D1788" t="s">
        <v>13</v>
      </c>
      <c r="E1788" t="s">
        <v>73</v>
      </c>
      <c r="F1788">
        <v>4.75</v>
      </c>
    </row>
    <row r="1789" spans="1:6" x14ac:dyDescent="0.25">
      <c r="A1789">
        <v>793</v>
      </c>
      <c r="B1789" t="s">
        <v>1546</v>
      </c>
      <c r="C1789" t="s">
        <v>1755</v>
      </c>
      <c r="D1789" t="s">
        <v>13</v>
      </c>
      <c r="E1789" t="s">
        <v>465</v>
      </c>
      <c r="F1789">
        <v>1.75</v>
      </c>
    </row>
    <row r="1790" spans="1:6" x14ac:dyDescent="0.25">
      <c r="A1790">
        <v>792</v>
      </c>
      <c r="B1790" t="s">
        <v>41</v>
      </c>
      <c r="C1790" t="s">
        <v>2092</v>
      </c>
      <c r="D1790" t="s">
        <v>44</v>
      </c>
      <c r="E1790" t="s">
        <v>17</v>
      </c>
      <c r="F1790">
        <v>4.5</v>
      </c>
    </row>
    <row r="1791" spans="1:6" x14ac:dyDescent="0.25">
      <c r="A1791">
        <v>791</v>
      </c>
      <c r="B1791" t="s">
        <v>26</v>
      </c>
      <c r="C1791" t="s">
        <v>2093</v>
      </c>
      <c r="D1791" t="s">
        <v>44</v>
      </c>
      <c r="E1791" t="s">
        <v>10</v>
      </c>
      <c r="F1791">
        <v>1</v>
      </c>
    </row>
    <row r="1792" spans="1:6" x14ac:dyDescent="0.25">
      <c r="A1792">
        <v>790</v>
      </c>
      <c r="B1792" t="s">
        <v>2094</v>
      </c>
      <c r="C1792" t="s">
        <v>2095</v>
      </c>
      <c r="D1792" t="s">
        <v>13</v>
      </c>
      <c r="E1792" t="s">
        <v>38</v>
      </c>
      <c r="F1792">
        <v>1.5</v>
      </c>
    </row>
    <row r="1793" spans="1:6" x14ac:dyDescent="0.25">
      <c r="A1793">
        <v>789</v>
      </c>
      <c r="B1793" t="s">
        <v>1613</v>
      </c>
      <c r="C1793" t="s">
        <v>2096</v>
      </c>
      <c r="D1793" t="s">
        <v>13</v>
      </c>
      <c r="E1793" t="s">
        <v>73</v>
      </c>
      <c r="F1793">
        <v>4</v>
      </c>
    </row>
    <row r="1794" spans="1:6" x14ac:dyDescent="0.25">
      <c r="A1794">
        <v>788</v>
      </c>
      <c r="B1794" t="s">
        <v>99</v>
      </c>
      <c r="C1794" t="s">
        <v>2097</v>
      </c>
      <c r="D1794" t="s">
        <v>13</v>
      </c>
      <c r="E1794" t="s">
        <v>14</v>
      </c>
      <c r="F1794">
        <v>4.75</v>
      </c>
    </row>
    <row r="1795" spans="1:6" x14ac:dyDescent="0.25">
      <c r="A1795">
        <v>787</v>
      </c>
      <c r="B1795" t="s">
        <v>1114</v>
      </c>
      <c r="C1795" t="s">
        <v>2098</v>
      </c>
      <c r="D1795" t="s">
        <v>13</v>
      </c>
      <c r="E1795" t="s">
        <v>25</v>
      </c>
      <c r="F1795">
        <v>5</v>
      </c>
    </row>
    <row r="1796" spans="1:6" x14ac:dyDescent="0.25">
      <c r="A1796">
        <v>786</v>
      </c>
      <c r="B1796" t="s">
        <v>1546</v>
      </c>
      <c r="C1796" t="s">
        <v>1933</v>
      </c>
      <c r="D1796" t="s">
        <v>13</v>
      </c>
      <c r="E1796" t="s">
        <v>465</v>
      </c>
      <c r="F1796">
        <v>3</v>
      </c>
    </row>
    <row r="1797" spans="1:6" x14ac:dyDescent="0.25">
      <c r="A1797">
        <v>785</v>
      </c>
      <c r="B1797" t="s">
        <v>1971</v>
      </c>
      <c r="C1797" t="s">
        <v>2099</v>
      </c>
      <c r="D1797" t="s">
        <v>13</v>
      </c>
      <c r="E1797" t="s">
        <v>73</v>
      </c>
      <c r="F1797">
        <v>3.5</v>
      </c>
    </row>
    <row r="1798" spans="1:6" x14ac:dyDescent="0.25">
      <c r="A1798">
        <v>784</v>
      </c>
      <c r="B1798" t="s">
        <v>1195</v>
      </c>
      <c r="C1798" t="s">
        <v>2100</v>
      </c>
      <c r="D1798" t="s">
        <v>30</v>
      </c>
      <c r="E1798" t="s">
        <v>79</v>
      </c>
      <c r="F1798">
        <v>3.25</v>
      </c>
    </row>
    <row r="1799" spans="1:6" x14ac:dyDescent="0.25">
      <c r="A1799">
        <v>783</v>
      </c>
      <c r="B1799" t="s">
        <v>15</v>
      </c>
      <c r="C1799" t="s">
        <v>2101</v>
      </c>
      <c r="D1799" t="s">
        <v>9</v>
      </c>
      <c r="E1799" t="s">
        <v>17</v>
      </c>
      <c r="F1799">
        <v>3</v>
      </c>
    </row>
    <row r="1800" spans="1:6" x14ac:dyDescent="0.25">
      <c r="A1800">
        <v>782</v>
      </c>
      <c r="B1800" t="s">
        <v>41</v>
      </c>
      <c r="C1800" t="s">
        <v>2102</v>
      </c>
      <c r="D1800" t="s">
        <v>44</v>
      </c>
      <c r="E1800" t="s">
        <v>17</v>
      </c>
      <c r="F1800">
        <v>3.25</v>
      </c>
    </row>
    <row r="1801" spans="1:6" x14ac:dyDescent="0.25">
      <c r="A1801">
        <v>781</v>
      </c>
      <c r="B1801" t="s">
        <v>1055</v>
      </c>
      <c r="C1801" t="s">
        <v>2103</v>
      </c>
      <c r="D1801" t="s">
        <v>13</v>
      </c>
      <c r="E1801" t="s">
        <v>53</v>
      </c>
      <c r="F1801">
        <v>3</v>
      </c>
    </row>
    <row r="1802" spans="1:6" x14ac:dyDescent="0.25">
      <c r="A1802">
        <v>780</v>
      </c>
      <c r="B1802" t="s">
        <v>74</v>
      </c>
      <c r="C1802" t="s">
        <v>2104</v>
      </c>
      <c r="D1802" t="s">
        <v>13</v>
      </c>
      <c r="E1802" t="s">
        <v>25</v>
      </c>
      <c r="F1802">
        <v>3.5</v>
      </c>
    </row>
    <row r="1803" spans="1:6" x14ac:dyDescent="0.25">
      <c r="A1803">
        <v>779</v>
      </c>
      <c r="B1803" t="s">
        <v>135</v>
      </c>
      <c r="C1803" t="s">
        <v>2105</v>
      </c>
      <c r="D1803" t="s">
        <v>13</v>
      </c>
      <c r="E1803" t="s">
        <v>73</v>
      </c>
      <c r="F1803">
        <v>3.75</v>
      </c>
    </row>
    <row r="1804" spans="1:6" x14ac:dyDescent="0.25">
      <c r="A1804">
        <v>778</v>
      </c>
      <c r="B1804" t="s">
        <v>668</v>
      </c>
      <c r="C1804" t="s">
        <v>2106</v>
      </c>
      <c r="D1804" t="s">
        <v>9</v>
      </c>
      <c r="E1804" t="s">
        <v>69</v>
      </c>
      <c r="F1804">
        <v>2.5</v>
      </c>
    </row>
    <row r="1805" spans="1:6" x14ac:dyDescent="0.25">
      <c r="A1805">
        <v>777</v>
      </c>
      <c r="B1805" t="s">
        <v>1546</v>
      </c>
      <c r="C1805" t="s">
        <v>2107</v>
      </c>
      <c r="D1805" t="s">
        <v>13</v>
      </c>
      <c r="E1805" t="s">
        <v>465</v>
      </c>
      <c r="F1805">
        <v>2.75</v>
      </c>
    </row>
    <row r="1806" spans="1:6" x14ac:dyDescent="0.25">
      <c r="A1806">
        <v>776</v>
      </c>
      <c r="B1806" t="s">
        <v>1971</v>
      </c>
      <c r="C1806" t="s">
        <v>2108</v>
      </c>
      <c r="D1806" t="s">
        <v>13</v>
      </c>
      <c r="E1806" t="s">
        <v>73</v>
      </c>
      <c r="F1806">
        <v>3.75</v>
      </c>
    </row>
    <row r="1807" spans="1:6" x14ac:dyDescent="0.25">
      <c r="A1807">
        <v>775</v>
      </c>
      <c r="B1807" t="s">
        <v>426</v>
      </c>
      <c r="C1807" t="s">
        <v>2109</v>
      </c>
      <c r="D1807" t="s">
        <v>44</v>
      </c>
      <c r="E1807" t="s">
        <v>79</v>
      </c>
      <c r="F1807">
        <v>3</v>
      </c>
    </row>
    <row r="1808" spans="1:6" x14ac:dyDescent="0.25">
      <c r="A1808">
        <v>774</v>
      </c>
      <c r="B1808" t="s">
        <v>135</v>
      </c>
      <c r="C1808" t="s">
        <v>2110</v>
      </c>
      <c r="D1808" t="s">
        <v>13</v>
      </c>
      <c r="E1808" t="s">
        <v>73</v>
      </c>
      <c r="F1808">
        <v>2.25</v>
      </c>
    </row>
    <row r="1809" spans="1:6" x14ac:dyDescent="0.25">
      <c r="A1809">
        <v>773</v>
      </c>
      <c r="B1809" t="s">
        <v>255</v>
      </c>
      <c r="C1809" t="s">
        <v>2111</v>
      </c>
      <c r="D1809" t="s">
        <v>44</v>
      </c>
      <c r="E1809" t="s">
        <v>38</v>
      </c>
      <c r="F1809">
        <v>3.5</v>
      </c>
    </row>
    <row r="1810" spans="1:6" x14ac:dyDescent="0.25">
      <c r="A1810">
        <v>772</v>
      </c>
      <c r="B1810" t="s">
        <v>41</v>
      </c>
      <c r="C1810" t="s">
        <v>2112</v>
      </c>
      <c r="D1810" t="s">
        <v>13</v>
      </c>
      <c r="E1810" t="s">
        <v>17</v>
      </c>
      <c r="F1810">
        <v>3.5</v>
      </c>
    </row>
    <row r="1811" spans="1:6" x14ac:dyDescent="0.25">
      <c r="A1811">
        <v>771</v>
      </c>
      <c r="B1811" t="s">
        <v>654</v>
      </c>
      <c r="C1811" t="s">
        <v>2113</v>
      </c>
      <c r="D1811" t="s">
        <v>13</v>
      </c>
      <c r="E1811" t="s">
        <v>73</v>
      </c>
      <c r="F1811">
        <v>4</v>
      </c>
    </row>
    <row r="1812" spans="1:6" x14ac:dyDescent="0.25">
      <c r="A1812">
        <v>770</v>
      </c>
      <c r="B1812" t="s">
        <v>2114</v>
      </c>
      <c r="C1812" t="s">
        <v>2084</v>
      </c>
      <c r="D1812" t="s">
        <v>13</v>
      </c>
      <c r="E1812" t="s">
        <v>46</v>
      </c>
      <c r="F1812">
        <v>3.5</v>
      </c>
    </row>
    <row r="1813" spans="1:6" x14ac:dyDescent="0.25">
      <c r="A1813">
        <v>769</v>
      </c>
      <c r="B1813" t="s">
        <v>15</v>
      </c>
      <c r="C1813" t="s">
        <v>2115</v>
      </c>
      <c r="D1813" t="s">
        <v>9</v>
      </c>
      <c r="E1813" t="s">
        <v>17</v>
      </c>
      <c r="F1813">
        <v>3.25</v>
      </c>
    </row>
    <row r="1814" spans="1:6" x14ac:dyDescent="0.25">
      <c r="A1814">
        <v>768</v>
      </c>
      <c r="B1814" t="s">
        <v>2116</v>
      </c>
      <c r="C1814" t="s">
        <v>2107</v>
      </c>
      <c r="D1814" t="s">
        <v>44</v>
      </c>
      <c r="E1814" t="s">
        <v>38</v>
      </c>
      <c r="F1814">
        <v>0.25</v>
      </c>
    </row>
    <row r="1815" spans="1:6" x14ac:dyDescent="0.25">
      <c r="A1815">
        <v>767</v>
      </c>
      <c r="B1815" t="s">
        <v>2116</v>
      </c>
      <c r="C1815" t="s">
        <v>2024</v>
      </c>
      <c r="D1815" t="s">
        <v>44</v>
      </c>
      <c r="E1815" t="s">
        <v>38</v>
      </c>
      <c r="F1815">
        <v>1.75</v>
      </c>
    </row>
    <row r="1816" spans="1:6" x14ac:dyDescent="0.25">
      <c r="A1816">
        <v>766</v>
      </c>
      <c r="B1816" t="s">
        <v>2116</v>
      </c>
      <c r="C1816" t="s">
        <v>2117</v>
      </c>
      <c r="D1816" t="s">
        <v>44</v>
      </c>
      <c r="E1816" t="s">
        <v>38</v>
      </c>
      <c r="F1816">
        <v>3.75</v>
      </c>
    </row>
    <row r="1817" spans="1:6" x14ac:dyDescent="0.25">
      <c r="A1817">
        <v>765</v>
      </c>
      <c r="B1817" t="s">
        <v>250</v>
      </c>
      <c r="C1817" t="s">
        <v>2118</v>
      </c>
      <c r="D1817" t="s">
        <v>13</v>
      </c>
      <c r="E1817" t="s">
        <v>73</v>
      </c>
      <c r="F1817">
        <v>4.5</v>
      </c>
    </row>
    <row r="1818" spans="1:6" x14ac:dyDescent="0.25">
      <c r="A1818">
        <v>764</v>
      </c>
      <c r="B1818" t="s">
        <v>346</v>
      </c>
      <c r="C1818" t="s">
        <v>2119</v>
      </c>
      <c r="D1818" t="s">
        <v>44</v>
      </c>
      <c r="E1818" t="s">
        <v>25</v>
      </c>
      <c r="F1818">
        <v>3.5</v>
      </c>
    </row>
    <row r="1819" spans="1:6" x14ac:dyDescent="0.25">
      <c r="A1819">
        <v>763</v>
      </c>
      <c r="B1819" t="s">
        <v>132</v>
      </c>
      <c r="C1819" t="s">
        <v>2120</v>
      </c>
      <c r="D1819" t="s">
        <v>13</v>
      </c>
      <c r="E1819" t="s">
        <v>22</v>
      </c>
      <c r="F1819">
        <v>3.25</v>
      </c>
    </row>
    <row r="1820" spans="1:6" x14ac:dyDescent="0.25">
      <c r="A1820">
        <v>762</v>
      </c>
      <c r="B1820" t="s">
        <v>1976</v>
      </c>
      <c r="C1820" t="s">
        <v>2121</v>
      </c>
      <c r="D1820" t="s">
        <v>13</v>
      </c>
      <c r="E1820" t="s">
        <v>14</v>
      </c>
      <c r="F1820">
        <v>1.5</v>
      </c>
    </row>
    <row r="1821" spans="1:6" x14ac:dyDescent="0.25">
      <c r="A1821">
        <v>761</v>
      </c>
      <c r="B1821" t="s">
        <v>1533</v>
      </c>
      <c r="C1821" t="s">
        <v>2122</v>
      </c>
      <c r="D1821" t="s">
        <v>13</v>
      </c>
      <c r="E1821" t="s">
        <v>17</v>
      </c>
      <c r="F1821">
        <v>3.5</v>
      </c>
    </row>
    <row r="1822" spans="1:6" x14ac:dyDescent="0.25">
      <c r="A1822">
        <v>760</v>
      </c>
      <c r="B1822" t="s">
        <v>15</v>
      </c>
      <c r="C1822" t="s">
        <v>2123</v>
      </c>
      <c r="D1822" t="s">
        <v>9</v>
      </c>
      <c r="E1822" t="s">
        <v>17</v>
      </c>
      <c r="F1822">
        <v>3.25</v>
      </c>
    </row>
    <row r="1823" spans="1:6" x14ac:dyDescent="0.25">
      <c r="A1823">
        <v>759</v>
      </c>
      <c r="B1823" t="s">
        <v>41</v>
      </c>
      <c r="C1823" t="s">
        <v>2124</v>
      </c>
      <c r="D1823" t="s">
        <v>44</v>
      </c>
      <c r="E1823" t="s">
        <v>17</v>
      </c>
      <c r="F1823">
        <v>3.75</v>
      </c>
    </row>
    <row r="1824" spans="1:6" x14ac:dyDescent="0.25">
      <c r="A1824">
        <v>758</v>
      </c>
      <c r="B1824" t="s">
        <v>426</v>
      </c>
      <c r="C1824" t="s">
        <v>2125</v>
      </c>
      <c r="D1824" t="s">
        <v>44</v>
      </c>
      <c r="E1824" t="s">
        <v>79</v>
      </c>
      <c r="F1824">
        <v>3.25</v>
      </c>
    </row>
    <row r="1825" spans="1:6" x14ac:dyDescent="0.25">
      <c r="A1825">
        <v>757</v>
      </c>
      <c r="B1825" t="s">
        <v>135</v>
      </c>
      <c r="C1825" t="s">
        <v>2126</v>
      </c>
      <c r="D1825" t="s">
        <v>13</v>
      </c>
      <c r="E1825" t="s">
        <v>73</v>
      </c>
      <c r="F1825">
        <v>4.25</v>
      </c>
    </row>
    <row r="1826" spans="1:6" x14ac:dyDescent="0.25">
      <c r="A1826">
        <v>756</v>
      </c>
      <c r="B1826" t="s">
        <v>309</v>
      </c>
      <c r="C1826" t="s">
        <v>2127</v>
      </c>
      <c r="D1826" t="s">
        <v>44</v>
      </c>
      <c r="E1826" t="s">
        <v>10</v>
      </c>
      <c r="F1826">
        <v>3.75</v>
      </c>
    </row>
    <row r="1827" spans="1:6" x14ac:dyDescent="0.25">
      <c r="A1827">
        <v>755</v>
      </c>
      <c r="B1827" t="s">
        <v>41</v>
      </c>
      <c r="C1827" t="s">
        <v>2128</v>
      </c>
      <c r="D1827" t="s">
        <v>44</v>
      </c>
      <c r="E1827" t="s">
        <v>25</v>
      </c>
      <c r="F1827">
        <v>4.25</v>
      </c>
    </row>
    <row r="1828" spans="1:6" x14ac:dyDescent="0.25">
      <c r="A1828">
        <v>754</v>
      </c>
      <c r="B1828" t="s">
        <v>41</v>
      </c>
      <c r="C1828" t="s">
        <v>2129</v>
      </c>
      <c r="D1828" t="s">
        <v>13</v>
      </c>
      <c r="E1828" t="s">
        <v>17</v>
      </c>
      <c r="F1828">
        <v>3.75</v>
      </c>
    </row>
    <row r="1829" spans="1:6" x14ac:dyDescent="0.25">
      <c r="A1829">
        <v>753</v>
      </c>
      <c r="B1829" t="s">
        <v>41</v>
      </c>
      <c r="C1829" t="s">
        <v>2130</v>
      </c>
      <c r="D1829" t="s">
        <v>13</v>
      </c>
      <c r="E1829" t="s">
        <v>25</v>
      </c>
      <c r="F1829">
        <v>4.25</v>
      </c>
    </row>
    <row r="1830" spans="1:6" x14ac:dyDescent="0.25">
      <c r="A1830">
        <v>752</v>
      </c>
      <c r="B1830" t="s">
        <v>41</v>
      </c>
      <c r="C1830" t="s">
        <v>2131</v>
      </c>
      <c r="D1830" t="s">
        <v>44</v>
      </c>
      <c r="E1830" t="s">
        <v>17</v>
      </c>
      <c r="F1830">
        <v>3.5</v>
      </c>
    </row>
    <row r="1831" spans="1:6" x14ac:dyDescent="0.25">
      <c r="A1831">
        <v>751</v>
      </c>
      <c r="B1831" t="s">
        <v>41</v>
      </c>
      <c r="C1831" t="s">
        <v>2132</v>
      </c>
      <c r="D1831" t="s">
        <v>9</v>
      </c>
      <c r="E1831" t="s">
        <v>25</v>
      </c>
      <c r="F1831">
        <v>5</v>
      </c>
    </row>
    <row r="1832" spans="1:6" x14ac:dyDescent="0.25">
      <c r="A1832">
        <v>750</v>
      </c>
      <c r="B1832" t="s">
        <v>41</v>
      </c>
      <c r="C1832" t="s">
        <v>2133</v>
      </c>
      <c r="D1832" t="s">
        <v>44</v>
      </c>
      <c r="E1832" t="s">
        <v>17</v>
      </c>
      <c r="F1832">
        <v>3.75</v>
      </c>
    </row>
    <row r="1833" spans="1:6" x14ac:dyDescent="0.25">
      <c r="A1833">
        <v>749</v>
      </c>
      <c r="B1833" t="s">
        <v>374</v>
      </c>
      <c r="C1833" t="s">
        <v>2134</v>
      </c>
      <c r="D1833" t="s">
        <v>13</v>
      </c>
      <c r="E1833" t="s">
        <v>17</v>
      </c>
      <c r="F1833">
        <v>5</v>
      </c>
    </row>
    <row r="1834" spans="1:6" x14ac:dyDescent="0.25">
      <c r="A1834">
        <v>748</v>
      </c>
      <c r="B1834" t="s">
        <v>2135</v>
      </c>
      <c r="C1834" t="s">
        <v>2136</v>
      </c>
      <c r="D1834" t="s">
        <v>44</v>
      </c>
      <c r="E1834" t="s">
        <v>17</v>
      </c>
      <c r="F1834">
        <v>3.75</v>
      </c>
    </row>
    <row r="1835" spans="1:6" x14ac:dyDescent="0.25">
      <c r="A1835">
        <v>747</v>
      </c>
      <c r="B1835" t="s">
        <v>15</v>
      </c>
      <c r="C1835" t="s">
        <v>2137</v>
      </c>
      <c r="D1835" t="s">
        <v>13</v>
      </c>
      <c r="E1835" t="s">
        <v>17</v>
      </c>
      <c r="F1835">
        <v>3.5</v>
      </c>
    </row>
    <row r="1836" spans="1:6" x14ac:dyDescent="0.25">
      <c r="A1836">
        <v>746</v>
      </c>
      <c r="B1836" t="s">
        <v>426</v>
      </c>
      <c r="C1836" t="s">
        <v>2138</v>
      </c>
      <c r="D1836" t="s">
        <v>44</v>
      </c>
      <c r="E1836" t="s">
        <v>79</v>
      </c>
      <c r="F1836">
        <v>1.25</v>
      </c>
    </row>
    <row r="1837" spans="1:6" x14ac:dyDescent="0.25">
      <c r="A1837">
        <v>745</v>
      </c>
      <c r="B1837" t="s">
        <v>41</v>
      </c>
      <c r="C1837" t="s">
        <v>2139</v>
      </c>
      <c r="D1837" t="s">
        <v>13</v>
      </c>
      <c r="E1837" t="s">
        <v>25</v>
      </c>
      <c r="F1837">
        <v>5</v>
      </c>
    </row>
    <row r="1838" spans="1:6" x14ac:dyDescent="0.25">
      <c r="A1838">
        <v>744</v>
      </c>
      <c r="B1838" t="s">
        <v>2140</v>
      </c>
      <c r="C1838" t="s">
        <v>2141</v>
      </c>
      <c r="D1838" t="s">
        <v>13</v>
      </c>
      <c r="E1838" t="s">
        <v>1159</v>
      </c>
      <c r="F1838">
        <v>3.25</v>
      </c>
    </row>
    <row r="1839" spans="1:6" x14ac:dyDescent="0.25">
      <c r="A1839">
        <v>743</v>
      </c>
      <c r="B1839" t="s">
        <v>668</v>
      </c>
      <c r="C1839" t="s">
        <v>2142</v>
      </c>
      <c r="D1839" t="s">
        <v>9</v>
      </c>
      <c r="E1839" t="s">
        <v>69</v>
      </c>
      <c r="F1839">
        <v>3.75</v>
      </c>
    </row>
    <row r="1840" spans="1:6" x14ac:dyDescent="0.25">
      <c r="A1840">
        <v>742</v>
      </c>
      <c r="B1840" t="s">
        <v>2087</v>
      </c>
      <c r="C1840" t="s">
        <v>2143</v>
      </c>
      <c r="D1840" t="s">
        <v>13</v>
      </c>
      <c r="E1840" t="s">
        <v>2088</v>
      </c>
      <c r="F1840">
        <v>3.25</v>
      </c>
    </row>
    <row r="1841" spans="1:7" x14ac:dyDescent="0.25">
      <c r="A1841">
        <v>741</v>
      </c>
      <c r="B1841" t="s">
        <v>18</v>
      </c>
      <c r="C1841" t="s">
        <v>2144</v>
      </c>
      <c r="D1841" t="s">
        <v>13</v>
      </c>
      <c r="E1841" t="s">
        <v>14</v>
      </c>
      <c r="F1841">
        <v>2.75</v>
      </c>
    </row>
    <row r="1842" spans="1:7" x14ac:dyDescent="0.25">
      <c r="A1842">
        <v>740</v>
      </c>
      <c r="B1842" t="s">
        <v>135</v>
      </c>
      <c r="C1842" t="s">
        <v>2145</v>
      </c>
      <c r="D1842" t="s">
        <v>13</v>
      </c>
      <c r="E1842" t="s">
        <v>73</v>
      </c>
      <c r="F1842">
        <v>5</v>
      </c>
    </row>
    <row r="1843" spans="1:7" x14ac:dyDescent="0.25">
      <c r="A1843">
        <v>739</v>
      </c>
      <c r="B1843" t="s">
        <v>426</v>
      </c>
      <c r="C1843" t="s">
        <v>2146</v>
      </c>
      <c r="D1843" t="s">
        <v>44</v>
      </c>
      <c r="E1843" t="s">
        <v>79</v>
      </c>
      <c r="F1843">
        <v>3.5</v>
      </c>
    </row>
    <row r="1844" spans="1:7" x14ac:dyDescent="0.25">
      <c r="A1844">
        <v>738</v>
      </c>
      <c r="B1844" t="s">
        <v>15</v>
      </c>
      <c r="C1844" t="s">
        <v>2147</v>
      </c>
      <c r="D1844" t="s">
        <v>44</v>
      </c>
      <c r="E1844" t="s">
        <v>10</v>
      </c>
      <c r="F1844">
        <v>3.75</v>
      </c>
    </row>
    <row r="1845" spans="1:7" x14ac:dyDescent="0.25">
      <c r="A1845">
        <v>737</v>
      </c>
      <c r="B1845" t="s">
        <v>2082</v>
      </c>
      <c r="C1845" t="s">
        <v>2148</v>
      </c>
      <c r="D1845" t="s">
        <v>13</v>
      </c>
      <c r="E1845" t="s">
        <v>53</v>
      </c>
      <c r="F1845">
        <v>2.5</v>
      </c>
    </row>
    <row r="1846" spans="1:7" x14ac:dyDescent="0.25">
      <c r="A1846">
        <v>736</v>
      </c>
      <c r="B1846" t="s">
        <v>102</v>
      </c>
      <c r="C1846" t="s">
        <v>2149</v>
      </c>
      <c r="D1846" t="s">
        <v>30</v>
      </c>
      <c r="E1846" t="s">
        <v>17</v>
      </c>
      <c r="F1846">
        <v>3.25</v>
      </c>
    </row>
    <row r="1847" spans="1:7" x14ac:dyDescent="0.25">
      <c r="A1847">
        <v>735</v>
      </c>
      <c r="B1847" t="s">
        <v>74</v>
      </c>
      <c r="C1847" t="s">
        <v>2150</v>
      </c>
      <c r="D1847" t="s">
        <v>44</v>
      </c>
      <c r="E1847" t="s">
        <v>25</v>
      </c>
      <c r="F1847">
        <v>2.75</v>
      </c>
    </row>
    <row r="1848" spans="1:7" ht="31.5" x14ac:dyDescent="0.25">
      <c r="A1848">
        <v>734</v>
      </c>
      <c r="B1848" t="s">
        <v>135</v>
      </c>
      <c r="C1848" t="s">
        <v>2151</v>
      </c>
      <c r="D1848" t="s">
        <v>13</v>
      </c>
      <c r="E1848" t="s">
        <v>73</v>
      </c>
      <c r="F1848">
        <v>5</v>
      </c>
      <c r="G1848" s="1" t="s">
        <v>1960</v>
      </c>
    </row>
    <row r="1849" spans="1:7" x14ac:dyDescent="0.25">
      <c r="A1849">
        <v>733</v>
      </c>
      <c r="B1849" t="s">
        <v>135</v>
      </c>
      <c r="C1849" t="s">
        <v>2152</v>
      </c>
      <c r="D1849" t="s">
        <v>13</v>
      </c>
      <c r="E1849" t="s">
        <v>73</v>
      </c>
      <c r="F1849">
        <v>4.5</v>
      </c>
    </row>
    <row r="1850" spans="1:7" x14ac:dyDescent="0.25">
      <c r="A1850">
        <v>732</v>
      </c>
      <c r="B1850" t="s">
        <v>135</v>
      </c>
      <c r="C1850" t="s">
        <v>2153</v>
      </c>
      <c r="D1850" t="s">
        <v>13</v>
      </c>
      <c r="E1850" t="s">
        <v>73</v>
      </c>
      <c r="F1850">
        <v>4.25</v>
      </c>
    </row>
    <row r="1851" spans="1:7" x14ac:dyDescent="0.25">
      <c r="A1851">
        <v>731</v>
      </c>
      <c r="B1851" t="s">
        <v>135</v>
      </c>
      <c r="C1851" t="s">
        <v>2154</v>
      </c>
      <c r="D1851" t="s">
        <v>13</v>
      </c>
      <c r="E1851" t="s">
        <v>73</v>
      </c>
      <c r="F1851">
        <v>3.25</v>
      </c>
    </row>
    <row r="1852" spans="1:7" x14ac:dyDescent="0.25">
      <c r="A1852">
        <v>730</v>
      </c>
      <c r="B1852" t="s">
        <v>135</v>
      </c>
      <c r="C1852" t="s">
        <v>2155</v>
      </c>
      <c r="D1852" t="s">
        <v>13</v>
      </c>
      <c r="E1852" t="s">
        <v>73</v>
      </c>
      <c r="F1852">
        <v>5</v>
      </c>
    </row>
    <row r="1853" spans="1:7" x14ac:dyDescent="0.25">
      <c r="A1853">
        <v>729</v>
      </c>
      <c r="B1853" t="s">
        <v>135</v>
      </c>
      <c r="C1853" t="s">
        <v>2156</v>
      </c>
      <c r="D1853" t="s">
        <v>13</v>
      </c>
      <c r="E1853" t="s">
        <v>73</v>
      </c>
      <c r="F1853">
        <v>5</v>
      </c>
    </row>
    <row r="1854" spans="1:7" x14ac:dyDescent="0.25">
      <c r="A1854">
        <v>728</v>
      </c>
      <c r="B1854" t="s">
        <v>135</v>
      </c>
      <c r="C1854" t="s">
        <v>2157</v>
      </c>
      <c r="D1854" t="s">
        <v>13</v>
      </c>
      <c r="E1854" t="s">
        <v>73</v>
      </c>
      <c r="F1854">
        <v>5</v>
      </c>
    </row>
    <row r="1855" spans="1:7" x14ac:dyDescent="0.25">
      <c r="A1855">
        <v>727</v>
      </c>
      <c r="B1855" t="s">
        <v>135</v>
      </c>
      <c r="C1855" t="s">
        <v>2158</v>
      </c>
      <c r="D1855" t="s">
        <v>13</v>
      </c>
      <c r="E1855" t="s">
        <v>73</v>
      </c>
      <c r="F1855">
        <v>4</v>
      </c>
    </row>
    <row r="1856" spans="1:7" x14ac:dyDescent="0.25">
      <c r="A1856">
        <v>726</v>
      </c>
      <c r="B1856" t="s">
        <v>135</v>
      </c>
      <c r="C1856" t="s">
        <v>2159</v>
      </c>
      <c r="D1856" t="s">
        <v>13</v>
      </c>
      <c r="E1856" t="s">
        <v>73</v>
      </c>
      <c r="F1856">
        <v>4</v>
      </c>
    </row>
    <row r="1857" spans="1:7" x14ac:dyDescent="0.25">
      <c r="A1857">
        <v>725</v>
      </c>
      <c r="B1857" t="s">
        <v>135</v>
      </c>
      <c r="C1857" t="s">
        <v>2160</v>
      </c>
      <c r="D1857" t="s">
        <v>9</v>
      </c>
      <c r="E1857" t="s">
        <v>73</v>
      </c>
      <c r="F1857">
        <v>5</v>
      </c>
    </row>
    <row r="1858" spans="1:7" x14ac:dyDescent="0.25">
      <c r="A1858">
        <v>724</v>
      </c>
      <c r="B1858" t="s">
        <v>135</v>
      </c>
      <c r="C1858" t="s">
        <v>2161</v>
      </c>
      <c r="D1858" t="s">
        <v>13</v>
      </c>
      <c r="E1858" t="s">
        <v>73</v>
      </c>
      <c r="F1858">
        <v>3.5</v>
      </c>
    </row>
    <row r="1859" spans="1:7" x14ac:dyDescent="0.25">
      <c r="A1859">
        <v>723</v>
      </c>
      <c r="B1859" t="s">
        <v>135</v>
      </c>
      <c r="C1859" t="s">
        <v>2162</v>
      </c>
      <c r="D1859" t="s">
        <v>13</v>
      </c>
      <c r="E1859" t="s">
        <v>73</v>
      </c>
      <c r="F1859">
        <v>5</v>
      </c>
    </row>
    <row r="1860" spans="1:7" x14ac:dyDescent="0.25">
      <c r="A1860">
        <v>722</v>
      </c>
      <c r="B1860" t="s">
        <v>2163</v>
      </c>
      <c r="C1860" t="s">
        <v>2164</v>
      </c>
      <c r="D1860" t="s">
        <v>44</v>
      </c>
      <c r="E1860" t="s">
        <v>10</v>
      </c>
      <c r="F1860">
        <v>3.5</v>
      </c>
    </row>
    <row r="1861" spans="1:7" x14ac:dyDescent="0.25">
      <c r="A1861">
        <v>721</v>
      </c>
      <c r="B1861" t="s">
        <v>41</v>
      </c>
      <c r="C1861" t="s">
        <v>2165</v>
      </c>
      <c r="D1861" t="s">
        <v>44</v>
      </c>
      <c r="E1861" t="s">
        <v>17</v>
      </c>
      <c r="F1861">
        <v>4</v>
      </c>
    </row>
    <row r="1862" spans="1:7" x14ac:dyDescent="0.25">
      <c r="A1862">
        <v>720</v>
      </c>
      <c r="B1862" t="s">
        <v>2087</v>
      </c>
      <c r="C1862" t="s">
        <v>2166</v>
      </c>
      <c r="D1862" t="s">
        <v>13</v>
      </c>
      <c r="E1862" t="s">
        <v>2088</v>
      </c>
      <c r="F1862">
        <v>3.75</v>
      </c>
    </row>
    <row r="1863" spans="1:7" x14ac:dyDescent="0.25">
      <c r="A1863">
        <v>719</v>
      </c>
      <c r="B1863" t="s">
        <v>15</v>
      </c>
      <c r="C1863" t="s">
        <v>2167</v>
      </c>
      <c r="D1863" t="s">
        <v>13</v>
      </c>
      <c r="E1863" t="s">
        <v>17</v>
      </c>
      <c r="F1863">
        <v>3.25</v>
      </c>
    </row>
    <row r="1864" spans="1:7" x14ac:dyDescent="0.25">
      <c r="A1864">
        <v>718</v>
      </c>
      <c r="B1864" t="s">
        <v>74</v>
      </c>
      <c r="C1864" t="s">
        <v>1917</v>
      </c>
      <c r="D1864" t="s">
        <v>13</v>
      </c>
      <c r="E1864" t="s">
        <v>25</v>
      </c>
      <c r="F1864">
        <v>3.75</v>
      </c>
    </row>
    <row r="1865" spans="1:7" x14ac:dyDescent="0.25">
      <c r="A1865">
        <v>717</v>
      </c>
      <c r="B1865" t="s">
        <v>15</v>
      </c>
      <c r="C1865" t="s">
        <v>2168</v>
      </c>
      <c r="D1865" t="s">
        <v>44</v>
      </c>
      <c r="E1865" t="s">
        <v>17</v>
      </c>
      <c r="F1865">
        <v>3.25</v>
      </c>
    </row>
    <row r="1866" spans="1:7" x14ac:dyDescent="0.25">
      <c r="A1866">
        <v>716</v>
      </c>
      <c r="B1866" t="s">
        <v>331</v>
      </c>
      <c r="C1866" t="s">
        <v>2169</v>
      </c>
      <c r="D1866" t="s">
        <v>44</v>
      </c>
      <c r="E1866" t="s">
        <v>53</v>
      </c>
      <c r="F1866">
        <v>3.75</v>
      </c>
    </row>
    <row r="1867" spans="1:7" x14ac:dyDescent="0.25">
      <c r="A1867">
        <v>715</v>
      </c>
      <c r="B1867" t="s">
        <v>135</v>
      </c>
      <c r="C1867" t="s">
        <v>2170</v>
      </c>
      <c r="D1867" t="s">
        <v>13</v>
      </c>
      <c r="E1867" t="s">
        <v>73</v>
      </c>
      <c r="F1867">
        <v>5</v>
      </c>
      <c r="G1867" t="s">
        <v>2171</v>
      </c>
    </row>
    <row r="1868" spans="1:7" x14ac:dyDescent="0.25">
      <c r="A1868">
        <v>714</v>
      </c>
      <c r="B1868" t="s">
        <v>298</v>
      </c>
      <c r="C1868" t="s">
        <v>2172</v>
      </c>
      <c r="D1868" t="s">
        <v>13</v>
      </c>
      <c r="E1868" t="s">
        <v>25</v>
      </c>
      <c r="F1868">
        <v>3.75</v>
      </c>
    </row>
    <row r="1869" spans="1:7" x14ac:dyDescent="0.25">
      <c r="A1869">
        <v>713</v>
      </c>
      <c r="B1869" t="s">
        <v>15</v>
      </c>
      <c r="C1869" t="s">
        <v>2173</v>
      </c>
      <c r="D1869" t="s">
        <v>13</v>
      </c>
      <c r="E1869" t="s">
        <v>17</v>
      </c>
      <c r="F1869">
        <v>4</v>
      </c>
    </row>
    <row r="1870" spans="1:7" x14ac:dyDescent="0.25">
      <c r="A1870">
        <v>712</v>
      </c>
      <c r="B1870" t="s">
        <v>590</v>
      </c>
      <c r="C1870" t="s">
        <v>2174</v>
      </c>
      <c r="D1870" t="s">
        <v>44</v>
      </c>
      <c r="E1870" t="s">
        <v>46</v>
      </c>
      <c r="F1870">
        <v>3.25</v>
      </c>
    </row>
    <row r="1871" spans="1:7" x14ac:dyDescent="0.25">
      <c r="A1871">
        <v>711</v>
      </c>
      <c r="B1871" t="s">
        <v>41</v>
      </c>
      <c r="C1871" t="s">
        <v>2175</v>
      </c>
      <c r="D1871" t="s">
        <v>13</v>
      </c>
      <c r="E1871" t="s">
        <v>25</v>
      </c>
      <c r="F1871">
        <v>4.25</v>
      </c>
    </row>
    <row r="1872" spans="1:7" x14ac:dyDescent="0.25">
      <c r="A1872">
        <v>710</v>
      </c>
      <c r="B1872" t="s">
        <v>2176</v>
      </c>
      <c r="C1872" t="s">
        <v>2177</v>
      </c>
      <c r="D1872" t="s">
        <v>44</v>
      </c>
      <c r="E1872" t="s">
        <v>53</v>
      </c>
      <c r="F1872">
        <v>2.75</v>
      </c>
    </row>
    <row r="1873" spans="1:6" x14ac:dyDescent="0.25">
      <c r="A1873">
        <v>709</v>
      </c>
      <c r="B1873" t="s">
        <v>15</v>
      </c>
      <c r="C1873" t="s">
        <v>2178</v>
      </c>
      <c r="D1873" t="s">
        <v>30</v>
      </c>
      <c r="E1873" t="s">
        <v>17</v>
      </c>
      <c r="F1873">
        <v>3.25</v>
      </c>
    </row>
    <row r="1874" spans="1:6" x14ac:dyDescent="0.25">
      <c r="A1874">
        <v>708</v>
      </c>
      <c r="B1874" t="s">
        <v>2179</v>
      </c>
      <c r="C1874" t="s">
        <v>2180</v>
      </c>
      <c r="D1874" t="s">
        <v>13</v>
      </c>
      <c r="E1874" t="s">
        <v>14</v>
      </c>
      <c r="F1874">
        <v>2.75</v>
      </c>
    </row>
    <row r="1875" spans="1:6" x14ac:dyDescent="0.25">
      <c r="A1875">
        <v>707</v>
      </c>
      <c r="B1875" t="s">
        <v>2181</v>
      </c>
      <c r="C1875" t="s">
        <v>2182</v>
      </c>
      <c r="D1875" t="s">
        <v>44</v>
      </c>
      <c r="E1875" t="s">
        <v>38</v>
      </c>
      <c r="F1875">
        <v>3.25</v>
      </c>
    </row>
    <row r="1876" spans="1:6" x14ac:dyDescent="0.25">
      <c r="A1876">
        <v>706</v>
      </c>
      <c r="B1876" t="s">
        <v>1516</v>
      </c>
      <c r="C1876" t="s">
        <v>2183</v>
      </c>
      <c r="D1876" t="s">
        <v>44</v>
      </c>
      <c r="E1876" t="s">
        <v>14</v>
      </c>
      <c r="F1876">
        <v>4.25</v>
      </c>
    </row>
    <row r="1877" spans="1:6" x14ac:dyDescent="0.25">
      <c r="A1877">
        <v>705</v>
      </c>
      <c r="B1877" t="s">
        <v>1475</v>
      </c>
      <c r="C1877" t="s">
        <v>2184</v>
      </c>
      <c r="D1877" t="s">
        <v>9</v>
      </c>
      <c r="E1877" t="s">
        <v>79</v>
      </c>
      <c r="F1877">
        <v>3.5</v>
      </c>
    </row>
    <row r="1878" spans="1:6" x14ac:dyDescent="0.25">
      <c r="A1878">
        <v>704</v>
      </c>
      <c r="B1878" t="s">
        <v>15</v>
      </c>
      <c r="C1878" t="s">
        <v>2185</v>
      </c>
      <c r="D1878" t="s">
        <v>30</v>
      </c>
      <c r="E1878" t="s">
        <v>17</v>
      </c>
      <c r="F1878">
        <v>4</v>
      </c>
    </row>
    <row r="1879" spans="1:6" x14ac:dyDescent="0.25">
      <c r="A1879">
        <v>703</v>
      </c>
      <c r="B1879" t="s">
        <v>15</v>
      </c>
      <c r="C1879" t="s">
        <v>2186</v>
      </c>
      <c r="D1879" t="s">
        <v>13</v>
      </c>
      <c r="E1879" t="s">
        <v>17</v>
      </c>
      <c r="F1879">
        <v>3.5</v>
      </c>
    </row>
    <row r="1880" spans="1:6" x14ac:dyDescent="0.25">
      <c r="A1880">
        <v>702</v>
      </c>
      <c r="B1880" t="s">
        <v>15</v>
      </c>
      <c r="C1880" t="s">
        <v>2187</v>
      </c>
      <c r="D1880" t="s">
        <v>13</v>
      </c>
      <c r="E1880" t="s">
        <v>10</v>
      </c>
      <c r="F1880">
        <v>4.5</v>
      </c>
    </row>
    <row r="1881" spans="1:6" x14ac:dyDescent="0.25">
      <c r="A1881">
        <v>701</v>
      </c>
      <c r="B1881" t="s">
        <v>15</v>
      </c>
      <c r="C1881" t="s">
        <v>2188</v>
      </c>
      <c r="D1881" t="s">
        <v>9</v>
      </c>
      <c r="E1881" t="s">
        <v>17</v>
      </c>
      <c r="F1881">
        <v>4</v>
      </c>
    </row>
    <row r="1882" spans="1:6" x14ac:dyDescent="0.25">
      <c r="A1882">
        <v>700</v>
      </c>
      <c r="B1882" t="s">
        <v>15</v>
      </c>
      <c r="C1882" t="s">
        <v>2189</v>
      </c>
      <c r="D1882" t="s">
        <v>13</v>
      </c>
      <c r="E1882" t="s">
        <v>10</v>
      </c>
      <c r="F1882">
        <v>5</v>
      </c>
    </row>
    <row r="1883" spans="1:6" x14ac:dyDescent="0.25">
      <c r="A1883">
        <v>699</v>
      </c>
      <c r="B1883" t="s">
        <v>15</v>
      </c>
      <c r="C1883" t="s">
        <v>2190</v>
      </c>
      <c r="D1883" t="s">
        <v>9</v>
      </c>
      <c r="E1883" t="s">
        <v>17</v>
      </c>
      <c r="F1883">
        <v>3.5</v>
      </c>
    </row>
    <row r="1884" spans="1:6" x14ac:dyDescent="0.25">
      <c r="A1884">
        <v>698</v>
      </c>
      <c r="B1884" t="s">
        <v>15</v>
      </c>
      <c r="C1884" t="s">
        <v>2191</v>
      </c>
      <c r="D1884" t="s">
        <v>30</v>
      </c>
      <c r="E1884" t="s">
        <v>17</v>
      </c>
      <c r="F1884">
        <v>4</v>
      </c>
    </row>
    <row r="1885" spans="1:6" x14ac:dyDescent="0.25">
      <c r="A1885">
        <v>697</v>
      </c>
      <c r="B1885" t="s">
        <v>15</v>
      </c>
      <c r="C1885" t="s">
        <v>2192</v>
      </c>
      <c r="D1885" t="s">
        <v>13</v>
      </c>
      <c r="E1885" t="s">
        <v>17</v>
      </c>
      <c r="F1885">
        <v>3.25</v>
      </c>
    </row>
    <row r="1886" spans="1:6" x14ac:dyDescent="0.25">
      <c r="A1886">
        <v>696</v>
      </c>
      <c r="B1886" t="s">
        <v>15</v>
      </c>
      <c r="C1886" t="s">
        <v>2193</v>
      </c>
      <c r="D1886" t="s">
        <v>9</v>
      </c>
      <c r="E1886" t="s">
        <v>17</v>
      </c>
      <c r="F1886">
        <v>3.5</v>
      </c>
    </row>
    <row r="1887" spans="1:6" x14ac:dyDescent="0.25">
      <c r="A1887">
        <v>695</v>
      </c>
      <c r="B1887" t="s">
        <v>2194</v>
      </c>
      <c r="C1887" t="s">
        <v>2195</v>
      </c>
      <c r="D1887" t="s">
        <v>44</v>
      </c>
      <c r="E1887" t="s">
        <v>10</v>
      </c>
      <c r="F1887">
        <v>4.5</v>
      </c>
    </row>
    <row r="1888" spans="1:6" x14ac:dyDescent="0.25">
      <c r="A1888">
        <v>694</v>
      </c>
      <c r="B1888" t="s">
        <v>1055</v>
      </c>
      <c r="C1888" t="s">
        <v>2196</v>
      </c>
      <c r="D1888" t="s">
        <v>13</v>
      </c>
      <c r="E1888" t="s">
        <v>53</v>
      </c>
      <c r="F1888">
        <v>3.5</v>
      </c>
    </row>
    <row r="1889" spans="1:6" x14ac:dyDescent="0.25">
      <c r="A1889">
        <v>693</v>
      </c>
      <c r="B1889" t="s">
        <v>1317</v>
      </c>
      <c r="C1889" t="s">
        <v>2197</v>
      </c>
      <c r="D1889" t="s">
        <v>30</v>
      </c>
      <c r="E1889" t="s">
        <v>79</v>
      </c>
      <c r="F1889">
        <v>2.25</v>
      </c>
    </row>
    <row r="1890" spans="1:6" x14ac:dyDescent="0.25">
      <c r="A1890">
        <v>692</v>
      </c>
      <c r="B1890" t="s">
        <v>2198</v>
      </c>
      <c r="C1890" t="s">
        <v>2199</v>
      </c>
      <c r="D1890" t="s">
        <v>13</v>
      </c>
      <c r="E1890" t="s">
        <v>25</v>
      </c>
      <c r="F1890">
        <v>3.75</v>
      </c>
    </row>
    <row r="1891" spans="1:6" x14ac:dyDescent="0.25">
      <c r="A1891">
        <v>691</v>
      </c>
      <c r="B1891" t="s">
        <v>668</v>
      </c>
      <c r="C1891" t="s">
        <v>2200</v>
      </c>
      <c r="D1891" t="s">
        <v>9</v>
      </c>
      <c r="E1891" t="s">
        <v>69</v>
      </c>
      <c r="F1891">
        <v>2</v>
      </c>
    </row>
    <row r="1892" spans="1:6" x14ac:dyDescent="0.25">
      <c r="A1892">
        <v>690</v>
      </c>
      <c r="B1892" t="s">
        <v>102</v>
      </c>
      <c r="C1892" t="s">
        <v>2201</v>
      </c>
      <c r="D1892" t="s">
        <v>30</v>
      </c>
      <c r="E1892" t="s">
        <v>17</v>
      </c>
      <c r="F1892">
        <v>3.75</v>
      </c>
    </row>
    <row r="1893" spans="1:6" x14ac:dyDescent="0.25">
      <c r="A1893">
        <v>689</v>
      </c>
      <c r="B1893" t="s">
        <v>2181</v>
      </c>
      <c r="C1893" t="s">
        <v>2202</v>
      </c>
      <c r="D1893" t="s">
        <v>44</v>
      </c>
      <c r="E1893" t="s">
        <v>38</v>
      </c>
      <c r="F1893">
        <v>2.5</v>
      </c>
    </row>
    <row r="1894" spans="1:6" x14ac:dyDescent="0.25">
      <c r="A1894">
        <v>688</v>
      </c>
      <c r="B1894" t="s">
        <v>2076</v>
      </c>
      <c r="C1894" t="s">
        <v>2203</v>
      </c>
      <c r="D1894" t="s">
        <v>13</v>
      </c>
      <c r="E1894" t="s">
        <v>25</v>
      </c>
      <c r="F1894">
        <v>3.75</v>
      </c>
    </row>
    <row r="1895" spans="1:6" x14ac:dyDescent="0.25">
      <c r="A1895">
        <v>687</v>
      </c>
      <c r="B1895" t="s">
        <v>15</v>
      </c>
      <c r="C1895" t="s">
        <v>2204</v>
      </c>
      <c r="D1895" t="s">
        <v>9</v>
      </c>
      <c r="E1895" t="s">
        <v>46</v>
      </c>
      <c r="F1895">
        <v>3.75</v>
      </c>
    </row>
    <row r="1896" spans="1:6" x14ac:dyDescent="0.25">
      <c r="A1896">
        <v>686</v>
      </c>
      <c r="B1896" t="s">
        <v>654</v>
      </c>
      <c r="C1896" t="s">
        <v>2205</v>
      </c>
      <c r="D1896" t="s">
        <v>13</v>
      </c>
      <c r="E1896" t="s">
        <v>73</v>
      </c>
      <c r="F1896">
        <v>4.5</v>
      </c>
    </row>
    <row r="1897" spans="1:6" x14ac:dyDescent="0.25">
      <c r="A1897">
        <v>685</v>
      </c>
      <c r="B1897" t="s">
        <v>135</v>
      </c>
      <c r="C1897" t="s">
        <v>2206</v>
      </c>
      <c r="D1897" t="s">
        <v>13</v>
      </c>
      <c r="E1897" t="s">
        <v>73</v>
      </c>
      <c r="F1897">
        <v>2.75</v>
      </c>
    </row>
    <row r="1898" spans="1:6" x14ac:dyDescent="0.25">
      <c r="A1898">
        <v>684</v>
      </c>
      <c r="B1898" t="s">
        <v>2007</v>
      </c>
      <c r="C1898" t="s">
        <v>2207</v>
      </c>
      <c r="D1898" t="s">
        <v>13</v>
      </c>
      <c r="E1898" t="s">
        <v>79</v>
      </c>
      <c r="F1898">
        <v>3.75</v>
      </c>
    </row>
    <row r="1899" spans="1:6" x14ac:dyDescent="0.25">
      <c r="A1899">
        <v>683</v>
      </c>
      <c r="B1899" t="s">
        <v>41</v>
      </c>
      <c r="C1899" t="s">
        <v>2208</v>
      </c>
      <c r="D1899" t="s">
        <v>13</v>
      </c>
      <c r="E1899" t="s">
        <v>25</v>
      </c>
      <c r="F1899">
        <v>4.75</v>
      </c>
    </row>
    <row r="1900" spans="1:6" x14ac:dyDescent="0.25">
      <c r="A1900">
        <v>682</v>
      </c>
      <c r="B1900" t="s">
        <v>135</v>
      </c>
      <c r="C1900" t="s">
        <v>2209</v>
      </c>
      <c r="D1900" t="s">
        <v>9</v>
      </c>
      <c r="E1900" t="s">
        <v>73</v>
      </c>
      <c r="F1900">
        <v>4.25</v>
      </c>
    </row>
    <row r="1901" spans="1:6" x14ac:dyDescent="0.25">
      <c r="A1901">
        <v>681</v>
      </c>
      <c r="B1901" t="s">
        <v>41</v>
      </c>
      <c r="C1901" t="s">
        <v>2210</v>
      </c>
      <c r="D1901" t="s">
        <v>13</v>
      </c>
      <c r="E1901" t="s">
        <v>25</v>
      </c>
      <c r="F1901">
        <v>3.75</v>
      </c>
    </row>
    <row r="1902" spans="1:6" x14ac:dyDescent="0.25">
      <c r="A1902">
        <v>680</v>
      </c>
      <c r="B1902" t="s">
        <v>1055</v>
      </c>
      <c r="C1902" t="s">
        <v>2211</v>
      </c>
      <c r="D1902" t="s">
        <v>13</v>
      </c>
      <c r="E1902" t="s">
        <v>53</v>
      </c>
      <c r="F1902">
        <v>2.75</v>
      </c>
    </row>
    <row r="1903" spans="1:6" x14ac:dyDescent="0.25">
      <c r="A1903">
        <v>679</v>
      </c>
      <c r="B1903" t="s">
        <v>668</v>
      </c>
      <c r="C1903" t="s">
        <v>2212</v>
      </c>
      <c r="D1903" t="s">
        <v>9</v>
      </c>
      <c r="E1903" t="s">
        <v>69</v>
      </c>
      <c r="F1903">
        <v>3.25</v>
      </c>
    </row>
    <row r="1904" spans="1:6" x14ac:dyDescent="0.25">
      <c r="A1904">
        <v>678</v>
      </c>
      <c r="B1904" t="s">
        <v>191</v>
      </c>
      <c r="C1904" t="s">
        <v>324</v>
      </c>
      <c r="D1904" t="s">
        <v>44</v>
      </c>
      <c r="E1904" t="s">
        <v>25</v>
      </c>
      <c r="F1904">
        <v>4</v>
      </c>
    </row>
    <row r="1905" spans="1:6" x14ac:dyDescent="0.25">
      <c r="A1905">
        <v>677</v>
      </c>
      <c r="B1905" t="s">
        <v>41</v>
      </c>
      <c r="C1905" t="s">
        <v>2213</v>
      </c>
      <c r="D1905" t="s">
        <v>13</v>
      </c>
      <c r="E1905" t="s">
        <v>79</v>
      </c>
      <c r="F1905">
        <v>4.5</v>
      </c>
    </row>
    <row r="1906" spans="1:6" x14ac:dyDescent="0.25">
      <c r="A1906">
        <v>676</v>
      </c>
      <c r="B1906" t="s">
        <v>135</v>
      </c>
      <c r="C1906" t="s">
        <v>2214</v>
      </c>
      <c r="D1906" t="s">
        <v>13</v>
      </c>
      <c r="E1906" t="s">
        <v>73</v>
      </c>
      <c r="F1906">
        <v>4.75</v>
      </c>
    </row>
    <row r="1907" spans="1:6" x14ac:dyDescent="0.25">
      <c r="A1907">
        <v>675</v>
      </c>
      <c r="B1907" t="s">
        <v>2198</v>
      </c>
      <c r="C1907" t="s">
        <v>1844</v>
      </c>
      <c r="D1907" t="s">
        <v>13</v>
      </c>
      <c r="E1907" t="s">
        <v>25</v>
      </c>
      <c r="F1907">
        <v>4.75</v>
      </c>
    </row>
    <row r="1908" spans="1:6" x14ac:dyDescent="0.25">
      <c r="A1908">
        <v>674</v>
      </c>
      <c r="B1908" t="s">
        <v>54</v>
      </c>
      <c r="C1908" t="s">
        <v>2215</v>
      </c>
      <c r="D1908" t="s">
        <v>13</v>
      </c>
      <c r="E1908" t="s">
        <v>25</v>
      </c>
      <c r="F1908">
        <v>5</v>
      </c>
    </row>
    <row r="1909" spans="1:6" x14ac:dyDescent="0.25">
      <c r="A1909">
        <v>673</v>
      </c>
      <c r="B1909" t="s">
        <v>2076</v>
      </c>
      <c r="C1909" t="s">
        <v>2216</v>
      </c>
      <c r="D1909" t="s">
        <v>13</v>
      </c>
      <c r="E1909" t="s">
        <v>25</v>
      </c>
      <c r="F1909">
        <v>3.25</v>
      </c>
    </row>
    <row r="1910" spans="1:6" x14ac:dyDescent="0.25">
      <c r="A1910">
        <v>672</v>
      </c>
      <c r="B1910" t="s">
        <v>2217</v>
      </c>
      <c r="C1910" t="s">
        <v>2084</v>
      </c>
      <c r="D1910" t="s">
        <v>13</v>
      </c>
      <c r="E1910" t="s">
        <v>516</v>
      </c>
      <c r="F1910">
        <v>3</v>
      </c>
    </row>
    <row r="1911" spans="1:6" x14ac:dyDescent="0.25">
      <c r="A1911">
        <v>671</v>
      </c>
      <c r="B1911" t="s">
        <v>2217</v>
      </c>
      <c r="C1911" t="s">
        <v>2218</v>
      </c>
      <c r="D1911" t="s">
        <v>13</v>
      </c>
      <c r="E1911" t="s">
        <v>516</v>
      </c>
      <c r="F1911">
        <v>3</v>
      </c>
    </row>
    <row r="1912" spans="1:6" x14ac:dyDescent="0.25">
      <c r="A1912">
        <v>670</v>
      </c>
      <c r="B1912" t="s">
        <v>2176</v>
      </c>
      <c r="C1912" t="s">
        <v>2219</v>
      </c>
      <c r="D1912" t="s">
        <v>44</v>
      </c>
      <c r="E1912" t="s">
        <v>53</v>
      </c>
      <c r="F1912">
        <v>3.5</v>
      </c>
    </row>
    <row r="1913" spans="1:6" x14ac:dyDescent="0.25">
      <c r="A1913">
        <v>669</v>
      </c>
      <c r="B1913" t="s">
        <v>15</v>
      </c>
      <c r="C1913" t="s">
        <v>2220</v>
      </c>
      <c r="D1913" t="s">
        <v>44</v>
      </c>
      <c r="E1913" t="s">
        <v>10</v>
      </c>
      <c r="F1913">
        <v>4</v>
      </c>
    </row>
    <row r="1914" spans="1:6" x14ac:dyDescent="0.25">
      <c r="A1914">
        <v>668</v>
      </c>
      <c r="B1914" t="s">
        <v>2176</v>
      </c>
      <c r="C1914" t="s">
        <v>2221</v>
      </c>
      <c r="D1914" t="s">
        <v>44</v>
      </c>
      <c r="E1914" t="s">
        <v>53</v>
      </c>
      <c r="F1914">
        <v>2</v>
      </c>
    </row>
    <row r="1915" spans="1:6" x14ac:dyDescent="0.25">
      <c r="A1915">
        <v>667</v>
      </c>
      <c r="B1915" t="s">
        <v>15</v>
      </c>
      <c r="C1915" t="s">
        <v>2222</v>
      </c>
      <c r="D1915" t="s">
        <v>44</v>
      </c>
      <c r="E1915" t="s">
        <v>17</v>
      </c>
      <c r="F1915">
        <v>3</v>
      </c>
    </row>
    <row r="1916" spans="1:6" x14ac:dyDescent="0.25">
      <c r="A1916">
        <v>666</v>
      </c>
      <c r="B1916" t="s">
        <v>2223</v>
      </c>
      <c r="C1916" t="s">
        <v>2224</v>
      </c>
      <c r="D1916" t="s">
        <v>13</v>
      </c>
      <c r="E1916" t="s">
        <v>14</v>
      </c>
      <c r="F1916">
        <v>1.5</v>
      </c>
    </row>
    <row r="1917" spans="1:6" x14ac:dyDescent="0.25">
      <c r="A1917">
        <v>665</v>
      </c>
      <c r="B1917" t="s">
        <v>897</v>
      </c>
      <c r="C1917" t="s">
        <v>2225</v>
      </c>
      <c r="D1917" t="s">
        <v>13</v>
      </c>
      <c r="E1917" t="s">
        <v>38</v>
      </c>
      <c r="F1917">
        <v>3.25</v>
      </c>
    </row>
    <row r="1918" spans="1:6" x14ac:dyDescent="0.25">
      <c r="A1918">
        <v>664</v>
      </c>
      <c r="B1918" t="s">
        <v>1533</v>
      </c>
      <c r="C1918" t="s">
        <v>2226</v>
      </c>
      <c r="D1918" t="s">
        <v>13</v>
      </c>
      <c r="E1918" t="s">
        <v>17</v>
      </c>
      <c r="F1918">
        <v>2.75</v>
      </c>
    </row>
    <row r="1919" spans="1:6" x14ac:dyDescent="0.25">
      <c r="A1919">
        <v>663</v>
      </c>
      <c r="B1919" t="s">
        <v>54</v>
      </c>
      <c r="C1919" t="s">
        <v>2227</v>
      </c>
      <c r="D1919" t="s">
        <v>13</v>
      </c>
      <c r="E1919" t="s">
        <v>25</v>
      </c>
      <c r="F1919">
        <v>4</v>
      </c>
    </row>
    <row r="1920" spans="1:6" x14ac:dyDescent="0.25">
      <c r="A1920">
        <v>662</v>
      </c>
      <c r="B1920" t="s">
        <v>309</v>
      </c>
      <c r="C1920" t="s">
        <v>2228</v>
      </c>
      <c r="D1920" t="s">
        <v>44</v>
      </c>
      <c r="E1920" t="s">
        <v>10</v>
      </c>
      <c r="F1920">
        <v>4.25</v>
      </c>
    </row>
    <row r="1921" spans="1:6" x14ac:dyDescent="0.25">
      <c r="A1921">
        <v>661</v>
      </c>
      <c r="B1921" t="s">
        <v>2163</v>
      </c>
      <c r="C1921" t="s">
        <v>2229</v>
      </c>
      <c r="D1921" t="s">
        <v>44</v>
      </c>
      <c r="E1921" t="s">
        <v>10</v>
      </c>
      <c r="F1921">
        <v>4.25</v>
      </c>
    </row>
    <row r="1922" spans="1:6" x14ac:dyDescent="0.25">
      <c r="A1922">
        <v>660</v>
      </c>
      <c r="B1922" t="s">
        <v>1157</v>
      </c>
      <c r="C1922" t="s">
        <v>2230</v>
      </c>
      <c r="D1922" t="s">
        <v>13</v>
      </c>
      <c r="E1922" t="s">
        <v>1159</v>
      </c>
      <c r="F1922">
        <v>3.75</v>
      </c>
    </row>
    <row r="1923" spans="1:6" x14ac:dyDescent="0.25">
      <c r="A1923">
        <v>659</v>
      </c>
      <c r="B1923" t="s">
        <v>15</v>
      </c>
      <c r="C1923" t="s">
        <v>2231</v>
      </c>
      <c r="D1923" t="s">
        <v>44</v>
      </c>
      <c r="E1923" t="s">
        <v>17</v>
      </c>
      <c r="F1923">
        <v>3</v>
      </c>
    </row>
    <row r="1924" spans="1:6" x14ac:dyDescent="0.25">
      <c r="A1924">
        <v>658</v>
      </c>
      <c r="B1924" t="s">
        <v>54</v>
      </c>
      <c r="C1924" t="s">
        <v>2232</v>
      </c>
      <c r="D1924" t="s">
        <v>9</v>
      </c>
      <c r="E1924" t="s">
        <v>25</v>
      </c>
      <c r="F1924">
        <v>3.5</v>
      </c>
    </row>
    <row r="1925" spans="1:6" x14ac:dyDescent="0.25">
      <c r="A1925">
        <v>657</v>
      </c>
      <c r="B1925" t="s">
        <v>2007</v>
      </c>
      <c r="C1925" t="s">
        <v>2233</v>
      </c>
      <c r="D1925" t="s">
        <v>13</v>
      </c>
      <c r="E1925" t="s">
        <v>79</v>
      </c>
      <c r="F1925">
        <v>3.75</v>
      </c>
    </row>
    <row r="1926" spans="1:6" x14ac:dyDescent="0.25">
      <c r="A1926">
        <v>656</v>
      </c>
      <c r="B1926" t="s">
        <v>15</v>
      </c>
      <c r="C1926" t="s">
        <v>2234</v>
      </c>
      <c r="D1926" t="s">
        <v>44</v>
      </c>
      <c r="E1926" t="s">
        <v>17</v>
      </c>
      <c r="F1926">
        <v>3.75</v>
      </c>
    </row>
    <row r="1927" spans="1:6" x14ac:dyDescent="0.25">
      <c r="A1927">
        <v>655</v>
      </c>
      <c r="B1927" t="s">
        <v>2235</v>
      </c>
      <c r="C1927" t="s">
        <v>2236</v>
      </c>
      <c r="D1927" t="s">
        <v>13</v>
      </c>
      <c r="E1927" t="s">
        <v>73</v>
      </c>
      <c r="F1927">
        <v>3</v>
      </c>
    </row>
    <row r="1928" spans="1:6" x14ac:dyDescent="0.25">
      <c r="A1928">
        <v>654</v>
      </c>
      <c r="B1928" t="s">
        <v>2181</v>
      </c>
      <c r="C1928" t="s">
        <v>2237</v>
      </c>
      <c r="D1928" t="s">
        <v>44</v>
      </c>
      <c r="E1928" t="s">
        <v>38</v>
      </c>
      <c r="F1928">
        <v>3.25</v>
      </c>
    </row>
    <row r="1929" spans="1:6" x14ac:dyDescent="0.25">
      <c r="A1929">
        <v>653</v>
      </c>
      <c r="B1929" t="s">
        <v>2007</v>
      </c>
      <c r="C1929" t="s">
        <v>2030</v>
      </c>
      <c r="D1929" t="s">
        <v>13</v>
      </c>
      <c r="E1929" t="s">
        <v>79</v>
      </c>
      <c r="F1929">
        <v>4</v>
      </c>
    </row>
    <row r="1930" spans="1:6" x14ac:dyDescent="0.25">
      <c r="A1930">
        <v>652</v>
      </c>
      <c r="B1930" t="s">
        <v>374</v>
      </c>
      <c r="C1930" t="s">
        <v>2238</v>
      </c>
      <c r="D1930" t="s">
        <v>13</v>
      </c>
      <c r="E1930" t="s">
        <v>10</v>
      </c>
      <c r="F1930">
        <v>5</v>
      </c>
    </row>
    <row r="1931" spans="1:6" x14ac:dyDescent="0.25">
      <c r="A1931">
        <v>651</v>
      </c>
      <c r="B1931" t="s">
        <v>654</v>
      </c>
      <c r="C1931" t="s">
        <v>2239</v>
      </c>
      <c r="D1931" t="s">
        <v>13</v>
      </c>
      <c r="E1931" t="s">
        <v>73</v>
      </c>
      <c r="F1931">
        <v>4</v>
      </c>
    </row>
    <row r="1932" spans="1:6" x14ac:dyDescent="0.25">
      <c r="A1932">
        <v>650</v>
      </c>
      <c r="B1932" t="s">
        <v>2007</v>
      </c>
      <c r="C1932" t="s">
        <v>2240</v>
      </c>
      <c r="D1932" t="s">
        <v>13</v>
      </c>
      <c r="E1932" t="s">
        <v>79</v>
      </c>
      <c r="F1932">
        <v>4</v>
      </c>
    </row>
    <row r="1933" spans="1:6" x14ac:dyDescent="0.25">
      <c r="A1933">
        <v>649</v>
      </c>
      <c r="B1933" t="s">
        <v>1866</v>
      </c>
      <c r="C1933" t="s">
        <v>2241</v>
      </c>
      <c r="D1933" t="s">
        <v>9</v>
      </c>
      <c r="E1933" t="s">
        <v>516</v>
      </c>
      <c r="F1933">
        <v>3.75</v>
      </c>
    </row>
    <row r="1934" spans="1:6" x14ac:dyDescent="0.25">
      <c r="A1934">
        <v>648</v>
      </c>
      <c r="B1934" t="s">
        <v>41</v>
      </c>
      <c r="C1934" t="s">
        <v>2242</v>
      </c>
      <c r="D1934" t="s">
        <v>13</v>
      </c>
      <c r="E1934" t="s">
        <v>25</v>
      </c>
      <c r="F1934">
        <v>3.75</v>
      </c>
    </row>
    <row r="1935" spans="1:6" x14ac:dyDescent="0.25">
      <c r="A1935">
        <v>647</v>
      </c>
      <c r="B1935" t="s">
        <v>1946</v>
      </c>
      <c r="C1935" t="s">
        <v>2243</v>
      </c>
      <c r="D1935" t="s">
        <v>44</v>
      </c>
      <c r="E1935" t="s">
        <v>38</v>
      </c>
      <c r="F1935">
        <v>3.5</v>
      </c>
    </row>
    <row r="1936" spans="1:6" x14ac:dyDescent="0.25">
      <c r="A1936">
        <v>646</v>
      </c>
      <c r="B1936" t="s">
        <v>2163</v>
      </c>
      <c r="C1936" t="s">
        <v>2057</v>
      </c>
      <c r="D1936" t="s">
        <v>44</v>
      </c>
      <c r="E1936" t="s">
        <v>10</v>
      </c>
      <c r="F1936">
        <v>4.25</v>
      </c>
    </row>
    <row r="1937" spans="1:6" x14ac:dyDescent="0.25">
      <c r="A1937">
        <v>645</v>
      </c>
      <c r="B1937" t="s">
        <v>41</v>
      </c>
      <c r="C1937" t="s">
        <v>2244</v>
      </c>
      <c r="D1937" t="s">
        <v>9</v>
      </c>
      <c r="E1937" t="s">
        <v>25</v>
      </c>
      <c r="F1937">
        <v>3.75</v>
      </c>
    </row>
    <row r="1938" spans="1:6" x14ac:dyDescent="0.25">
      <c r="A1938">
        <v>644</v>
      </c>
      <c r="B1938" t="s">
        <v>2245</v>
      </c>
      <c r="C1938" t="s">
        <v>2246</v>
      </c>
      <c r="D1938" t="s">
        <v>44</v>
      </c>
      <c r="E1938" t="s">
        <v>25</v>
      </c>
      <c r="F1938">
        <v>3.75</v>
      </c>
    </row>
    <row r="1939" spans="1:6" x14ac:dyDescent="0.25">
      <c r="A1939">
        <v>643</v>
      </c>
      <c r="B1939" t="s">
        <v>2247</v>
      </c>
      <c r="C1939" t="s">
        <v>2248</v>
      </c>
      <c r="D1939" t="s">
        <v>13</v>
      </c>
      <c r="E1939" t="s">
        <v>14</v>
      </c>
      <c r="F1939">
        <v>3.25</v>
      </c>
    </row>
    <row r="1940" spans="1:6" x14ac:dyDescent="0.25">
      <c r="A1940">
        <v>642</v>
      </c>
      <c r="B1940" t="s">
        <v>255</v>
      </c>
      <c r="C1940" t="s">
        <v>1755</v>
      </c>
      <c r="D1940" t="s">
        <v>9</v>
      </c>
      <c r="E1940" t="s">
        <v>38</v>
      </c>
      <c r="F1940">
        <v>2.75</v>
      </c>
    </row>
    <row r="1941" spans="1:6" x14ac:dyDescent="0.25">
      <c r="A1941">
        <v>641</v>
      </c>
      <c r="B1941" t="s">
        <v>1055</v>
      </c>
      <c r="C1941" t="s">
        <v>2249</v>
      </c>
      <c r="D1941" t="s">
        <v>13</v>
      </c>
      <c r="E1941" t="s">
        <v>53</v>
      </c>
      <c r="F1941">
        <v>3</v>
      </c>
    </row>
    <row r="1942" spans="1:6" x14ac:dyDescent="0.25">
      <c r="A1942">
        <v>640</v>
      </c>
      <c r="B1942" t="s">
        <v>218</v>
      </c>
      <c r="C1942" t="s">
        <v>2146</v>
      </c>
      <c r="D1942" t="s">
        <v>13</v>
      </c>
      <c r="E1942" t="s">
        <v>79</v>
      </c>
      <c r="F1942">
        <v>4.25</v>
      </c>
    </row>
    <row r="1943" spans="1:6" x14ac:dyDescent="0.25">
      <c r="A1943">
        <v>639</v>
      </c>
      <c r="B1943" t="s">
        <v>15</v>
      </c>
      <c r="C1943" t="s">
        <v>2250</v>
      </c>
      <c r="D1943" t="s">
        <v>44</v>
      </c>
      <c r="E1943" t="s">
        <v>10</v>
      </c>
      <c r="F1943">
        <v>5</v>
      </c>
    </row>
    <row r="1944" spans="1:6" x14ac:dyDescent="0.25">
      <c r="A1944">
        <v>638</v>
      </c>
      <c r="B1944" t="s">
        <v>2094</v>
      </c>
      <c r="C1944" t="s">
        <v>397</v>
      </c>
      <c r="D1944" t="s">
        <v>13</v>
      </c>
      <c r="E1944" t="s">
        <v>38</v>
      </c>
      <c r="F1944">
        <v>3</v>
      </c>
    </row>
    <row r="1945" spans="1:6" x14ac:dyDescent="0.25">
      <c r="A1945">
        <v>637</v>
      </c>
      <c r="B1945" t="s">
        <v>1439</v>
      </c>
      <c r="C1945" t="s">
        <v>2251</v>
      </c>
      <c r="D1945" t="s">
        <v>9</v>
      </c>
      <c r="E1945" t="s">
        <v>35</v>
      </c>
      <c r="F1945">
        <v>2.5</v>
      </c>
    </row>
    <row r="1946" spans="1:6" x14ac:dyDescent="0.25">
      <c r="A1946">
        <v>636</v>
      </c>
      <c r="B1946" t="s">
        <v>2252</v>
      </c>
      <c r="C1946" t="s">
        <v>2253</v>
      </c>
      <c r="D1946" t="s">
        <v>13</v>
      </c>
      <c r="E1946" t="s">
        <v>10</v>
      </c>
      <c r="F1946">
        <v>4.75</v>
      </c>
    </row>
    <row r="1947" spans="1:6" x14ac:dyDescent="0.25">
      <c r="A1947">
        <v>635</v>
      </c>
      <c r="B1947" t="s">
        <v>74</v>
      </c>
      <c r="C1947" t="s">
        <v>2254</v>
      </c>
      <c r="D1947" t="s">
        <v>13</v>
      </c>
      <c r="E1947" t="s">
        <v>25</v>
      </c>
      <c r="F1947">
        <v>1.1000000000000001</v>
      </c>
    </row>
    <row r="1948" spans="1:6" x14ac:dyDescent="0.25">
      <c r="A1948">
        <v>634</v>
      </c>
      <c r="B1948" t="s">
        <v>900</v>
      </c>
      <c r="C1948" t="s">
        <v>2255</v>
      </c>
      <c r="D1948" t="s">
        <v>44</v>
      </c>
      <c r="E1948" t="s">
        <v>79</v>
      </c>
      <c r="F1948">
        <v>0.5</v>
      </c>
    </row>
    <row r="1949" spans="1:6" x14ac:dyDescent="0.25">
      <c r="A1949">
        <v>633</v>
      </c>
      <c r="B1949" t="s">
        <v>2256</v>
      </c>
      <c r="C1949" t="s">
        <v>2257</v>
      </c>
      <c r="D1949" t="s">
        <v>13</v>
      </c>
      <c r="E1949" t="s">
        <v>25</v>
      </c>
      <c r="F1949">
        <v>3.5</v>
      </c>
    </row>
    <row r="1950" spans="1:6" x14ac:dyDescent="0.25">
      <c r="A1950">
        <v>632</v>
      </c>
      <c r="B1950" t="s">
        <v>2256</v>
      </c>
      <c r="C1950" t="s">
        <v>2258</v>
      </c>
      <c r="D1950" t="s">
        <v>13</v>
      </c>
      <c r="E1950" t="s">
        <v>25</v>
      </c>
      <c r="F1950">
        <v>2.75</v>
      </c>
    </row>
    <row r="1951" spans="1:6" x14ac:dyDescent="0.25">
      <c r="A1951">
        <v>631</v>
      </c>
      <c r="B1951" t="s">
        <v>2116</v>
      </c>
      <c r="C1951" t="s">
        <v>2259</v>
      </c>
      <c r="D1951" t="s">
        <v>44</v>
      </c>
      <c r="E1951" t="s">
        <v>38</v>
      </c>
      <c r="F1951">
        <v>1.25</v>
      </c>
    </row>
    <row r="1952" spans="1:6" x14ac:dyDescent="0.25">
      <c r="A1952">
        <v>630</v>
      </c>
      <c r="B1952" t="s">
        <v>243</v>
      </c>
      <c r="C1952" t="s">
        <v>2260</v>
      </c>
      <c r="D1952" t="s">
        <v>44</v>
      </c>
      <c r="E1952" t="s">
        <v>14</v>
      </c>
      <c r="F1952">
        <v>1.25</v>
      </c>
    </row>
    <row r="1953" spans="1:6" x14ac:dyDescent="0.25">
      <c r="A1953">
        <v>629</v>
      </c>
      <c r="B1953" t="s">
        <v>218</v>
      </c>
      <c r="C1953" t="s">
        <v>2261</v>
      </c>
      <c r="D1953" t="s">
        <v>13</v>
      </c>
      <c r="E1953" t="s">
        <v>79</v>
      </c>
      <c r="F1953">
        <v>4.25</v>
      </c>
    </row>
    <row r="1954" spans="1:6" x14ac:dyDescent="0.25">
      <c r="A1954">
        <v>628</v>
      </c>
      <c r="B1954" t="s">
        <v>1157</v>
      </c>
      <c r="C1954" t="s">
        <v>2262</v>
      </c>
      <c r="D1954" t="s">
        <v>44</v>
      </c>
      <c r="E1954" t="s">
        <v>1159</v>
      </c>
      <c r="F1954">
        <v>3.5</v>
      </c>
    </row>
    <row r="1955" spans="1:6" x14ac:dyDescent="0.25">
      <c r="A1955">
        <v>627</v>
      </c>
      <c r="B1955" t="s">
        <v>2263</v>
      </c>
      <c r="C1955" t="s">
        <v>2264</v>
      </c>
      <c r="D1955" t="s">
        <v>13</v>
      </c>
      <c r="E1955" t="s">
        <v>53</v>
      </c>
      <c r="F1955">
        <v>3.75</v>
      </c>
    </row>
    <row r="1956" spans="1:6" x14ac:dyDescent="0.25">
      <c r="A1956">
        <v>626</v>
      </c>
      <c r="B1956" t="s">
        <v>74</v>
      </c>
      <c r="C1956" t="s">
        <v>2265</v>
      </c>
      <c r="D1956" t="s">
        <v>44</v>
      </c>
      <c r="E1956" t="s">
        <v>25</v>
      </c>
      <c r="F1956">
        <v>3.5</v>
      </c>
    </row>
    <row r="1957" spans="1:6" x14ac:dyDescent="0.25">
      <c r="A1957">
        <v>625</v>
      </c>
      <c r="B1957" t="s">
        <v>1866</v>
      </c>
      <c r="C1957" t="s">
        <v>2266</v>
      </c>
      <c r="D1957" t="s">
        <v>9</v>
      </c>
      <c r="E1957" t="s">
        <v>516</v>
      </c>
      <c r="F1957">
        <v>4</v>
      </c>
    </row>
    <row r="1958" spans="1:6" x14ac:dyDescent="0.25">
      <c r="A1958">
        <v>624</v>
      </c>
      <c r="B1958" t="s">
        <v>218</v>
      </c>
      <c r="C1958" t="s">
        <v>2267</v>
      </c>
      <c r="D1958" t="s">
        <v>13</v>
      </c>
      <c r="E1958" t="s">
        <v>79</v>
      </c>
      <c r="F1958">
        <v>3.75</v>
      </c>
    </row>
    <row r="1959" spans="1:6" x14ac:dyDescent="0.25">
      <c r="A1959">
        <v>623</v>
      </c>
      <c r="B1959" t="s">
        <v>2268</v>
      </c>
      <c r="C1959" t="s">
        <v>2269</v>
      </c>
      <c r="D1959" t="s">
        <v>13</v>
      </c>
      <c r="E1959" t="s">
        <v>14</v>
      </c>
      <c r="F1959">
        <v>3.25</v>
      </c>
    </row>
    <row r="1960" spans="1:6" x14ac:dyDescent="0.25">
      <c r="A1960">
        <v>622</v>
      </c>
      <c r="B1960" t="s">
        <v>309</v>
      </c>
      <c r="C1960" t="s">
        <v>2270</v>
      </c>
      <c r="D1960" t="s">
        <v>44</v>
      </c>
      <c r="E1960" t="s">
        <v>10</v>
      </c>
      <c r="F1960">
        <v>4.75</v>
      </c>
    </row>
    <row r="1961" spans="1:6" x14ac:dyDescent="0.25">
      <c r="A1961">
        <v>621</v>
      </c>
      <c r="B1961" t="s">
        <v>74</v>
      </c>
      <c r="C1961" t="s">
        <v>2271</v>
      </c>
      <c r="D1961" t="s">
        <v>44</v>
      </c>
      <c r="E1961" t="s">
        <v>25</v>
      </c>
      <c r="F1961">
        <v>3.5</v>
      </c>
    </row>
    <row r="1962" spans="1:6" x14ac:dyDescent="0.25">
      <c r="A1962">
        <v>620</v>
      </c>
      <c r="B1962" t="s">
        <v>331</v>
      </c>
      <c r="C1962" t="s">
        <v>2272</v>
      </c>
      <c r="D1962" t="s">
        <v>13</v>
      </c>
      <c r="E1962" t="s">
        <v>53</v>
      </c>
      <c r="F1962">
        <v>1.25</v>
      </c>
    </row>
    <row r="1963" spans="1:6" x14ac:dyDescent="0.25">
      <c r="A1963">
        <v>619</v>
      </c>
      <c r="B1963" t="s">
        <v>2163</v>
      </c>
      <c r="C1963" t="s">
        <v>2273</v>
      </c>
      <c r="D1963" t="s">
        <v>44</v>
      </c>
      <c r="E1963" t="s">
        <v>10</v>
      </c>
      <c r="F1963">
        <v>4.75</v>
      </c>
    </row>
    <row r="1964" spans="1:6" x14ac:dyDescent="0.25">
      <c r="A1964">
        <v>618</v>
      </c>
      <c r="B1964" t="s">
        <v>298</v>
      </c>
      <c r="C1964" t="s">
        <v>2274</v>
      </c>
      <c r="D1964" t="s">
        <v>13</v>
      </c>
      <c r="E1964" t="s">
        <v>25</v>
      </c>
      <c r="F1964">
        <v>2.75</v>
      </c>
    </row>
    <row r="1965" spans="1:6" x14ac:dyDescent="0.25">
      <c r="A1965">
        <v>617</v>
      </c>
      <c r="B1965" t="s">
        <v>15</v>
      </c>
      <c r="C1965" t="s">
        <v>2275</v>
      </c>
      <c r="D1965" t="s">
        <v>13</v>
      </c>
      <c r="E1965" t="s">
        <v>10</v>
      </c>
      <c r="F1965">
        <v>3.75</v>
      </c>
    </row>
    <row r="1966" spans="1:6" x14ac:dyDescent="0.25">
      <c r="A1966">
        <v>616</v>
      </c>
      <c r="B1966" t="s">
        <v>132</v>
      </c>
      <c r="C1966" t="s">
        <v>2276</v>
      </c>
      <c r="D1966" t="s">
        <v>13</v>
      </c>
      <c r="E1966" t="s">
        <v>22</v>
      </c>
      <c r="F1966">
        <v>2</v>
      </c>
    </row>
    <row r="1967" spans="1:6" x14ac:dyDescent="0.25">
      <c r="A1967">
        <v>615</v>
      </c>
      <c r="B1967" t="s">
        <v>2252</v>
      </c>
      <c r="C1967" t="s">
        <v>2277</v>
      </c>
      <c r="D1967" t="s">
        <v>13</v>
      </c>
      <c r="E1967" t="s">
        <v>10</v>
      </c>
      <c r="F1967">
        <v>4.5</v>
      </c>
    </row>
    <row r="1968" spans="1:6" x14ac:dyDescent="0.25">
      <c r="A1968">
        <v>614</v>
      </c>
      <c r="B1968" t="s">
        <v>445</v>
      </c>
      <c r="C1968" t="s">
        <v>2278</v>
      </c>
      <c r="D1968" t="s">
        <v>13</v>
      </c>
      <c r="E1968" t="s">
        <v>46</v>
      </c>
      <c r="F1968">
        <v>2.5</v>
      </c>
    </row>
    <row r="1969" spans="1:7" x14ac:dyDescent="0.25">
      <c r="A1969">
        <v>613</v>
      </c>
      <c r="B1969" t="s">
        <v>2176</v>
      </c>
      <c r="C1969" t="s">
        <v>2279</v>
      </c>
      <c r="D1969" t="s">
        <v>44</v>
      </c>
      <c r="E1969" t="s">
        <v>53</v>
      </c>
      <c r="F1969">
        <v>3</v>
      </c>
    </row>
    <row r="1970" spans="1:7" x14ac:dyDescent="0.25">
      <c r="A1970">
        <v>612</v>
      </c>
      <c r="B1970" t="s">
        <v>102</v>
      </c>
      <c r="C1970" t="s">
        <v>2280</v>
      </c>
      <c r="D1970" t="s">
        <v>30</v>
      </c>
      <c r="E1970" t="s">
        <v>17</v>
      </c>
      <c r="F1970">
        <v>1.75</v>
      </c>
    </row>
    <row r="1971" spans="1:7" x14ac:dyDescent="0.25">
      <c r="A1971">
        <v>611</v>
      </c>
      <c r="B1971" t="s">
        <v>1502</v>
      </c>
      <c r="C1971" t="s">
        <v>2281</v>
      </c>
      <c r="D1971" t="s">
        <v>13</v>
      </c>
      <c r="E1971" t="s">
        <v>516</v>
      </c>
      <c r="F1971">
        <v>2</v>
      </c>
    </row>
    <row r="1972" spans="1:7" x14ac:dyDescent="0.25">
      <c r="A1972">
        <v>610</v>
      </c>
      <c r="B1972" t="s">
        <v>2268</v>
      </c>
      <c r="C1972" t="s">
        <v>2282</v>
      </c>
      <c r="D1972" t="s">
        <v>13</v>
      </c>
      <c r="E1972" t="s">
        <v>14</v>
      </c>
      <c r="F1972">
        <v>3.25</v>
      </c>
    </row>
    <row r="1973" spans="1:7" x14ac:dyDescent="0.25">
      <c r="A1973">
        <v>609</v>
      </c>
      <c r="B1973" t="s">
        <v>2268</v>
      </c>
      <c r="C1973" t="s">
        <v>2283</v>
      </c>
      <c r="D1973" t="s">
        <v>13</v>
      </c>
      <c r="E1973" t="s">
        <v>14</v>
      </c>
      <c r="F1973">
        <v>3.75</v>
      </c>
    </row>
    <row r="1974" spans="1:7" x14ac:dyDescent="0.25">
      <c r="A1974">
        <v>608</v>
      </c>
      <c r="B1974" t="s">
        <v>1045</v>
      </c>
      <c r="C1974" t="s">
        <v>2284</v>
      </c>
      <c r="D1974" t="s">
        <v>13</v>
      </c>
      <c r="E1974" t="s">
        <v>35</v>
      </c>
      <c r="F1974">
        <v>5</v>
      </c>
      <c r="G1974" t="s">
        <v>2285</v>
      </c>
    </row>
    <row r="1975" spans="1:7" x14ac:dyDescent="0.25">
      <c r="A1975">
        <v>607</v>
      </c>
      <c r="B1975" t="s">
        <v>1866</v>
      </c>
      <c r="C1975" t="s">
        <v>2286</v>
      </c>
      <c r="D1975" t="s">
        <v>9</v>
      </c>
      <c r="E1975" t="s">
        <v>516</v>
      </c>
      <c r="F1975">
        <v>1.5</v>
      </c>
    </row>
    <row r="1976" spans="1:7" x14ac:dyDescent="0.25">
      <c r="A1976">
        <v>606</v>
      </c>
      <c r="B1976" t="s">
        <v>2287</v>
      </c>
      <c r="C1976" t="s">
        <v>2288</v>
      </c>
      <c r="D1976" t="s">
        <v>13</v>
      </c>
      <c r="E1976" t="s">
        <v>25</v>
      </c>
      <c r="F1976">
        <v>4</v>
      </c>
    </row>
    <row r="1977" spans="1:7" x14ac:dyDescent="0.25">
      <c r="A1977">
        <v>605</v>
      </c>
      <c r="B1977" t="s">
        <v>255</v>
      </c>
      <c r="C1977" t="s">
        <v>2289</v>
      </c>
      <c r="D1977" t="s">
        <v>9</v>
      </c>
      <c r="E1977" t="s">
        <v>38</v>
      </c>
      <c r="F1977">
        <v>3.5</v>
      </c>
    </row>
    <row r="1978" spans="1:7" x14ac:dyDescent="0.25">
      <c r="A1978">
        <v>604</v>
      </c>
      <c r="B1978" t="s">
        <v>1502</v>
      </c>
      <c r="C1978" t="s">
        <v>2290</v>
      </c>
      <c r="D1978" t="s">
        <v>13</v>
      </c>
      <c r="E1978" t="s">
        <v>516</v>
      </c>
      <c r="F1978">
        <v>2</v>
      </c>
    </row>
    <row r="1979" spans="1:7" x14ac:dyDescent="0.25">
      <c r="A1979">
        <v>603</v>
      </c>
      <c r="B1979" t="s">
        <v>18</v>
      </c>
      <c r="C1979" t="s">
        <v>2291</v>
      </c>
      <c r="D1979" t="s">
        <v>13</v>
      </c>
      <c r="E1979" t="s">
        <v>14</v>
      </c>
      <c r="F1979">
        <v>3.75</v>
      </c>
    </row>
    <row r="1980" spans="1:7" x14ac:dyDescent="0.25">
      <c r="A1980">
        <v>602</v>
      </c>
      <c r="B1980" t="s">
        <v>41</v>
      </c>
      <c r="C1980" t="s">
        <v>2292</v>
      </c>
      <c r="D1980" t="s">
        <v>9</v>
      </c>
      <c r="E1980" t="s">
        <v>25</v>
      </c>
      <c r="F1980">
        <v>3.5</v>
      </c>
    </row>
    <row r="1981" spans="1:7" x14ac:dyDescent="0.25">
      <c r="A1981">
        <v>601</v>
      </c>
      <c r="B1981" t="s">
        <v>2247</v>
      </c>
      <c r="C1981" t="s">
        <v>2293</v>
      </c>
      <c r="D1981" t="s">
        <v>13</v>
      </c>
      <c r="E1981" t="s">
        <v>14</v>
      </c>
      <c r="F1981">
        <v>4</v>
      </c>
    </row>
    <row r="1982" spans="1:7" x14ac:dyDescent="0.25">
      <c r="A1982">
        <v>600</v>
      </c>
      <c r="B1982" t="s">
        <v>102</v>
      </c>
      <c r="C1982" t="s">
        <v>2294</v>
      </c>
      <c r="D1982" t="s">
        <v>13</v>
      </c>
      <c r="E1982" t="s">
        <v>17</v>
      </c>
      <c r="F1982">
        <v>3.25</v>
      </c>
    </row>
    <row r="1983" spans="1:7" x14ac:dyDescent="0.25">
      <c r="A1983">
        <v>599</v>
      </c>
      <c r="B1983" t="s">
        <v>1157</v>
      </c>
      <c r="C1983" t="s">
        <v>2295</v>
      </c>
      <c r="D1983" t="s">
        <v>13</v>
      </c>
      <c r="E1983" t="s">
        <v>1159</v>
      </c>
      <c r="F1983">
        <v>4</v>
      </c>
    </row>
    <row r="1984" spans="1:7" x14ac:dyDescent="0.25">
      <c r="A1984">
        <v>598</v>
      </c>
      <c r="B1984" t="s">
        <v>255</v>
      </c>
      <c r="C1984" t="s">
        <v>2048</v>
      </c>
      <c r="D1984" t="s">
        <v>9</v>
      </c>
      <c r="E1984" t="s">
        <v>38</v>
      </c>
      <c r="F1984">
        <v>3.25</v>
      </c>
    </row>
    <row r="1985" spans="1:6" x14ac:dyDescent="0.25">
      <c r="A1985">
        <v>597</v>
      </c>
      <c r="B1985" t="s">
        <v>1502</v>
      </c>
      <c r="C1985" t="s">
        <v>2296</v>
      </c>
      <c r="D1985" t="s">
        <v>13</v>
      </c>
      <c r="E1985" t="s">
        <v>516</v>
      </c>
      <c r="F1985">
        <v>3.5</v>
      </c>
    </row>
    <row r="1986" spans="1:6" x14ac:dyDescent="0.25">
      <c r="A1986">
        <v>596</v>
      </c>
      <c r="B1986" t="s">
        <v>1533</v>
      </c>
      <c r="C1986" t="s">
        <v>2297</v>
      </c>
      <c r="D1986" t="s">
        <v>13</v>
      </c>
      <c r="E1986" t="s">
        <v>17</v>
      </c>
      <c r="F1986">
        <v>1.5</v>
      </c>
    </row>
    <row r="1987" spans="1:6" x14ac:dyDescent="0.25">
      <c r="A1987">
        <v>595</v>
      </c>
      <c r="B1987" t="s">
        <v>1533</v>
      </c>
      <c r="C1987" t="s">
        <v>2298</v>
      </c>
      <c r="D1987" t="s">
        <v>13</v>
      </c>
      <c r="E1987" t="s">
        <v>17</v>
      </c>
      <c r="F1987">
        <v>3.75</v>
      </c>
    </row>
    <row r="1988" spans="1:6" x14ac:dyDescent="0.25">
      <c r="A1988">
        <v>594</v>
      </c>
      <c r="B1988" t="s">
        <v>2299</v>
      </c>
      <c r="C1988" t="s">
        <v>2300</v>
      </c>
      <c r="D1988" t="s">
        <v>44</v>
      </c>
      <c r="E1988" t="s">
        <v>25</v>
      </c>
      <c r="F1988">
        <v>3.5</v>
      </c>
    </row>
    <row r="1989" spans="1:6" x14ac:dyDescent="0.25">
      <c r="A1989">
        <v>593</v>
      </c>
      <c r="B1989" t="s">
        <v>41</v>
      </c>
      <c r="C1989" t="s">
        <v>2301</v>
      </c>
      <c r="D1989" t="s">
        <v>13</v>
      </c>
      <c r="E1989" t="s">
        <v>25</v>
      </c>
      <c r="F1989">
        <v>4</v>
      </c>
    </row>
    <row r="1990" spans="1:6" x14ac:dyDescent="0.25">
      <c r="A1990">
        <v>592</v>
      </c>
      <c r="B1990" t="s">
        <v>1502</v>
      </c>
      <c r="C1990" t="s">
        <v>2302</v>
      </c>
      <c r="D1990" t="s">
        <v>13</v>
      </c>
      <c r="E1990" t="s">
        <v>516</v>
      </c>
      <c r="F1990">
        <v>3.25</v>
      </c>
    </row>
    <row r="1991" spans="1:6" x14ac:dyDescent="0.25">
      <c r="A1991">
        <v>591</v>
      </c>
      <c r="B1991" t="s">
        <v>1502</v>
      </c>
      <c r="C1991" t="s">
        <v>2303</v>
      </c>
      <c r="D1991" t="s">
        <v>44</v>
      </c>
      <c r="E1991" t="s">
        <v>516</v>
      </c>
      <c r="F1991">
        <v>2.5</v>
      </c>
    </row>
    <row r="1992" spans="1:6" x14ac:dyDescent="0.25">
      <c r="A1992">
        <v>590</v>
      </c>
      <c r="B1992" t="s">
        <v>897</v>
      </c>
      <c r="C1992" t="s">
        <v>2304</v>
      </c>
      <c r="D1992" t="s">
        <v>44</v>
      </c>
      <c r="E1992" t="s">
        <v>38</v>
      </c>
      <c r="F1992">
        <v>3.5</v>
      </c>
    </row>
    <row r="1993" spans="1:6" x14ac:dyDescent="0.25">
      <c r="A1993">
        <v>589</v>
      </c>
      <c r="B1993" t="s">
        <v>331</v>
      </c>
      <c r="C1993" t="s">
        <v>2305</v>
      </c>
      <c r="D1993" t="s">
        <v>44</v>
      </c>
      <c r="E1993" t="s">
        <v>53</v>
      </c>
      <c r="F1993">
        <v>4.25</v>
      </c>
    </row>
    <row r="1994" spans="1:6" x14ac:dyDescent="0.25">
      <c r="A1994">
        <v>588</v>
      </c>
      <c r="B1994" t="s">
        <v>331</v>
      </c>
      <c r="C1994" t="s">
        <v>2306</v>
      </c>
      <c r="D1994" t="s">
        <v>13</v>
      </c>
      <c r="E1994" t="s">
        <v>53</v>
      </c>
      <c r="F1994">
        <v>2.75</v>
      </c>
    </row>
    <row r="1995" spans="1:6" x14ac:dyDescent="0.25">
      <c r="A1995">
        <v>587</v>
      </c>
      <c r="B1995" t="s">
        <v>2307</v>
      </c>
      <c r="C1995" t="s">
        <v>2308</v>
      </c>
      <c r="D1995" t="s">
        <v>13</v>
      </c>
      <c r="E1995" t="s">
        <v>14</v>
      </c>
      <c r="F1995">
        <v>2.1</v>
      </c>
    </row>
    <row r="1996" spans="1:6" x14ac:dyDescent="0.25">
      <c r="A1996">
        <v>586</v>
      </c>
      <c r="B1996" t="s">
        <v>889</v>
      </c>
      <c r="C1996" t="s">
        <v>2309</v>
      </c>
      <c r="D1996" t="s">
        <v>13</v>
      </c>
      <c r="E1996" t="s">
        <v>14</v>
      </c>
      <c r="F1996">
        <v>3.25</v>
      </c>
    </row>
    <row r="1997" spans="1:6" x14ac:dyDescent="0.25">
      <c r="A1997">
        <v>585</v>
      </c>
      <c r="B1997" t="s">
        <v>243</v>
      </c>
      <c r="C1997" t="s">
        <v>2310</v>
      </c>
      <c r="D1997" t="s">
        <v>44</v>
      </c>
      <c r="E1997" t="s">
        <v>14</v>
      </c>
      <c r="F1997">
        <v>1.5</v>
      </c>
    </row>
    <row r="1998" spans="1:6" x14ac:dyDescent="0.25">
      <c r="A1998">
        <v>584</v>
      </c>
      <c r="B1998" t="s">
        <v>900</v>
      </c>
      <c r="C1998" t="s">
        <v>2311</v>
      </c>
      <c r="D1998" t="s">
        <v>9</v>
      </c>
      <c r="E1998" t="s">
        <v>79</v>
      </c>
      <c r="F1998">
        <v>0</v>
      </c>
    </row>
    <row r="1999" spans="1:6" x14ac:dyDescent="0.25">
      <c r="A1999">
        <v>583</v>
      </c>
      <c r="B1999" t="s">
        <v>331</v>
      </c>
      <c r="C1999" t="s">
        <v>2312</v>
      </c>
      <c r="D1999" t="s">
        <v>13</v>
      </c>
      <c r="E1999" t="s">
        <v>53</v>
      </c>
      <c r="F1999">
        <v>2.25</v>
      </c>
    </row>
    <row r="2000" spans="1:6" x14ac:dyDescent="0.25">
      <c r="A2000">
        <v>582</v>
      </c>
      <c r="B2000" t="s">
        <v>677</v>
      </c>
      <c r="C2000" t="s">
        <v>2313</v>
      </c>
      <c r="D2000" t="s">
        <v>13</v>
      </c>
      <c r="E2000" t="s">
        <v>17</v>
      </c>
      <c r="F2000">
        <v>2.5</v>
      </c>
    </row>
    <row r="2001" spans="1:7" x14ac:dyDescent="0.25">
      <c r="A2001">
        <v>581</v>
      </c>
      <c r="B2001" t="s">
        <v>677</v>
      </c>
      <c r="C2001" t="s">
        <v>2314</v>
      </c>
      <c r="D2001" t="s">
        <v>13</v>
      </c>
      <c r="E2001" t="s">
        <v>17</v>
      </c>
      <c r="F2001">
        <v>2.75</v>
      </c>
    </row>
    <row r="2002" spans="1:7" x14ac:dyDescent="0.25">
      <c r="A2002">
        <v>580</v>
      </c>
      <c r="B2002" t="s">
        <v>900</v>
      </c>
      <c r="C2002" t="s">
        <v>2315</v>
      </c>
      <c r="D2002" t="s">
        <v>13</v>
      </c>
      <c r="E2002" t="s">
        <v>79</v>
      </c>
      <c r="F2002">
        <v>0</v>
      </c>
    </row>
    <row r="2003" spans="1:7" x14ac:dyDescent="0.25">
      <c r="A2003">
        <v>579</v>
      </c>
      <c r="B2003" t="s">
        <v>900</v>
      </c>
      <c r="C2003" t="s">
        <v>2316</v>
      </c>
      <c r="D2003" t="s">
        <v>13</v>
      </c>
      <c r="E2003" t="s">
        <v>79</v>
      </c>
      <c r="F2003">
        <v>1.75</v>
      </c>
    </row>
    <row r="2004" spans="1:7" x14ac:dyDescent="0.25">
      <c r="A2004">
        <v>578</v>
      </c>
      <c r="B2004" t="s">
        <v>41</v>
      </c>
      <c r="C2004" t="s">
        <v>97</v>
      </c>
      <c r="D2004" t="s">
        <v>13</v>
      </c>
      <c r="E2004" t="s">
        <v>25</v>
      </c>
      <c r="F2004">
        <v>4.75</v>
      </c>
      <c r="G2004" t="s">
        <v>2317</v>
      </c>
    </row>
    <row r="2005" spans="1:7" x14ac:dyDescent="0.25">
      <c r="A2005">
        <v>577</v>
      </c>
      <c r="B2005" t="s">
        <v>1866</v>
      </c>
      <c r="C2005" t="s">
        <v>2318</v>
      </c>
      <c r="D2005" t="s">
        <v>9</v>
      </c>
      <c r="E2005" t="s">
        <v>516</v>
      </c>
      <c r="F2005">
        <v>3</v>
      </c>
    </row>
    <row r="2006" spans="1:7" x14ac:dyDescent="0.25">
      <c r="A2006">
        <v>576</v>
      </c>
      <c r="B2006" t="s">
        <v>559</v>
      </c>
      <c r="C2006" t="s">
        <v>2063</v>
      </c>
      <c r="D2006" t="s">
        <v>44</v>
      </c>
      <c r="E2006" t="s">
        <v>10</v>
      </c>
      <c r="F2006">
        <v>3.75</v>
      </c>
    </row>
    <row r="2007" spans="1:7" x14ac:dyDescent="0.25">
      <c r="A2007">
        <v>575</v>
      </c>
      <c r="B2007" t="s">
        <v>1502</v>
      </c>
      <c r="C2007" t="s">
        <v>2319</v>
      </c>
      <c r="D2007" t="s">
        <v>13</v>
      </c>
      <c r="E2007" t="s">
        <v>516</v>
      </c>
      <c r="F2007">
        <v>3.5</v>
      </c>
    </row>
    <row r="2008" spans="1:7" x14ac:dyDescent="0.25">
      <c r="A2008">
        <v>574</v>
      </c>
      <c r="B2008" t="s">
        <v>132</v>
      </c>
      <c r="C2008" t="s">
        <v>2120</v>
      </c>
      <c r="D2008" t="s">
        <v>13</v>
      </c>
      <c r="E2008" t="s">
        <v>22</v>
      </c>
      <c r="F2008">
        <v>3.75</v>
      </c>
    </row>
    <row r="2009" spans="1:7" x14ac:dyDescent="0.25">
      <c r="A2009">
        <v>573</v>
      </c>
      <c r="B2009" t="s">
        <v>2320</v>
      </c>
      <c r="C2009" t="s">
        <v>2321</v>
      </c>
      <c r="D2009" t="s">
        <v>44</v>
      </c>
      <c r="E2009" t="s">
        <v>53</v>
      </c>
      <c r="F2009">
        <v>2</v>
      </c>
    </row>
    <row r="2010" spans="1:7" x14ac:dyDescent="0.25">
      <c r="A2010">
        <v>572</v>
      </c>
      <c r="B2010" t="s">
        <v>102</v>
      </c>
      <c r="C2010" t="s">
        <v>2322</v>
      </c>
      <c r="D2010" t="s">
        <v>30</v>
      </c>
      <c r="E2010" t="s">
        <v>17</v>
      </c>
      <c r="F2010">
        <v>3</v>
      </c>
    </row>
    <row r="2011" spans="1:7" x14ac:dyDescent="0.25">
      <c r="A2011">
        <v>571</v>
      </c>
      <c r="B2011" t="s">
        <v>258</v>
      </c>
      <c r="C2011" t="s">
        <v>2323</v>
      </c>
      <c r="D2011" t="s">
        <v>13</v>
      </c>
      <c r="E2011" t="s">
        <v>10</v>
      </c>
      <c r="F2011">
        <v>3.25</v>
      </c>
    </row>
    <row r="2012" spans="1:7" x14ac:dyDescent="0.25">
      <c r="A2012">
        <v>570</v>
      </c>
      <c r="B2012" t="s">
        <v>2324</v>
      </c>
      <c r="C2012" t="s">
        <v>2325</v>
      </c>
      <c r="D2012" t="s">
        <v>9</v>
      </c>
      <c r="E2012" t="s">
        <v>25</v>
      </c>
      <c r="F2012">
        <v>2.5</v>
      </c>
    </row>
    <row r="2013" spans="1:7" x14ac:dyDescent="0.25">
      <c r="A2013">
        <v>569</v>
      </c>
      <c r="B2013" t="s">
        <v>2176</v>
      </c>
      <c r="C2013" t="s">
        <v>2326</v>
      </c>
      <c r="D2013" t="s">
        <v>44</v>
      </c>
      <c r="E2013" t="s">
        <v>53</v>
      </c>
      <c r="F2013">
        <v>3</v>
      </c>
    </row>
    <row r="2014" spans="1:7" x14ac:dyDescent="0.25">
      <c r="A2014">
        <v>568</v>
      </c>
      <c r="B2014" t="s">
        <v>54</v>
      </c>
      <c r="C2014" t="s">
        <v>2327</v>
      </c>
      <c r="D2014" t="s">
        <v>9</v>
      </c>
      <c r="E2014" t="s">
        <v>25</v>
      </c>
      <c r="F2014">
        <v>4</v>
      </c>
    </row>
    <row r="2015" spans="1:7" x14ac:dyDescent="0.25">
      <c r="A2015">
        <v>567</v>
      </c>
      <c r="B2015" t="s">
        <v>1952</v>
      </c>
      <c r="C2015" t="s">
        <v>459</v>
      </c>
      <c r="D2015" t="s">
        <v>44</v>
      </c>
      <c r="E2015" t="s">
        <v>10</v>
      </c>
      <c r="F2015">
        <v>3.5</v>
      </c>
    </row>
    <row r="2016" spans="1:7" x14ac:dyDescent="0.25">
      <c r="A2016">
        <v>566</v>
      </c>
      <c r="B2016" t="s">
        <v>2328</v>
      </c>
      <c r="C2016" t="s">
        <v>2329</v>
      </c>
      <c r="D2016" t="s">
        <v>44</v>
      </c>
      <c r="E2016" t="s">
        <v>25</v>
      </c>
      <c r="F2016">
        <v>5</v>
      </c>
    </row>
    <row r="2017" spans="1:6" x14ac:dyDescent="0.25">
      <c r="A2017">
        <v>565</v>
      </c>
      <c r="B2017" t="s">
        <v>1502</v>
      </c>
      <c r="C2017" t="s">
        <v>2330</v>
      </c>
      <c r="D2017" t="s">
        <v>44</v>
      </c>
      <c r="E2017" t="s">
        <v>516</v>
      </c>
      <c r="F2017">
        <v>4</v>
      </c>
    </row>
    <row r="2018" spans="1:6" x14ac:dyDescent="0.25">
      <c r="A2018">
        <v>564</v>
      </c>
      <c r="B2018" t="s">
        <v>99</v>
      </c>
      <c r="C2018" t="s">
        <v>2331</v>
      </c>
      <c r="D2018" t="s">
        <v>9</v>
      </c>
      <c r="E2018" t="s">
        <v>14</v>
      </c>
      <c r="F2018">
        <v>3.75</v>
      </c>
    </row>
    <row r="2019" spans="1:6" x14ac:dyDescent="0.25">
      <c r="A2019">
        <v>563</v>
      </c>
      <c r="B2019" t="s">
        <v>894</v>
      </c>
      <c r="C2019" t="s">
        <v>2332</v>
      </c>
      <c r="D2019" t="s">
        <v>13</v>
      </c>
      <c r="E2019" t="s">
        <v>38</v>
      </c>
      <c r="F2019">
        <v>3.25</v>
      </c>
    </row>
    <row r="2020" spans="1:6" x14ac:dyDescent="0.25">
      <c r="A2020">
        <v>562</v>
      </c>
      <c r="B2020" t="s">
        <v>1502</v>
      </c>
      <c r="C2020" t="s">
        <v>2333</v>
      </c>
      <c r="D2020" t="s">
        <v>13</v>
      </c>
      <c r="E2020" t="s">
        <v>516</v>
      </c>
      <c r="F2020">
        <v>4.25</v>
      </c>
    </row>
    <row r="2021" spans="1:6" x14ac:dyDescent="0.25">
      <c r="A2021">
        <v>561</v>
      </c>
      <c r="B2021" t="s">
        <v>2334</v>
      </c>
      <c r="C2021" t="s">
        <v>2070</v>
      </c>
      <c r="D2021" t="s">
        <v>13</v>
      </c>
      <c r="E2021" t="s">
        <v>25</v>
      </c>
      <c r="F2021">
        <v>3.25</v>
      </c>
    </row>
    <row r="2022" spans="1:6" x14ac:dyDescent="0.25">
      <c r="A2022">
        <v>560</v>
      </c>
      <c r="B2022" t="s">
        <v>183</v>
      </c>
      <c r="C2022" t="s">
        <v>2335</v>
      </c>
      <c r="D2022" t="s">
        <v>44</v>
      </c>
      <c r="E2022" t="s">
        <v>10</v>
      </c>
      <c r="F2022">
        <v>4</v>
      </c>
    </row>
    <row r="2023" spans="1:6" x14ac:dyDescent="0.25">
      <c r="A2023">
        <v>559</v>
      </c>
      <c r="B2023" t="s">
        <v>322</v>
      </c>
      <c r="C2023" t="s">
        <v>2336</v>
      </c>
      <c r="D2023" t="s">
        <v>9</v>
      </c>
      <c r="E2023" t="s">
        <v>38</v>
      </c>
      <c r="F2023">
        <v>3</v>
      </c>
    </row>
    <row r="2024" spans="1:6" x14ac:dyDescent="0.25">
      <c r="A2024">
        <v>558</v>
      </c>
      <c r="B2024" t="s">
        <v>1976</v>
      </c>
      <c r="C2024" t="s">
        <v>2337</v>
      </c>
      <c r="D2024" t="s">
        <v>44</v>
      </c>
      <c r="E2024" t="s">
        <v>79</v>
      </c>
      <c r="F2024">
        <v>1.5</v>
      </c>
    </row>
    <row r="2025" spans="1:6" x14ac:dyDescent="0.25">
      <c r="A2025">
        <v>557</v>
      </c>
      <c r="B2025" t="s">
        <v>1502</v>
      </c>
      <c r="C2025" t="s">
        <v>2338</v>
      </c>
      <c r="D2025" t="s">
        <v>13</v>
      </c>
      <c r="E2025" t="s">
        <v>516</v>
      </c>
      <c r="F2025">
        <v>3.75</v>
      </c>
    </row>
    <row r="2026" spans="1:6" x14ac:dyDescent="0.25">
      <c r="A2026">
        <v>556</v>
      </c>
      <c r="B2026" t="s">
        <v>654</v>
      </c>
      <c r="C2026" t="s">
        <v>2339</v>
      </c>
      <c r="D2026" t="s">
        <v>13</v>
      </c>
      <c r="E2026" t="s">
        <v>73</v>
      </c>
      <c r="F2026">
        <v>4.75</v>
      </c>
    </row>
    <row r="2027" spans="1:6" x14ac:dyDescent="0.25">
      <c r="A2027">
        <v>555</v>
      </c>
      <c r="B2027" t="s">
        <v>1502</v>
      </c>
      <c r="C2027" t="s">
        <v>2340</v>
      </c>
      <c r="D2027" t="s">
        <v>13</v>
      </c>
      <c r="E2027" t="s">
        <v>516</v>
      </c>
      <c r="F2027">
        <v>2.75</v>
      </c>
    </row>
    <row r="2028" spans="1:6" x14ac:dyDescent="0.25">
      <c r="A2028">
        <v>554</v>
      </c>
      <c r="B2028" t="s">
        <v>894</v>
      </c>
      <c r="C2028" t="s">
        <v>2341</v>
      </c>
      <c r="D2028" t="s">
        <v>13</v>
      </c>
      <c r="E2028" t="s">
        <v>38</v>
      </c>
      <c r="F2028">
        <v>3.5</v>
      </c>
    </row>
    <row r="2029" spans="1:6" x14ac:dyDescent="0.25">
      <c r="A2029">
        <v>553</v>
      </c>
      <c r="B2029" t="s">
        <v>2198</v>
      </c>
      <c r="C2029" t="s">
        <v>2342</v>
      </c>
      <c r="D2029" t="s">
        <v>9</v>
      </c>
      <c r="E2029" t="s">
        <v>25</v>
      </c>
      <c r="F2029">
        <v>2.75</v>
      </c>
    </row>
    <row r="2030" spans="1:6" x14ac:dyDescent="0.25">
      <c r="A2030">
        <v>552</v>
      </c>
      <c r="B2030" t="s">
        <v>250</v>
      </c>
      <c r="C2030" t="s">
        <v>2343</v>
      </c>
      <c r="D2030" t="s">
        <v>13</v>
      </c>
      <c r="E2030" t="s">
        <v>73</v>
      </c>
      <c r="F2030">
        <v>3</v>
      </c>
    </row>
    <row r="2031" spans="1:6" x14ac:dyDescent="0.25">
      <c r="A2031">
        <v>551</v>
      </c>
      <c r="B2031" t="s">
        <v>1502</v>
      </c>
      <c r="C2031" t="s">
        <v>2344</v>
      </c>
      <c r="D2031" t="s">
        <v>13</v>
      </c>
      <c r="E2031" t="s">
        <v>516</v>
      </c>
      <c r="F2031">
        <v>3.25</v>
      </c>
    </row>
    <row r="2032" spans="1:6" x14ac:dyDescent="0.25">
      <c r="A2032">
        <v>550</v>
      </c>
      <c r="B2032" t="s">
        <v>15</v>
      </c>
      <c r="C2032" t="s">
        <v>2345</v>
      </c>
      <c r="D2032" t="s">
        <v>13</v>
      </c>
      <c r="E2032" t="s">
        <v>10</v>
      </c>
      <c r="F2032">
        <v>4.25</v>
      </c>
    </row>
    <row r="2033" spans="1:6" x14ac:dyDescent="0.25">
      <c r="A2033">
        <v>549</v>
      </c>
      <c r="B2033" t="s">
        <v>654</v>
      </c>
      <c r="C2033" t="s">
        <v>2346</v>
      </c>
      <c r="D2033" t="s">
        <v>13</v>
      </c>
      <c r="E2033" t="s">
        <v>73</v>
      </c>
      <c r="F2033">
        <v>4</v>
      </c>
    </row>
    <row r="2034" spans="1:6" x14ac:dyDescent="0.25">
      <c r="A2034">
        <v>548</v>
      </c>
      <c r="B2034" t="s">
        <v>1866</v>
      </c>
      <c r="C2034" t="s">
        <v>2347</v>
      </c>
      <c r="D2034" t="s">
        <v>9</v>
      </c>
      <c r="E2034" t="s">
        <v>516</v>
      </c>
      <c r="F2034">
        <v>3.75</v>
      </c>
    </row>
    <row r="2035" spans="1:6" x14ac:dyDescent="0.25">
      <c r="A2035">
        <v>547</v>
      </c>
      <c r="B2035" t="s">
        <v>1157</v>
      </c>
      <c r="C2035" t="s">
        <v>2348</v>
      </c>
      <c r="D2035" t="s">
        <v>13</v>
      </c>
      <c r="E2035" t="s">
        <v>1159</v>
      </c>
      <c r="F2035">
        <v>5</v>
      </c>
    </row>
    <row r="2036" spans="1:6" x14ac:dyDescent="0.25">
      <c r="A2036">
        <v>546</v>
      </c>
      <c r="B2036" t="s">
        <v>894</v>
      </c>
      <c r="C2036" t="s">
        <v>2070</v>
      </c>
      <c r="D2036" t="s">
        <v>13</v>
      </c>
      <c r="E2036" t="s">
        <v>38</v>
      </c>
      <c r="F2036">
        <v>3.5</v>
      </c>
    </row>
    <row r="2037" spans="1:6" x14ac:dyDescent="0.25">
      <c r="A2037">
        <v>545</v>
      </c>
      <c r="B2037" t="s">
        <v>1475</v>
      </c>
      <c r="C2037" t="s">
        <v>2349</v>
      </c>
      <c r="D2037" t="s">
        <v>13</v>
      </c>
      <c r="E2037" t="s">
        <v>79</v>
      </c>
      <c r="F2037">
        <v>3.5</v>
      </c>
    </row>
    <row r="2038" spans="1:6" x14ac:dyDescent="0.25">
      <c r="A2038">
        <v>544</v>
      </c>
      <c r="B2038" t="s">
        <v>811</v>
      </c>
      <c r="C2038" t="s">
        <v>2350</v>
      </c>
      <c r="D2038" t="s">
        <v>13</v>
      </c>
      <c r="E2038" t="s">
        <v>1853</v>
      </c>
      <c r="F2038">
        <v>3.5</v>
      </c>
    </row>
    <row r="2039" spans="1:6" x14ac:dyDescent="0.25">
      <c r="A2039">
        <v>543</v>
      </c>
      <c r="B2039" t="s">
        <v>559</v>
      </c>
      <c r="C2039" t="s">
        <v>109</v>
      </c>
      <c r="D2039" t="s">
        <v>44</v>
      </c>
      <c r="E2039" t="s">
        <v>10</v>
      </c>
      <c r="F2039">
        <v>4.75</v>
      </c>
    </row>
    <row r="2040" spans="1:6" x14ac:dyDescent="0.25">
      <c r="A2040">
        <v>542</v>
      </c>
      <c r="B2040" t="s">
        <v>654</v>
      </c>
      <c r="C2040" t="s">
        <v>2351</v>
      </c>
      <c r="D2040" t="s">
        <v>13</v>
      </c>
      <c r="E2040" t="s">
        <v>73</v>
      </c>
      <c r="F2040">
        <v>3</v>
      </c>
    </row>
    <row r="2041" spans="1:6" x14ac:dyDescent="0.25">
      <c r="A2041">
        <v>541</v>
      </c>
      <c r="B2041" t="s">
        <v>894</v>
      </c>
      <c r="C2041" t="s">
        <v>2084</v>
      </c>
      <c r="D2041" t="s">
        <v>13</v>
      </c>
      <c r="E2041" t="s">
        <v>38</v>
      </c>
      <c r="F2041">
        <v>3.5</v>
      </c>
    </row>
    <row r="2042" spans="1:6" x14ac:dyDescent="0.25">
      <c r="A2042">
        <v>540</v>
      </c>
      <c r="B2042" t="s">
        <v>15</v>
      </c>
      <c r="C2042" t="s">
        <v>2352</v>
      </c>
      <c r="D2042" t="s">
        <v>13</v>
      </c>
      <c r="E2042" t="s">
        <v>17</v>
      </c>
      <c r="F2042">
        <v>3.25</v>
      </c>
    </row>
    <row r="2043" spans="1:6" x14ac:dyDescent="0.25">
      <c r="A2043">
        <v>539</v>
      </c>
      <c r="B2043" t="s">
        <v>15</v>
      </c>
      <c r="C2043" t="s">
        <v>2353</v>
      </c>
      <c r="D2043" t="s">
        <v>13</v>
      </c>
      <c r="E2043" t="s">
        <v>10</v>
      </c>
      <c r="F2043">
        <v>3</v>
      </c>
    </row>
    <row r="2044" spans="1:6" x14ac:dyDescent="0.25">
      <c r="A2044">
        <v>538</v>
      </c>
      <c r="B2044" t="s">
        <v>1157</v>
      </c>
      <c r="C2044" t="s">
        <v>2354</v>
      </c>
      <c r="D2044" t="s">
        <v>13</v>
      </c>
      <c r="E2044" t="s">
        <v>1159</v>
      </c>
      <c r="F2044">
        <v>0.5</v>
      </c>
    </row>
    <row r="2045" spans="1:6" x14ac:dyDescent="0.25">
      <c r="A2045">
        <v>537</v>
      </c>
      <c r="B2045" t="s">
        <v>897</v>
      </c>
      <c r="C2045" t="s">
        <v>2355</v>
      </c>
      <c r="D2045" t="s">
        <v>13</v>
      </c>
      <c r="E2045" t="s">
        <v>38</v>
      </c>
      <c r="F2045">
        <v>2</v>
      </c>
    </row>
    <row r="2046" spans="1:6" x14ac:dyDescent="0.25">
      <c r="A2046">
        <v>536</v>
      </c>
      <c r="B2046" t="s">
        <v>74</v>
      </c>
      <c r="C2046" t="s">
        <v>2356</v>
      </c>
      <c r="D2046" t="s">
        <v>13</v>
      </c>
      <c r="E2046" t="s">
        <v>25</v>
      </c>
      <c r="F2046">
        <v>4.25</v>
      </c>
    </row>
    <row r="2047" spans="1:6" x14ac:dyDescent="0.25">
      <c r="A2047">
        <v>535</v>
      </c>
      <c r="B2047" t="s">
        <v>322</v>
      </c>
      <c r="C2047" t="s">
        <v>2357</v>
      </c>
      <c r="D2047" t="s">
        <v>13</v>
      </c>
      <c r="E2047" t="s">
        <v>38</v>
      </c>
      <c r="F2047">
        <v>0.9</v>
      </c>
    </row>
    <row r="2048" spans="1:6" x14ac:dyDescent="0.25">
      <c r="A2048">
        <v>534</v>
      </c>
      <c r="B2048" t="s">
        <v>897</v>
      </c>
      <c r="C2048" t="s">
        <v>2358</v>
      </c>
      <c r="D2048" t="s">
        <v>13</v>
      </c>
      <c r="E2048" t="s">
        <v>38</v>
      </c>
      <c r="F2048">
        <v>3.1</v>
      </c>
    </row>
    <row r="2049" spans="1:6" x14ac:dyDescent="0.25">
      <c r="A2049">
        <v>533</v>
      </c>
      <c r="B2049" t="s">
        <v>54</v>
      </c>
      <c r="C2049" t="s">
        <v>2327</v>
      </c>
      <c r="D2049" t="s">
        <v>13</v>
      </c>
      <c r="E2049" t="s">
        <v>25</v>
      </c>
      <c r="F2049">
        <v>4.75</v>
      </c>
    </row>
    <row r="2050" spans="1:6" x14ac:dyDescent="0.25">
      <c r="A2050">
        <v>532</v>
      </c>
      <c r="B2050" t="s">
        <v>588</v>
      </c>
      <c r="C2050" t="s">
        <v>2359</v>
      </c>
      <c r="D2050" t="s">
        <v>13</v>
      </c>
      <c r="E2050" t="s">
        <v>46</v>
      </c>
      <c r="F2050">
        <v>4.25</v>
      </c>
    </row>
    <row r="2051" spans="1:6" x14ac:dyDescent="0.25">
      <c r="A2051">
        <v>531</v>
      </c>
      <c r="B2051" t="s">
        <v>894</v>
      </c>
      <c r="C2051" t="s">
        <v>1933</v>
      </c>
      <c r="D2051" t="s">
        <v>13</v>
      </c>
      <c r="E2051" t="s">
        <v>38</v>
      </c>
      <c r="F2051">
        <v>3.25</v>
      </c>
    </row>
    <row r="2052" spans="1:6" x14ac:dyDescent="0.25">
      <c r="A2052">
        <v>530</v>
      </c>
      <c r="B2052" t="s">
        <v>2181</v>
      </c>
      <c r="C2052" t="s">
        <v>2360</v>
      </c>
      <c r="D2052" t="s">
        <v>44</v>
      </c>
      <c r="E2052" t="s">
        <v>38</v>
      </c>
      <c r="F2052">
        <v>3.5</v>
      </c>
    </row>
    <row r="2053" spans="1:6" x14ac:dyDescent="0.25">
      <c r="A2053">
        <v>529</v>
      </c>
      <c r="B2053" t="s">
        <v>374</v>
      </c>
      <c r="C2053" t="s">
        <v>2361</v>
      </c>
      <c r="D2053" t="s">
        <v>13</v>
      </c>
      <c r="E2053" t="s">
        <v>17</v>
      </c>
      <c r="F2053">
        <v>2</v>
      </c>
    </row>
    <row r="2054" spans="1:6" x14ac:dyDescent="0.25">
      <c r="A2054">
        <v>528</v>
      </c>
      <c r="B2054" t="s">
        <v>811</v>
      </c>
      <c r="C2054" t="s">
        <v>2362</v>
      </c>
      <c r="D2054" t="s">
        <v>13</v>
      </c>
      <c r="E2054" t="s">
        <v>1853</v>
      </c>
      <c r="F2054">
        <v>3.75</v>
      </c>
    </row>
    <row r="2055" spans="1:6" x14ac:dyDescent="0.25">
      <c r="A2055">
        <v>527</v>
      </c>
      <c r="B2055" t="s">
        <v>255</v>
      </c>
      <c r="C2055" t="s">
        <v>2363</v>
      </c>
      <c r="D2055" t="s">
        <v>44</v>
      </c>
      <c r="E2055" t="s">
        <v>38</v>
      </c>
      <c r="F2055">
        <v>2.75</v>
      </c>
    </row>
    <row r="2056" spans="1:6" x14ac:dyDescent="0.25">
      <c r="A2056">
        <v>526</v>
      </c>
      <c r="B2056" t="s">
        <v>1422</v>
      </c>
      <c r="C2056" t="s">
        <v>2364</v>
      </c>
      <c r="D2056" t="s">
        <v>13</v>
      </c>
      <c r="E2056" t="s">
        <v>17</v>
      </c>
      <c r="F2056">
        <v>1.5</v>
      </c>
    </row>
    <row r="2057" spans="1:6" x14ac:dyDescent="0.25">
      <c r="A2057">
        <v>525</v>
      </c>
      <c r="B2057" t="s">
        <v>426</v>
      </c>
      <c r="C2057" t="s">
        <v>2365</v>
      </c>
      <c r="D2057" t="s">
        <v>13</v>
      </c>
      <c r="E2057" t="s">
        <v>79</v>
      </c>
      <c r="F2057">
        <v>3.75</v>
      </c>
    </row>
    <row r="2058" spans="1:6" x14ac:dyDescent="0.25">
      <c r="A2058">
        <v>524</v>
      </c>
      <c r="B2058" t="s">
        <v>15</v>
      </c>
      <c r="C2058" t="s">
        <v>2366</v>
      </c>
      <c r="D2058" t="s">
        <v>9</v>
      </c>
      <c r="E2058" t="s">
        <v>46</v>
      </c>
      <c r="F2058">
        <v>3.75</v>
      </c>
    </row>
    <row r="2059" spans="1:6" x14ac:dyDescent="0.25">
      <c r="A2059">
        <v>523</v>
      </c>
      <c r="B2059" t="s">
        <v>2007</v>
      </c>
      <c r="C2059" t="s">
        <v>2008</v>
      </c>
      <c r="D2059" t="s">
        <v>44</v>
      </c>
      <c r="E2059" t="s">
        <v>79</v>
      </c>
      <c r="F2059">
        <v>4.5</v>
      </c>
    </row>
    <row r="2060" spans="1:6" x14ac:dyDescent="0.25">
      <c r="A2060">
        <v>522</v>
      </c>
      <c r="B2060" t="s">
        <v>2198</v>
      </c>
      <c r="C2060" t="s">
        <v>2367</v>
      </c>
      <c r="D2060" t="s">
        <v>13</v>
      </c>
      <c r="E2060" t="s">
        <v>25</v>
      </c>
      <c r="F2060">
        <v>4.25</v>
      </c>
    </row>
    <row r="2061" spans="1:6" x14ac:dyDescent="0.25">
      <c r="A2061">
        <v>521</v>
      </c>
      <c r="B2061" t="s">
        <v>559</v>
      </c>
      <c r="C2061" t="s">
        <v>459</v>
      </c>
      <c r="D2061" t="s">
        <v>44</v>
      </c>
      <c r="E2061" t="s">
        <v>10</v>
      </c>
      <c r="F2061">
        <v>4.25</v>
      </c>
    </row>
    <row r="2062" spans="1:6" x14ac:dyDescent="0.25">
      <c r="A2062">
        <v>520</v>
      </c>
      <c r="B2062" t="s">
        <v>2368</v>
      </c>
      <c r="C2062" t="s">
        <v>2369</v>
      </c>
      <c r="D2062" t="s">
        <v>44</v>
      </c>
      <c r="E2062" t="s">
        <v>14</v>
      </c>
      <c r="F2062">
        <v>0.25</v>
      </c>
    </row>
    <row r="2063" spans="1:6" x14ac:dyDescent="0.25">
      <c r="A2063">
        <v>519</v>
      </c>
      <c r="B2063" t="s">
        <v>1439</v>
      </c>
      <c r="C2063" t="s">
        <v>2370</v>
      </c>
      <c r="D2063" t="s">
        <v>9</v>
      </c>
      <c r="E2063" t="s">
        <v>35</v>
      </c>
      <c r="F2063">
        <v>2</v>
      </c>
    </row>
    <row r="2064" spans="1:6" x14ac:dyDescent="0.25">
      <c r="A2064">
        <v>518</v>
      </c>
      <c r="B2064" t="s">
        <v>2007</v>
      </c>
      <c r="C2064" t="s">
        <v>2240</v>
      </c>
      <c r="D2064" t="s">
        <v>44</v>
      </c>
      <c r="E2064" t="s">
        <v>79</v>
      </c>
      <c r="F2064">
        <v>4.5</v>
      </c>
    </row>
    <row r="2065" spans="1:6" x14ac:dyDescent="0.25">
      <c r="A2065">
        <v>517</v>
      </c>
      <c r="B2065" t="s">
        <v>1533</v>
      </c>
      <c r="C2065" t="s">
        <v>2371</v>
      </c>
      <c r="D2065" t="s">
        <v>13</v>
      </c>
      <c r="E2065" t="s">
        <v>17</v>
      </c>
      <c r="F2065">
        <v>4.25</v>
      </c>
    </row>
    <row r="2066" spans="1:6" x14ac:dyDescent="0.25">
      <c r="A2066">
        <v>516</v>
      </c>
      <c r="B2066" t="s">
        <v>191</v>
      </c>
      <c r="C2066" t="s">
        <v>2372</v>
      </c>
      <c r="D2066" t="s">
        <v>44</v>
      </c>
      <c r="E2066" t="s">
        <v>25</v>
      </c>
      <c r="F2066">
        <v>3.5</v>
      </c>
    </row>
    <row r="2067" spans="1:6" x14ac:dyDescent="0.25">
      <c r="A2067">
        <v>515</v>
      </c>
      <c r="B2067" t="s">
        <v>1848</v>
      </c>
      <c r="C2067" t="s">
        <v>2373</v>
      </c>
      <c r="D2067" t="s">
        <v>9</v>
      </c>
      <c r="E2067" t="s">
        <v>17</v>
      </c>
      <c r="F2067">
        <v>2.5</v>
      </c>
    </row>
    <row r="2068" spans="1:6" x14ac:dyDescent="0.25">
      <c r="A2068">
        <v>514</v>
      </c>
      <c r="B2068" t="s">
        <v>258</v>
      </c>
      <c r="C2068" t="s">
        <v>2374</v>
      </c>
      <c r="D2068" t="s">
        <v>44</v>
      </c>
      <c r="E2068" t="s">
        <v>10</v>
      </c>
      <c r="F2068">
        <v>3</v>
      </c>
    </row>
    <row r="2069" spans="1:6" x14ac:dyDescent="0.25">
      <c r="A2069">
        <v>513</v>
      </c>
      <c r="B2069" t="s">
        <v>2007</v>
      </c>
      <c r="C2069" t="s">
        <v>2289</v>
      </c>
      <c r="D2069" t="s">
        <v>44</v>
      </c>
      <c r="E2069" t="s">
        <v>79</v>
      </c>
      <c r="F2069">
        <v>4</v>
      </c>
    </row>
    <row r="2070" spans="1:6" x14ac:dyDescent="0.25">
      <c r="A2070">
        <v>512</v>
      </c>
      <c r="B2070" t="s">
        <v>54</v>
      </c>
      <c r="C2070" t="s">
        <v>2375</v>
      </c>
      <c r="D2070" t="s">
        <v>44</v>
      </c>
      <c r="E2070" t="s">
        <v>25</v>
      </c>
      <c r="F2070">
        <v>3.75</v>
      </c>
    </row>
    <row r="2071" spans="1:6" x14ac:dyDescent="0.25">
      <c r="A2071">
        <v>511</v>
      </c>
      <c r="B2071" t="s">
        <v>559</v>
      </c>
      <c r="C2071" t="s">
        <v>2376</v>
      </c>
      <c r="D2071" t="s">
        <v>44</v>
      </c>
      <c r="E2071" t="s">
        <v>10</v>
      </c>
      <c r="F2071">
        <v>2.75</v>
      </c>
    </row>
    <row r="2072" spans="1:6" x14ac:dyDescent="0.25">
      <c r="A2072">
        <v>510</v>
      </c>
      <c r="B2072" t="s">
        <v>1439</v>
      </c>
      <c r="C2072" t="s">
        <v>2377</v>
      </c>
      <c r="D2072" t="s">
        <v>9</v>
      </c>
      <c r="E2072" t="s">
        <v>35</v>
      </c>
      <c r="F2072">
        <v>3.75</v>
      </c>
    </row>
    <row r="2073" spans="1:6" x14ac:dyDescent="0.25">
      <c r="A2073">
        <v>509</v>
      </c>
      <c r="B2073" t="s">
        <v>243</v>
      </c>
      <c r="C2073" t="s">
        <v>2378</v>
      </c>
      <c r="D2073" t="s">
        <v>44</v>
      </c>
      <c r="E2073" t="s">
        <v>14</v>
      </c>
      <c r="F2073">
        <v>4</v>
      </c>
    </row>
    <row r="2074" spans="1:6" x14ac:dyDescent="0.25">
      <c r="A2074">
        <v>508</v>
      </c>
      <c r="B2074" t="s">
        <v>2198</v>
      </c>
      <c r="C2074" t="s">
        <v>1933</v>
      </c>
      <c r="D2074" t="s">
        <v>9</v>
      </c>
      <c r="E2074" t="s">
        <v>25</v>
      </c>
      <c r="F2074">
        <v>3.75</v>
      </c>
    </row>
    <row r="2075" spans="1:6" x14ac:dyDescent="0.25">
      <c r="A2075">
        <v>507</v>
      </c>
      <c r="B2075" t="s">
        <v>2007</v>
      </c>
      <c r="C2075" t="s">
        <v>2207</v>
      </c>
      <c r="D2075" t="s">
        <v>44</v>
      </c>
      <c r="E2075" t="s">
        <v>79</v>
      </c>
      <c r="F2075">
        <v>3.75</v>
      </c>
    </row>
    <row r="2076" spans="1:6" x14ac:dyDescent="0.25">
      <c r="A2076">
        <v>506</v>
      </c>
      <c r="B2076" t="s">
        <v>41</v>
      </c>
      <c r="C2076" t="s">
        <v>2379</v>
      </c>
      <c r="D2076" t="s">
        <v>9</v>
      </c>
      <c r="E2076" t="s">
        <v>25</v>
      </c>
      <c r="F2076">
        <v>2.5</v>
      </c>
    </row>
    <row r="2077" spans="1:6" x14ac:dyDescent="0.25">
      <c r="A2077">
        <v>505</v>
      </c>
      <c r="B2077" t="s">
        <v>426</v>
      </c>
      <c r="C2077" t="s">
        <v>2146</v>
      </c>
      <c r="D2077" t="s">
        <v>13</v>
      </c>
      <c r="E2077" t="s">
        <v>79</v>
      </c>
      <c r="F2077">
        <v>3.5</v>
      </c>
    </row>
    <row r="2078" spans="1:6" x14ac:dyDescent="0.25">
      <c r="A2078">
        <v>504</v>
      </c>
      <c r="B2078" t="s">
        <v>343</v>
      </c>
      <c r="C2078" t="s">
        <v>2380</v>
      </c>
      <c r="D2078" t="s">
        <v>13</v>
      </c>
      <c r="E2078" t="s">
        <v>345</v>
      </c>
      <c r="F2078">
        <v>3</v>
      </c>
    </row>
    <row r="2079" spans="1:6" x14ac:dyDescent="0.25">
      <c r="A2079">
        <v>503</v>
      </c>
      <c r="B2079" t="s">
        <v>2094</v>
      </c>
      <c r="C2079" t="s">
        <v>2376</v>
      </c>
      <c r="D2079" t="s">
        <v>13</v>
      </c>
      <c r="E2079" t="s">
        <v>38</v>
      </c>
      <c r="F2079">
        <v>1</v>
      </c>
    </row>
    <row r="2080" spans="1:6" x14ac:dyDescent="0.25">
      <c r="A2080">
        <v>502</v>
      </c>
      <c r="B2080" t="s">
        <v>1946</v>
      </c>
      <c r="C2080" t="s">
        <v>2381</v>
      </c>
      <c r="D2080" t="s">
        <v>44</v>
      </c>
      <c r="E2080" t="s">
        <v>38</v>
      </c>
      <c r="F2080">
        <v>2</v>
      </c>
    </row>
    <row r="2081" spans="1:6" x14ac:dyDescent="0.25">
      <c r="A2081">
        <v>501</v>
      </c>
      <c r="B2081" t="s">
        <v>41</v>
      </c>
      <c r="C2081" t="s">
        <v>2382</v>
      </c>
      <c r="D2081" t="s">
        <v>13</v>
      </c>
      <c r="E2081" t="s">
        <v>25</v>
      </c>
      <c r="F2081">
        <v>3.25</v>
      </c>
    </row>
    <row r="2082" spans="1:6" x14ac:dyDescent="0.25">
      <c r="A2082">
        <v>500</v>
      </c>
      <c r="B2082" t="s">
        <v>2383</v>
      </c>
      <c r="C2082" t="s">
        <v>2384</v>
      </c>
      <c r="D2082" t="s">
        <v>13</v>
      </c>
      <c r="E2082" t="s">
        <v>17</v>
      </c>
      <c r="F2082">
        <v>2.5</v>
      </c>
    </row>
    <row r="2083" spans="1:6" x14ac:dyDescent="0.25">
      <c r="A2083">
        <v>499</v>
      </c>
      <c r="B2083" t="s">
        <v>2007</v>
      </c>
      <c r="C2083" t="s">
        <v>2385</v>
      </c>
      <c r="D2083" t="s">
        <v>44</v>
      </c>
      <c r="E2083" t="s">
        <v>79</v>
      </c>
      <c r="F2083">
        <v>4.75</v>
      </c>
    </row>
    <row r="2084" spans="1:6" x14ac:dyDescent="0.25">
      <c r="A2084">
        <v>498</v>
      </c>
      <c r="B2084" t="s">
        <v>2386</v>
      </c>
      <c r="C2084" t="s">
        <v>2387</v>
      </c>
      <c r="D2084" t="s">
        <v>13</v>
      </c>
      <c r="E2084" t="s">
        <v>14</v>
      </c>
      <c r="F2084">
        <v>0</v>
      </c>
    </row>
    <row r="2085" spans="1:6" x14ac:dyDescent="0.25">
      <c r="A2085">
        <v>497</v>
      </c>
      <c r="B2085" t="s">
        <v>15</v>
      </c>
      <c r="C2085" t="s">
        <v>2388</v>
      </c>
      <c r="D2085" t="s">
        <v>13</v>
      </c>
      <c r="E2085" t="s">
        <v>10</v>
      </c>
      <c r="F2085">
        <v>4</v>
      </c>
    </row>
    <row r="2086" spans="1:6" x14ac:dyDescent="0.25">
      <c r="A2086">
        <v>496</v>
      </c>
      <c r="B2086" t="s">
        <v>102</v>
      </c>
      <c r="C2086" t="s">
        <v>2389</v>
      </c>
      <c r="D2086" t="s">
        <v>30</v>
      </c>
      <c r="E2086" t="s">
        <v>17</v>
      </c>
      <c r="F2086">
        <v>2.75</v>
      </c>
    </row>
    <row r="2087" spans="1:6" x14ac:dyDescent="0.25">
      <c r="A2087">
        <v>495</v>
      </c>
      <c r="B2087" t="s">
        <v>74</v>
      </c>
      <c r="C2087" t="s">
        <v>2390</v>
      </c>
      <c r="D2087" t="s">
        <v>13</v>
      </c>
      <c r="E2087" t="s">
        <v>25</v>
      </c>
      <c r="F2087">
        <v>3.25</v>
      </c>
    </row>
    <row r="2088" spans="1:6" x14ac:dyDescent="0.25">
      <c r="A2088">
        <v>494</v>
      </c>
      <c r="B2088" t="s">
        <v>1439</v>
      </c>
      <c r="C2088" t="s">
        <v>2391</v>
      </c>
      <c r="D2088" t="s">
        <v>9</v>
      </c>
      <c r="E2088" t="s">
        <v>35</v>
      </c>
      <c r="F2088">
        <v>3.5</v>
      </c>
    </row>
    <row r="2089" spans="1:6" x14ac:dyDescent="0.25">
      <c r="A2089">
        <v>493</v>
      </c>
      <c r="B2089" t="s">
        <v>298</v>
      </c>
      <c r="C2089" t="s">
        <v>2392</v>
      </c>
      <c r="D2089" t="s">
        <v>13</v>
      </c>
      <c r="E2089" t="s">
        <v>25</v>
      </c>
      <c r="F2089">
        <v>3</v>
      </c>
    </row>
    <row r="2090" spans="1:6" x14ac:dyDescent="0.25">
      <c r="A2090">
        <v>492</v>
      </c>
      <c r="B2090" t="s">
        <v>2320</v>
      </c>
      <c r="C2090" t="s">
        <v>2393</v>
      </c>
      <c r="D2090" t="s">
        <v>44</v>
      </c>
      <c r="E2090" t="s">
        <v>53</v>
      </c>
      <c r="F2090">
        <v>2.75</v>
      </c>
    </row>
    <row r="2091" spans="1:6" x14ac:dyDescent="0.25">
      <c r="A2091">
        <v>491</v>
      </c>
      <c r="B2091" t="s">
        <v>426</v>
      </c>
      <c r="C2091" t="s">
        <v>2039</v>
      </c>
      <c r="D2091" t="s">
        <v>13</v>
      </c>
      <c r="E2091" t="s">
        <v>79</v>
      </c>
      <c r="F2091">
        <v>3.75</v>
      </c>
    </row>
    <row r="2092" spans="1:6" x14ac:dyDescent="0.25">
      <c r="A2092">
        <v>490</v>
      </c>
      <c r="B2092" t="s">
        <v>2328</v>
      </c>
      <c r="C2092" t="s">
        <v>2394</v>
      </c>
      <c r="D2092" t="s">
        <v>44</v>
      </c>
      <c r="E2092" t="s">
        <v>25</v>
      </c>
      <c r="F2092">
        <v>5</v>
      </c>
    </row>
    <row r="2093" spans="1:6" x14ac:dyDescent="0.25">
      <c r="A2093">
        <v>489</v>
      </c>
      <c r="B2093" t="s">
        <v>426</v>
      </c>
      <c r="C2093" t="s">
        <v>2395</v>
      </c>
      <c r="D2093" t="s">
        <v>13</v>
      </c>
      <c r="E2093" t="s">
        <v>79</v>
      </c>
      <c r="F2093">
        <v>3.25</v>
      </c>
    </row>
    <row r="2094" spans="1:6" x14ac:dyDescent="0.25">
      <c r="A2094">
        <v>488</v>
      </c>
      <c r="B2094" t="s">
        <v>2114</v>
      </c>
      <c r="C2094" t="s">
        <v>2396</v>
      </c>
      <c r="D2094" t="s">
        <v>44</v>
      </c>
      <c r="E2094" t="s">
        <v>46</v>
      </c>
      <c r="F2094">
        <v>3.5</v>
      </c>
    </row>
    <row r="2095" spans="1:6" x14ac:dyDescent="0.25">
      <c r="A2095">
        <v>487</v>
      </c>
      <c r="B2095" t="s">
        <v>2114</v>
      </c>
      <c r="C2095" t="s">
        <v>2397</v>
      </c>
      <c r="D2095" t="s">
        <v>44</v>
      </c>
      <c r="E2095" t="s">
        <v>46</v>
      </c>
      <c r="F2095">
        <v>2.75</v>
      </c>
    </row>
    <row r="2096" spans="1:6" x14ac:dyDescent="0.25">
      <c r="A2096">
        <v>486</v>
      </c>
      <c r="B2096" t="s">
        <v>326</v>
      </c>
      <c r="C2096" t="s">
        <v>2398</v>
      </c>
      <c r="D2096" t="s">
        <v>13</v>
      </c>
      <c r="E2096" t="s">
        <v>79</v>
      </c>
      <c r="F2096">
        <v>3</v>
      </c>
    </row>
    <row r="2097" spans="1:6" x14ac:dyDescent="0.25">
      <c r="A2097">
        <v>485</v>
      </c>
      <c r="B2097" t="s">
        <v>74</v>
      </c>
      <c r="C2097" t="s">
        <v>2399</v>
      </c>
      <c r="D2097" t="s">
        <v>9</v>
      </c>
      <c r="E2097" t="s">
        <v>25</v>
      </c>
      <c r="F2097">
        <v>3</v>
      </c>
    </row>
    <row r="2098" spans="1:6" x14ac:dyDescent="0.25">
      <c r="A2098">
        <v>484</v>
      </c>
      <c r="B2098" t="s">
        <v>74</v>
      </c>
      <c r="C2098" t="s">
        <v>2400</v>
      </c>
      <c r="D2098" t="s">
        <v>9</v>
      </c>
      <c r="E2098" t="s">
        <v>25</v>
      </c>
      <c r="F2098">
        <v>4.25</v>
      </c>
    </row>
    <row r="2099" spans="1:6" x14ac:dyDescent="0.25">
      <c r="A2099">
        <v>483</v>
      </c>
      <c r="B2099" t="s">
        <v>621</v>
      </c>
      <c r="C2099" t="s">
        <v>2401</v>
      </c>
      <c r="D2099" t="s">
        <v>44</v>
      </c>
      <c r="E2099" t="s">
        <v>10</v>
      </c>
      <c r="F2099">
        <v>4.5</v>
      </c>
    </row>
    <row r="2100" spans="1:6" x14ac:dyDescent="0.25">
      <c r="A2100">
        <v>482</v>
      </c>
      <c r="B2100" t="s">
        <v>559</v>
      </c>
      <c r="C2100" t="s">
        <v>2238</v>
      </c>
      <c r="D2100" t="s">
        <v>44</v>
      </c>
      <c r="E2100" t="s">
        <v>10</v>
      </c>
      <c r="F2100">
        <v>4.5</v>
      </c>
    </row>
    <row r="2101" spans="1:6" x14ac:dyDescent="0.25">
      <c r="A2101">
        <v>481</v>
      </c>
      <c r="B2101" t="s">
        <v>1533</v>
      </c>
      <c r="C2101" t="s">
        <v>2402</v>
      </c>
      <c r="D2101" t="s">
        <v>44</v>
      </c>
      <c r="E2101" t="s">
        <v>17</v>
      </c>
      <c r="F2101">
        <v>3.75</v>
      </c>
    </row>
    <row r="2102" spans="1:6" x14ac:dyDescent="0.25">
      <c r="A2102">
        <v>480</v>
      </c>
      <c r="B2102" t="s">
        <v>1533</v>
      </c>
      <c r="C2102" t="s">
        <v>2403</v>
      </c>
      <c r="D2102" t="s">
        <v>44</v>
      </c>
      <c r="E2102" t="s">
        <v>17</v>
      </c>
      <c r="F2102">
        <v>3.25</v>
      </c>
    </row>
    <row r="2103" spans="1:6" x14ac:dyDescent="0.25">
      <c r="A2103">
        <v>479</v>
      </c>
      <c r="B2103" t="s">
        <v>41</v>
      </c>
      <c r="C2103" t="s">
        <v>2404</v>
      </c>
      <c r="D2103" t="s">
        <v>13</v>
      </c>
      <c r="E2103" t="s">
        <v>25</v>
      </c>
      <c r="F2103">
        <v>3.75</v>
      </c>
    </row>
    <row r="2104" spans="1:6" x14ac:dyDescent="0.25">
      <c r="A2104">
        <v>478</v>
      </c>
      <c r="B2104" t="s">
        <v>889</v>
      </c>
      <c r="C2104" t="s">
        <v>2405</v>
      </c>
      <c r="D2104" t="s">
        <v>13</v>
      </c>
      <c r="E2104" t="s">
        <v>14</v>
      </c>
      <c r="F2104">
        <v>1.75</v>
      </c>
    </row>
    <row r="2105" spans="1:6" x14ac:dyDescent="0.25">
      <c r="A2105">
        <v>477</v>
      </c>
      <c r="B2105" t="s">
        <v>2256</v>
      </c>
      <c r="C2105" t="s">
        <v>2406</v>
      </c>
      <c r="D2105" t="s">
        <v>13</v>
      </c>
      <c r="E2105" t="s">
        <v>25</v>
      </c>
      <c r="F2105">
        <v>3</v>
      </c>
    </row>
    <row r="2106" spans="1:6" x14ac:dyDescent="0.25">
      <c r="A2106">
        <v>476</v>
      </c>
      <c r="B2106" t="s">
        <v>1422</v>
      </c>
      <c r="C2106" t="s">
        <v>2407</v>
      </c>
      <c r="D2106" t="s">
        <v>44</v>
      </c>
      <c r="E2106" t="s">
        <v>17</v>
      </c>
      <c r="F2106">
        <v>1.75</v>
      </c>
    </row>
    <row r="2107" spans="1:6" x14ac:dyDescent="0.25">
      <c r="A2107">
        <v>475</v>
      </c>
      <c r="B2107" t="s">
        <v>287</v>
      </c>
      <c r="C2107" t="s">
        <v>2070</v>
      </c>
      <c r="D2107" t="s">
        <v>13</v>
      </c>
      <c r="E2107" t="s">
        <v>17</v>
      </c>
      <c r="F2107">
        <v>3.25</v>
      </c>
    </row>
    <row r="2108" spans="1:6" x14ac:dyDescent="0.25">
      <c r="A2108">
        <v>474</v>
      </c>
      <c r="B2108" t="s">
        <v>2176</v>
      </c>
      <c r="C2108" t="s">
        <v>2408</v>
      </c>
      <c r="D2108" t="s">
        <v>44</v>
      </c>
      <c r="E2108" t="s">
        <v>53</v>
      </c>
      <c r="F2108">
        <v>3.75</v>
      </c>
    </row>
    <row r="2109" spans="1:6" x14ac:dyDescent="0.25">
      <c r="A2109">
        <v>473</v>
      </c>
      <c r="B2109" t="s">
        <v>183</v>
      </c>
      <c r="C2109" t="s">
        <v>2409</v>
      </c>
      <c r="D2109" t="s">
        <v>44</v>
      </c>
      <c r="E2109" t="s">
        <v>10</v>
      </c>
      <c r="F2109">
        <v>4.5</v>
      </c>
    </row>
    <row r="2110" spans="1:6" x14ac:dyDescent="0.25">
      <c r="A2110">
        <v>472</v>
      </c>
      <c r="B2110" t="s">
        <v>1533</v>
      </c>
      <c r="C2110" t="s">
        <v>2298</v>
      </c>
      <c r="D2110" t="s">
        <v>44</v>
      </c>
      <c r="E2110" t="s">
        <v>17</v>
      </c>
      <c r="F2110">
        <v>3.75</v>
      </c>
    </row>
    <row r="2111" spans="1:6" x14ac:dyDescent="0.25">
      <c r="A2111">
        <v>471</v>
      </c>
      <c r="B2111" t="s">
        <v>677</v>
      </c>
      <c r="C2111" t="s">
        <v>2410</v>
      </c>
      <c r="D2111" t="s">
        <v>13</v>
      </c>
      <c r="E2111" t="s">
        <v>17</v>
      </c>
      <c r="F2111">
        <v>1.5</v>
      </c>
    </row>
    <row r="2112" spans="1:6" x14ac:dyDescent="0.25">
      <c r="A2112">
        <v>470</v>
      </c>
      <c r="B2112" t="s">
        <v>102</v>
      </c>
      <c r="C2112" t="s">
        <v>2411</v>
      </c>
      <c r="D2112" t="s">
        <v>13</v>
      </c>
      <c r="E2112" t="s">
        <v>17</v>
      </c>
      <c r="F2112">
        <v>3.25</v>
      </c>
    </row>
    <row r="2113" spans="1:6" x14ac:dyDescent="0.25">
      <c r="A2113">
        <v>469</v>
      </c>
      <c r="B2113" t="s">
        <v>287</v>
      </c>
      <c r="C2113" t="s">
        <v>2084</v>
      </c>
      <c r="D2113" t="s">
        <v>13</v>
      </c>
      <c r="E2113" t="s">
        <v>17</v>
      </c>
      <c r="F2113">
        <v>3.5</v>
      </c>
    </row>
    <row r="2114" spans="1:6" x14ac:dyDescent="0.25">
      <c r="A2114">
        <v>468</v>
      </c>
      <c r="B2114" t="s">
        <v>54</v>
      </c>
      <c r="C2114" t="s">
        <v>2412</v>
      </c>
      <c r="D2114" t="s">
        <v>13</v>
      </c>
      <c r="E2114" t="s">
        <v>25</v>
      </c>
      <c r="F2114">
        <v>3.75</v>
      </c>
    </row>
    <row r="2115" spans="1:6" x14ac:dyDescent="0.25">
      <c r="A2115">
        <v>467</v>
      </c>
      <c r="B2115" t="s">
        <v>331</v>
      </c>
      <c r="C2115" t="s">
        <v>2413</v>
      </c>
      <c r="D2115" t="s">
        <v>13</v>
      </c>
      <c r="E2115" t="s">
        <v>53</v>
      </c>
      <c r="F2115">
        <v>1.75</v>
      </c>
    </row>
    <row r="2116" spans="1:6" x14ac:dyDescent="0.25">
      <c r="A2116">
        <v>466</v>
      </c>
      <c r="B2116" t="s">
        <v>2176</v>
      </c>
      <c r="C2116" t="s">
        <v>2414</v>
      </c>
      <c r="D2116" t="s">
        <v>44</v>
      </c>
      <c r="E2116" t="s">
        <v>53</v>
      </c>
      <c r="F2116">
        <v>3.5</v>
      </c>
    </row>
    <row r="2117" spans="1:6" x14ac:dyDescent="0.25">
      <c r="A2117">
        <v>465</v>
      </c>
      <c r="B2117" t="s">
        <v>15</v>
      </c>
      <c r="C2117" t="s">
        <v>2415</v>
      </c>
      <c r="D2117" t="s">
        <v>44</v>
      </c>
      <c r="E2117" t="s">
        <v>17</v>
      </c>
      <c r="F2117">
        <v>2.75</v>
      </c>
    </row>
    <row r="2118" spans="1:6" x14ac:dyDescent="0.25">
      <c r="A2118">
        <v>464</v>
      </c>
      <c r="B2118" t="s">
        <v>897</v>
      </c>
      <c r="C2118" t="s">
        <v>2070</v>
      </c>
      <c r="D2118" t="s">
        <v>13</v>
      </c>
      <c r="E2118" t="s">
        <v>38</v>
      </c>
      <c r="F2118">
        <v>3.25</v>
      </c>
    </row>
    <row r="2119" spans="1:6" x14ac:dyDescent="0.25">
      <c r="A2119">
        <v>463</v>
      </c>
      <c r="B2119" t="s">
        <v>74</v>
      </c>
      <c r="C2119" t="s">
        <v>2416</v>
      </c>
      <c r="D2119" t="s">
        <v>13</v>
      </c>
      <c r="E2119" t="s">
        <v>25</v>
      </c>
      <c r="F2119">
        <v>3</v>
      </c>
    </row>
    <row r="2120" spans="1:6" x14ac:dyDescent="0.25">
      <c r="A2120">
        <v>462</v>
      </c>
      <c r="B2120" t="s">
        <v>15</v>
      </c>
      <c r="C2120" t="s">
        <v>2417</v>
      </c>
      <c r="D2120" t="s">
        <v>13</v>
      </c>
      <c r="E2120" t="s">
        <v>17</v>
      </c>
      <c r="F2120">
        <v>3.5</v>
      </c>
    </row>
    <row r="2121" spans="1:6" x14ac:dyDescent="0.25">
      <c r="A2121">
        <v>461</v>
      </c>
      <c r="B2121" t="s">
        <v>2198</v>
      </c>
      <c r="C2121" t="s">
        <v>2418</v>
      </c>
      <c r="D2121" t="s">
        <v>13</v>
      </c>
      <c r="E2121" t="s">
        <v>25</v>
      </c>
      <c r="F2121">
        <v>3.5</v>
      </c>
    </row>
    <row r="2122" spans="1:6" x14ac:dyDescent="0.25">
      <c r="A2122">
        <v>460</v>
      </c>
      <c r="B2122" t="s">
        <v>559</v>
      </c>
      <c r="C2122" t="s">
        <v>2419</v>
      </c>
      <c r="D2122" t="s">
        <v>44</v>
      </c>
      <c r="E2122" t="s">
        <v>10</v>
      </c>
      <c r="F2122">
        <v>5</v>
      </c>
    </row>
    <row r="2123" spans="1:6" x14ac:dyDescent="0.25">
      <c r="A2123">
        <v>459</v>
      </c>
      <c r="B2123" t="s">
        <v>287</v>
      </c>
      <c r="C2123" t="s">
        <v>2021</v>
      </c>
      <c r="D2123" t="s">
        <v>13</v>
      </c>
      <c r="E2123" t="s">
        <v>17</v>
      </c>
      <c r="F2123">
        <v>3</v>
      </c>
    </row>
    <row r="2124" spans="1:6" x14ac:dyDescent="0.25">
      <c r="A2124">
        <v>458</v>
      </c>
      <c r="B2124" t="s">
        <v>243</v>
      </c>
      <c r="C2124" t="s">
        <v>2420</v>
      </c>
      <c r="D2124" t="s">
        <v>44</v>
      </c>
      <c r="E2124" t="s">
        <v>14</v>
      </c>
      <c r="F2124">
        <v>3.75</v>
      </c>
    </row>
    <row r="2125" spans="1:6" x14ac:dyDescent="0.25">
      <c r="A2125">
        <v>457</v>
      </c>
      <c r="B2125" t="s">
        <v>809</v>
      </c>
      <c r="C2125" t="s">
        <v>2421</v>
      </c>
      <c r="D2125" t="s">
        <v>13</v>
      </c>
      <c r="E2125" t="s">
        <v>69</v>
      </c>
      <c r="F2125">
        <v>4.5</v>
      </c>
    </row>
    <row r="2126" spans="1:6" x14ac:dyDescent="0.25">
      <c r="A2126">
        <v>456</v>
      </c>
      <c r="B2126" t="s">
        <v>243</v>
      </c>
      <c r="C2126" t="s">
        <v>2422</v>
      </c>
      <c r="D2126" t="s">
        <v>44</v>
      </c>
      <c r="E2126" t="s">
        <v>14</v>
      </c>
      <c r="F2126">
        <v>3.75</v>
      </c>
    </row>
    <row r="2127" spans="1:6" x14ac:dyDescent="0.25">
      <c r="A2127">
        <v>455</v>
      </c>
      <c r="B2127" t="s">
        <v>900</v>
      </c>
      <c r="C2127" t="s">
        <v>2423</v>
      </c>
      <c r="D2127" t="s">
        <v>9</v>
      </c>
      <c r="E2127" t="s">
        <v>79</v>
      </c>
      <c r="F2127">
        <v>0.25</v>
      </c>
    </row>
    <row r="2128" spans="1:6" x14ac:dyDescent="0.25">
      <c r="A2128">
        <v>454</v>
      </c>
      <c r="B2128" t="s">
        <v>677</v>
      </c>
      <c r="C2128" t="s">
        <v>2424</v>
      </c>
      <c r="D2128" t="s">
        <v>13</v>
      </c>
      <c r="E2128" t="s">
        <v>17</v>
      </c>
      <c r="F2128">
        <v>1.5</v>
      </c>
    </row>
    <row r="2129" spans="1:6" x14ac:dyDescent="0.25">
      <c r="A2129">
        <v>453</v>
      </c>
      <c r="B2129" t="s">
        <v>41</v>
      </c>
      <c r="C2129" t="s">
        <v>2425</v>
      </c>
      <c r="D2129" t="s">
        <v>44</v>
      </c>
      <c r="E2129" t="s">
        <v>17</v>
      </c>
      <c r="F2129">
        <v>3.25</v>
      </c>
    </row>
    <row r="2130" spans="1:6" x14ac:dyDescent="0.25">
      <c r="A2130">
        <v>452</v>
      </c>
      <c r="B2130" t="s">
        <v>183</v>
      </c>
      <c r="C2130" t="s">
        <v>2426</v>
      </c>
      <c r="D2130" t="s">
        <v>13</v>
      </c>
      <c r="E2130" t="s">
        <v>10</v>
      </c>
      <c r="F2130">
        <v>4</v>
      </c>
    </row>
    <row r="2131" spans="1:6" x14ac:dyDescent="0.25">
      <c r="A2131">
        <v>451</v>
      </c>
      <c r="B2131" t="s">
        <v>183</v>
      </c>
      <c r="C2131" t="s">
        <v>2427</v>
      </c>
      <c r="D2131" t="s">
        <v>44</v>
      </c>
      <c r="E2131" t="s">
        <v>10</v>
      </c>
      <c r="F2131">
        <v>4</v>
      </c>
    </row>
    <row r="2132" spans="1:6" x14ac:dyDescent="0.25">
      <c r="A2132">
        <v>450</v>
      </c>
      <c r="B2132" t="s">
        <v>74</v>
      </c>
      <c r="C2132" t="s">
        <v>2428</v>
      </c>
      <c r="D2132" t="s">
        <v>13</v>
      </c>
      <c r="E2132" t="s">
        <v>25</v>
      </c>
      <c r="F2132">
        <v>3.25</v>
      </c>
    </row>
    <row r="2133" spans="1:6" x14ac:dyDescent="0.25">
      <c r="A2133">
        <v>449</v>
      </c>
      <c r="B2133" t="s">
        <v>2179</v>
      </c>
      <c r="C2133" t="s">
        <v>2429</v>
      </c>
      <c r="D2133" t="s">
        <v>13</v>
      </c>
      <c r="E2133" t="s">
        <v>14</v>
      </c>
      <c r="F2133">
        <v>4.25</v>
      </c>
    </row>
    <row r="2134" spans="1:6" x14ac:dyDescent="0.25">
      <c r="A2134">
        <v>448</v>
      </c>
      <c r="B2134" t="s">
        <v>243</v>
      </c>
      <c r="C2134" t="s">
        <v>2430</v>
      </c>
      <c r="D2134" t="s">
        <v>44</v>
      </c>
      <c r="E2134" t="s">
        <v>14</v>
      </c>
      <c r="F2134">
        <v>3.75</v>
      </c>
    </row>
    <row r="2135" spans="1:6" x14ac:dyDescent="0.25">
      <c r="A2135">
        <v>447</v>
      </c>
      <c r="B2135" t="s">
        <v>243</v>
      </c>
      <c r="C2135" t="s">
        <v>2431</v>
      </c>
      <c r="D2135" t="s">
        <v>13</v>
      </c>
      <c r="E2135" t="s">
        <v>53</v>
      </c>
      <c r="F2135">
        <v>4.75</v>
      </c>
    </row>
    <row r="2136" spans="1:6" x14ac:dyDescent="0.25">
      <c r="A2136">
        <v>446</v>
      </c>
      <c r="B2136" t="s">
        <v>2432</v>
      </c>
      <c r="C2136" t="s">
        <v>2433</v>
      </c>
      <c r="D2136" t="s">
        <v>44</v>
      </c>
      <c r="E2136" t="s">
        <v>46</v>
      </c>
      <c r="F2136">
        <v>2.25</v>
      </c>
    </row>
    <row r="2137" spans="1:6" x14ac:dyDescent="0.25">
      <c r="A2137">
        <v>445</v>
      </c>
      <c r="B2137" t="s">
        <v>2434</v>
      </c>
      <c r="C2137" t="s">
        <v>2435</v>
      </c>
      <c r="D2137" t="s">
        <v>13</v>
      </c>
      <c r="E2137" t="s">
        <v>14</v>
      </c>
      <c r="F2137">
        <v>2.25</v>
      </c>
    </row>
    <row r="2138" spans="1:6" x14ac:dyDescent="0.25">
      <c r="A2138">
        <v>444</v>
      </c>
      <c r="B2138" t="s">
        <v>2256</v>
      </c>
      <c r="C2138" t="s">
        <v>2084</v>
      </c>
      <c r="D2138" t="s">
        <v>13</v>
      </c>
      <c r="E2138" t="s">
        <v>25</v>
      </c>
      <c r="F2138">
        <v>3.25</v>
      </c>
    </row>
    <row r="2139" spans="1:6" x14ac:dyDescent="0.25">
      <c r="A2139">
        <v>443</v>
      </c>
      <c r="B2139" t="s">
        <v>1157</v>
      </c>
      <c r="C2139" t="s">
        <v>2436</v>
      </c>
      <c r="D2139" t="s">
        <v>13</v>
      </c>
      <c r="E2139" t="s">
        <v>1159</v>
      </c>
      <c r="F2139">
        <v>4</v>
      </c>
    </row>
    <row r="2140" spans="1:6" x14ac:dyDescent="0.25">
      <c r="A2140">
        <v>442</v>
      </c>
      <c r="B2140" t="s">
        <v>41</v>
      </c>
      <c r="C2140" t="s">
        <v>2437</v>
      </c>
      <c r="D2140" t="s">
        <v>13</v>
      </c>
      <c r="E2140" t="s">
        <v>25</v>
      </c>
      <c r="F2140">
        <v>4.5</v>
      </c>
    </row>
    <row r="2141" spans="1:6" x14ac:dyDescent="0.25">
      <c r="A2141">
        <v>441</v>
      </c>
      <c r="B2141" t="s">
        <v>74</v>
      </c>
      <c r="C2141" t="s">
        <v>2438</v>
      </c>
      <c r="D2141" t="s">
        <v>13</v>
      </c>
      <c r="E2141" t="s">
        <v>25</v>
      </c>
      <c r="F2141">
        <v>3.75</v>
      </c>
    </row>
    <row r="2142" spans="1:6" x14ac:dyDescent="0.25">
      <c r="A2142">
        <v>440</v>
      </c>
      <c r="B2142" t="s">
        <v>102</v>
      </c>
      <c r="C2142" t="s">
        <v>2439</v>
      </c>
      <c r="D2142" t="s">
        <v>9</v>
      </c>
      <c r="E2142" t="s">
        <v>17</v>
      </c>
      <c r="F2142">
        <v>2.75</v>
      </c>
    </row>
    <row r="2143" spans="1:6" x14ac:dyDescent="0.25">
      <c r="A2143">
        <v>439</v>
      </c>
      <c r="B2143" t="s">
        <v>255</v>
      </c>
      <c r="C2143" t="s">
        <v>2440</v>
      </c>
      <c r="D2143" t="s">
        <v>44</v>
      </c>
      <c r="E2143" t="s">
        <v>38</v>
      </c>
      <c r="F2143">
        <v>3</v>
      </c>
    </row>
    <row r="2144" spans="1:6" x14ac:dyDescent="0.25">
      <c r="A2144">
        <v>438</v>
      </c>
      <c r="B2144" t="s">
        <v>2198</v>
      </c>
      <c r="C2144" t="s">
        <v>1933</v>
      </c>
      <c r="D2144" t="s">
        <v>44</v>
      </c>
      <c r="E2144" t="s">
        <v>25</v>
      </c>
      <c r="F2144">
        <v>3.75</v>
      </c>
    </row>
    <row r="2145" spans="1:7" x14ac:dyDescent="0.25">
      <c r="A2145">
        <v>437</v>
      </c>
      <c r="B2145" t="s">
        <v>41</v>
      </c>
      <c r="C2145" t="s">
        <v>2441</v>
      </c>
      <c r="D2145" t="s">
        <v>44</v>
      </c>
      <c r="E2145" t="s">
        <v>25</v>
      </c>
      <c r="F2145">
        <v>3.25</v>
      </c>
    </row>
    <row r="2146" spans="1:7" x14ac:dyDescent="0.25">
      <c r="A2146">
        <v>436</v>
      </c>
      <c r="B2146" t="s">
        <v>1516</v>
      </c>
      <c r="C2146" t="s">
        <v>2442</v>
      </c>
      <c r="D2146" t="s">
        <v>44</v>
      </c>
      <c r="E2146" t="s">
        <v>14</v>
      </c>
      <c r="F2146">
        <v>3.75</v>
      </c>
    </row>
    <row r="2147" spans="1:7" x14ac:dyDescent="0.25">
      <c r="A2147">
        <v>435</v>
      </c>
      <c r="B2147" t="s">
        <v>654</v>
      </c>
      <c r="C2147" t="s">
        <v>2443</v>
      </c>
      <c r="D2147" t="s">
        <v>13</v>
      </c>
      <c r="E2147" t="s">
        <v>73</v>
      </c>
      <c r="F2147">
        <v>4.25</v>
      </c>
    </row>
    <row r="2148" spans="1:7" x14ac:dyDescent="0.25">
      <c r="A2148">
        <v>434</v>
      </c>
      <c r="B2148" t="s">
        <v>654</v>
      </c>
      <c r="C2148" t="s">
        <v>2444</v>
      </c>
      <c r="D2148" t="s">
        <v>13</v>
      </c>
      <c r="E2148" t="s">
        <v>73</v>
      </c>
      <c r="F2148">
        <v>4.5</v>
      </c>
      <c r="G2148" t="s">
        <v>2445</v>
      </c>
    </row>
    <row r="2149" spans="1:7" x14ac:dyDescent="0.25">
      <c r="A2149">
        <v>433</v>
      </c>
      <c r="B2149" t="s">
        <v>1157</v>
      </c>
      <c r="C2149" t="s">
        <v>2446</v>
      </c>
      <c r="D2149" t="s">
        <v>44</v>
      </c>
      <c r="E2149" t="s">
        <v>1159</v>
      </c>
      <c r="F2149">
        <v>3.25</v>
      </c>
    </row>
    <row r="2150" spans="1:7" x14ac:dyDescent="0.25">
      <c r="A2150">
        <v>432</v>
      </c>
      <c r="B2150" t="s">
        <v>243</v>
      </c>
      <c r="C2150" t="s">
        <v>2447</v>
      </c>
      <c r="D2150" t="s">
        <v>44</v>
      </c>
      <c r="E2150" t="s">
        <v>14</v>
      </c>
      <c r="F2150">
        <v>2.5</v>
      </c>
    </row>
    <row r="2151" spans="1:7" x14ac:dyDescent="0.25">
      <c r="A2151">
        <v>431</v>
      </c>
      <c r="B2151" t="s">
        <v>1985</v>
      </c>
      <c r="C2151" t="s">
        <v>2448</v>
      </c>
      <c r="D2151" t="s">
        <v>13</v>
      </c>
      <c r="E2151" t="s">
        <v>14</v>
      </c>
      <c r="F2151">
        <v>2.75</v>
      </c>
    </row>
    <row r="2152" spans="1:7" x14ac:dyDescent="0.25">
      <c r="A2152">
        <v>430</v>
      </c>
      <c r="B2152" t="s">
        <v>2449</v>
      </c>
      <c r="C2152" t="s">
        <v>2450</v>
      </c>
      <c r="D2152" t="s">
        <v>13</v>
      </c>
      <c r="E2152" t="s">
        <v>1159</v>
      </c>
      <c r="F2152">
        <v>5</v>
      </c>
    </row>
    <row r="2153" spans="1:7" x14ac:dyDescent="0.25">
      <c r="A2153">
        <v>429</v>
      </c>
      <c r="B2153" t="s">
        <v>2449</v>
      </c>
      <c r="C2153" t="s">
        <v>2451</v>
      </c>
      <c r="D2153" t="s">
        <v>13</v>
      </c>
      <c r="E2153" t="s">
        <v>1159</v>
      </c>
      <c r="F2153">
        <v>3.75</v>
      </c>
    </row>
    <row r="2154" spans="1:7" x14ac:dyDescent="0.25">
      <c r="A2154">
        <v>428</v>
      </c>
      <c r="B2154" t="s">
        <v>326</v>
      </c>
      <c r="C2154" t="s">
        <v>2452</v>
      </c>
      <c r="E2154" t="s">
        <v>79</v>
      </c>
      <c r="F2154">
        <v>3.75</v>
      </c>
    </row>
    <row r="2155" spans="1:7" x14ac:dyDescent="0.25">
      <c r="A2155">
        <v>427</v>
      </c>
      <c r="B2155" t="s">
        <v>1045</v>
      </c>
      <c r="C2155" t="s">
        <v>2453</v>
      </c>
      <c r="D2155" t="s">
        <v>13</v>
      </c>
      <c r="E2155" t="s">
        <v>35</v>
      </c>
      <c r="F2155">
        <v>5</v>
      </c>
    </row>
    <row r="2156" spans="1:7" x14ac:dyDescent="0.25">
      <c r="A2156">
        <v>426</v>
      </c>
      <c r="B2156" t="s">
        <v>331</v>
      </c>
      <c r="C2156" t="s">
        <v>2454</v>
      </c>
      <c r="D2156" t="s">
        <v>13</v>
      </c>
      <c r="E2156" t="s">
        <v>53</v>
      </c>
      <c r="F2156">
        <v>3</v>
      </c>
    </row>
    <row r="2157" spans="1:7" x14ac:dyDescent="0.25">
      <c r="A2157">
        <v>425</v>
      </c>
      <c r="B2157" t="s">
        <v>2455</v>
      </c>
      <c r="C2157" t="s">
        <v>2456</v>
      </c>
      <c r="D2157" t="s">
        <v>13</v>
      </c>
      <c r="E2157" t="s">
        <v>17</v>
      </c>
      <c r="F2157">
        <v>4.5</v>
      </c>
    </row>
    <row r="2158" spans="1:7" x14ac:dyDescent="0.25">
      <c r="A2158">
        <v>424</v>
      </c>
      <c r="B2158" t="s">
        <v>2457</v>
      </c>
      <c r="C2158" t="s">
        <v>2458</v>
      </c>
      <c r="D2158" t="s">
        <v>13</v>
      </c>
      <c r="E2158" t="s">
        <v>14</v>
      </c>
      <c r="F2158">
        <v>3.25</v>
      </c>
    </row>
    <row r="2159" spans="1:7" x14ac:dyDescent="0.25">
      <c r="A2159">
        <v>423</v>
      </c>
      <c r="B2159" t="s">
        <v>2459</v>
      </c>
      <c r="C2159" t="s">
        <v>2460</v>
      </c>
      <c r="D2159" t="s">
        <v>9</v>
      </c>
      <c r="E2159" t="s">
        <v>25</v>
      </c>
      <c r="F2159">
        <v>3</v>
      </c>
    </row>
    <row r="2160" spans="1:7" x14ac:dyDescent="0.25">
      <c r="A2160">
        <v>422</v>
      </c>
      <c r="B2160" t="s">
        <v>331</v>
      </c>
      <c r="C2160" t="s">
        <v>2461</v>
      </c>
      <c r="D2160" t="s">
        <v>44</v>
      </c>
      <c r="E2160" t="s">
        <v>53</v>
      </c>
      <c r="F2160">
        <v>4</v>
      </c>
    </row>
    <row r="2161" spans="1:6" x14ac:dyDescent="0.25">
      <c r="A2161">
        <v>421</v>
      </c>
      <c r="B2161" t="s">
        <v>183</v>
      </c>
      <c r="C2161" t="s">
        <v>2462</v>
      </c>
      <c r="D2161" t="s">
        <v>44</v>
      </c>
      <c r="E2161" t="s">
        <v>10</v>
      </c>
      <c r="F2161">
        <v>2.75</v>
      </c>
    </row>
    <row r="2162" spans="1:6" x14ac:dyDescent="0.25">
      <c r="A2162">
        <v>420</v>
      </c>
      <c r="B2162" t="s">
        <v>374</v>
      </c>
      <c r="C2162" t="s">
        <v>2463</v>
      </c>
      <c r="D2162" t="s">
        <v>9</v>
      </c>
      <c r="E2162" t="s">
        <v>17</v>
      </c>
      <c r="F2162">
        <v>3.5</v>
      </c>
    </row>
    <row r="2163" spans="1:6" x14ac:dyDescent="0.25">
      <c r="A2163">
        <v>419</v>
      </c>
      <c r="B2163" t="s">
        <v>183</v>
      </c>
      <c r="C2163" t="s">
        <v>2464</v>
      </c>
      <c r="D2163" t="s">
        <v>44</v>
      </c>
      <c r="E2163" t="s">
        <v>10</v>
      </c>
      <c r="F2163">
        <v>4.25</v>
      </c>
    </row>
    <row r="2164" spans="1:6" x14ac:dyDescent="0.25">
      <c r="A2164">
        <v>418</v>
      </c>
      <c r="B2164" t="s">
        <v>2434</v>
      </c>
      <c r="C2164" t="s">
        <v>2465</v>
      </c>
      <c r="D2164" t="s">
        <v>13</v>
      </c>
      <c r="E2164" t="s">
        <v>14</v>
      </c>
      <c r="F2164">
        <v>3.75</v>
      </c>
    </row>
    <row r="2165" spans="1:6" x14ac:dyDescent="0.25">
      <c r="A2165">
        <v>417</v>
      </c>
      <c r="B2165" t="s">
        <v>331</v>
      </c>
      <c r="C2165" t="s">
        <v>2466</v>
      </c>
      <c r="D2165" t="s">
        <v>13</v>
      </c>
      <c r="E2165" t="s">
        <v>53</v>
      </c>
      <c r="F2165">
        <v>3.5</v>
      </c>
    </row>
    <row r="2166" spans="1:6" x14ac:dyDescent="0.25">
      <c r="A2166">
        <v>416</v>
      </c>
      <c r="B2166" t="s">
        <v>374</v>
      </c>
      <c r="C2166" t="s">
        <v>2357</v>
      </c>
      <c r="D2166" t="s">
        <v>9</v>
      </c>
      <c r="E2166" t="s">
        <v>17</v>
      </c>
      <c r="F2166">
        <v>3.75</v>
      </c>
    </row>
    <row r="2167" spans="1:6" x14ac:dyDescent="0.25">
      <c r="A2167">
        <v>415</v>
      </c>
      <c r="B2167" t="s">
        <v>243</v>
      </c>
      <c r="C2167" t="s">
        <v>2467</v>
      </c>
      <c r="D2167" t="s">
        <v>44</v>
      </c>
      <c r="E2167" t="s">
        <v>14</v>
      </c>
      <c r="F2167">
        <v>3.75</v>
      </c>
    </row>
    <row r="2168" spans="1:6" x14ac:dyDescent="0.25">
      <c r="A2168">
        <v>414</v>
      </c>
      <c r="B2168" t="s">
        <v>588</v>
      </c>
      <c r="C2168" t="s">
        <v>2468</v>
      </c>
      <c r="D2168" t="s">
        <v>13</v>
      </c>
      <c r="E2168" t="s">
        <v>46</v>
      </c>
      <c r="F2168">
        <v>2.5</v>
      </c>
    </row>
    <row r="2169" spans="1:6" x14ac:dyDescent="0.25">
      <c r="A2169">
        <v>413</v>
      </c>
      <c r="B2169" t="s">
        <v>2065</v>
      </c>
      <c r="C2169" t="s">
        <v>2469</v>
      </c>
      <c r="D2169" t="s">
        <v>13</v>
      </c>
      <c r="E2169" t="s">
        <v>14</v>
      </c>
      <c r="F2169">
        <v>4.25</v>
      </c>
    </row>
    <row r="2170" spans="1:6" x14ac:dyDescent="0.25">
      <c r="A2170">
        <v>412</v>
      </c>
      <c r="B2170" t="s">
        <v>102</v>
      </c>
      <c r="C2170" t="s">
        <v>2470</v>
      </c>
      <c r="D2170" t="s">
        <v>44</v>
      </c>
      <c r="E2170" t="s">
        <v>10</v>
      </c>
      <c r="F2170">
        <v>4.125</v>
      </c>
    </row>
    <row r="2171" spans="1:6" x14ac:dyDescent="0.25">
      <c r="A2171">
        <v>411</v>
      </c>
      <c r="B2171" t="s">
        <v>1946</v>
      </c>
      <c r="C2171" t="s">
        <v>2471</v>
      </c>
      <c r="D2171" t="s">
        <v>44</v>
      </c>
      <c r="E2171" t="s">
        <v>38</v>
      </c>
      <c r="F2171">
        <v>3.25</v>
      </c>
    </row>
    <row r="2172" spans="1:6" x14ac:dyDescent="0.25">
      <c r="A2172">
        <v>410</v>
      </c>
      <c r="B2172" t="s">
        <v>1157</v>
      </c>
      <c r="C2172" t="s">
        <v>2472</v>
      </c>
      <c r="D2172" t="s">
        <v>13</v>
      </c>
      <c r="E2172" t="s">
        <v>1159</v>
      </c>
      <c r="F2172">
        <v>3.75</v>
      </c>
    </row>
    <row r="2173" spans="1:6" x14ac:dyDescent="0.25">
      <c r="A2173">
        <v>409</v>
      </c>
      <c r="B2173" t="s">
        <v>2140</v>
      </c>
      <c r="C2173" t="s">
        <v>2473</v>
      </c>
      <c r="D2173" t="s">
        <v>13</v>
      </c>
      <c r="E2173" t="s">
        <v>1159</v>
      </c>
      <c r="F2173">
        <v>4</v>
      </c>
    </row>
    <row r="2174" spans="1:6" x14ac:dyDescent="0.25">
      <c r="A2174">
        <v>408</v>
      </c>
      <c r="B2174" t="s">
        <v>2474</v>
      </c>
      <c r="C2174" t="s">
        <v>2475</v>
      </c>
      <c r="D2174" t="s">
        <v>13</v>
      </c>
      <c r="E2174" t="s">
        <v>53</v>
      </c>
      <c r="F2174">
        <v>2.25</v>
      </c>
    </row>
    <row r="2175" spans="1:6" x14ac:dyDescent="0.25">
      <c r="A2175">
        <v>407</v>
      </c>
      <c r="B2175" t="s">
        <v>74</v>
      </c>
      <c r="C2175" t="s">
        <v>2476</v>
      </c>
      <c r="D2175" t="s">
        <v>9</v>
      </c>
      <c r="E2175" t="s">
        <v>25</v>
      </c>
      <c r="F2175">
        <v>3.5</v>
      </c>
    </row>
    <row r="2176" spans="1:6" x14ac:dyDescent="0.25">
      <c r="A2176">
        <v>406</v>
      </c>
      <c r="B2176" t="s">
        <v>331</v>
      </c>
      <c r="C2176" t="s">
        <v>2477</v>
      </c>
      <c r="D2176" t="s">
        <v>13</v>
      </c>
      <c r="E2176" t="s">
        <v>53</v>
      </c>
      <c r="F2176">
        <v>3.75</v>
      </c>
    </row>
    <row r="2177" spans="1:7" x14ac:dyDescent="0.25">
      <c r="A2177">
        <v>405</v>
      </c>
      <c r="B2177" t="s">
        <v>809</v>
      </c>
      <c r="C2177" t="s">
        <v>2478</v>
      </c>
      <c r="D2177" t="s">
        <v>13</v>
      </c>
      <c r="E2177" t="s">
        <v>69</v>
      </c>
      <c r="F2177">
        <v>3.25</v>
      </c>
    </row>
    <row r="2178" spans="1:7" x14ac:dyDescent="0.25">
      <c r="A2178">
        <v>404</v>
      </c>
      <c r="B2178" t="s">
        <v>1055</v>
      </c>
      <c r="C2178" t="s">
        <v>2479</v>
      </c>
      <c r="D2178" t="s">
        <v>13</v>
      </c>
      <c r="E2178" t="s">
        <v>53</v>
      </c>
      <c r="F2178">
        <v>3.75</v>
      </c>
    </row>
    <row r="2179" spans="1:7" x14ac:dyDescent="0.25">
      <c r="A2179">
        <v>403</v>
      </c>
      <c r="B2179" t="s">
        <v>102</v>
      </c>
      <c r="C2179" t="s">
        <v>2480</v>
      </c>
      <c r="D2179" t="s">
        <v>9</v>
      </c>
      <c r="E2179" t="s">
        <v>17</v>
      </c>
      <c r="F2179">
        <v>2.25</v>
      </c>
    </row>
    <row r="2180" spans="1:7" x14ac:dyDescent="0.25">
      <c r="A2180">
        <v>402</v>
      </c>
      <c r="B2180" t="s">
        <v>2432</v>
      </c>
      <c r="C2180" t="s">
        <v>2481</v>
      </c>
      <c r="D2180" t="s">
        <v>44</v>
      </c>
      <c r="E2180" t="s">
        <v>46</v>
      </c>
      <c r="F2180">
        <v>3</v>
      </c>
    </row>
    <row r="2181" spans="1:7" x14ac:dyDescent="0.25">
      <c r="A2181">
        <v>401</v>
      </c>
      <c r="B2181" t="s">
        <v>183</v>
      </c>
      <c r="C2181" t="s">
        <v>2482</v>
      </c>
      <c r="D2181" t="s">
        <v>44</v>
      </c>
      <c r="E2181" t="s">
        <v>10</v>
      </c>
      <c r="F2181">
        <v>4.25</v>
      </c>
    </row>
    <row r="2182" spans="1:7" x14ac:dyDescent="0.25">
      <c r="A2182">
        <v>400</v>
      </c>
      <c r="B2182" t="s">
        <v>15</v>
      </c>
      <c r="C2182" t="s">
        <v>2483</v>
      </c>
      <c r="D2182" t="s">
        <v>9</v>
      </c>
      <c r="E2182" t="s">
        <v>46</v>
      </c>
      <c r="F2182">
        <v>4.25</v>
      </c>
    </row>
    <row r="2183" spans="1:7" x14ac:dyDescent="0.25">
      <c r="A2183">
        <v>399</v>
      </c>
      <c r="B2183" t="s">
        <v>54</v>
      </c>
      <c r="C2183" t="s">
        <v>2484</v>
      </c>
      <c r="D2183" t="s">
        <v>9</v>
      </c>
      <c r="E2183" t="s">
        <v>25</v>
      </c>
      <c r="F2183">
        <v>3.75</v>
      </c>
    </row>
    <row r="2184" spans="1:7" x14ac:dyDescent="0.25">
      <c r="A2184">
        <v>398</v>
      </c>
      <c r="B2184" t="s">
        <v>54</v>
      </c>
      <c r="C2184" t="s">
        <v>2485</v>
      </c>
      <c r="D2184" t="s">
        <v>44</v>
      </c>
      <c r="E2184" t="s">
        <v>25</v>
      </c>
      <c r="F2184">
        <v>3.75</v>
      </c>
    </row>
    <row r="2185" spans="1:7" x14ac:dyDescent="0.25">
      <c r="A2185">
        <v>397</v>
      </c>
      <c r="B2185" t="s">
        <v>2449</v>
      </c>
      <c r="C2185" t="s">
        <v>2486</v>
      </c>
      <c r="D2185" t="s">
        <v>9</v>
      </c>
      <c r="E2185" t="s">
        <v>1159</v>
      </c>
      <c r="F2185">
        <v>3</v>
      </c>
    </row>
    <row r="2186" spans="1:7" x14ac:dyDescent="0.25">
      <c r="A2186">
        <v>396</v>
      </c>
      <c r="B2186" t="s">
        <v>1055</v>
      </c>
      <c r="C2186" t="s">
        <v>2487</v>
      </c>
      <c r="D2186" t="s">
        <v>44</v>
      </c>
      <c r="E2186" t="s">
        <v>53</v>
      </c>
      <c r="F2186">
        <v>4.25</v>
      </c>
    </row>
    <row r="2187" spans="1:7" x14ac:dyDescent="0.25">
      <c r="A2187">
        <v>395</v>
      </c>
      <c r="B2187" t="s">
        <v>74</v>
      </c>
      <c r="C2187" t="s">
        <v>2390</v>
      </c>
      <c r="D2187" t="s">
        <v>9</v>
      </c>
      <c r="E2187" t="s">
        <v>25</v>
      </c>
      <c r="F2187">
        <v>3</v>
      </c>
    </row>
    <row r="2188" spans="1:7" x14ac:dyDescent="0.25">
      <c r="A2188">
        <v>394</v>
      </c>
      <c r="B2188" t="s">
        <v>54</v>
      </c>
      <c r="C2188" t="s">
        <v>2488</v>
      </c>
      <c r="D2188" t="s">
        <v>9</v>
      </c>
      <c r="E2188" t="s">
        <v>25</v>
      </c>
      <c r="F2188">
        <v>3.5</v>
      </c>
    </row>
    <row r="2189" spans="1:7" x14ac:dyDescent="0.25">
      <c r="A2189">
        <v>393</v>
      </c>
      <c r="B2189" t="s">
        <v>326</v>
      </c>
      <c r="C2189" t="s">
        <v>2489</v>
      </c>
      <c r="D2189" t="s">
        <v>30</v>
      </c>
      <c r="E2189" t="s">
        <v>79</v>
      </c>
      <c r="F2189">
        <v>2</v>
      </c>
    </row>
    <row r="2190" spans="1:7" x14ac:dyDescent="0.25">
      <c r="A2190">
        <v>392</v>
      </c>
      <c r="B2190" t="s">
        <v>15</v>
      </c>
      <c r="C2190" t="s">
        <v>2490</v>
      </c>
      <c r="D2190" t="s">
        <v>30</v>
      </c>
      <c r="E2190" t="s">
        <v>10</v>
      </c>
      <c r="F2190">
        <v>5</v>
      </c>
      <c r="G2190" t="s">
        <v>2491</v>
      </c>
    </row>
    <row r="2191" spans="1:7" x14ac:dyDescent="0.25">
      <c r="A2191">
        <v>391</v>
      </c>
      <c r="B2191" t="s">
        <v>183</v>
      </c>
      <c r="C2191" t="s">
        <v>2492</v>
      </c>
      <c r="D2191" t="s">
        <v>13</v>
      </c>
      <c r="E2191" t="s">
        <v>10</v>
      </c>
      <c r="F2191">
        <v>4.25</v>
      </c>
      <c r="G2191" t="s">
        <v>2493</v>
      </c>
    </row>
    <row r="2192" spans="1:7" x14ac:dyDescent="0.25">
      <c r="A2192">
        <v>390</v>
      </c>
      <c r="B2192" t="s">
        <v>559</v>
      </c>
      <c r="C2192" t="s">
        <v>2494</v>
      </c>
      <c r="D2192" t="s">
        <v>44</v>
      </c>
      <c r="E2192" t="s">
        <v>10</v>
      </c>
      <c r="F2192">
        <v>4</v>
      </c>
    </row>
    <row r="2193" spans="1:6" x14ac:dyDescent="0.25">
      <c r="A2193">
        <v>389</v>
      </c>
      <c r="B2193" t="s">
        <v>897</v>
      </c>
      <c r="C2193" t="s">
        <v>2074</v>
      </c>
      <c r="D2193" t="s">
        <v>13</v>
      </c>
      <c r="E2193" t="s">
        <v>38</v>
      </c>
      <c r="F2193">
        <v>2.75</v>
      </c>
    </row>
    <row r="2194" spans="1:6" x14ac:dyDescent="0.25">
      <c r="A2194">
        <v>388</v>
      </c>
      <c r="B2194" t="s">
        <v>102</v>
      </c>
      <c r="C2194" t="s">
        <v>2495</v>
      </c>
      <c r="D2194" t="s">
        <v>9</v>
      </c>
      <c r="E2194" t="s">
        <v>17</v>
      </c>
      <c r="F2194">
        <v>2.75</v>
      </c>
    </row>
    <row r="2195" spans="1:6" x14ac:dyDescent="0.25">
      <c r="A2195">
        <v>387</v>
      </c>
      <c r="B2195" t="s">
        <v>15</v>
      </c>
      <c r="C2195" t="s">
        <v>2496</v>
      </c>
      <c r="D2195" t="s">
        <v>44</v>
      </c>
      <c r="E2195" t="s">
        <v>17</v>
      </c>
      <c r="F2195">
        <v>3.75</v>
      </c>
    </row>
    <row r="2196" spans="1:6" x14ac:dyDescent="0.25">
      <c r="A2196">
        <v>386</v>
      </c>
      <c r="B2196" t="s">
        <v>2497</v>
      </c>
      <c r="C2196" t="s">
        <v>2498</v>
      </c>
      <c r="D2196" t="s">
        <v>30</v>
      </c>
      <c r="E2196" t="s">
        <v>17</v>
      </c>
      <c r="F2196">
        <v>0</v>
      </c>
    </row>
    <row r="2197" spans="1:6" x14ac:dyDescent="0.25">
      <c r="A2197">
        <v>385</v>
      </c>
      <c r="B2197" t="s">
        <v>243</v>
      </c>
      <c r="C2197" t="s">
        <v>2499</v>
      </c>
      <c r="D2197" t="s">
        <v>44</v>
      </c>
      <c r="E2197" t="s">
        <v>14</v>
      </c>
      <c r="F2197">
        <v>1.25</v>
      </c>
    </row>
    <row r="2198" spans="1:6" x14ac:dyDescent="0.25">
      <c r="A2198">
        <v>384</v>
      </c>
      <c r="B2198" t="s">
        <v>15</v>
      </c>
      <c r="C2198" t="s">
        <v>2500</v>
      </c>
      <c r="D2198" t="s">
        <v>13</v>
      </c>
      <c r="E2198" t="s">
        <v>10</v>
      </c>
      <c r="F2198">
        <v>4</v>
      </c>
    </row>
    <row r="2199" spans="1:6" x14ac:dyDescent="0.25">
      <c r="A2199">
        <v>383</v>
      </c>
      <c r="B2199" t="s">
        <v>1157</v>
      </c>
      <c r="C2199" t="s">
        <v>2501</v>
      </c>
      <c r="D2199" t="s">
        <v>13</v>
      </c>
      <c r="E2199" t="s">
        <v>1159</v>
      </c>
      <c r="F2199">
        <v>2.75</v>
      </c>
    </row>
    <row r="2200" spans="1:6" x14ac:dyDescent="0.25">
      <c r="A2200">
        <v>382</v>
      </c>
      <c r="B2200" t="s">
        <v>1157</v>
      </c>
      <c r="C2200" t="s">
        <v>2502</v>
      </c>
      <c r="D2200" t="s">
        <v>13</v>
      </c>
      <c r="E2200" t="s">
        <v>1159</v>
      </c>
      <c r="F2200">
        <v>2.5</v>
      </c>
    </row>
    <row r="2201" spans="1:6" x14ac:dyDescent="0.25">
      <c r="A2201">
        <v>381</v>
      </c>
      <c r="B2201" t="s">
        <v>2176</v>
      </c>
      <c r="C2201" t="s">
        <v>2420</v>
      </c>
      <c r="D2201" t="s">
        <v>13</v>
      </c>
      <c r="E2201" t="s">
        <v>53</v>
      </c>
      <c r="F2201">
        <v>4.25</v>
      </c>
    </row>
    <row r="2202" spans="1:6" x14ac:dyDescent="0.25">
      <c r="A2202">
        <v>380</v>
      </c>
      <c r="B2202" t="s">
        <v>2503</v>
      </c>
      <c r="C2202" t="s">
        <v>2504</v>
      </c>
      <c r="D2202" t="s">
        <v>30</v>
      </c>
      <c r="E2202" t="s">
        <v>25</v>
      </c>
      <c r="F2202">
        <v>3.75</v>
      </c>
    </row>
    <row r="2203" spans="1:6" x14ac:dyDescent="0.25">
      <c r="A2203">
        <v>379</v>
      </c>
      <c r="B2203" t="s">
        <v>15</v>
      </c>
      <c r="C2203" t="s">
        <v>2505</v>
      </c>
      <c r="D2203" t="s">
        <v>30</v>
      </c>
      <c r="E2203" t="s">
        <v>17</v>
      </c>
      <c r="F2203">
        <v>2.5</v>
      </c>
    </row>
    <row r="2204" spans="1:6" x14ac:dyDescent="0.25">
      <c r="A2204">
        <v>378</v>
      </c>
      <c r="B2204" t="s">
        <v>243</v>
      </c>
      <c r="C2204" t="s">
        <v>2506</v>
      </c>
      <c r="D2204" t="s">
        <v>44</v>
      </c>
      <c r="E2204" t="s">
        <v>14</v>
      </c>
      <c r="F2204">
        <v>3.75</v>
      </c>
    </row>
    <row r="2205" spans="1:6" x14ac:dyDescent="0.25">
      <c r="A2205">
        <v>377</v>
      </c>
      <c r="B2205" t="s">
        <v>188</v>
      </c>
      <c r="C2205" t="s">
        <v>2507</v>
      </c>
      <c r="D2205" t="s">
        <v>44</v>
      </c>
      <c r="E2205" t="s">
        <v>46</v>
      </c>
      <c r="F2205">
        <v>4</v>
      </c>
    </row>
    <row r="2206" spans="1:6" x14ac:dyDescent="0.25">
      <c r="A2206">
        <v>376</v>
      </c>
      <c r="B2206" t="s">
        <v>188</v>
      </c>
      <c r="C2206" t="s">
        <v>2508</v>
      </c>
      <c r="D2206" t="s">
        <v>44</v>
      </c>
      <c r="E2206" t="s">
        <v>46</v>
      </c>
      <c r="F2206">
        <v>2.75</v>
      </c>
    </row>
    <row r="2207" spans="1:6" x14ac:dyDescent="0.25">
      <c r="A2207">
        <v>375</v>
      </c>
      <c r="B2207" t="s">
        <v>331</v>
      </c>
      <c r="C2207" t="s">
        <v>2509</v>
      </c>
      <c r="D2207" t="s">
        <v>13</v>
      </c>
      <c r="E2207" t="s">
        <v>53</v>
      </c>
      <c r="F2207">
        <v>0.5</v>
      </c>
    </row>
    <row r="2208" spans="1:6" x14ac:dyDescent="0.25">
      <c r="A2208">
        <v>374</v>
      </c>
      <c r="B2208" t="s">
        <v>331</v>
      </c>
      <c r="C2208" t="s">
        <v>2510</v>
      </c>
      <c r="D2208" t="s">
        <v>13</v>
      </c>
      <c r="E2208" t="s">
        <v>53</v>
      </c>
      <c r="F2208">
        <v>3.75</v>
      </c>
    </row>
    <row r="2209" spans="1:6" x14ac:dyDescent="0.25">
      <c r="A2209">
        <v>373</v>
      </c>
      <c r="B2209" t="s">
        <v>15</v>
      </c>
      <c r="C2209" t="s">
        <v>16</v>
      </c>
      <c r="D2209" t="s">
        <v>9</v>
      </c>
      <c r="E2209" t="s">
        <v>17</v>
      </c>
      <c r="F2209">
        <v>2.75</v>
      </c>
    </row>
    <row r="2210" spans="1:6" x14ac:dyDescent="0.25">
      <c r="A2210">
        <v>372</v>
      </c>
      <c r="B2210" t="s">
        <v>2459</v>
      </c>
      <c r="C2210" t="s">
        <v>2511</v>
      </c>
      <c r="D2210" t="s">
        <v>44</v>
      </c>
      <c r="E2210" t="s">
        <v>465</v>
      </c>
      <c r="F2210">
        <v>0.5</v>
      </c>
    </row>
    <row r="2211" spans="1:6" x14ac:dyDescent="0.25">
      <c r="A2211">
        <v>371</v>
      </c>
      <c r="B2211" t="s">
        <v>15</v>
      </c>
      <c r="C2211" t="s">
        <v>2512</v>
      </c>
      <c r="D2211" t="s">
        <v>30</v>
      </c>
      <c r="E2211" t="s">
        <v>17</v>
      </c>
      <c r="F2211">
        <v>3.75</v>
      </c>
    </row>
    <row r="2212" spans="1:6" x14ac:dyDescent="0.25">
      <c r="A2212">
        <v>370</v>
      </c>
      <c r="B2212" t="s">
        <v>445</v>
      </c>
      <c r="C2212" t="s">
        <v>2513</v>
      </c>
      <c r="D2212" t="s">
        <v>13</v>
      </c>
      <c r="E2212" t="s">
        <v>46</v>
      </c>
      <c r="F2212">
        <v>5</v>
      </c>
    </row>
    <row r="2213" spans="1:6" x14ac:dyDescent="0.25">
      <c r="A2213">
        <v>369</v>
      </c>
      <c r="B2213" t="s">
        <v>2514</v>
      </c>
      <c r="C2213" t="s">
        <v>2515</v>
      </c>
      <c r="D2213" t="s">
        <v>30</v>
      </c>
      <c r="E2213" t="s">
        <v>25</v>
      </c>
      <c r="F2213">
        <v>3.75</v>
      </c>
    </row>
    <row r="2214" spans="1:6" x14ac:dyDescent="0.25">
      <c r="A2214">
        <v>368</v>
      </c>
      <c r="B2214" t="s">
        <v>343</v>
      </c>
      <c r="C2214" t="s">
        <v>2516</v>
      </c>
      <c r="D2214" t="s">
        <v>9</v>
      </c>
      <c r="E2214" t="s">
        <v>38</v>
      </c>
      <c r="F2214">
        <v>3.5</v>
      </c>
    </row>
    <row r="2215" spans="1:6" x14ac:dyDescent="0.25">
      <c r="A2215">
        <v>367</v>
      </c>
      <c r="B2215" t="s">
        <v>2176</v>
      </c>
      <c r="C2215" t="s">
        <v>2517</v>
      </c>
      <c r="D2215" t="s">
        <v>13</v>
      </c>
      <c r="E2215" t="s">
        <v>53</v>
      </c>
      <c r="F2215">
        <v>3.25</v>
      </c>
    </row>
    <row r="2216" spans="1:6" x14ac:dyDescent="0.25">
      <c r="A2216">
        <v>366</v>
      </c>
      <c r="B2216" t="s">
        <v>2140</v>
      </c>
      <c r="C2216" t="s">
        <v>2518</v>
      </c>
      <c r="D2216" t="s">
        <v>13</v>
      </c>
      <c r="E2216" t="s">
        <v>1159</v>
      </c>
      <c r="F2216">
        <v>2.75</v>
      </c>
    </row>
    <row r="2217" spans="1:6" x14ac:dyDescent="0.25">
      <c r="A2217">
        <v>365</v>
      </c>
      <c r="B2217" t="s">
        <v>15</v>
      </c>
      <c r="C2217" t="s">
        <v>2519</v>
      </c>
      <c r="D2217" t="s">
        <v>9</v>
      </c>
      <c r="E2217" t="s">
        <v>35</v>
      </c>
      <c r="F2217">
        <v>3.25</v>
      </c>
    </row>
    <row r="2218" spans="1:6" x14ac:dyDescent="0.25">
      <c r="A2218">
        <v>364</v>
      </c>
      <c r="B2218" t="s">
        <v>2432</v>
      </c>
      <c r="C2218" t="s">
        <v>2520</v>
      </c>
      <c r="D2218" t="s">
        <v>44</v>
      </c>
      <c r="E2218" t="s">
        <v>46</v>
      </c>
      <c r="F2218">
        <v>2.5</v>
      </c>
    </row>
    <row r="2219" spans="1:6" x14ac:dyDescent="0.25">
      <c r="A2219">
        <v>363</v>
      </c>
      <c r="B2219" t="s">
        <v>15</v>
      </c>
      <c r="C2219" t="s">
        <v>2521</v>
      </c>
      <c r="D2219" t="s">
        <v>13</v>
      </c>
      <c r="E2219" t="s">
        <v>10</v>
      </c>
      <c r="F2219">
        <v>3.5</v>
      </c>
    </row>
    <row r="2220" spans="1:6" x14ac:dyDescent="0.25">
      <c r="A2220">
        <v>362</v>
      </c>
      <c r="B2220" t="s">
        <v>1055</v>
      </c>
      <c r="C2220" t="s">
        <v>2522</v>
      </c>
      <c r="D2220" t="s">
        <v>13</v>
      </c>
      <c r="E2220" t="s">
        <v>53</v>
      </c>
      <c r="F2220">
        <v>4.5</v>
      </c>
    </row>
    <row r="2221" spans="1:6" x14ac:dyDescent="0.25">
      <c r="A2221">
        <v>361</v>
      </c>
      <c r="B2221" t="s">
        <v>2523</v>
      </c>
      <c r="C2221" t="s">
        <v>2524</v>
      </c>
      <c r="D2221" t="s">
        <v>44</v>
      </c>
      <c r="E2221" t="s">
        <v>17</v>
      </c>
      <c r="F2221">
        <v>1.25</v>
      </c>
    </row>
    <row r="2222" spans="1:6" x14ac:dyDescent="0.25">
      <c r="A2222">
        <v>360</v>
      </c>
      <c r="B2222" t="s">
        <v>15</v>
      </c>
      <c r="C2222" t="s">
        <v>2525</v>
      </c>
      <c r="D2222" t="s">
        <v>9</v>
      </c>
      <c r="E2222" t="s">
        <v>17</v>
      </c>
      <c r="F2222">
        <v>2.5</v>
      </c>
    </row>
    <row r="2223" spans="1:6" x14ac:dyDescent="0.25">
      <c r="A2223">
        <v>359</v>
      </c>
      <c r="B2223" t="s">
        <v>15</v>
      </c>
      <c r="C2223" t="s">
        <v>2526</v>
      </c>
      <c r="D2223" t="s">
        <v>44</v>
      </c>
      <c r="E2223" t="s">
        <v>17</v>
      </c>
      <c r="F2223">
        <v>3.75</v>
      </c>
    </row>
    <row r="2224" spans="1:6" x14ac:dyDescent="0.25">
      <c r="A2224">
        <v>358</v>
      </c>
      <c r="B2224" t="s">
        <v>588</v>
      </c>
      <c r="C2224" t="s">
        <v>2527</v>
      </c>
      <c r="D2224" t="s">
        <v>13</v>
      </c>
      <c r="E2224" t="s">
        <v>46</v>
      </c>
      <c r="F2224">
        <v>3.75</v>
      </c>
    </row>
    <row r="2225" spans="1:6" x14ac:dyDescent="0.25">
      <c r="A2225">
        <v>357</v>
      </c>
      <c r="B2225" t="s">
        <v>2140</v>
      </c>
      <c r="C2225" t="s">
        <v>2528</v>
      </c>
      <c r="D2225" t="s">
        <v>13</v>
      </c>
      <c r="E2225" t="s">
        <v>1159</v>
      </c>
      <c r="F2225">
        <v>4</v>
      </c>
    </row>
    <row r="2226" spans="1:6" x14ac:dyDescent="0.25">
      <c r="A2226">
        <v>356</v>
      </c>
      <c r="B2226" t="s">
        <v>102</v>
      </c>
      <c r="C2226" t="s">
        <v>2529</v>
      </c>
      <c r="D2226" t="s">
        <v>13</v>
      </c>
      <c r="E2226" t="s">
        <v>17</v>
      </c>
      <c r="F2226">
        <v>2.75</v>
      </c>
    </row>
    <row r="2227" spans="1:6" x14ac:dyDescent="0.25">
      <c r="A2227">
        <v>355</v>
      </c>
      <c r="B2227" t="s">
        <v>41</v>
      </c>
      <c r="C2227" t="s">
        <v>2530</v>
      </c>
      <c r="D2227" t="s">
        <v>44</v>
      </c>
      <c r="E2227" t="s">
        <v>25</v>
      </c>
      <c r="F2227">
        <v>2.5</v>
      </c>
    </row>
    <row r="2228" spans="1:6" x14ac:dyDescent="0.25">
      <c r="A2228">
        <v>354</v>
      </c>
      <c r="B2228" t="s">
        <v>102</v>
      </c>
      <c r="C2228" t="s">
        <v>2531</v>
      </c>
      <c r="D2228" t="s">
        <v>9</v>
      </c>
      <c r="E2228" t="s">
        <v>17</v>
      </c>
      <c r="F2228">
        <v>3</v>
      </c>
    </row>
    <row r="2229" spans="1:6" x14ac:dyDescent="0.25">
      <c r="A2229">
        <v>353</v>
      </c>
      <c r="B2229" t="s">
        <v>15</v>
      </c>
      <c r="C2229" t="s">
        <v>2532</v>
      </c>
      <c r="D2229" t="s">
        <v>13</v>
      </c>
      <c r="E2229" t="s">
        <v>17</v>
      </c>
      <c r="F2229">
        <v>3.25</v>
      </c>
    </row>
    <row r="2230" spans="1:6" x14ac:dyDescent="0.25">
      <c r="A2230">
        <v>352</v>
      </c>
      <c r="B2230" t="s">
        <v>102</v>
      </c>
      <c r="C2230" t="s">
        <v>2533</v>
      </c>
      <c r="D2230" t="s">
        <v>13</v>
      </c>
      <c r="E2230" t="s">
        <v>17</v>
      </c>
      <c r="F2230">
        <v>2.75</v>
      </c>
    </row>
    <row r="2231" spans="1:6" x14ac:dyDescent="0.25">
      <c r="A2231">
        <v>351</v>
      </c>
      <c r="B2231" t="s">
        <v>15</v>
      </c>
      <c r="C2231" t="s">
        <v>2534</v>
      </c>
      <c r="D2231" t="s">
        <v>13</v>
      </c>
      <c r="E2231" t="s">
        <v>17</v>
      </c>
      <c r="F2231">
        <v>3</v>
      </c>
    </row>
    <row r="2232" spans="1:6" x14ac:dyDescent="0.25">
      <c r="A2232">
        <v>350</v>
      </c>
      <c r="B2232" t="s">
        <v>15</v>
      </c>
      <c r="C2232" t="s">
        <v>2535</v>
      </c>
      <c r="D2232" t="s">
        <v>44</v>
      </c>
      <c r="E2232" t="s">
        <v>17</v>
      </c>
      <c r="F2232">
        <v>3.5</v>
      </c>
    </row>
    <row r="2233" spans="1:6" x14ac:dyDescent="0.25">
      <c r="A2233">
        <v>349</v>
      </c>
      <c r="B2233" t="s">
        <v>74</v>
      </c>
      <c r="C2233" t="s">
        <v>2536</v>
      </c>
      <c r="D2233" t="s">
        <v>44</v>
      </c>
      <c r="E2233" t="s">
        <v>25</v>
      </c>
      <c r="F2233">
        <v>3.25</v>
      </c>
    </row>
    <row r="2234" spans="1:6" x14ac:dyDescent="0.25">
      <c r="A2234">
        <v>348</v>
      </c>
      <c r="B2234" t="s">
        <v>54</v>
      </c>
      <c r="C2234" t="s">
        <v>2537</v>
      </c>
      <c r="D2234" t="s">
        <v>44</v>
      </c>
      <c r="E2234" t="s">
        <v>25</v>
      </c>
      <c r="F2234">
        <v>3.5</v>
      </c>
    </row>
    <row r="2235" spans="1:6" x14ac:dyDescent="0.25">
      <c r="A2235">
        <v>347</v>
      </c>
      <c r="B2235" t="s">
        <v>2538</v>
      </c>
      <c r="C2235" t="s">
        <v>2045</v>
      </c>
      <c r="D2235" t="s">
        <v>13</v>
      </c>
      <c r="E2235" t="s">
        <v>14</v>
      </c>
      <c r="F2235">
        <v>1.75</v>
      </c>
    </row>
    <row r="2236" spans="1:6" x14ac:dyDescent="0.25">
      <c r="A2236">
        <v>346</v>
      </c>
      <c r="B2236" t="s">
        <v>54</v>
      </c>
      <c r="C2236" t="s">
        <v>2539</v>
      </c>
      <c r="D2236" t="s">
        <v>44</v>
      </c>
      <c r="E2236" t="s">
        <v>25</v>
      </c>
      <c r="F2236">
        <v>3.125</v>
      </c>
    </row>
    <row r="2237" spans="1:6" x14ac:dyDescent="0.25">
      <c r="A2237">
        <v>345</v>
      </c>
      <c r="B2237" t="s">
        <v>183</v>
      </c>
      <c r="C2237" t="s">
        <v>2540</v>
      </c>
      <c r="D2237" t="s">
        <v>13</v>
      </c>
      <c r="E2237" t="s">
        <v>10</v>
      </c>
      <c r="F2237">
        <v>3.5</v>
      </c>
    </row>
    <row r="2238" spans="1:6" x14ac:dyDescent="0.25">
      <c r="A2238">
        <v>344</v>
      </c>
      <c r="B2238" t="s">
        <v>54</v>
      </c>
      <c r="C2238" t="s">
        <v>2541</v>
      </c>
      <c r="D2238" t="s">
        <v>13</v>
      </c>
      <c r="E2238" t="s">
        <v>25</v>
      </c>
      <c r="F2238">
        <v>3.75</v>
      </c>
    </row>
    <row r="2239" spans="1:6" x14ac:dyDescent="0.25">
      <c r="A2239">
        <v>343</v>
      </c>
      <c r="B2239" t="s">
        <v>250</v>
      </c>
      <c r="C2239" t="s">
        <v>2542</v>
      </c>
      <c r="D2239" t="s">
        <v>13</v>
      </c>
      <c r="E2239" t="s">
        <v>73</v>
      </c>
      <c r="F2239">
        <v>4.5</v>
      </c>
    </row>
    <row r="2240" spans="1:6" x14ac:dyDescent="0.25">
      <c r="A2240">
        <v>342</v>
      </c>
      <c r="B2240" t="s">
        <v>41</v>
      </c>
      <c r="C2240" t="s">
        <v>2543</v>
      </c>
      <c r="D2240" t="s">
        <v>44</v>
      </c>
      <c r="E2240" t="s">
        <v>25</v>
      </c>
      <c r="F2240">
        <v>3.5</v>
      </c>
    </row>
    <row r="2241" spans="1:7" x14ac:dyDescent="0.25">
      <c r="A2241">
        <v>341</v>
      </c>
      <c r="B2241" t="s">
        <v>1055</v>
      </c>
      <c r="C2241" t="s">
        <v>2544</v>
      </c>
      <c r="D2241" t="s">
        <v>13</v>
      </c>
      <c r="E2241" t="s">
        <v>53</v>
      </c>
      <c r="F2241">
        <v>3.75</v>
      </c>
    </row>
    <row r="2242" spans="1:7" x14ac:dyDescent="0.25">
      <c r="A2242">
        <v>340</v>
      </c>
      <c r="B2242" t="s">
        <v>258</v>
      </c>
      <c r="C2242" t="s">
        <v>2545</v>
      </c>
      <c r="D2242" t="s">
        <v>13</v>
      </c>
      <c r="E2242" t="s">
        <v>10</v>
      </c>
      <c r="F2242">
        <v>4</v>
      </c>
    </row>
    <row r="2243" spans="1:7" x14ac:dyDescent="0.25">
      <c r="A2243">
        <v>339</v>
      </c>
      <c r="B2243" t="s">
        <v>2140</v>
      </c>
      <c r="C2243" t="s">
        <v>2546</v>
      </c>
      <c r="D2243" t="s">
        <v>13</v>
      </c>
      <c r="E2243" t="s">
        <v>1159</v>
      </c>
      <c r="F2243">
        <v>4.5</v>
      </c>
    </row>
    <row r="2244" spans="1:7" x14ac:dyDescent="0.25">
      <c r="A2244">
        <v>338</v>
      </c>
      <c r="B2244" t="s">
        <v>15</v>
      </c>
      <c r="C2244" t="s">
        <v>2547</v>
      </c>
      <c r="D2244" t="s">
        <v>9</v>
      </c>
      <c r="E2244" t="s">
        <v>17</v>
      </c>
      <c r="F2244">
        <v>2.25</v>
      </c>
    </row>
    <row r="2245" spans="1:7" x14ac:dyDescent="0.25">
      <c r="A2245">
        <v>337</v>
      </c>
      <c r="B2245" t="s">
        <v>102</v>
      </c>
      <c r="C2245" t="s">
        <v>2548</v>
      </c>
      <c r="D2245" t="s">
        <v>13</v>
      </c>
      <c r="E2245" t="s">
        <v>17</v>
      </c>
      <c r="F2245">
        <v>5</v>
      </c>
    </row>
    <row r="2246" spans="1:7" x14ac:dyDescent="0.25">
      <c r="A2246">
        <v>336</v>
      </c>
      <c r="B2246" t="s">
        <v>2287</v>
      </c>
      <c r="C2246" t="s">
        <v>2549</v>
      </c>
      <c r="D2246" t="s">
        <v>13</v>
      </c>
      <c r="E2246" t="s">
        <v>25</v>
      </c>
      <c r="F2246">
        <v>3.5</v>
      </c>
    </row>
    <row r="2247" spans="1:7" x14ac:dyDescent="0.25">
      <c r="A2247">
        <v>335</v>
      </c>
      <c r="B2247" t="s">
        <v>1952</v>
      </c>
      <c r="C2247" t="s">
        <v>2550</v>
      </c>
      <c r="D2247" t="s">
        <v>44</v>
      </c>
      <c r="E2247" t="s">
        <v>10</v>
      </c>
      <c r="F2247">
        <v>3.5</v>
      </c>
    </row>
    <row r="2248" spans="1:7" x14ac:dyDescent="0.25">
      <c r="A2248">
        <v>334</v>
      </c>
      <c r="B2248" t="s">
        <v>15</v>
      </c>
      <c r="C2248" t="s">
        <v>2551</v>
      </c>
      <c r="D2248" t="s">
        <v>9</v>
      </c>
      <c r="E2248" t="s">
        <v>17</v>
      </c>
      <c r="F2248">
        <v>2.125</v>
      </c>
    </row>
    <row r="2249" spans="1:7" x14ac:dyDescent="0.25">
      <c r="A2249">
        <v>333</v>
      </c>
      <c r="B2249" t="s">
        <v>15</v>
      </c>
      <c r="C2249" t="s">
        <v>2552</v>
      </c>
      <c r="D2249" t="s">
        <v>9</v>
      </c>
      <c r="E2249" t="s">
        <v>17</v>
      </c>
      <c r="F2249">
        <v>2.25</v>
      </c>
    </row>
    <row r="2250" spans="1:7" ht="31.5" x14ac:dyDescent="0.25">
      <c r="A2250">
        <v>332</v>
      </c>
      <c r="B2250" t="s">
        <v>41</v>
      </c>
      <c r="C2250" t="s">
        <v>2553</v>
      </c>
      <c r="D2250" t="s">
        <v>9</v>
      </c>
      <c r="E2250" t="s">
        <v>25</v>
      </c>
      <c r="F2250">
        <v>3.75</v>
      </c>
      <c r="G2250" s="1" t="s">
        <v>1960</v>
      </c>
    </row>
    <row r="2251" spans="1:7" x14ac:dyDescent="0.25">
      <c r="A2251">
        <v>331</v>
      </c>
      <c r="B2251" t="s">
        <v>1946</v>
      </c>
      <c r="C2251" t="s">
        <v>2554</v>
      </c>
      <c r="D2251" t="s">
        <v>44</v>
      </c>
      <c r="E2251" t="s">
        <v>38</v>
      </c>
      <c r="F2251">
        <v>4.5</v>
      </c>
    </row>
    <row r="2252" spans="1:7" x14ac:dyDescent="0.25">
      <c r="A2252">
        <v>330</v>
      </c>
      <c r="B2252" t="s">
        <v>331</v>
      </c>
      <c r="C2252" t="s">
        <v>2555</v>
      </c>
      <c r="D2252" t="s">
        <v>13</v>
      </c>
      <c r="E2252" t="s">
        <v>53</v>
      </c>
      <c r="F2252">
        <v>3.25</v>
      </c>
    </row>
    <row r="2253" spans="1:7" x14ac:dyDescent="0.25">
      <c r="A2253">
        <v>329</v>
      </c>
      <c r="B2253" t="s">
        <v>2181</v>
      </c>
      <c r="C2253" t="s">
        <v>2468</v>
      </c>
      <c r="D2253" t="s">
        <v>44</v>
      </c>
      <c r="E2253" t="s">
        <v>38</v>
      </c>
      <c r="F2253">
        <v>3.5</v>
      </c>
    </row>
    <row r="2254" spans="1:7" x14ac:dyDescent="0.25">
      <c r="A2254">
        <v>328</v>
      </c>
      <c r="B2254" t="s">
        <v>41</v>
      </c>
      <c r="C2254" t="s">
        <v>2556</v>
      </c>
      <c r="D2254" t="s">
        <v>44</v>
      </c>
      <c r="E2254" t="s">
        <v>25</v>
      </c>
      <c r="F2254">
        <v>4.5</v>
      </c>
    </row>
    <row r="2255" spans="1:7" x14ac:dyDescent="0.25">
      <c r="A2255">
        <v>327</v>
      </c>
      <c r="B2255" t="s">
        <v>2474</v>
      </c>
      <c r="C2255" t="s">
        <v>2557</v>
      </c>
      <c r="D2255" t="s">
        <v>13</v>
      </c>
      <c r="E2255" t="s">
        <v>53</v>
      </c>
      <c r="F2255">
        <v>3.5</v>
      </c>
    </row>
    <row r="2256" spans="1:7" x14ac:dyDescent="0.25">
      <c r="A2256">
        <v>326</v>
      </c>
      <c r="B2256" t="s">
        <v>255</v>
      </c>
      <c r="C2256" t="s">
        <v>2558</v>
      </c>
      <c r="D2256" t="s">
        <v>44</v>
      </c>
      <c r="E2256" t="s">
        <v>38</v>
      </c>
      <c r="F2256">
        <v>4</v>
      </c>
    </row>
    <row r="2257" spans="1:6" x14ac:dyDescent="0.25">
      <c r="A2257">
        <v>325</v>
      </c>
      <c r="B2257" t="s">
        <v>2181</v>
      </c>
      <c r="C2257" t="s">
        <v>2267</v>
      </c>
      <c r="D2257" t="s">
        <v>44</v>
      </c>
      <c r="E2257" t="s">
        <v>38</v>
      </c>
      <c r="F2257">
        <v>3.5</v>
      </c>
    </row>
    <row r="2258" spans="1:6" x14ac:dyDescent="0.25">
      <c r="A2258">
        <v>324</v>
      </c>
      <c r="B2258" t="s">
        <v>41</v>
      </c>
      <c r="C2258" t="s">
        <v>2559</v>
      </c>
      <c r="D2258" t="s">
        <v>44</v>
      </c>
      <c r="E2258" t="s">
        <v>25</v>
      </c>
      <c r="F2258">
        <v>3.5</v>
      </c>
    </row>
    <row r="2259" spans="1:6" x14ac:dyDescent="0.25">
      <c r="A2259">
        <v>323</v>
      </c>
      <c r="B2259" t="s">
        <v>74</v>
      </c>
      <c r="C2259" t="s">
        <v>2560</v>
      </c>
      <c r="D2259" t="s">
        <v>9</v>
      </c>
      <c r="E2259" t="s">
        <v>25</v>
      </c>
      <c r="F2259">
        <v>3.5</v>
      </c>
    </row>
    <row r="2260" spans="1:6" x14ac:dyDescent="0.25">
      <c r="A2260">
        <v>322</v>
      </c>
      <c r="B2260" t="s">
        <v>1516</v>
      </c>
      <c r="C2260" t="s">
        <v>2561</v>
      </c>
      <c r="D2260" t="s">
        <v>44</v>
      </c>
      <c r="E2260" t="s">
        <v>14</v>
      </c>
      <c r="F2260">
        <v>3.75</v>
      </c>
    </row>
    <row r="2261" spans="1:6" x14ac:dyDescent="0.25">
      <c r="A2261">
        <v>321</v>
      </c>
      <c r="B2261" t="s">
        <v>255</v>
      </c>
      <c r="C2261" t="s">
        <v>2562</v>
      </c>
      <c r="D2261" t="s">
        <v>44</v>
      </c>
      <c r="E2261" t="s">
        <v>38</v>
      </c>
      <c r="F2261">
        <v>4.75</v>
      </c>
    </row>
    <row r="2262" spans="1:6" x14ac:dyDescent="0.25">
      <c r="A2262">
        <v>320</v>
      </c>
      <c r="B2262" t="s">
        <v>102</v>
      </c>
      <c r="C2262" t="s">
        <v>2563</v>
      </c>
      <c r="D2262" t="s">
        <v>13</v>
      </c>
      <c r="E2262" t="s">
        <v>17</v>
      </c>
      <c r="F2262">
        <v>4</v>
      </c>
    </row>
    <row r="2263" spans="1:6" x14ac:dyDescent="0.25">
      <c r="A2263">
        <v>319</v>
      </c>
      <c r="B2263" t="s">
        <v>102</v>
      </c>
      <c r="C2263" t="s">
        <v>2564</v>
      </c>
      <c r="D2263" t="s">
        <v>13</v>
      </c>
      <c r="E2263" t="s">
        <v>17</v>
      </c>
      <c r="F2263">
        <v>3.75</v>
      </c>
    </row>
    <row r="2264" spans="1:6" x14ac:dyDescent="0.25">
      <c r="A2264">
        <v>318</v>
      </c>
      <c r="B2264" t="s">
        <v>1516</v>
      </c>
      <c r="C2264" t="s">
        <v>2565</v>
      </c>
      <c r="D2264" t="s">
        <v>44</v>
      </c>
      <c r="E2264" t="s">
        <v>14</v>
      </c>
      <c r="F2264">
        <v>3.25</v>
      </c>
    </row>
    <row r="2265" spans="1:6" x14ac:dyDescent="0.25">
      <c r="A2265">
        <v>317</v>
      </c>
      <c r="B2265" t="s">
        <v>102</v>
      </c>
      <c r="C2265" t="s">
        <v>2566</v>
      </c>
      <c r="D2265" t="s">
        <v>30</v>
      </c>
      <c r="E2265" t="s">
        <v>17</v>
      </c>
      <c r="F2265">
        <v>4</v>
      </c>
    </row>
    <row r="2266" spans="1:6" x14ac:dyDescent="0.25">
      <c r="A2266">
        <v>316</v>
      </c>
      <c r="B2266" t="s">
        <v>1516</v>
      </c>
      <c r="C2266" t="s">
        <v>2567</v>
      </c>
      <c r="D2266" t="s">
        <v>44</v>
      </c>
      <c r="E2266" t="s">
        <v>14</v>
      </c>
      <c r="F2266">
        <v>3.5</v>
      </c>
    </row>
    <row r="2267" spans="1:6" x14ac:dyDescent="0.25">
      <c r="A2267">
        <v>315</v>
      </c>
      <c r="B2267" t="s">
        <v>1516</v>
      </c>
      <c r="C2267" t="s">
        <v>2568</v>
      </c>
      <c r="D2267" t="s">
        <v>44</v>
      </c>
      <c r="E2267" t="s">
        <v>14</v>
      </c>
      <c r="F2267">
        <v>2.75</v>
      </c>
    </row>
    <row r="2268" spans="1:6" x14ac:dyDescent="0.25">
      <c r="A2268">
        <v>314</v>
      </c>
      <c r="B2268" t="s">
        <v>54</v>
      </c>
      <c r="C2268" t="s">
        <v>2569</v>
      </c>
      <c r="D2268" t="s">
        <v>30</v>
      </c>
      <c r="E2268" t="s">
        <v>25</v>
      </c>
      <c r="F2268">
        <v>2.5</v>
      </c>
    </row>
    <row r="2269" spans="1:6" x14ac:dyDescent="0.25">
      <c r="A2269">
        <v>313</v>
      </c>
      <c r="B2269" t="s">
        <v>54</v>
      </c>
      <c r="C2269" t="s">
        <v>2570</v>
      </c>
      <c r="D2269" t="s">
        <v>30</v>
      </c>
      <c r="E2269" t="s">
        <v>25</v>
      </c>
      <c r="F2269">
        <v>4.25</v>
      </c>
    </row>
    <row r="2270" spans="1:6" x14ac:dyDescent="0.25">
      <c r="A2270">
        <v>312</v>
      </c>
      <c r="B2270" t="s">
        <v>1157</v>
      </c>
      <c r="C2270" t="s">
        <v>2571</v>
      </c>
      <c r="D2270" t="s">
        <v>44</v>
      </c>
      <c r="E2270" t="s">
        <v>1159</v>
      </c>
      <c r="F2270">
        <v>1.75</v>
      </c>
    </row>
    <row r="2271" spans="1:6" x14ac:dyDescent="0.25">
      <c r="A2271">
        <v>311</v>
      </c>
      <c r="B2271" t="s">
        <v>331</v>
      </c>
      <c r="C2271" t="s">
        <v>2572</v>
      </c>
      <c r="D2271" t="s">
        <v>13</v>
      </c>
      <c r="E2271" t="s">
        <v>53</v>
      </c>
      <c r="F2271">
        <v>2</v>
      </c>
    </row>
    <row r="2272" spans="1:6" x14ac:dyDescent="0.25">
      <c r="A2272">
        <v>310</v>
      </c>
      <c r="B2272" t="s">
        <v>1157</v>
      </c>
      <c r="C2272" t="s">
        <v>2573</v>
      </c>
      <c r="D2272" t="s">
        <v>13</v>
      </c>
      <c r="E2272" t="s">
        <v>1159</v>
      </c>
      <c r="F2272">
        <v>2.5</v>
      </c>
    </row>
    <row r="2273" spans="1:6" x14ac:dyDescent="0.25">
      <c r="A2273">
        <v>309</v>
      </c>
      <c r="B2273" t="s">
        <v>54</v>
      </c>
      <c r="C2273" t="s">
        <v>2574</v>
      </c>
      <c r="D2273" t="s">
        <v>30</v>
      </c>
      <c r="E2273" t="s">
        <v>25</v>
      </c>
      <c r="F2273">
        <v>3.75</v>
      </c>
    </row>
    <row r="2274" spans="1:6" x14ac:dyDescent="0.25">
      <c r="A2274">
        <v>308</v>
      </c>
      <c r="B2274" t="s">
        <v>1848</v>
      </c>
      <c r="C2274" t="s">
        <v>2021</v>
      </c>
      <c r="D2274" t="s">
        <v>13</v>
      </c>
      <c r="E2274" t="s">
        <v>17</v>
      </c>
      <c r="F2274">
        <v>3.75</v>
      </c>
    </row>
    <row r="2275" spans="1:6" x14ac:dyDescent="0.25">
      <c r="A2275">
        <v>307</v>
      </c>
      <c r="B2275" t="s">
        <v>2575</v>
      </c>
      <c r="C2275" t="s">
        <v>2074</v>
      </c>
      <c r="D2275" t="s">
        <v>9</v>
      </c>
      <c r="E2275" t="s">
        <v>38</v>
      </c>
      <c r="F2275">
        <v>2.75</v>
      </c>
    </row>
    <row r="2276" spans="1:6" x14ac:dyDescent="0.25">
      <c r="A2276">
        <v>306</v>
      </c>
      <c r="B2276" t="s">
        <v>2503</v>
      </c>
      <c r="C2276" t="s">
        <v>467</v>
      </c>
      <c r="D2276" t="s">
        <v>30</v>
      </c>
      <c r="E2276" t="s">
        <v>25</v>
      </c>
      <c r="F2276">
        <v>3.75</v>
      </c>
    </row>
    <row r="2277" spans="1:6" x14ac:dyDescent="0.25">
      <c r="A2277">
        <v>305</v>
      </c>
      <c r="B2277" t="s">
        <v>1157</v>
      </c>
      <c r="C2277" t="s">
        <v>2576</v>
      </c>
      <c r="D2277" t="s">
        <v>44</v>
      </c>
      <c r="E2277" t="s">
        <v>1159</v>
      </c>
      <c r="F2277">
        <v>3.75</v>
      </c>
    </row>
    <row r="2278" spans="1:6" x14ac:dyDescent="0.25">
      <c r="A2278">
        <v>304</v>
      </c>
      <c r="B2278" t="s">
        <v>897</v>
      </c>
      <c r="C2278" t="s">
        <v>2577</v>
      </c>
      <c r="D2278" t="s">
        <v>44</v>
      </c>
      <c r="E2278" t="s">
        <v>38</v>
      </c>
      <c r="F2278">
        <v>3.5</v>
      </c>
    </row>
    <row r="2279" spans="1:6" x14ac:dyDescent="0.25">
      <c r="A2279">
        <v>303</v>
      </c>
      <c r="B2279" t="s">
        <v>54</v>
      </c>
      <c r="C2279" t="s">
        <v>2578</v>
      </c>
      <c r="D2279" t="s">
        <v>30</v>
      </c>
      <c r="E2279" t="s">
        <v>25</v>
      </c>
      <c r="F2279">
        <v>3.25</v>
      </c>
    </row>
    <row r="2280" spans="1:6" x14ac:dyDescent="0.25">
      <c r="A2280">
        <v>302</v>
      </c>
      <c r="B2280" t="s">
        <v>2198</v>
      </c>
      <c r="C2280" t="s">
        <v>2579</v>
      </c>
      <c r="D2280" t="s">
        <v>44</v>
      </c>
      <c r="E2280" t="s">
        <v>25</v>
      </c>
      <c r="F2280">
        <v>3.75</v>
      </c>
    </row>
    <row r="2281" spans="1:6" x14ac:dyDescent="0.25">
      <c r="A2281">
        <v>301</v>
      </c>
      <c r="B2281" t="s">
        <v>2007</v>
      </c>
      <c r="C2281" t="s">
        <v>2580</v>
      </c>
      <c r="D2281" t="s">
        <v>44</v>
      </c>
      <c r="E2281" t="s">
        <v>79</v>
      </c>
      <c r="F2281">
        <v>4.5</v>
      </c>
    </row>
    <row r="2282" spans="1:6" x14ac:dyDescent="0.25">
      <c r="A2282">
        <v>300</v>
      </c>
      <c r="B2282" t="s">
        <v>2179</v>
      </c>
      <c r="C2282" t="s">
        <v>2581</v>
      </c>
      <c r="D2282" t="s">
        <v>13</v>
      </c>
      <c r="E2282" t="s">
        <v>14</v>
      </c>
      <c r="F2282">
        <v>5</v>
      </c>
    </row>
    <row r="2283" spans="1:6" x14ac:dyDescent="0.25">
      <c r="A2283">
        <v>299</v>
      </c>
      <c r="B2283" t="s">
        <v>1157</v>
      </c>
      <c r="C2283" t="s">
        <v>2582</v>
      </c>
      <c r="D2283" t="s">
        <v>44</v>
      </c>
      <c r="E2283" t="s">
        <v>1159</v>
      </c>
      <c r="F2283">
        <v>3.75</v>
      </c>
    </row>
    <row r="2284" spans="1:6" x14ac:dyDescent="0.25">
      <c r="A2284">
        <v>298</v>
      </c>
      <c r="B2284" t="s">
        <v>41</v>
      </c>
      <c r="C2284" t="s">
        <v>2583</v>
      </c>
      <c r="D2284" t="s">
        <v>13</v>
      </c>
      <c r="E2284" t="s">
        <v>25</v>
      </c>
      <c r="F2284">
        <v>2.75</v>
      </c>
    </row>
    <row r="2285" spans="1:6" x14ac:dyDescent="0.25">
      <c r="A2285">
        <v>297</v>
      </c>
      <c r="B2285" t="s">
        <v>2503</v>
      </c>
      <c r="C2285" t="s">
        <v>2584</v>
      </c>
      <c r="D2285" t="s">
        <v>30</v>
      </c>
      <c r="E2285" t="s">
        <v>25</v>
      </c>
      <c r="F2285">
        <v>3.25</v>
      </c>
    </row>
    <row r="2286" spans="1:6" x14ac:dyDescent="0.25">
      <c r="A2286">
        <v>296</v>
      </c>
      <c r="B2286" t="s">
        <v>15</v>
      </c>
      <c r="C2286" t="s">
        <v>2585</v>
      </c>
      <c r="D2286" t="s">
        <v>9</v>
      </c>
      <c r="E2286" t="s">
        <v>46</v>
      </c>
      <c r="F2286">
        <v>3.25</v>
      </c>
    </row>
    <row r="2287" spans="1:6" x14ac:dyDescent="0.25">
      <c r="A2287">
        <v>295</v>
      </c>
      <c r="B2287" t="s">
        <v>439</v>
      </c>
      <c r="C2287" t="s">
        <v>2586</v>
      </c>
      <c r="D2287" t="s">
        <v>44</v>
      </c>
      <c r="E2287" t="s">
        <v>10</v>
      </c>
      <c r="F2287">
        <v>4.5</v>
      </c>
    </row>
    <row r="2288" spans="1:6" x14ac:dyDescent="0.25">
      <c r="A2288">
        <v>294</v>
      </c>
      <c r="B2288" t="s">
        <v>54</v>
      </c>
      <c r="C2288" t="s">
        <v>2587</v>
      </c>
      <c r="D2288" t="s">
        <v>13</v>
      </c>
      <c r="E2288" t="s">
        <v>25</v>
      </c>
      <c r="F2288">
        <v>3.75</v>
      </c>
    </row>
    <row r="2289" spans="1:7" x14ac:dyDescent="0.25">
      <c r="A2289">
        <v>293</v>
      </c>
      <c r="B2289" t="s">
        <v>2588</v>
      </c>
      <c r="C2289" t="s">
        <v>2589</v>
      </c>
      <c r="D2289" t="s">
        <v>44</v>
      </c>
      <c r="E2289" t="s">
        <v>14</v>
      </c>
      <c r="F2289">
        <v>0</v>
      </c>
    </row>
    <row r="2290" spans="1:7" x14ac:dyDescent="0.25">
      <c r="A2290">
        <v>292</v>
      </c>
      <c r="B2290" t="s">
        <v>54</v>
      </c>
      <c r="C2290" t="s">
        <v>2590</v>
      </c>
      <c r="D2290" t="s">
        <v>13</v>
      </c>
      <c r="E2290" t="s">
        <v>25</v>
      </c>
      <c r="F2290">
        <v>3.75</v>
      </c>
    </row>
    <row r="2291" spans="1:7" x14ac:dyDescent="0.25">
      <c r="A2291">
        <v>291</v>
      </c>
      <c r="B2291" t="s">
        <v>41</v>
      </c>
      <c r="C2291" t="s">
        <v>2591</v>
      </c>
      <c r="D2291" t="s">
        <v>44</v>
      </c>
      <c r="E2291" t="s">
        <v>25</v>
      </c>
      <c r="F2291">
        <v>3</v>
      </c>
    </row>
    <row r="2292" spans="1:7" x14ac:dyDescent="0.25">
      <c r="A2292">
        <v>290</v>
      </c>
      <c r="B2292" t="s">
        <v>588</v>
      </c>
      <c r="C2292" t="s">
        <v>2592</v>
      </c>
      <c r="D2292" t="s">
        <v>13</v>
      </c>
      <c r="E2292" t="s">
        <v>46</v>
      </c>
      <c r="F2292">
        <v>3</v>
      </c>
    </row>
    <row r="2293" spans="1:7" x14ac:dyDescent="0.25">
      <c r="A2293">
        <v>289</v>
      </c>
      <c r="B2293" t="s">
        <v>54</v>
      </c>
      <c r="C2293" t="s">
        <v>2593</v>
      </c>
      <c r="D2293" t="s">
        <v>13</v>
      </c>
      <c r="E2293" t="s">
        <v>25</v>
      </c>
      <c r="F2293">
        <v>2</v>
      </c>
    </row>
    <row r="2294" spans="1:7" x14ac:dyDescent="0.25">
      <c r="A2294">
        <v>288</v>
      </c>
      <c r="B2294" t="s">
        <v>2176</v>
      </c>
      <c r="C2294" t="s">
        <v>2420</v>
      </c>
      <c r="D2294" t="s">
        <v>13</v>
      </c>
      <c r="E2294" t="s">
        <v>25</v>
      </c>
      <c r="F2294">
        <v>3.25</v>
      </c>
    </row>
    <row r="2295" spans="1:7" x14ac:dyDescent="0.25">
      <c r="A2295">
        <v>287</v>
      </c>
      <c r="B2295" t="s">
        <v>54</v>
      </c>
      <c r="C2295" t="s">
        <v>2594</v>
      </c>
      <c r="D2295" t="s">
        <v>9</v>
      </c>
      <c r="E2295" t="s">
        <v>25</v>
      </c>
      <c r="F2295">
        <v>3.75</v>
      </c>
    </row>
    <row r="2296" spans="1:7" x14ac:dyDescent="0.25">
      <c r="A2296">
        <v>286</v>
      </c>
      <c r="B2296" t="s">
        <v>183</v>
      </c>
      <c r="C2296" t="s">
        <v>2595</v>
      </c>
      <c r="D2296" t="s">
        <v>30</v>
      </c>
      <c r="E2296" t="s">
        <v>10</v>
      </c>
      <c r="F2296">
        <v>4</v>
      </c>
    </row>
    <row r="2297" spans="1:7" x14ac:dyDescent="0.25">
      <c r="A2297">
        <v>285</v>
      </c>
      <c r="B2297" t="s">
        <v>588</v>
      </c>
      <c r="C2297" t="s">
        <v>2240</v>
      </c>
      <c r="D2297" t="s">
        <v>13</v>
      </c>
      <c r="E2297" t="s">
        <v>46</v>
      </c>
      <c r="F2297">
        <v>4.5</v>
      </c>
      <c r="G2297" t="s">
        <v>2596</v>
      </c>
    </row>
    <row r="2298" spans="1:7" x14ac:dyDescent="0.25">
      <c r="A2298">
        <v>284</v>
      </c>
      <c r="B2298" t="s">
        <v>15</v>
      </c>
      <c r="C2298" t="s">
        <v>406</v>
      </c>
      <c r="D2298" t="s">
        <v>9</v>
      </c>
      <c r="E2298" t="s">
        <v>46</v>
      </c>
      <c r="F2298">
        <v>4.5</v>
      </c>
    </row>
    <row r="2299" spans="1:7" x14ac:dyDescent="0.25">
      <c r="A2299">
        <v>283</v>
      </c>
      <c r="B2299" t="s">
        <v>54</v>
      </c>
      <c r="C2299" t="s">
        <v>2597</v>
      </c>
      <c r="D2299" t="s">
        <v>9</v>
      </c>
      <c r="E2299" t="s">
        <v>25</v>
      </c>
      <c r="F2299">
        <v>4</v>
      </c>
    </row>
    <row r="2300" spans="1:7" x14ac:dyDescent="0.25">
      <c r="A2300">
        <v>282</v>
      </c>
      <c r="B2300" t="s">
        <v>588</v>
      </c>
      <c r="C2300" t="s">
        <v>2598</v>
      </c>
      <c r="D2300" t="s">
        <v>13</v>
      </c>
      <c r="E2300" t="s">
        <v>46</v>
      </c>
      <c r="F2300">
        <v>4.25</v>
      </c>
    </row>
    <row r="2301" spans="1:7" x14ac:dyDescent="0.25">
      <c r="A2301">
        <v>281</v>
      </c>
      <c r="B2301" t="s">
        <v>897</v>
      </c>
      <c r="C2301" t="s">
        <v>2599</v>
      </c>
      <c r="D2301" t="s">
        <v>9</v>
      </c>
      <c r="E2301" t="s">
        <v>38</v>
      </c>
      <c r="F2301">
        <v>3</v>
      </c>
    </row>
    <row r="2302" spans="1:7" x14ac:dyDescent="0.25">
      <c r="A2302">
        <v>280</v>
      </c>
      <c r="B2302" t="s">
        <v>2503</v>
      </c>
      <c r="C2302" t="s">
        <v>2600</v>
      </c>
      <c r="D2302" t="s">
        <v>30</v>
      </c>
      <c r="E2302" t="s">
        <v>25</v>
      </c>
      <c r="F2302">
        <v>4</v>
      </c>
    </row>
    <row r="2303" spans="1:7" x14ac:dyDescent="0.25">
      <c r="A2303">
        <v>279</v>
      </c>
      <c r="B2303" t="s">
        <v>2503</v>
      </c>
      <c r="C2303" t="s">
        <v>2601</v>
      </c>
      <c r="D2303" t="s">
        <v>30</v>
      </c>
      <c r="E2303" t="s">
        <v>25</v>
      </c>
      <c r="F2303">
        <v>3.75</v>
      </c>
    </row>
    <row r="2304" spans="1:7" x14ac:dyDescent="0.25">
      <c r="A2304">
        <v>278</v>
      </c>
      <c r="B2304" t="s">
        <v>817</v>
      </c>
      <c r="C2304" t="s">
        <v>2602</v>
      </c>
      <c r="D2304" t="s">
        <v>13</v>
      </c>
      <c r="E2304" t="s">
        <v>17</v>
      </c>
      <c r="F2304">
        <v>3</v>
      </c>
    </row>
    <row r="2305" spans="1:6" x14ac:dyDescent="0.25">
      <c r="A2305">
        <v>277</v>
      </c>
      <c r="B2305" t="s">
        <v>1055</v>
      </c>
      <c r="C2305" t="s">
        <v>2603</v>
      </c>
      <c r="D2305" t="s">
        <v>13</v>
      </c>
      <c r="E2305" t="s">
        <v>53</v>
      </c>
      <c r="F2305">
        <v>4</v>
      </c>
    </row>
    <row r="2306" spans="1:6" x14ac:dyDescent="0.25">
      <c r="A2306">
        <v>276</v>
      </c>
      <c r="B2306" t="s">
        <v>322</v>
      </c>
      <c r="C2306" t="s">
        <v>2604</v>
      </c>
      <c r="D2306" t="s">
        <v>13</v>
      </c>
      <c r="E2306" t="s">
        <v>38</v>
      </c>
      <c r="F2306">
        <v>3.25</v>
      </c>
    </row>
    <row r="2307" spans="1:6" x14ac:dyDescent="0.25">
      <c r="A2307">
        <v>275</v>
      </c>
      <c r="B2307" t="s">
        <v>897</v>
      </c>
      <c r="C2307" t="s">
        <v>2605</v>
      </c>
      <c r="D2307" t="s">
        <v>9</v>
      </c>
      <c r="E2307" t="s">
        <v>38</v>
      </c>
      <c r="F2307">
        <v>3.75</v>
      </c>
    </row>
    <row r="2308" spans="1:6" x14ac:dyDescent="0.25">
      <c r="A2308">
        <v>274</v>
      </c>
      <c r="B2308" t="s">
        <v>243</v>
      </c>
      <c r="C2308" t="s">
        <v>2606</v>
      </c>
      <c r="D2308" t="s">
        <v>13</v>
      </c>
      <c r="E2308" t="s">
        <v>14</v>
      </c>
      <c r="F2308">
        <v>4</v>
      </c>
    </row>
    <row r="2309" spans="1:6" x14ac:dyDescent="0.25">
      <c r="A2309">
        <v>273</v>
      </c>
      <c r="B2309" t="s">
        <v>322</v>
      </c>
      <c r="C2309" t="s">
        <v>2607</v>
      </c>
      <c r="D2309" t="s">
        <v>13</v>
      </c>
      <c r="E2309" t="s">
        <v>38</v>
      </c>
      <c r="F2309">
        <v>2.5</v>
      </c>
    </row>
    <row r="2310" spans="1:6" x14ac:dyDescent="0.25">
      <c r="A2310">
        <v>272</v>
      </c>
      <c r="B2310" t="s">
        <v>1055</v>
      </c>
      <c r="C2310" t="s">
        <v>2608</v>
      </c>
      <c r="D2310" t="s">
        <v>13</v>
      </c>
      <c r="E2310" t="s">
        <v>53</v>
      </c>
      <c r="F2310">
        <v>3.5</v>
      </c>
    </row>
    <row r="2311" spans="1:6" x14ac:dyDescent="0.25">
      <c r="A2311">
        <v>271</v>
      </c>
      <c r="B2311" t="s">
        <v>54</v>
      </c>
      <c r="C2311" t="s">
        <v>2609</v>
      </c>
      <c r="D2311" t="s">
        <v>13</v>
      </c>
      <c r="E2311" t="s">
        <v>25</v>
      </c>
      <c r="F2311">
        <v>3.5</v>
      </c>
    </row>
    <row r="2312" spans="1:6" x14ac:dyDescent="0.25">
      <c r="A2312">
        <v>270</v>
      </c>
      <c r="B2312" t="s">
        <v>2179</v>
      </c>
      <c r="C2312" t="s">
        <v>2610</v>
      </c>
      <c r="D2312" t="s">
        <v>13</v>
      </c>
      <c r="E2312" t="s">
        <v>14</v>
      </c>
      <c r="F2312">
        <v>2</v>
      </c>
    </row>
    <row r="2313" spans="1:6" x14ac:dyDescent="0.25">
      <c r="A2313">
        <v>269</v>
      </c>
      <c r="B2313" t="s">
        <v>54</v>
      </c>
      <c r="C2313" t="s">
        <v>2611</v>
      </c>
      <c r="D2313" t="s">
        <v>44</v>
      </c>
      <c r="E2313" t="s">
        <v>25</v>
      </c>
      <c r="F2313">
        <v>3.5</v>
      </c>
    </row>
    <row r="2314" spans="1:6" x14ac:dyDescent="0.25">
      <c r="A2314">
        <v>268</v>
      </c>
      <c r="B2314" t="s">
        <v>15</v>
      </c>
      <c r="C2314" t="s">
        <v>2612</v>
      </c>
      <c r="D2314" t="s">
        <v>9</v>
      </c>
      <c r="E2314" t="s">
        <v>17</v>
      </c>
      <c r="F2314">
        <v>3.5</v>
      </c>
    </row>
    <row r="2315" spans="1:6" x14ac:dyDescent="0.25">
      <c r="A2315">
        <v>267</v>
      </c>
      <c r="B2315" t="s">
        <v>897</v>
      </c>
      <c r="C2315" t="s">
        <v>2613</v>
      </c>
      <c r="D2315" t="s">
        <v>9</v>
      </c>
      <c r="E2315" t="s">
        <v>38</v>
      </c>
      <c r="F2315">
        <v>2</v>
      </c>
    </row>
    <row r="2316" spans="1:6" x14ac:dyDescent="0.25">
      <c r="A2316">
        <v>266</v>
      </c>
      <c r="B2316" t="s">
        <v>1055</v>
      </c>
      <c r="C2316" t="s">
        <v>2614</v>
      </c>
      <c r="D2316" t="s">
        <v>13</v>
      </c>
      <c r="E2316" t="s">
        <v>53</v>
      </c>
      <c r="F2316">
        <v>4</v>
      </c>
    </row>
    <row r="2317" spans="1:6" x14ac:dyDescent="0.25">
      <c r="A2317">
        <v>265</v>
      </c>
      <c r="B2317" t="s">
        <v>15</v>
      </c>
      <c r="C2317" t="s">
        <v>2615</v>
      </c>
      <c r="D2317" t="s">
        <v>9</v>
      </c>
      <c r="E2317" t="s">
        <v>17</v>
      </c>
      <c r="F2317">
        <v>3.5</v>
      </c>
    </row>
    <row r="2318" spans="1:6" x14ac:dyDescent="0.25">
      <c r="A2318">
        <v>264</v>
      </c>
      <c r="B2318" t="s">
        <v>1055</v>
      </c>
      <c r="C2318" t="s">
        <v>2616</v>
      </c>
      <c r="D2318" t="s">
        <v>13</v>
      </c>
      <c r="E2318" t="s">
        <v>53</v>
      </c>
      <c r="F2318">
        <v>3.75</v>
      </c>
    </row>
    <row r="2319" spans="1:6" x14ac:dyDescent="0.25">
      <c r="A2319">
        <v>263</v>
      </c>
      <c r="B2319" t="s">
        <v>15</v>
      </c>
      <c r="C2319" t="s">
        <v>2617</v>
      </c>
      <c r="D2319" t="s">
        <v>30</v>
      </c>
      <c r="E2319" t="s">
        <v>17</v>
      </c>
      <c r="F2319">
        <v>1.5</v>
      </c>
    </row>
    <row r="2320" spans="1:6" x14ac:dyDescent="0.25">
      <c r="A2320">
        <v>262</v>
      </c>
      <c r="B2320" t="s">
        <v>1055</v>
      </c>
      <c r="C2320" t="s">
        <v>2618</v>
      </c>
      <c r="D2320" t="s">
        <v>13</v>
      </c>
      <c r="E2320" t="s">
        <v>53</v>
      </c>
      <c r="F2320">
        <v>3.75</v>
      </c>
    </row>
    <row r="2321" spans="1:6" x14ac:dyDescent="0.25">
      <c r="A2321">
        <v>261</v>
      </c>
      <c r="B2321" t="s">
        <v>1055</v>
      </c>
      <c r="C2321" t="s">
        <v>2619</v>
      </c>
      <c r="D2321" t="s">
        <v>13</v>
      </c>
      <c r="E2321" t="s">
        <v>53</v>
      </c>
      <c r="F2321">
        <v>3.75</v>
      </c>
    </row>
    <row r="2322" spans="1:6" x14ac:dyDescent="0.25">
      <c r="A2322">
        <v>260</v>
      </c>
      <c r="B2322" t="s">
        <v>15</v>
      </c>
      <c r="C2322" t="s">
        <v>2620</v>
      </c>
      <c r="D2322" t="s">
        <v>44</v>
      </c>
      <c r="E2322" t="s">
        <v>17</v>
      </c>
      <c r="F2322">
        <v>3.5</v>
      </c>
    </row>
    <row r="2323" spans="1:6" x14ac:dyDescent="0.25">
      <c r="A2323">
        <v>259</v>
      </c>
      <c r="B2323" t="s">
        <v>1055</v>
      </c>
      <c r="C2323" t="s">
        <v>2621</v>
      </c>
      <c r="D2323" t="s">
        <v>13</v>
      </c>
      <c r="E2323" t="s">
        <v>53</v>
      </c>
      <c r="F2323">
        <v>4</v>
      </c>
    </row>
    <row r="2324" spans="1:6" x14ac:dyDescent="0.25">
      <c r="A2324">
        <v>258</v>
      </c>
      <c r="B2324" t="s">
        <v>2575</v>
      </c>
      <c r="C2324" t="s">
        <v>2622</v>
      </c>
      <c r="D2324" t="s">
        <v>9</v>
      </c>
      <c r="E2324" t="s">
        <v>38</v>
      </c>
      <c r="F2324">
        <v>3.25</v>
      </c>
    </row>
    <row r="2325" spans="1:6" x14ac:dyDescent="0.25">
      <c r="A2325">
        <v>257</v>
      </c>
      <c r="B2325" t="s">
        <v>15</v>
      </c>
      <c r="C2325" t="s">
        <v>2623</v>
      </c>
      <c r="D2325" t="s">
        <v>9</v>
      </c>
      <c r="E2325" t="s">
        <v>17</v>
      </c>
      <c r="F2325">
        <v>3.5</v>
      </c>
    </row>
    <row r="2326" spans="1:6" x14ac:dyDescent="0.25">
      <c r="A2326">
        <v>256</v>
      </c>
      <c r="B2326" t="s">
        <v>15</v>
      </c>
      <c r="C2326" t="s">
        <v>2624</v>
      </c>
      <c r="D2326" t="s">
        <v>9</v>
      </c>
      <c r="E2326" t="s">
        <v>17</v>
      </c>
      <c r="F2326">
        <v>3.5</v>
      </c>
    </row>
    <row r="2327" spans="1:6" x14ac:dyDescent="0.25">
      <c r="A2327">
        <v>255</v>
      </c>
      <c r="B2327" t="s">
        <v>897</v>
      </c>
      <c r="C2327" t="s">
        <v>2625</v>
      </c>
      <c r="D2327" t="s">
        <v>9</v>
      </c>
      <c r="E2327" t="s">
        <v>38</v>
      </c>
      <c r="F2327">
        <v>3.75</v>
      </c>
    </row>
    <row r="2328" spans="1:6" x14ac:dyDescent="0.25">
      <c r="A2328">
        <v>254</v>
      </c>
      <c r="B2328" t="s">
        <v>1055</v>
      </c>
      <c r="C2328" t="s">
        <v>2626</v>
      </c>
      <c r="D2328" t="s">
        <v>13</v>
      </c>
      <c r="E2328" t="s">
        <v>53</v>
      </c>
      <c r="F2328">
        <v>4</v>
      </c>
    </row>
    <row r="2329" spans="1:6" x14ac:dyDescent="0.25">
      <c r="A2329">
        <v>253</v>
      </c>
      <c r="B2329" t="s">
        <v>41</v>
      </c>
      <c r="C2329" t="s">
        <v>2627</v>
      </c>
      <c r="D2329" t="s">
        <v>44</v>
      </c>
      <c r="E2329" t="s">
        <v>17</v>
      </c>
      <c r="F2329">
        <v>4.25</v>
      </c>
    </row>
    <row r="2330" spans="1:6" x14ac:dyDescent="0.25">
      <c r="A2330">
        <v>252</v>
      </c>
      <c r="B2330" t="s">
        <v>817</v>
      </c>
      <c r="C2330" t="s">
        <v>2628</v>
      </c>
      <c r="D2330" t="s">
        <v>13</v>
      </c>
      <c r="E2330" t="s">
        <v>17</v>
      </c>
      <c r="F2330">
        <v>3.25</v>
      </c>
    </row>
    <row r="2331" spans="1:6" x14ac:dyDescent="0.25">
      <c r="A2331">
        <v>251</v>
      </c>
      <c r="B2331" t="s">
        <v>817</v>
      </c>
      <c r="C2331" t="s">
        <v>2629</v>
      </c>
      <c r="D2331" t="s">
        <v>13</v>
      </c>
      <c r="E2331" t="s">
        <v>17</v>
      </c>
      <c r="F2331">
        <v>3.5</v>
      </c>
    </row>
    <row r="2332" spans="1:6" x14ac:dyDescent="0.25">
      <c r="A2332">
        <v>250</v>
      </c>
      <c r="B2332" t="s">
        <v>2179</v>
      </c>
      <c r="C2332" t="s">
        <v>2630</v>
      </c>
      <c r="D2332" t="s">
        <v>13</v>
      </c>
      <c r="E2332" t="s">
        <v>14</v>
      </c>
      <c r="F2332">
        <v>3.75</v>
      </c>
    </row>
    <row r="2333" spans="1:6" x14ac:dyDescent="0.25">
      <c r="A2333">
        <v>249</v>
      </c>
      <c r="B2333" t="s">
        <v>1516</v>
      </c>
      <c r="C2333" t="s">
        <v>2631</v>
      </c>
      <c r="D2333" t="s">
        <v>13</v>
      </c>
      <c r="E2333" t="s">
        <v>14</v>
      </c>
      <c r="F2333">
        <v>3.75</v>
      </c>
    </row>
    <row r="2334" spans="1:6" x14ac:dyDescent="0.25">
      <c r="A2334">
        <v>248</v>
      </c>
      <c r="B2334" t="s">
        <v>1045</v>
      </c>
      <c r="C2334" t="s">
        <v>2632</v>
      </c>
      <c r="D2334" t="s">
        <v>13</v>
      </c>
      <c r="E2334" t="s">
        <v>35</v>
      </c>
      <c r="F2334">
        <v>4.75</v>
      </c>
    </row>
    <row r="2335" spans="1:6" x14ac:dyDescent="0.25">
      <c r="A2335">
        <v>247</v>
      </c>
      <c r="B2335" t="s">
        <v>183</v>
      </c>
      <c r="C2335" t="s">
        <v>2602</v>
      </c>
      <c r="D2335" t="s">
        <v>13</v>
      </c>
      <c r="E2335" t="s">
        <v>10</v>
      </c>
      <c r="F2335">
        <v>3</v>
      </c>
    </row>
    <row r="2336" spans="1:6" x14ac:dyDescent="0.25">
      <c r="A2336">
        <v>246</v>
      </c>
      <c r="B2336" t="s">
        <v>897</v>
      </c>
      <c r="C2336" t="s">
        <v>2633</v>
      </c>
      <c r="D2336" t="s">
        <v>13</v>
      </c>
      <c r="E2336" t="s">
        <v>38</v>
      </c>
      <c r="F2336">
        <v>3</v>
      </c>
    </row>
    <row r="2337" spans="1:6" x14ac:dyDescent="0.25">
      <c r="A2337">
        <v>245</v>
      </c>
      <c r="B2337" t="s">
        <v>2287</v>
      </c>
      <c r="C2337" t="s">
        <v>2634</v>
      </c>
      <c r="D2337" t="s">
        <v>13</v>
      </c>
      <c r="E2337" t="s">
        <v>25</v>
      </c>
      <c r="F2337">
        <v>3.75</v>
      </c>
    </row>
    <row r="2338" spans="1:6" x14ac:dyDescent="0.25">
      <c r="A2338">
        <v>244</v>
      </c>
      <c r="B2338" t="s">
        <v>15</v>
      </c>
      <c r="C2338" t="s">
        <v>2635</v>
      </c>
      <c r="D2338" t="s">
        <v>30</v>
      </c>
      <c r="E2338" t="s">
        <v>10</v>
      </c>
      <c r="F2338">
        <v>4.75</v>
      </c>
    </row>
    <row r="2339" spans="1:6" x14ac:dyDescent="0.25">
      <c r="A2339">
        <v>243</v>
      </c>
      <c r="B2339" t="s">
        <v>183</v>
      </c>
      <c r="C2339" t="s">
        <v>2636</v>
      </c>
      <c r="D2339" t="s">
        <v>13</v>
      </c>
      <c r="E2339" t="s">
        <v>10</v>
      </c>
      <c r="F2339">
        <v>4.5</v>
      </c>
    </row>
    <row r="2340" spans="1:6" x14ac:dyDescent="0.25">
      <c r="A2340">
        <v>242</v>
      </c>
      <c r="B2340" t="s">
        <v>2116</v>
      </c>
      <c r="C2340" t="s">
        <v>2637</v>
      </c>
      <c r="D2340" t="s">
        <v>44</v>
      </c>
      <c r="E2340" t="s">
        <v>38</v>
      </c>
      <c r="F2340">
        <v>2</v>
      </c>
    </row>
    <row r="2341" spans="1:6" x14ac:dyDescent="0.25">
      <c r="A2341">
        <v>241</v>
      </c>
      <c r="B2341" t="s">
        <v>2638</v>
      </c>
      <c r="C2341" t="s">
        <v>2550</v>
      </c>
      <c r="D2341" t="s">
        <v>30</v>
      </c>
      <c r="E2341" t="s">
        <v>17</v>
      </c>
      <c r="F2341">
        <v>4</v>
      </c>
    </row>
    <row r="2342" spans="1:6" x14ac:dyDescent="0.25">
      <c r="A2342">
        <v>240</v>
      </c>
      <c r="B2342" t="s">
        <v>2639</v>
      </c>
      <c r="C2342" t="s">
        <v>2640</v>
      </c>
      <c r="D2342" t="s">
        <v>44</v>
      </c>
      <c r="E2342" t="s">
        <v>10</v>
      </c>
      <c r="F2342">
        <v>4.5</v>
      </c>
    </row>
    <row r="2343" spans="1:6" x14ac:dyDescent="0.25">
      <c r="A2343">
        <v>239</v>
      </c>
      <c r="B2343" t="s">
        <v>74</v>
      </c>
      <c r="C2343" t="s">
        <v>2641</v>
      </c>
      <c r="D2343" t="s">
        <v>13</v>
      </c>
      <c r="E2343" t="s">
        <v>25</v>
      </c>
      <c r="F2343">
        <v>1.75</v>
      </c>
    </row>
    <row r="2344" spans="1:6" x14ac:dyDescent="0.25">
      <c r="A2344">
        <v>238</v>
      </c>
      <c r="B2344" t="s">
        <v>15</v>
      </c>
      <c r="C2344" t="s">
        <v>2642</v>
      </c>
      <c r="D2344" t="s">
        <v>44</v>
      </c>
      <c r="E2344" t="s">
        <v>17</v>
      </c>
      <c r="F2344">
        <v>4</v>
      </c>
    </row>
    <row r="2345" spans="1:6" x14ac:dyDescent="0.25">
      <c r="A2345">
        <v>237</v>
      </c>
      <c r="B2345" t="s">
        <v>1045</v>
      </c>
      <c r="C2345" t="s">
        <v>2643</v>
      </c>
      <c r="D2345" t="s">
        <v>44</v>
      </c>
      <c r="E2345" t="s">
        <v>35</v>
      </c>
      <c r="F2345">
        <v>3</v>
      </c>
    </row>
    <row r="2346" spans="1:6" x14ac:dyDescent="0.25">
      <c r="A2346">
        <v>236</v>
      </c>
      <c r="B2346" t="s">
        <v>1045</v>
      </c>
      <c r="C2346" t="s">
        <v>2644</v>
      </c>
      <c r="D2346" t="s">
        <v>13</v>
      </c>
      <c r="E2346" t="s">
        <v>35</v>
      </c>
      <c r="F2346">
        <v>5</v>
      </c>
    </row>
    <row r="2347" spans="1:6" x14ac:dyDescent="0.25">
      <c r="A2347">
        <v>235</v>
      </c>
      <c r="B2347" t="s">
        <v>1045</v>
      </c>
      <c r="C2347" t="s">
        <v>2645</v>
      </c>
      <c r="D2347" t="s">
        <v>13</v>
      </c>
      <c r="E2347" t="s">
        <v>35</v>
      </c>
      <c r="F2347">
        <v>4.25</v>
      </c>
    </row>
    <row r="2348" spans="1:6" x14ac:dyDescent="0.25">
      <c r="A2348">
        <v>234</v>
      </c>
      <c r="B2348" t="s">
        <v>183</v>
      </c>
      <c r="C2348" t="s">
        <v>2646</v>
      </c>
      <c r="D2348" t="s">
        <v>13</v>
      </c>
      <c r="E2348" t="s">
        <v>10</v>
      </c>
      <c r="F2348">
        <v>3.75</v>
      </c>
    </row>
    <row r="2349" spans="1:6" x14ac:dyDescent="0.25">
      <c r="A2349">
        <v>233</v>
      </c>
      <c r="B2349" t="s">
        <v>1045</v>
      </c>
      <c r="C2349" t="s">
        <v>2647</v>
      </c>
      <c r="D2349" t="s">
        <v>44</v>
      </c>
      <c r="E2349" t="s">
        <v>35</v>
      </c>
      <c r="F2349">
        <v>3.5</v>
      </c>
    </row>
    <row r="2350" spans="1:6" x14ac:dyDescent="0.25">
      <c r="A2350">
        <v>232</v>
      </c>
      <c r="B2350" t="s">
        <v>135</v>
      </c>
      <c r="C2350" t="s">
        <v>2156</v>
      </c>
      <c r="D2350" t="s">
        <v>13</v>
      </c>
      <c r="E2350" t="s">
        <v>73</v>
      </c>
      <c r="F2350">
        <v>5</v>
      </c>
    </row>
    <row r="2351" spans="1:6" x14ac:dyDescent="0.25">
      <c r="A2351">
        <v>231</v>
      </c>
      <c r="B2351" t="s">
        <v>135</v>
      </c>
      <c r="C2351" t="s">
        <v>2648</v>
      </c>
      <c r="D2351" t="s">
        <v>13</v>
      </c>
      <c r="E2351" t="s">
        <v>73</v>
      </c>
      <c r="F2351">
        <v>4.5</v>
      </c>
    </row>
    <row r="2352" spans="1:6" x14ac:dyDescent="0.25">
      <c r="A2352">
        <v>230</v>
      </c>
      <c r="B2352" t="s">
        <v>1157</v>
      </c>
      <c r="C2352" t="s">
        <v>2649</v>
      </c>
      <c r="D2352" t="s">
        <v>44</v>
      </c>
      <c r="E2352" t="s">
        <v>1159</v>
      </c>
      <c r="F2352">
        <v>3.75</v>
      </c>
    </row>
    <row r="2353" spans="1:6" x14ac:dyDescent="0.25">
      <c r="A2353">
        <v>229</v>
      </c>
      <c r="B2353" t="s">
        <v>183</v>
      </c>
      <c r="C2353" t="s">
        <v>2628</v>
      </c>
      <c r="D2353" t="s">
        <v>13</v>
      </c>
      <c r="E2353" t="s">
        <v>10</v>
      </c>
      <c r="F2353">
        <v>3.75</v>
      </c>
    </row>
    <row r="2354" spans="1:6" x14ac:dyDescent="0.25">
      <c r="A2354">
        <v>228</v>
      </c>
      <c r="B2354" t="s">
        <v>331</v>
      </c>
      <c r="C2354" t="s">
        <v>2650</v>
      </c>
      <c r="D2354" t="s">
        <v>44</v>
      </c>
      <c r="E2354" t="s">
        <v>53</v>
      </c>
      <c r="F2354">
        <v>2</v>
      </c>
    </row>
    <row r="2355" spans="1:6" x14ac:dyDescent="0.25">
      <c r="A2355">
        <v>227</v>
      </c>
      <c r="B2355" t="s">
        <v>2449</v>
      </c>
      <c r="C2355" t="s">
        <v>2651</v>
      </c>
      <c r="D2355" t="s">
        <v>13</v>
      </c>
      <c r="E2355" t="s">
        <v>1159</v>
      </c>
      <c r="F2355">
        <v>1.75</v>
      </c>
    </row>
    <row r="2356" spans="1:6" x14ac:dyDescent="0.25">
      <c r="A2356">
        <v>226</v>
      </c>
      <c r="B2356" t="s">
        <v>15</v>
      </c>
      <c r="C2356" t="s">
        <v>2652</v>
      </c>
      <c r="D2356" t="s">
        <v>30</v>
      </c>
      <c r="E2356" t="s">
        <v>17</v>
      </c>
      <c r="F2356">
        <v>4</v>
      </c>
    </row>
    <row r="2357" spans="1:6" x14ac:dyDescent="0.25">
      <c r="A2357">
        <v>225</v>
      </c>
      <c r="B2357" t="s">
        <v>74</v>
      </c>
      <c r="C2357" t="s">
        <v>2476</v>
      </c>
      <c r="D2357" t="s">
        <v>13</v>
      </c>
      <c r="E2357" t="s">
        <v>25</v>
      </c>
      <c r="F2357">
        <v>3.75</v>
      </c>
    </row>
    <row r="2358" spans="1:6" x14ac:dyDescent="0.25">
      <c r="A2358">
        <v>224</v>
      </c>
      <c r="B2358" t="s">
        <v>897</v>
      </c>
      <c r="C2358" t="s">
        <v>2653</v>
      </c>
      <c r="D2358" t="s">
        <v>44</v>
      </c>
      <c r="E2358" t="s">
        <v>38</v>
      </c>
      <c r="F2358">
        <v>2.75</v>
      </c>
    </row>
    <row r="2359" spans="1:6" x14ac:dyDescent="0.25">
      <c r="A2359">
        <v>223</v>
      </c>
      <c r="B2359" t="s">
        <v>1045</v>
      </c>
      <c r="C2359" t="s">
        <v>1046</v>
      </c>
      <c r="D2359" t="s">
        <v>44</v>
      </c>
      <c r="E2359" t="s">
        <v>35</v>
      </c>
      <c r="F2359">
        <v>4.25</v>
      </c>
    </row>
    <row r="2360" spans="1:6" x14ac:dyDescent="0.25">
      <c r="A2360">
        <v>222</v>
      </c>
      <c r="B2360" t="s">
        <v>183</v>
      </c>
      <c r="C2360" t="s">
        <v>2654</v>
      </c>
      <c r="D2360" t="s">
        <v>13</v>
      </c>
      <c r="E2360" t="s">
        <v>10</v>
      </c>
      <c r="F2360">
        <v>3</v>
      </c>
    </row>
    <row r="2361" spans="1:6" x14ac:dyDescent="0.25">
      <c r="A2361">
        <v>221</v>
      </c>
      <c r="B2361" t="s">
        <v>15</v>
      </c>
      <c r="C2361" t="s">
        <v>2655</v>
      </c>
      <c r="D2361" t="s">
        <v>13</v>
      </c>
      <c r="E2361" t="s">
        <v>17</v>
      </c>
      <c r="F2361">
        <v>3.75</v>
      </c>
    </row>
    <row r="2362" spans="1:6" x14ac:dyDescent="0.25">
      <c r="A2362">
        <v>220</v>
      </c>
      <c r="B2362" t="s">
        <v>18</v>
      </c>
      <c r="C2362" t="s">
        <v>2656</v>
      </c>
      <c r="D2362" t="s">
        <v>13</v>
      </c>
      <c r="E2362" t="s">
        <v>14</v>
      </c>
      <c r="F2362">
        <v>3</v>
      </c>
    </row>
    <row r="2363" spans="1:6" x14ac:dyDescent="0.25">
      <c r="A2363">
        <v>219</v>
      </c>
      <c r="B2363" t="s">
        <v>2287</v>
      </c>
      <c r="C2363" t="s">
        <v>2657</v>
      </c>
      <c r="D2363" t="s">
        <v>13</v>
      </c>
      <c r="E2363" t="s">
        <v>25</v>
      </c>
      <c r="F2363">
        <v>2.75</v>
      </c>
    </row>
    <row r="2364" spans="1:6" x14ac:dyDescent="0.25">
      <c r="A2364">
        <v>218</v>
      </c>
      <c r="B2364" t="s">
        <v>102</v>
      </c>
      <c r="C2364" t="s">
        <v>2658</v>
      </c>
      <c r="D2364" t="s">
        <v>30</v>
      </c>
      <c r="E2364" t="s">
        <v>17</v>
      </c>
      <c r="F2364">
        <v>3</v>
      </c>
    </row>
    <row r="2365" spans="1:6" x14ac:dyDescent="0.25">
      <c r="A2365">
        <v>217</v>
      </c>
      <c r="B2365" t="s">
        <v>2198</v>
      </c>
      <c r="C2365" t="s">
        <v>2537</v>
      </c>
      <c r="D2365" t="s">
        <v>44</v>
      </c>
      <c r="E2365" t="s">
        <v>25</v>
      </c>
      <c r="F2365">
        <v>4</v>
      </c>
    </row>
    <row r="2366" spans="1:6" x14ac:dyDescent="0.25">
      <c r="A2366">
        <v>216</v>
      </c>
      <c r="B2366" t="s">
        <v>102</v>
      </c>
      <c r="C2366" t="s">
        <v>2659</v>
      </c>
      <c r="D2366" t="s">
        <v>9</v>
      </c>
      <c r="E2366" t="s">
        <v>17</v>
      </c>
      <c r="F2366">
        <v>2.75</v>
      </c>
    </row>
    <row r="2367" spans="1:6" x14ac:dyDescent="0.25">
      <c r="A2367">
        <v>215</v>
      </c>
      <c r="B2367" t="s">
        <v>102</v>
      </c>
      <c r="C2367" t="s">
        <v>2660</v>
      </c>
      <c r="D2367" t="s">
        <v>30</v>
      </c>
      <c r="E2367" t="s">
        <v>17</v>
      </c>
      <c r="F2367">
        <v>2</v>
      </c>
    </row>
    <row r="2368" spans="1:6" x14ac:dyDescent="0.25">
      <c r="A2368">
        <v>214</v>
      </c>
      <c r="B2368" t="s">
        <v>102</v>
      </c>
      <c r="C2368" t="s">
        <v>2661</v>
      </c>
      <c r="D2368" t="s">
        <v>30</v>
      </c>
      <c r="E2368" t="s">
        <v>17</v>
      </c>
      <c r="F2368">
        <v>2</v>
      </c>
    </row>
    <row r="2369" spans="1:6" x14ac:dyDescent="0.25">
      <c r="A2369">
        <v>213</v>
      </c>
      <c r="B2369" t="s">
        <v>41</v>
      </c>
      <c r="C2369" t="s">
        <v>2662</v>
      </c>
      <c r="D2369" t="s">
        <v>44</v>
      </c>
      <c r="E2369" t="s">
        <v>17</v>
      </c>
      <c r="F2369">
        <v>4</v>
      </c>
    </row>
    <row r="2370" spans="1:6" x14ac:dyDescent="0.25">
      <c r="A2370">
        <v>212</v>
      </c>
      <c r="B2370" t="s">
        <v>102</v>
      </c>
      <c r="C2370" t="s">
        <v>2663</v>
      </c>
      <c r="D2370" t="s">
        <v>30</v>
      </c>
      <c r="E2370" t="s">
        <v>17</v>
      </c>
      <c r="F2370">
        <v>3.75</v>
      </c>
    </row>
    <row r="2371" spans="1:6" x14ac:dyDescent="0.25">
      <c r="A2371">
        <v>211</v>
      </c>
      <c r="B2371" t="s">
        <v>1055</v>
      </c>
      <c r="C2371" t="s">
        <v>2664</v>
      </c>
      <c r="D2371" t="s">
        <v>30</v>
      </c>
      <c r="E2371" t="s">
        <v>53</v>
      </c>
      <c r="F2371">
        <v>3.5</v>
      </c>
    </row>
    <row r="2372" spans="1:6" x14ac:dyDescent="0.25">
      <c r="A2372">
        <v>210</v>
      </c>
      <c r="B2372" t="s">
        <v>2665</v>
      </c>
      <c r="C2372" t="s">
        <v>2666</v>
      </c>
      <c r="D2372" t="s">
        <v>13</v>
      </c>
      <c r="E2372" t="s">
        <v>79</v>
      </c>
      <c r="F2372">
        <v>2.5</v>
      </c>
    </row>
    <row r="2373" spans="1:6" x14ac:dyDescent="0.25">
      <c r="A2373">
        <v>209</v>
      </c>
      <c r="B2373" t="s">
        <v>15</v>
      </c>
      <c r="C2373" t="s">
        <v>2667</v>
      </c>
      <c r="D2373" t="s">
        <v>44</v>
      </c>
      <c r="E2373" t="s">
        <v>17</v>
      </c>
      <c r="F2373">
        <v>3</v>
      </c>
    </row>
    <row r="2374" spans="1:6" x14ac:dyDescent="0.25">
      <c r="A2374">
        <v>208</v>
      </c>
      <c r="B2374" t="s">
        <v>2432</v>
      </c>
      <c r="C2374" t="s">
        <v>2668</v>
      </c>
      <c r="D2374" t="s">
        <v>13</v>
      </c>
      <c r="E2374" t="s">
        <v>79</v>
      </c>
      <c r="F2374">
        <v>4.25</v>
      </c>
    </row>
    <row r="2375" spans="1:6" x14ac:dyDescent="0.25">
      <c r="A2375">
        <v>207</v>
      </c>
      <c r="B2375" t="s">
        <v>374</v>
      </c>
      <c r="C2375" t="s">
        <v>1962</v>
      </c>
      <c r="D2375" t="s">
        <v>13</v>
      </c>
      <c r="E2375" t="s">
        <v>17</v>
      </c>
      <c r="F2375">
        <v>3.5</v>
      </c>
    </row>
    <row r="2376" spans="1:6" x14ac:dyDescent="0.25">
      <c r="A2376">
        <v>206</v>
      </c>
      <c r="B2376" t="s">
        <v>2514</v>
      </c>
      <c r="C2376" t="s">
        <v>2669</v>
      </c>
      <c r="D2376" t="s">
        <v>44</v>
      </c>
      <c r="E2376" t="s">
        <v>25</v>
      </c>
      <c r="F2376">
        <v>3</v>
      </c>
    </row>
    <row r="2377" spans="1:6" x14ac:dyDescent="0.25">
      <c r="A2377">
        <v>205</v>
      </c>
      <c r="B2377" t="s">
        <v>374</v>
      </c>
      <c r="C2377" t="s">
        <v>2670</v>
      </c>
      <c r="D2377" t="s">
        <v>13</v>
      </c>
      <c r="E2377" t="s">
        <v>17</v>
      </c>
      <c r="F2377">
        <v>4.5</v>
      </c>
    </row>
    <row r="2378" spans="1:6" x14ac:dyDescent="0.25">
      <c r="A2378">
        <v>204</v>
      </c>
      <c r="B2378" t="s">
        <v>41</v>
      </c>
      <c r="C2378" t="s">
        <v>2671</v>
      </c>
      <c r="D2378" t="s">
        <v>44</v>
      </c>
      <c r="E2378" t="s">
        <v>17</v>
      </c>
      <c r="F2378">
        <v>2.5</v>
      </c>
    </row>
    <row r="2379" spans="1:6" x14ac:dyDescent="0.25">
      <c r="A2379">
        <v>203</v>
      </c>
      <c r="B2379" t="s">
        <v>41</v>
      </c>
      <c r="C2379" t="s">
        <v>2672</v>
      </c>
      <c r="D2379" t="s">
        <v>44</v>
      </c>
      <c r="E2379" t="s">
        <v>17</v>
      </c>
      <c r="F2379">
        <v>2</v>
      </c>
    </row>
    <row r="2380" spans="1:6" x14ac:dyDescent="0.25">
      <c r="A2380">
        <v>202</v>
      </c>
      <c r="B2380" t="s">
        <v>41</v>
      </c>
      <c r="C2380" t="s">
        <v>2673</v>
      </c>
      <c r="D2380" t="s">
        <v>44</v>
      </c>
      <c r="E2380" t="s">
        <v>17</v>
      </c>
      <c r="F2380">
        <v>3.25</v>
      </c>
    </row>
    <row r="2381" spans="1:6" x14ac:dyDescent="0.25">
      <c r="A2381">
        <v>201</v>
      </c>
      <c r="B2381" t="s">
        <v>41</v>
      </c>
      <c r="C2381" t="s">
        <v>2674</v>
      </c>
      <c r="D2381" t="s">
        <v>44</v>
      </c>
      <c r="E2381" t="s">
        <v>17</v>
      </c>
      <c r="F2381">
        <v>3.5</v>
      </c>
    </row>
    <row r="2382" spans="1:6" x14ac:dyDescent="0.25">
      <c r="A2382">
        <v>200</v>
      </c>
      <c r="B2382" t="s">
        <v>41</v>
      </c>
      <c r="C2382" t="s">
        <v>2675</v>
      </c>
      <c r="D2382" t="s">
        <v>44</v>
      </c>
      <c r="E2382" t="s">
        <v>17</v>
      </c>
      <c r="F2382">
        <v>4.5</v>
      </c>
    </row>
    <row r="2383" spans="1:6" x14ac:dyDescent="0.25">
      <c r="A2383">
        <v>199</v>
      </c>
      <c r="B2383" t="s">
        <v>2198</v>
      </c>
      <c r="C2383" t="s">
        <v>2676</v>
      </c>
      <c r="D2383" t="s">
        <v>13</v>
      </c>
      <c r="E2383" t="s">
        <v>25</v>
      </c>
      <c r="F2383">
        <v>2</v>
      </c>
    </row>
    <row r="2384" spans="1:6" x14ac:dyDescent="0.25">
      <c r="A2384">
        <v>198</v>
      </c>
      <c r="B2384" t="s">
        <v>258</v>
      </c>
      <c r="C2384" t="s">
        <v>2677</v>
      </c>
      <c r="D2384" t="s">
        <v>44</v>
      </c>
      <c r="E2384" t="s">
        <v>10</v>
      </c>
      <c r="F2384">
        <v>4.25</v>
      </c>
    </row>
    <row r="2385" spans="1:6" x14ac:dyDescent="0.25">
      <c r="A2385">
        <v>197</v>
      </c>
      <c r="B2385" t="s">
        <v>2503</v>
      </c>
      <c r="C2385" t="s">
        <v>2678</v>
      </c>
      <c r="D2385" t="s">
        <v>30</v>
      </c>
      <c r="E2385" t="s">
        <v>25</v>
      </c>
      <c r="F2385">
        <v>2.25</v>
      </c>
    </row>
    <row r="2386" spans="1:6" x14ac:dyDescent="0.25">
      <c r="A2386">
        <v>196</v>
      </c>
      <c r="B2386" t="s">
        <v>15</v>
      </c>
      <c r="C2386" t="s">
        <v>2679</v>
      </c>
      <c r="D2386" t="s">
        <v>9</v>
      </c>
      <c r="E2386" t="s">
        <v>22</v>
      </c>
      <c r="F2386">
        <v>1.5</v>
      </c>
    </row>
    <row r="2387" spans="1:6" x14ac:dyDescent="0.25">
      <c r="A2387">
        <v>195</v>
      </c>
      <c r="B2387" t="s">
        <v>183</v>
      </c>
      <c r="C2387" t="s">
        <v>2680</v>
      </c>
      <c r="D2387" t="s">
        <v>13</v>
      </c>
      <c r="E2387" t="s">
        <v>10</v>
      </c>
      <c r="F2387">
        <v>3</v>
      </c>
    </row>
    <row r="2388" spans="1:6" x14ac:dyDescent="0.25">
      <c r="A2388">
        <v>194</v>
      </c>
      <c r="B2388" t="s">
        <v>2176</v>
      </c>
      <c r="C2388" t="s">
        <v>2681</v>
      </c>
      <c r="D2388" t="s">
        <v>13</v>
      </c>
      <c r="E2388" t="s">
        <v>53</v>
      </c>
      <c r="F2388">
        <v>3.5</v>
      </c>
    </row>
    <row r="2389" spans="1:6" x14ac:dyDescent="0.25">
      <c r="A2389">
        <v>193</v>
      </c>
      <c r="B2389" t="s">
        <v>2682</v>
      </c>
      <c r="C2389" t="s">
        <v>2341</v>
      </c>
      <c r="D2389" t="s">
        <v>44</v>
      </c>
      <c r="E2389" t="s">
        <v>38</v>
      </c>
      <c r="F2389">
        <v>2.5</v>
      </c>
    </row>
    <row r="2390" spans="1:6" x14ac:dyDescent="0.25">
      <c r="A2390">
        <v>192</v>
      </c>
      <c r="B2390" t="s">
        <v>54</v>
      </c>
      <c r="C2390" t="s">
        <v>2683</v>
      </c>
      <c r="D2390" t="s">
        <v>13</v>
      </c>
      <c r="E2390" t="s">
        <v>25</v>
      </c>
      <c r="F2390">
        <v>4.25</v>
      </c>
    </row>
    <row r="2391" spans="1:6" x14ac:dyDescent="0.25">
      <c r="A2391">
        <v>191</v>
      </c>
      <c r="B2391" t="s">
        <v>2179</v>
      </c>
      <c r="C2391" t="s">
        <v>2684</v>
      </c>
      <c r="D2391" t="s">
        <v>13</v>
      </c>
      <c r="E2391" t="s">
        <v>14</v>
      </c>
      <c r="F2391">
        <v>3.25</v>
      </c>
    </row>
    <row r="2392" spans="1:6" x14ac:dyDescent="0.25">
      <c r="A2392">
        <v>190</v>
      </c>
      <c r="B2392" t="s">
        <v>132</v>
      </c>
      <c r="C2392" t="s">
        <v>2685</v>
      </c>
      <c r="D2392" t="s">
        <v>13</v>
      </c>
      <c r="E2392" t="s">
        <v>69</v>
      </c>
      <c r="F2392">
        <v>2.9</v>
      </c>
    </row>
    <row r="2393" spans="1:6" x14ac:dyDescent="0.25">
      <c r="A2393">
        <v>189</v>
      </c>
      <c r="B2393" t="s">
        <v>15</v>
      </c>
      <c r="C2393" t="s">
        <v>2686</v>
      </c>
      <c r="D2393" t="s">
        <v>9</v>
      </c>
      <c r="E2393" t="s">
        <v>22</v>
      </c>
      <c r="F2393">
        <v>3</v>
      </c>
    </row>
    <row r="2394" spans="1:6" x14ac:dyDescent="0.25">
      <c r="A2394">
        <v>188</v>
      </c>
      <c r="B2394" t="s">
        <v>41</v>
      </c>
      <c r="C2394" t="s">
        <v>2687</v>
      </c>
      <c r="D2394" t="s">
        <v>13</v>
      </c>
      <c r="E2394" t="s">
        <v>25</v>
      </c>
      <c r="F2394">
        <v>4</v>
      </c>
    </row>
    <row r="2395" spans="1:6" x14ac:dyDescent="0.25">
      <c r="A2395">
        <v>187</v>
      </c>
      <c r="B2395" t="s">
        <v>54</v>
      </c>
      <c r="C2395" t="s">
        <v>2688</v>
      </c>
      <c r="D2395" t="s">
        <v>13</v>
      </c>
      <c r="E2395" t="s">
        <v>25</v>
      </c>
      <c r="F2395">
        <v>4</v>
      </c>
    </row>
    <row r="2396" spans="1:6" x14ac:dyDescent="0.25">
      <c r="A2396">
        <v>186</v>
      </c>
      <c r="B2396" t="s">
        <v>54</v>
      </c>
      <c r="C2396" t="s">
        <v>2689</v>
      </c>
      <c r="D2396" t="s">
        <v>13</v>
      </c>
      <c r="E2396" t="s">
        <v>25</v>
      </c>
      <c r="F2396">
        <v>3.5</v>
      </c>
    </row>
    <row r="2397" spans="1:6" x14ac:dyDescent="0.25">
      <c r="A2397">
        <v>185</v>
      </c>
      <c r="B2397" t="s">
        <v>258</v>
      </c>
      <c r="C2397" t="s">
        <v>2690</v>
      </c>
      <c r="D2397" t="s">
        <v>44</v>
      </c>
      <c r="E2397" t="s">
        <v>10</v>
      </c>
      <c r="F2397">
        <v>3.75</v>
      </c>
    </row>
    <row r="2398" spans="1:6" x14ac:dyDescent="0.25">
      <c r="A2398">
        <v>184</v>
      </c>
      <c r="B2398" t="s">
        <v>183</v>
      </c>
      <c r="C2398" t="s">
        <v>2691</v>
      </c>
      <c r="D2398" t="s">
        <v>13</v>
      </c>
      <c r="E2398" t="s">
        <v>10</v>
      </c>
      <c r="F2398">
        <v>3.75</v>
      </c>
    </row>
    <row r="2399" spans="1:6" x14ac:dyDescent="0.25">
      <c r="A2399">
        <v>183</v>
      </c>
      <c r="B2399" t="s">
        <v>15</v>
      </c>
      <c r="C2399" t="s">
        <v>2692</v>
      </c>
      <c r="D2399" t="s">
        <v>44</v>
      </c>
      <c r="E2399" t="s">
        <v>17</v>
      </c>
      <c r="F2399">
        <v>2</v>
      </c>
    </row>
    <row r="2400" spans="1:6" x14ac:dyDescent="0.25">
      <c r="A2400">
        <v>182</v>
      </c>
      <c r="B2400" t="s">
        <v>183</v>
      </c>
      <c r="C2400" t="s">
        <v>2693</v>
      </c>
      <c r="D2400" t="s">
        <v>13</v>
      </c>
      <c r="E2400" t="s">
        <v>10</v>
      </c>
      <c r="F2400">
        <v>3.25</v>
      </c>
    </row>
    <row r="2401" spans="1:6" x14ac:dyDescent="0.25">
      <c r="A2401">
        <v>181</v>
      </c>
      <c r="B2401" t="s">
        <v>326</v>
      </c>
      <c r="C2401" t="s">
        <v>2694</v>
      </c>
      <c r="D2401" t="s">
        <v>13</v>
      </c>
      <c r="E2401" t="s">
        <v>79</v>
      </c>
      <c r="F2401">
        <v>2</v>
      </c>
    </row>
    <row r="2402" spans="1:6" x14ac:dyDescent="0.25">
      <c r="A2402">
        <v>180</v>
      </c>
      <c r="B2402" t="s">
        <v>183</v>
      </c>
      <c r="C2402" t="s">
        <v>2695</v>
      </c>
      <c r="D2402" t="s">
        <v>30</v>
      </c>
      <c r="E2402" t="s">
        <v>10</v>
      </c>
      <c r="F2402">
        <v>4.75</v>
      </c>
    </row>
    <row r="2403" spans="1:6" x14ac:dyDescent="0.25">
      <c r="A2403">
        <v>179</v>
      </c>
      <c r="B2403" t="s">
        <v>897</v>
      </c>
      <c r="C2403" t="s">
        <v>988</v>
      </c>
      <c r="D2403" t="s">
        <v>13</v>
      </c>
      <c r="E2403" t="s">
        <v>38</v>
      </c>
      <c r="F2403">
        <v>3</v>
      </c>
    </row>
    <row r="2404" spans="1:6" x14ac:dyDescent="0.25">
      <c r="A2404">
        <v>178</v>
      </c>
      <c r="B2404" t="s">
        <v>897</v>
      </c>
      <c r="C2404" t="s">
        <v>2696</v>
      </c>
      <c r="D2404" t="s">
        <v>13</v>
      </c>
      <c r="E2404" t="s">
        <v>38</v>
      </c>
      <c r="F2404">
        <v>2</v>
      </c>
    </row>
    <row r="2405" spans="1:6" x14ac:dyDescent="0.25">
      <c r="A2405">
        <v>177</v>
      </c>
      <c r="B2405" t="s">
        <v>331</v>
      </c>
      <c r="C2405" t="s">
        <v>2697</v>
      </c>
      <c r="D2405" t="s">
        <v>13</v>
      </c>
      <c r="E2405" t="s">
        <v>53</v>
      </c>
      <c r="F2405">
        <v>3.75</v>
      </c>
    </row>
    <row r="2406" spans="1:6" x14ac:dyDescent="0.25">
      <c r="A2406">
        <v>176</v>
      </c>
      <c r="B2406" t="s">
        <v>54</v>
      </c>
      <c r="C2406" t="s">
        <v>2698</v>
      </c>
      <c r="D2406" t="s">
        <v>30</v>
      </c>
      <c r="E2406" t="s">
        <v>25</v>
      </c>
      <c r="F2406">
        <v>4.125</v>
      </c>
    </row>
    <row r="2407" spans="1:6" x14ac:dyDescent="0.25">
      <c r="A2407">
        <v>175</v>
      </c>
      <c r="B2407" t="s">
        <v>2198</v>
      </c>
      <c r="C2407" t="s">
        <v>2699</v>
      </c>
      <c r="D2407" t="s">
        <v>13</v>
      </c>
      <c r="E2407" t="s">
        <v>25</v>
      </c>
      <c r="F2407">
        <v>3</v>
      </c>
    </row>
    <row r="2408" spans="1:6" x14ac:dyDescent="0.25">
      <c r="A2408">
        <v>174</v>
      </c>
      <c r="B2408" t="s">
        <v>1157</v>
      </c>
      <c r="C2408" t="s">
        <v>2700</v>
      </c>
      <c r="D2408" t="s">
        <v>13</v>
      </c>
      <c r="E2408" t="s">
        <v>1159</v>
      </c>
      <c r="F2408">
        <v>0.25</v>
      </c>
    </row>
    <row r="2409" spans="1:6" x14ac:dyDescent="0.25">
      <c r="A2409">
        <v>173</v>
      </c>
      <c r="B2409" t="s">
        <v>1985</v>
      </c>
      <c r="C2409" t="s">
        <v>2701</v>
      </c>
      <c r="D2409" t="s">
        <v>13</v>
      </c>
      <c r="E2409" t="s">
        <v>14</v>
      </c>
      <c r="F2409">
        <v>1.5</v>
      </c>
    </row>
    <row r="2410" spans="1:6" x14ac:dyDescent="0.25">
      <c r="A2410">
        <v>172</v>
      </c>
      <c r="B2410" t="s">
        <v>897</v>
      </c>
      <c r="C2410" t="s">
        <v>2702</v>
      </c>
      <c r="D2410" t="s">
        <v>13</v>
      </c>
      <c r="E2410" t="s">
        <v>38</v>
      </c>
      <c r="F2410">
        <v>3.75</v>
      </c>
    </row>
    <row r="2411" spans="1:6" x14ac:dyDescent="0.25">
      <c r="A2411">
        <v>171</v>
      </c>
      <c r="B2411" t="s">
        <v>2198</v>
      </c>
      <c r="C2411" t="s">
        <v>2703</v>
      </c>
      <c r="D2411" t="s">
        <v>13</v>
      </c>
      <c r="E2411" t="s">
        <v>25</v>
      </c>
      <c r="F2411">
        <v>3.75</v>
      </c>
    </row>
    <row r="2412" spans="1:6" x14ac:dyDescent="0.25">
      <c r="A2412">
        <v>170</v>
      </c>
      <c r="B2412" t="s">
        <v>183</v>
      </c>
      <c r="C2412" t="s">
        <v>2704</v>
      </c>
      <c r="D2412" t="s">
        <v>13</v>
      </c>
      <c r="E2412" t="s">
        <v>10</v>
      </c>
      <c r="F2412">
        <v>3.5</v>
      </c>
    </row>
    <row r="2413" spans="1:6" x14ac:dyDescent="0.25">
      <c r="A2413">
        <v>169</v>
      </c>
      <c r="B2413" t="s">
        <v>2198</v>
      </c>
      <c r="C2413" t="s">
        <v>2705</v>
      </c>
      <c r="D2413" t="s">
        <v>13</v>
      </c>
      <c r="E2413" t="s">
        <v>25</v>
      </c>
      <c r="F2413">
        <v>2.25</v>
      </c>
    </row>
    <row r="2414" spans="1:6" x14ac:dyDescent="0.25">
      <c r="A2414">
        <v>168</v>
      </c>
      <c r="B2414" t="s">
        <v>2194</v>
      </c>
      <c r="C2414" t="s">
        <v>2706</v>
      </c>
      <c r="D2414" t="s">
        <v>44</v>
      </c>
      <c r="E2414" t="s">
        <v>10</v>
      </c>
      <c r="F2414">
        <v>3.75</v>
      </c>
    </row>
    <row r="2415" spans="1:6" x14ac:dyDescent="0.25">
      <c r="A2415">
        <v>167</v>
      </c>
      <c r="B2415" t="s">
        <v>322</v>
      </c>
      <c r="C2415" t="s">
        <v>2707</v>
      </c>
      <c r="D2415" t="s">
        <v>13</v>
      </c>
      <c r="E2415" t="s">
        <v>38</v>
      </c>
      <c r="F2415">
        <v>2.5</v>
      </c>
    </row>
    <row r="2416" spans="1:6" x14ac:dyDescent="0.25">
      <c r="A2416">
        <v>166</v>
      </c>
      <c r="B2416" t="s">
        <v>677</v>
      </c>
      <c r="C2416" t="s">
        <v>2708</v>
      </c>
      <c r="D2416" t="s">
        <v>13</v>
      </c>
      <c r="E2416" t="s">
        <v>17</v>
      </c>
      <c r="F2416">
        <v>3.25</v>
      </c>
    </row>
    <row r="2417" spans="1:6" x14ac:dyDescent="0.25">
      <c r="A2417">
        <v>165</v>
      </c>
      <c r="B2417" t="s">
        <v>588</v>
      </c>
      <c r="C2417" t="s">
        <v>2709</v>
      </c>
      <c r="D2417" t="s">
        <v>13</v>
      </c>
      <c r="E2417" t="s">
        <v>46</v>
      </c>
      <c r="F2417">
        <v>3.5</v>
      </c>
    </row>
    <row r="2418" spans="1:6" x14ac:dyDescent="0.25">
      <c r="A2418">
        <v>164</v>
      </c>
      <c r="B2418" t="s">
        <v>1985</v>
      </c>
      <c r="C2418" t="s">
        <v>2468</v>
      </c>
      <c r="D2418" t="s">
        <v>13</v>
      </c>
      <c r="E2418" t="s">
        <v>14</v>
      </c>
      <c r="F2418">
        <v>3.75</v>
      </c>
    </row>
    <row r="2419" spans="1:6" x14ac:dyDescent="0.25">
      <c r="A2419">
        <v>163</v>
      </c>
      <c r="B2419" t="s">
        <v>331</v>
      </c>
      <c r="C2419" t="s">
        <v>2710</v>
      </c>
      <c r="D2419" t="s">
        <v>13</v>
      </c>
      <c r="E2419" t="s">
        <v>53</v>
      </c>
      <c r="F2419">
        <v>3.5</v>
      </c>
    </row>
    <row r="2420" spans="1:6" x14ac:dyDescent="0.25">
      <c r="A2420">
        <v>162</v>
      </c>
      <c r="B2420" t="s">
        <v>183</v>
      </c>
      <c r="C2420" t="s">
        <v>2711</v>
      </c>
      <c r="D2420" t="s">
        <v>13</v>
      </c>
      <c r="E2420" t="s">
        <v>10</v>
      </c>
      <c r="F2420">
        <v>3.75</v>
      </c>
    </row>
    <row r="2421" spans="1:6" x14ac:dyDescent="0.25">
      <c r="A2421">
        <v>161</v>
      </c>
      <c r="B2421" t="s">
        <v>54</v>
      </c>
      <c r="C2421" t="s">
        <v>2712</v>
      </c>
      <c r="D2421" t="s">
        <v>13</v>
      </c>
      <c r="E2421" t="s">
        <v>25</v>
      </c>
      <c r="F2421">
        <v>0</v>
      </c>
    </row>
    <row r="2422" spans="1:6" x14ac:dyDescent="0.25">
      <c r="A2422">
        <v>160</v>
      </c>
      <c r="B2422" t="s">
        <v>183</v>
      </c>
      <c r="C2422" t="s">
        <v>2713</v>
      </c>
      <c r="D2422" t="s">
        <v>44</v>
      </c>
      <c r="E2422" t="s">
        <v>10</v>
      </c>
      <c r="F2422">
        <v>1.5</v>
      </c>
    </row>
    <row r="2423" spans="1:6" x14ac:dyDescent="0.25">
      <c r="A2423">
        <v>159</v>
      </c>
      <c r="B2423" t="s">
        <v>897</v>
      </c>
      <c r="C2423" t="s">
        <v>2714</v>
      </c>
      <c r="D2423" t="s">
        <v>13</v>
      </c>
      <c r="E2423" t="s">
        <v>38</v>
      </c>
      <c r="F2423">
        <v>1.75</v>
      </c>
    </row>
    <row r="2424" spans="1:6" x14ac:dyDescent="0.25">
      <c r="A2424">
        <v>158</v>
      </c>
      <c r="B2424" t="s">
        <v>897</v>
      </c>
      <c r="C2424" t="s">
        <v>2715</v>
      </c>
      <c r="D2424" t="s">
        <v>9</v>
      </c>
      <c r="E2424" t="s">
        <v>38</v>
      </c>
      <c r="F2424">
        <v>2.5</v>
      </c>
    </row>
    <row r="2425" spans="1:6" x14ac:dyDescent="0.25">
      <c r="A2425">
        <v>157</v>
      </c>
      <c r="B2425" t="s">
        <v>15</v>
      </c>
      <c r="C2425" t="s">
        <v>2716</v>
      </c>
      <c r="D2425" t="s">
        <v>9</v>
      </c>
      <c r="E2425" t="s">
        <v>1159</v>
      </c>
      <c r="F2425">
        <v>2</v>
      </c>
    </row>
    <row r="2426" spans="1:6" x14ac:dyDescent="0.25">
      <c r="A2426">
        <v>156</v>
      </c>
      <c r="B2426" t="s">
        <v>102</v>
      </c>
      <c r="C2426" t="s">
        <v>2717</v>
      </c>
      <c r="D2426" t="s">
        <v>9</v>
      </c>
      <c r="E2426" t="s">
        <v>17</v>
      </c>
      <c r="F2426">
        <v>3</v>
      </c>
    </row>
    <row r="2427" spans="1:6" x14ac:dyDescent="0.25">
      <c r="A2427">
        <v>155</v>
      </c>
      <c r="B2427" t="s">
        <v>1157</v>
      </c>
      <c r="C2427" t="s">
        <v>2718</v>
      </c>
      <c r="D2427" t="s">
        <v>13</v>
      </c>
      <c r="E2427" t="s">
        <v>1159</v>
      </c>
      <c r="F2427">
        <v>4.75</v>
      </c>
    </row>
    <row r="2428" spans="1:6" x14ac:dyDescent="0.25">
      <c r="A2428">
        <v>154</v>
      </c>
      <c r="B2428" t="s">
        <v>15</v>
      </c>
      <c r="C2428" t="s">
        <v>2719</v>
      </c>
      <c r="D2428" t="s">
        <v>9</v>
      </c>
      <c r="E2428" t="s">
        <v>17</v>
      </c>
      <c r="F2428">
        <v>1.75</v>
      </c>
    </row>
    <row r="2429" spans="1:6" x14ac:dyDescent="0.25">
      <c r="A2429">
        <v>153</v>
      </c>
      <c r="B2429" t="s">
        <v>374</v>
      </c>
      <c r="C2429" t="s">
        <v>2720</v>
      </c>
      <c r="D2429" t="s">
        <v>9</v>
      </c>
      <c r="E2429" t="s">
        <v>17</v>
      </c>
      <c r="F2429">
        <v>1.75</v>
      </c>
    </row>
    <row r="2430" spans="1:6" x14ac:dyDescent="0.25">
      <c r="A2430">
        <v>152</v>
      </c>
      <c r="B2430" t="s">
        <v>2179</v>
      </c>
      <c r="C2430" t="s">
        <v>2721</v>
      </c>
      <c r="D2430" t="s">
        <v>13</v>
      </c>
      <c r="E2430" t="s">
        <v>14</v>
      </c>
      <c r="F2430">
        <v>4.5</v>
      </c>
    </row>
    <row r="2431" spans="1:6" x14ac:dyDescent="0.25">
      <c r="A2431">
        <v>151</v>
      </c>
      <c r="B2431" t="s">
        <v>258</v>
      </c>
      <c r="C2431" t="s">
        <v>2722</v>
      </c>
      <c r="D2431" t="s">
        <v>13</v>
      </c>
      <c r="E2431" t="s">
        <v>10</v>
      </c>
      <c r="F2431">
        <v>3</v>
      </c>
    </row>
    <row r="2432" spans="1:6" x14ac:dyDescent="0.25">
      <c r="A2432">
        <v>150</v>
      </c>
      <c r="B2432" t="s">
        <v>2723</v>
      </c>
      <c r="C2432" t="s">
        <v>2724</v>
      </c>
      <c r="D2432" t="s">
        <v>44</v>
      </c>
      <c r="E2432" t="s">
        <v>25</v>
      </c>
      <c r="F2432">
        <v>4.25</v>
      </c>
    </row>
    <row r="2433" spans="1:6" x14ac:dyDescent="0.25">
      <c r="A2433">
        <v>149</v>
      </c>
      <c r="B2433" t="s">
        <v>102</v>
      </c>
      <c r="C2433" t="s">
        <v>2725</v>
      </c>
      <c r="D2433" t="s">
        <v>44</v>
      </c>
      <c r="E2433" t="s">
        <v>10</v>
      </c>
      <c r="F2433">
        <v>4</v>
      </c>
    </row>
    <row r="2434" spans="1:6" x14ac:dyDescent="0.25">
      <c r="A2434">
        <v>148</v>
      </c>
      <c r="B2434" t="s">
        <v>183</v>
      </c>
      <c r="C2434" t="s">
        <v>2726</v>
      </c>
      <c r="D2434" t="s">
        <v>13</v>
      </c>
      <c r="E2434" t="s">
        <v>10</v>
      </c>
      <c r="F2434">
        <v>3.75</v>
      </c>
    </row>
    <row r="2435" spans="1:6" x14ac:dyDescent="0.25">
      <c r="A2435">
        <v>147</v>
      </c>
      <c r="B2435" t="s">
        <v>2727</v>
      </c>
      <c r="C2435" t="s">
        <v>2728</v>
      </c>
      <c r="D2435" t="s">
        <v>13</v>
      </c>
      <c r="E2435" t="s">
        <v>10</v>
      </c>
      <c r="F2435">
        <v>5</v>
      </c>
    </row>
    <row r="2436" spans="1:6" x14ac:dyDescent="0.25">
      <c r="A2436">
        <v>146</v>
      </c>
      <c r="B2436" t="s">
        <v>897</v>
      </c>
      <c r="C2436" t="s">
        <v>2729</v>
      </c>
      <c r="D2436" t="s">
        <v>13</v>
      </c>
      <c r="E2436" t="s">
        <v>38</v>
      </c>
      <c r="F2436">
        <v>2.5</v>
      </c>
    </row>
    <row r="2437" spans="1:6" x14ac:dyDescent="0.25">
      <c r="A2437">
        <v>145</v>
      </c>
      <c r="B2437" t="s">
        <v>2730</v>
      </c>
      <c r="C2437" t="s">
        <v>2731</v>
      </c>
      <c r="D2437" t="s">
        <v>13</v>
      </c>
      <c r="E2437" t="s">
        <v>10</v>
      </c>
      <c r="F2437">
        <v>3.5</v>
      </c>
    </row>
    <row r="2438" spans="1:6" x14ac:dyDescent="0.25">
      <c r="A2438">
        <v>144</v>
      </c>
      <c r="B2438" t="s">
        <v>41</v>
      </c>
      <c r="C2438" t="s">
        <v>2732</v>
      </c>
      <c r="D2438" t="s">
        <v>13</v>
      </c>
      <c r="E2438" t="s">
        <v>25</v>
      </c>
      <c r="F2438">
        <v>3.5</v>
      </c>
    </row>
    <row r="2439" spans="1:6" x14ac:dyDescent="0.25">
      <c r="A2439">
        <v>143</v>
      </c>
      <c r="B2439" t="s">
        <v>897</v>
      </c>
      <c r="C2439" t="s">
        <v>2733</v>
      </c>
      <c r="D2439" t="s">
        <v>13</v>
      </c>
      <c r="E2439" t="s">
        <v>38</v>
      </c>
      <c r="F2439">
        <v>2.75</v>
      </c>
    </row>
    <row r="2440" spans="1:6" x14ac:dyDescent="0.25">
      <c r="A2440">
        <v>142</v>
      </c>
      <c r="B2440" t="s">
        <v>15</v>
      </c>
      <c r="C2440" t="s">
        <v>2734</v>
      </c>
      <c r="D2440" t="s">
        <v>30</v>
      </c>
      <c r="E2440" t="s">
        <v>17</v>
      </c>
      <c r="F2440">
        <v>4.5</v>
      </c>
    </row>
    <row r="2441" spans="1:6" x14ac:dyDescent="0.25">
      <c r="A2441">
        <v>141</v>
      </c>
      <c r="B2441" t="s">
        <v>2287</v>
      </c>
      <c r="C2441" t="s">
        <v>2735</v>
      </c>
      <c r="D2441" t="s">
        <v>13</v>
      </c>
      <c r="E2441" t="s">
        <v>25</v>
      </c>
      <c r="F2441">
        <v>2.5</v>
      </c>
    </row>
    <row r="2442" spans="1:6" x14ac:dyDescent="0.25">
      <c r="A2442">
        <v>140</v>
      </c>
      <c r="B2442" t="s">
        <v>897</v>
      </c>
      <c r="C2442" t="s">
        <v>2736</v>
      </c>
      <c r="D2442" t="s">
        <v>13</v>
      </c>
      <c r="E2442" t="s">
        <v>38</v>
      </c>
      <c r="F2442">
        <v>5</v>
      </c>
    </row>
    <row r="2443" spans="1:6" x14ac:dyDescent="0.25">
      <c r="A2443">
        <v>139</v>
      </c>
      <c r="B2443" t="s">
        <v>326</v>
      </c>
      <c r="C2443" t="s">
        <v>2737</v>
      </c>
      <c r="D2443" t="s">
        <v>13</v>
      </c>
      <c r="E2443" t="s">
        <v>79</v>
      </c>
      <c r="F2443">
        <v>1.75</v>
      </c>
    </row>
    <row r="2444" spans="1:6" x14ac:dyDescent="0.25">
      <c r="A2444">
        <v>138</v>
      </c>
      <c r="B2444" t="s">
        <v>1516</v>
      </c>
      <c r="C2444" t="s">
        <v>2738</v>
      </c>
      <c r="E2444" t="s">
        <v>14</v>
      </c>
      <c r="F2444">
        <v>3</v>
      </c>
    </row>
    <row r="2445" spans="1:6" x14ac:dyDescent="0.25">
      <c r="A2445">
        <v>137</v>
      </c>
      <c r="B2445" t="s">
        <v>15</v>
      </c>
      <c r="C2445" t="s">
        <v>2739</v>
      </c>
      <c r="D2445" t="s">
        <v>44</v>
      </c>
      <c r="E2445" t="s">
        <v>17</v>
      </c>
      <c r="F2445">
        <v>1.75</v>
      </c>
    </row>
    <row r="2446" spans="1:6" x14ac:dyDescent="0.25">
      <c r="A2446">
        <v>136</v>
      </c>
      <c r="B2446" t="s">
        <v>897</v>
      </c>
      <c r="C2446" t="s">
        <v>2740</v>
      </c>
      <c r="D2446" t="s">
        <v>13</v>
      </c>
      <c r="E2446" t="s">
        <v>38</v>
      </c>
      <c r="F2446">
        <v>5</v>
      </c>
    </row>
    <row r="2447" spans="1:6" x14ac:dyDescent="0.25">
      <c r="A2447">
        <v>135</v>
      </c>
      <c r="B2447" t="s">
        <v>1985</v>
      </c>
      <c r="C2447" t="s">
        <v>2741</v>
      </c>
      <c r="D2447" t="s">
        <v>13</v>
      </c>
      <c r="E2447" t="s">
        <v>14</v>
      </c>
      <c r="F2447">
        <v>3.25</v>
      </c>
    </row>
    <row r="2448" spans="1:6" x14ac:dyDescent="0.25">
      <c r="A2448">
        <v>134</v>
      </c>
      <c r="B2448" t="s">
        <v>2742</v>
      </c>
      <c r="C2448" t="s">
        <v>2743</v>
      </c>
      <c r="D2448" t="s">
        <v>44</v>
      </c>
      <c r="E2448" t="s">
        <v>25</v>
      </c>
      <c r="F2448">
        <v>2.25</v>
      </c>
    </row>
    <row r="2449" spans="1:6" x14ac:dyDescent="0.25">
      <c r="A2449">
        <v>133</v>
      </c>
      <c r="B2449" t="s">
        <v>900</v>
      </c>
      <c r="C2449" t="s">
        <v>2744</v>
      </c>
      <c r="D2449" t="s">
        <v>13</v>
      </c>
      <c r="E2449" t="s">
        <v>79</v>
      </c>
      <c r="F2449">
        <v>0</v>
      </c>
    </row>
    <row r="2450" spans="1:6" x14ac:dyDescent="0.25">
      <c r="A2450">
        <v>132</v>
      </c>
      <c r="B2450" t="s">
        <v>243</v>
      </c>
      <c r="C2450" t="s">
        <v>2745</v>
      </c>
      <c r="D2450" t="s">
        <v>13</v>
      </c>
      <c r="E2450" t="s">
        <v>14</v>
      </c>
      <c r="F2450">
        <v>3.5</v>
      </c>
    </row>
    <row r="2451" spans="1:6" x14ac:dyDescent="0.25">
      <c r="A2451">
        <v>131</v>
      </c>
      <c r="B2451" t="s">
        <v>1516</v>
      </c>
      <c r="C2451" t="s">
        <v>2746</v>
      </c>
      <c r="D2451" t="s">
        <v>13</v>
      </c>
      <c r="E2451" t="s">
        <v>14</v>
      </c>
      <c r="F2451">
        <v>3.25</v>
      </c>
    </row>
    <row r="2452" spans="1:6" x14ac:dyDescent="0.25">
      <c r="A2452">
        <v>130</v>
      </c>
      <c r="B2452" t="s">
        <v>374</v>
      </c>
      <c r="C2452" t="s">
        <v>2747</v>
      </c>
      <c r="D2452" t="s">
        <v>13</v>
      </c>
      <c r="E2452" t="s">
        <v>10</v>
      </c>
      <c r="F2452">
        <v>3.5</v>
      </c>
    </row>
    <row r="2453" spans="1:6" x14ac:dyDescent="0.25">
      <c r="A2453">
        <v>129</v>
      </c>
      <c r="B2453" t="s">
        <v>41</v>
      </c>
      <c r="C2453" t="s">
        <v>2748</v>
      </c>
      <c r="D2453" t="s">
        <v>13</v>
      </c>
      <c r="E2453" t="s">
        <v>25</v>
      </c>
      <c r="F2453">
        <v>3.5</v>
      </c>
    </row>
    <row r="2454" spans="1:6" x14ac:dyDescent="0.25">
      <c r="A2454">
        <v>128</v>
      </c>
      <c r="B2454" t="s">
        <v>897</v>
      </c>
      <c r="C2454" t="s">
        <v>2749</v>
      </c>
      <c r="D2454" t="s">
        <v>13</v>
      </c>
      <c r="E2454" t="s">
        <v>38</v>
      </c>
      <c r="F2454">
        <v>0.1</v>
      </c>
    </row>
    <row r="2455" spans="1:6" x14ac:dyDescent="0.25">
      <c r="A2455">
        <v>127</v>
      </c>
      <c r="B2455" t="s">
        <v>331</v>
      </c>
      <c r="C2455" t="s">
        <v>2045</v>
      </c>
      <c r="D2455" t="s">
        <v>13</v>
      </c>
      <c r="E2455" t="s">
        <v>53</v>
      </c>
      <c r="F2455">
        <v>2.8</v>
      </c>
    </row>
    <row r="2456" spans="1:6" x14ac:dyDescent="0.25">
      <c r="A2456">
        <v>126</v>
      </c>
      <c r="B2456" t="s">
        <v>897</v>
      </c>
      <c r="C2456" t="s">
        <v>2750</v>
      </c>
      <c r="D2456" t="s">
        <v>13</v>
      </c>
      <c r="E2456" t="s">
        <v>38</v>
      </c>
      <c r="F2456">
        <v>1.5</v>
      </c>
    </row>
    <row r="2457" spans="1:6" x14ac:dyDescent="0.25">
      <c r="A2457">
        <v>125</v>
      </c>
      <c r="B2457" t="s">
        <v>258</v>
      </c>
      <c r="C2457" t="s">
        <v>2751</v>
      </c>
      <c r="D2457" t="s">
        <v>13</v>
      </c>
      <c r="E2457" t="s">
        <v>10</v>
      </c>
      <c r="F2457">
        <v>3</v>
      </c>
    </row>
    <row r="2458" spans="1:6" x14ac:dyDescent="0.25">
      <c r="A2458">
        <v>124</v>
      </c>
      <c r="B2458" t="s">
        <v>15</v>
      </c>
      <c r="C2458" t="s">
        <v>2752</v>
      </c>
      <c r="D2458" t="s">
        <v>30</v>
      </c>
      <c r="E2458" t="s">
        <v>10</v>
      </c>
      <c r="F2458">
        <v>5</v>
      </c>
    </row>
    <row r="2459" spans="1:6" x14ac:dyDescent="0.25">
      <c r="A2459">
        <v>123</v>
      </c>
      <c r="B2459" t="s">
        <v>322</v>
      </c>
      <c r="C2459" t="s">
        <v>2753</v>
      </c>
      <c r="D2459" t="s">
        <v>13</v>
      </c>
      <c r="E2459" t="s">
        <v>38</v>
      </c>
      <c r="F2459">
        <v>3.7</v>
      </c>
    </row>
    <row r="2460" spans="1:6" x14ac:dyDescent="0.25">
      <c r="A2460">
        <v>122</v>
      </c>
      <c r="B2460" t="s">
        <v>588</v>
      </c>
      <c r="C2460" t="s">
        <v>2754</v>
      </c>
      <c r="D2460" t="s">
        <v>13</v>
      </c>
      <c r="E2460" t="s">
        <v>46</v>
      </c>
      <c r="F2460">
        <v>4</v>
      </c>
    </row>
    <row r="2461" spans="1:6" x14ac:dyDescent="0.25">
      <c r="A2461">
        <v>121</v>
      </c>
      <c r="B2461" t="s">
        <v>74</v>
      </c>
      <c r="C2461" t="s">
        <v>2755</v>
      </c>
      <c r="D2461" t="s">
        <v>13</v>
      </c>
      <c r="E2461" t="s">
        <v>25</v>
      </c>
      <c r="F2461">
        <v>4</v>
      </c>
    </row>
    <row r="2462" spans="1:6" x14ac:dyDescent="0.25">
      <c r="A2462">
        <v>120</v>
      </c>
      <c r="B2462" t="s">
        <v>2198</v>
      </c>
      <c r="C2462" t="s">
        <v>1933</v>
      </c>
      <c r="D2462" t="s">
        <v>13</v>
      </c>
      <c r="E2462" t="s">
        <v>25</v>
      </c>
      <c r="F2462">
        <v>4</v>
      </c>
    </row>
    <row r="2463" spans="1:6" x14ac:dyDescent="0.25">
      <c r="A2463">
        <v>119</v>
      </c>
      <c r="B2463" t="s">
        <v>243</v>
      </c>
      <c r="C2463" t="s">
        <v>2756</v>
      </c>
      <c r="D2463" t="s">
        <v>13</v>
      </c>
      <c r="E2463" t="s">
        <v>14</v>
      </c>
      <c r="F2463">
        <v>3.4</v>
      </c>
    </row>
    <row r="2464" spans="1:6" x14ac:dyDescent="0.25">
      <c r="A2464">
        <v>118</v>
      </c>
      <c r="B2464" t="s">
        <v>54</v>
      </c>
      <c r="C2464" t="s">
        <v>475</v>
      </c>
      <c r="D2464" t="s">
        <v>13</v>
      </c>
      <c r="E2464" t="s">
        <v>25</v>
      </c>
      <c r="F2464">
        <v>3.75</v>
      </c>
    </row>
    <row r="2465" spans="1:7" x14ac:dyDescent="0.25">
      <c r="A2465">
        <v>117</v>
      </c>
      <c r="B2465" t="s">
        <v>74</v>
      </c>
      <c r="C2465" t="s">
        <v>2757</v>
      </c>
      <c r="D2465" t="s">
        <v>13</v>
      </c>
      <c r="E2465" t="s">
        <v>25</v>
      </c>
      <c r="F2465">
        <v>4</v>
      </c>
    </row>
    <row r="2466" spans="1:7" x14ac:dyDescent="0.25">
      <c r="A2466">
        <v>116</v>
      </c>
      <c r="B2466" t="s">
        <v>897</v>
      </c>
      <c r="C2466" t="s">
        <v>2758</v>
      </c>
      <c r="D2466" t="s">
        <v>13</v>
      </c>
      <c r="E2466" t="s">
        <v>38</v>
      </c>
      <c r="F2466">
        <v>3.6</v>
      </c>
    </row>
    <row r="2467" spans="1:7" x14ac:dyDescent="0.25">
      <c r="A2467">
        <v>115</v>
      </c>
      <c r="B2467" t="s">
        <v>74</v>
      </c>
      <c r="C2467" t="s">
        <v>2759</v>
      </c>
      <c r="D2467" t="s">
        <v>13</v>
      </c>
      <c r="E2467" t="s">
        <v>25</v>
      </c>
      <c r="F2467">
        <v>2.8</v>
      </c>
    </row>
    <row r="2468" spans="1:7" x14ac:dyDescent="0.25">
      <c r="A2468">
        <v>114</v>
      </c>
      <c r="B2468" t="s">
        <v>2198</v>
      </c>
      <c r="C2468" t="s">
        <v>988</v>
      </c>
      <c r="D2468" t="s">
        <v>13</v>
      </c>
      <c r="E2468" t="s">
        <v>25</v>
      </c>
      <c r="F2468">
        <v>2.9</v>
      </c>
    </row>
    <row r="2469" spans="1:7" x14ac:dyDescent="0.25">
      <c r="A2469">
        <v>113</v>
      </c>
      <c r="B2469" t="s">
        <v>41</v>
      </c>
      <c r="C2469" t="s">
        <v>2760</v>
      </c>
      <c r="D2469" t="s">
        <v>13</v>
      </c>
      <c r="E2469" t="s">
        <v>25</v>
      </c>
      <c r="F2469">
        <v>4</v>
      </c>
    </row>
    <row r="2470" spans="1:7" x14ac:dyDescent="0.25">
      <c r="A2470">
        <v>112</v>
      </c>
      <c r="B2470" t="s">
        <v>74</v>
      </c>
      <c r="C2470" t="s">
        <v>2761</v>
      </c>
      <c r="D2470" t="s">
        <v>13</v>
      </c>
      <c r="E2470" t="s">
        <v>25</v>
      </c>
      <c r="F2470">
        <v>3.75</v>
      </c>
    </row>
    <row r="2471" spans="1:7" x14ac:dyDescent="0.25">
      <c r="A2471">
        <v>111</v>
      </c>
      <c r="B2471" t="s">
        <v>74</v>
      </c>
      <c r="C2471" t="s">
        <v>2762</v>
      </c>
      <c r="D2471" t="s">
        <v>13</v>
      </c>
      <c r="E2471" t="s">
        <v>25</v>
      </c>
      <c r="F2471">
        <v>3.25</v>
      </c>
    </row>
    <row r="2472" spans="1:7" x14ac:dyDescent="0.25">
      <c r="A2472">
        <v>110</v>
      </c>
      <c r="B2472" t="s">
        <v>1157</v>
      </c>
      <c r="C2472" t="s">
        <v>2240</v>
      </c>
      <c r="D2472" t="s">
        <v>13</v>
      </c>
      <c r="E2472" t="s">
        <v>1159</v>
      </c>
      <c r="F2472">
        <v>1.5</v>
      </c>
    </row>
    <row r="2473" spans="1:7" x14ac:dyDescent="0.25">
      <c r="A2473">
        <v>109</v>
      </c>
      <c r="B2473" t="s">
        <v>897</v>
      </c>
      <c r="C2473" t="s">
        <v>2763</v>
      </c>
      <c r="D2473" t="s">
        <v>13</v>
      </c>
      <c r="E2473" t="s">
        <v>38</v>
      </c>
      <c r="F2473">
        <v>3.1</v>
      </c>
    </row>
    <row r="2474" spans="1:7" x14ac:dyDescent="0.25">
      <c r="A2474">
        <v>108</v>
      </c>
      <c r="B2474" t="s">
        <v>2764</v>
      </c>
      <c r="C2474" t="s">
        <v>2765</v>
      </c>
      <c r="D2474" t="s">
        <v>44</v>
      </c>
      <c r="E2474" t="s">
        <v>17</v>
      </c>
      <c r="F2474">
        <v>2</v>
      </c>
    </row>
    <row r="2475" spans="1:7" x14ac:dyDescent="0.25">
      <c r="A2475">
        <v>107</v>
      </c>
      <c r="B2475" t="s">
        <v>74</v>
      </c>
      <c r="C2475" t="s">
        <v>2766</v>
      </c>
      <c r="D2475" t="s">
        <v>13</v>
      </c>
      <c r="E2475" t="s">
        <v>25</v>
      </c>
      <c r="F2475">
        <v>1.1000000000000001</v>
      </c>
    </row>
    <row r="2476" spans="1:7" x14ac:dyDescent="0.25">
      <c r="A2476">
        <v>106</v>
      </c>
      <c r="B2476" t="s">
        <v>2094</v>
      </c>
      <c r="C2476" t="s">
        <v>2767</v>
      </c>
      <c r="D2476" t="s">
        <v>13</v>
      </c>
      <c r="E2476" t="s">
        <v>38</v>
      </c>
      <c r="F2476">
        <v>0.5</v>
      </c>
    </row>
    <row r="2477" spans="1:7" x14ac:dyDescent="0.25">
      <c r="A2477">
        <v>105</v>
      </c>
      <c r="B2477" t="s">
        <v>135</v>
      </c>
      <c r="C2477" t="s">
        <v>2768</v>
      </c>
      <c r="D2477" t="s">
        <v>13</v>
      </c>
      <c r="E2477" t="s">
        <v>73</v>
      </c>
      <c r="F2477">
        <v>5</v>
      </c>
      <c r="G2477" t="s">
        <v>2769</v>
      </c>
    </row>
    <row r="2478" spans="1:7" x14ac:dyDescent="0.25">
      <c r="A2478">
        <v>104</v>
      </c>
      <c r="B2478" t="s">
        <v>102</v>
      </c>
      <c r="C2478" t="s">
        <v>2770</v>
      </c>
      <c r="D2478" t="s">
        <v>13</v>
      </c>
      <c r="E2478" t="s">
        <v>17</v>
      </c>
      <c r="F2478">
        <v>2</v>
      </c>
    </row>
    <row r="2479" spans="1:7" x14ac:dyDescent="0.25">
      <c r="A2479">
        <v>103</v>
      </c>
      <c r="B2479" t="s">
        <v>243</v>
      </c>
      <c r="C2479" t="s">
        <v>2731</v>
      </c>
      <c r="D2479" t="s">
        <v>13</v>
      </c>
      <c r="E2479" t="s">
        <v>14</v>
      </c>
      <c r="F2479">
        <v>3</v>
      </c>
    </row>
    <row r="2480" spans="1:7" x14ac:dyDescent="0.25">
      <c r="A2480">
        <v>102</v>
      </c>
      <c r="B2480" t="s">
        <v>135</v>
      </c>
      <c r="C2480" t="s">
        <v>2771</v>
      </c>
      <c r="D2480" t="s">
        <v>13</v>
      </c>
      <c r="E2480" t="s">
        <v>73</v>
      </c>
      <c r="F2480">
        <v>1.5</v>
      </c>
    </row>
    <row r="2481" spans="1:6" x14ac:dyDescent="0.25">
      <c r="A2481">
        <v>101</v>
      </c>
      <c r="B2481" t="s">
        <v>243</v>
      </c>
      <c r="C2481" t="s">
        <v>2772</v>
      </c>
      <c r="D2481" t="s">
        <v>13</v>
      </c>
      <c r="E2481" t="s">
        <v>14</v>
      </c>
      <c r="F2481">
        <v>4.25</v>
      </c>
    </row>
    <row r="2482" spans="1:6" x14ac:dyDescent="0.25">
      <c r="A2482">
        <v>100</v>
      </c>
      <c r="B2482" t="s">
        <v>1985</v>
      </c>
      <c r="C2482" t="s">
        <v>2773</v>
      </c>
      <c r="D2482" t="s">
        <v>13</v>
      </c>
      <c r="E2482" t="s">
        <v>14</v>
      </c>
      <c r="F2482">
        <v>2.85</v>
      </c>
    </row>
    <row r="2483" spans="1:6" x14ac:dyDescent="0.25">
      <c r="A2483">
        <v>99</v>
      </c>
      <c r="B2483" t="s">
        <v>243</v>
      </c>
      <c r="C2483" t="s">
        <v>2774</v>
      </c>
      <c r="D2483" t="s">
        <v>13</v>
      </c>
      <c r="E2483" t="s">
        <v>14</v>
      </c>
      <c r="F2483">
        <v>2.75</v>
      </c>
    </row>
    <row r="2484" spans="1:6" x14ac:dyDescent="0.25">
      <c r="A2484">
        <v>98</v>
      </c>
      <c r="B2484" t="s">
        <v>1985</v>
      </c>
      <c r="C2484" t="s">
        <v>2775</v>
      </c>
      <c r="D2484" t="s">
        <v>13</v>
      </c>
      <c r="E2484" t="s">
        <v>14</v>
      </c>
      <c r="F2484">
        <v>2.5</v>
      </c>
    </row>
    <row r="2485" spans="1:6" x14ac:dyDescent="0.25">
      <c r="A2485">
        <v>97</v>
      </c>
      <c r="B2485" t="s">
        <v>2176</v>
      </c>
      <c r="C2485" t="s">
        <v>2776</v>
      </c>
      <c r="D2485" t="s">
        <v>13</v>
      </c>
      <c r="E2485" t="s">
        <v>53</v>
      </c>
      <c r="F2485">
        <v>2.5</v>
      </c>
    </row>
    <row r="2486" spans="1:6" x14ac:dyDescent="0.25">
      <c r="A2486">
        <v>96</v>
      </c>
      <c r="B2486" t="s">
        <v>2176</v>
      </c>
      <c r="C2486" t="s">
        <v>2279</v>
      </c>
      <c r="D2486" t="s">
        <v>13</v>
      </c>
      <c r="E2486" t="s">
        <v>53</v>
      </c>
      <c r="F2486">
        <v>3.75</v>
      </c>
    </row>
    <row r="2487" spans="1:6" x14ac:dyDescent="0.25">
      <c r="A2487">
        <v>95</v>
      </c>
      <c r="B2487" t="s">
        <v>18</v>
      </c>
      <c r="C2487" t="s">
        <v>2468</v>
      </c>
      <c r="D2487" t="s">
        <v>13</v>
      </c>
      <c r="E2487" t="s">
        <v>14</v>
      </c>
      <c r="F2487">
        <v>1</v>
      </c>
    </row>
    <row r="2488" spans="1:6" x14ac:dyDescent="0.25">
      <c r="A2488">
        <v>94</v>
      </c>
      <c r="B2488" t="s">
        <v>897</v>
      </c>
      <c r="C2488" t="s">
        <v>2240</v>
      </c>
      <c r="D2488" t="s">
        <v>13</v>
      </c>
      <c r="E2488" t="s">
        <v>38</v>
      </c>
      <c r="F2488">
        <v>2.5</v>
      </c>
    </row>
    <row r="2489" spans="1:6" x14ac:dyDescent="0.25">
      <c r="A2489">
        <v>93</v>
      </c>
      <c r="B2489" t="s">
        <v>2140</v>
      </c>
      <c r="C2489" t="s">
        <v>2777</v>
      </c>
      <c r="D2489" t="s">
        <v>13</v>
      </c>
      <c r="E2489" t="s">
        <v>1159</v>
      </c>
      <c r="F2489">
        <v>4.5</v>
      </c>
    </row>
    <row r="2490" spans="1:6" x14ac:dyDescent="0.25">
      <c r="A2490">
        <v>92</v>
      </c>
      <c r="B2490" t="s">
        <v>230</v>
      </c>
      <c r="C2490" t="s">
        <v>2440</v>
      </c>
      <c r="D2490" t="s">
        <v>44</v>
      </c>
      <c r="E2490" t="s">
        <v>38</v>
      </c>
      <c r="F2490">
        <v>2</v>
      </c>
    </row>
    <row r="2491" spans="1:6" x14ac:dyDescent="0.25">
      <c r="A2491">
        <v>91</v>
      </c>
      <c r="B2491" t="s">
        <v>51</v>
      </c>
      <c r="C2491" t="s">
        <v>2778</v>
      </c>
      <c r="D2491" t="s">
        <v>13</v>
      </c>
      <c r="E2491" t="s">
        <v>53</v>
      </c>
      <c r="F2491">
        <v>2.75</v>
      </c>
    </row>
    <row r="2492" spans="1:6" x14ac:dyDescent="0.25">
      <c r="A2492">
        <v>90</v>
      </c>
      <c r="B2492" t="s">
        <v>1976</v>
      </c>
      <c r="C2492" t="s">
        <v>2779</v>
      </c>
      <c r="D2492" t="s">
        <v>13</v>
      </c>
      <c r="E2492" t="s">
        <v>79</v>
      </c>
      <c r="F2492">
        <v>2.2999999999999998</v>
      </c>
    </row>
    <row r="2493" spans="1:6" x14ac:dyDescent="0.25">
      <c r="A2493">
        <v>89</v>
      </c>
      <c r="B2493" t="s">
        <v>1516</v>
      </c>
      <c r="C2493" t="s">
        <v>2780</v>
      </c>
      <c r="D2493" t="s">
        <v>13</v>
      </c>
      <c r="E2493" t="s">
        <v>14</v>
      </c>
      <c r="F2493">
        <v>3.2</v>
      </c>
    </row>
    <row r="2494" spans="1:6" x14ac:dyDescent="0.25">
      <c r="A2494">
        <v>88</v>
      </c>
      <c r="B2494" t="s">
        <v>54</v>
      </c>
      <c r="C2494" t="s">
        <v>2781</v>
      </c>
      <c r="D2494" t="s">
        <v>13</v>
      </c>
      <c r="E2494" t="s">
        <v>25</v>
      </c>
      <c r="F2494">
        <v>3.25</v>
      </c>
    </row>
    <row r="2495" spans="1:6" x14ac:dyDescent="0.25">
      <c r="A2495">
        <v>87</v>
      </c>
      <c r="B2495" t="s">
        <v>322</v>
      </c>
      <c r="C2495" t="s">
        <v>2782</v>
      </c>
      <c r="D2495" t="s">
        <v>13</v>
      </c>
      <c r="E2495" t="s">
        <v>38</v>
      </c>
      <c r="F2495">
        <v>2.75</v>
      </c>
    </row>
    <row r="2496" spans="1:6" x14ac:dyDescent="0.25">
      <c r="A2496">
        <v>86</v>
      </c>
      <c r="B2496" t="s">
        <v>1985</v>
      </c>
      <c r="C2496" t="s">
        <v>2783</v>
      </c>
      <c r="D2496" t="s">
        <v>13</v>
      </c>
      <c r="E2496" t="s">
        <v>14</v>
      </c>
      <c r="F2496">
        <v>3.65</v>
      </c>
    </row>
    <row r="2497" spans="1:6" x14ac:dyDescent="0.25">
      <c r="A2497">
        <v>85</v>
      </c>
      <c r="B2497" t="s">
        <v>15</v>
      </c>
      <c r="C2497" t="s">
        <v>2784</v>
      </c>
      <c r="D2497" t="s">
        <v>13</v>
      </c>
      <c r="E2497" t="s">
        <v>10</v>
      </c>
      <c r="F2497">
        <v>3.75</v>
      </c>
    </row>
    <row r="2498" spans="1:6" x14ac:dyDescent="0.25">
      <c r="A2498">
        <v>84</v>
      </c>
      <c r="B2498" t="s">
        <v>2198</v>
      </c>
      <c r="C2498" t="s">
        <v>2785</v>
      </c>
      <c r="D2498" t="s">
        <v>13</v>
      </c>
      <c r="E2498" t="s">
        <v>25</v>
      </c>
      <c r="F2498">
        <v>1.8</v>
      </c>
    </row>
    <row r="2499" spans="1:6" x14ac:dyDescent="0.25">
      <c r="A2499">
        <v>83</v>
      </c>
      <c r="B2499" t="s">
        <v>15</v>
      </c>
      <c r="C2499" t="s">
        <v>2786</v>
      </c>
      <c r="D2499" t="s">
        <v>13</v>
      </c>
      <c r="E2499" t="s">
        <v>10</v>
      </c>
      <c r="F2499">
        <v>2</v>
      </c>
    </row>
    <row r="2500" spans="1:6" x14ac:dyDescent="0.25">
      <c r="A2500">
        <v>82</v>
      </c>
      <c r="B2500" t="s">
        <v>15</v>
      </c>
      <c r="C2500" t="s">
        <v>2787</v>
      </c>
      <c r="D2500" t="s">
        <v>13</v>
      </c>
      <c r="E2500" t="s">
        <v>10</v>
      </c>
      <c r="F2500">
        <v>2.75</v>
      </c>
    </row>
    <row r="2501" spans="1:6" x14ac:dyDescent="0.25">
      <c r="A2501">
        <v>81</v>
      </c>
      <c r="B2501" t="s">
        <v>1985</v>
      </c>
      <c r="C2501" t="s">
        <v>2146</v>
      </c>
      <c r="D2501" t="s">
        <v>13</v>
      </c>
      <c r="E2501" t="s">
        <v>14</v>
      </c>
      <c r="F2501">
        <v>3.5</v>
      </c>
    </row>
    <row r="2502" spans="1:6" x14ac:dyDescent="0.25">
      <c r="A2502">
        <v>80</v>
      </c>
      <c r="B2502" t="s">
        <v>1985</v>
      </c>
      <c r="C2502" t="s">
        <v>2240</v>
      </c>
      <c r="D2502" t="s">
        <v>13</v>
      </c>
      <c r="E2502" t="s">
        <v>14</v>
      </c>
      <c r="F2502">
        <v>3.5</v>
      </c>
    </row>
    <row r="2503" spans="1:6" x14ac:dyDescent="0.25">
      <c r="A2503">
        <v>79</v>
      </c>
      <c r="B2503" t="s">
        <v>374</v>
      </c>
      <c r="C2503" t="s">
        <v>324</v>
      </c>
      <c r="D2503" t="s">
        <v>13</v>
      </c>
      <c r="E2503" t="s">
        <v>10</v>
      </c>
      <c r="F2503">
        <v>3.25</v>
      </c>
    </row>
    <row r="2504" spans="1:6" x14ac:dyDescent="0.25">
      <c r="A2504">
        <v>78</v>
      </c>
      <c r="B2504" t="s">
        <v>15</v>
      </c>
      <c r="C2504" t="s">
        <v>2788</v>
      </c>
      <c r="D2504" t="s">
        <v>13</v>
      </c>
      <c r="E2504" t="s">
        <v>10</v>
      </c>
      <c r="F2504">
        <v>2.5</v>
      </c>
    </row>
    <row r="2505" spans="1:6" x14ac:dyDescent="0.25">
      <c r="A2505">
        <v>77</v>
      </c>
      <c r="B2505" t="s">
        <v>15</v>
      </c>
      <c r="C2505" t="s">
        <v>2789</v>
      </c>
      <c r="D2505" t="s">
        <v>13</v>
      </c>
      <c r="E2505" t="s">
        <v>10</v>
      </c>
      <c r="F2505">
        <v>3.25</v>
      </c>
    </row>
    <row r="2506" spans="1:6" x14ac:dyDescent="0.25">
      <c r="A2506">
        <v>76</v>
      </c>
      <c r="B2506" t="s">
        <v>135</v>
      </c>
      <c r="C2506" t="s">
        <v>2790</v>
      </c>
      <c r="D2506" t="s">
        <v>13</v>
      </c>
      <c r="E2506" t="s">
        <v>73</v>
      </c>
      <c r="F2506">
        <v>2.5</v>
      </c>
    </row>
    <row r="2507" spans="1:6" x14ac:dyDescent="0.25">
      <c r="A2507">
        <v>75</v>
      </c>
      <c r="B2507" t="s">
        <v>135</v>
      </c>
      <c r="C2507" t="s">
        <v>2791</v>
      </c>
      <c r="D2507" t="s">
        <v>13</v>
      </c>
      <c r="E2507" t="s">
        <v>73</v>
      </c>
      <c r="F2507">
        <v>4.5</v>
      </c>
    </row>
    <row r="2508" spans="1:6" x14ac:dyDescent="0.25">
      <c r="A2508">
        <v>74</v>
      </c>
      <c r="B2508" t="s">
        <v>15</v>
      </c>
      <c r="C2508" t="s">
        <v>2792</v>
      </c>
      <c r="D2508" t="s">
        <v>13</v>
      </c>
      <c r="E2508" t="s">
        <v>10</v>
      </c>
      <c r="F2508">
        <v>4</v>
      </c>
    </row>
    <row r="2509" spans="1:6" x14ac:dyDescent="0.25">
      <c r="A2509">
        <v>73</v>
      </c>
      <c r="B2509" t="s">
        <v>15</v>
      </c>
      <c r="C2509" t="s">
        <v>2793</v>
      </c>
      <c r="D2509" t="s">
        <v>13</v>
      </c>
      <c r="E2509" t="s">
        <v>10</v>
      </c>
      <c r="F2509">
        <v>3.5</v>
      </c>
    </row>
    <row r="2510" spans="1:6" x14ac:dyDescent="0.25">
      <c r="A2510">
        <v>72</v>
      </c>
      <c r="B2510" t="s">
        <v>15</v>
      </c>
      <c r="C2510" t="s">
        <v>2794</v>
      </c>
      <c r="D2510" t="s">
        <v>13</v>
      </c>
      <c r="E2510" t="s">
        <v>10</v>
      </c>
      <c r="F2510">
        <v>3.5</v>
      </c>
    </row>
    <row r="2511" spans="1:6" x14ac:dyDescent="0.25">
      <c r="A2511">
        <v>71</v>
      </c>
      <c r="B2511" t="s">
        <v>15</v>
      </c>
      <c r="C2511" t="s">
        <v>2795</v>
      </c>
      <c r="D2511" t="s">
        <v>13</v>
      </c>
      <c r="E2511" t="s">
        <v>10</v>
      </c>
      <c r="F2511">
        <v>2.5</v>
      </c>
    </row>
    <row r="2512" spans="1:6" x14ac:dyDescent="0.25">
      <c r="A2512">
        <v>70</v>
      </c>
      <c r="B2512" t="s">
        <v>15</v>
      </c>
      <c r="C2512" t="s">
        <v>2796</v>
      </c>
      <c r="D2512" t="s">
        <v>13</v>
      </c>
      <c r="E2512" t="s">
        <v>10</v>
      </c>
      <c r="F2512">
        <v>4</v>
      </c>
    </row>
    <row r="2513" spans="1:6" x14ac:dyDescent="0.25">
      <c r="A2513">
        <v>69</v>
      </c>
      <c r="B2513" t="s">
        <v>900</v>
      </c>
      <c r="C2513" t="s">
        <v>2797</v>
      </c>
      <c r="D2513" t="s">
        <v>13</v>
      </c>
      <c r="E2513" t="s">
        <v>79</v>
      </c>
      <c r="F2513">
        <v>1.75</v>
      </c>
    </row>
    <row r="2514" spans="1:6" x14ac:dyDescent="0.25">
      <c r="A2514">
        <v>68</v>
      </c>
      <c r="B2514" t="s">
        <v>18</v>
      </c>
      <c r="C2514" t="s">
        <v>2798</v>
      </c>
      <c r="D2514" t="s">
        <v>13</v>
      </c>
      <c r="E2514" t="s">
        <v>14</v>
      </c>
      <c r="F2514">
        <v>4</v>
      </c>
    </row>
    <row r="2515" spans="1:6" x14ac:dyDescent="0.25">
      <c r="A2515">
        <v>67</v>
      </c>
      <c r="B2515" t="s">
        <v>102</v>
      </c>
      <c r="C2515" t="s">
        <v>2799</v>
      </c>
      <c r="D2515" t="s">
        <v>13</v>
      </c>
      <c r="E2515" t="s">
        <v>17</v>
      </c>
      <c r="F2515">
        <v>2</v>
      </c>
    </row>
    <row r="2516" spans="1:6" x14ac:dyDescent="0.25">
      <c r="A2516">
        <v>66</v>
      </c>
      <c r="B2516" t="s">
        <v>102</v>
      </c>
      <c r="C2516" t="s">
        <v>2800</v>
      </c>
      <c r="D2516" t="s">
        <v>13</v>
      </c>
      <c r="E2516" t="s">
        <v>17</v>
      </c>
      <c r="F2516">
        <v>4</v>
      </c>
    </row>
    <row r="2517" spans="1:6" x14ac:dyDescent="0.25">
      <c r="A2517">
        <v>65</v>
      </c>
      <c r="B2517" t="s">
        <v>15</v>
      </c>
      <c r="C2517" t="s">
        <v>2801</v>
      </c>
      <c r="D2517" t="s">
        <v>13</v>
      </c>
      <c r="E2517" t="s">
        <v>17</v>
      </c>
      <c r="F2517">
        <v>2.5</v>
      </c>
    </row>
    <row r="2518" spans="1:6" x14ac:dyDescent="0.25">
      <c r="A2518">
        <v>64</v>
      </c>
      <c r="B2518" t="s">
        <v>374</v>
      </c>
      <c r="C2518" t="s">
        <v>2357</v>
      </c>
      <c r="D2518" t="s">
        <v>13</v>
      </c>
      <c r="E2518" t="s">
        <v>17</v>
      </c>
      <c r="F2518">
        <v>3.5</v>
      </c>
    </row>
    <row r="2519" spans="1:6" x14ac:dyDescent="0.25">
      <c r="A2519">
        <v>63</v>
      </c>
      <c r="B2519" t="s">
        <v>15</v>
      </c>
      <c r="C2519" t="s">
        <v>2802</v>
      </c>
      <c r="D2519" t="s">
        <v>44</v>
      </c>
      <c r="E2519" t="s">
        <v>10</v>
      </c>
      <c r="F2519">
        <v>3</v>
      </c>
    </row>
    <row r="2520" spans="1:6" x14ac:dyDescent="0.25">
      <c r="A2520">
        <v>62</v>
      </c>
      <c r="B2520" t="s">
        <v>132</v>
      </c>
      <c r="C2520" t="s">
        <v>2803</v>
      </c>
      <c r="D2520" t="s">
        <v>13</v>
      </c>
      <c r="E2520" t="s">
        <v>22</v>
      </c>
      <c r="F2520">
        <v>1.5</v>
      </c>
    </row>
    <row r="2521" spans="1:6" x14ac:dyDescent="0.25">
      <c r="A2521">
        <v>61</v>
      </c>
      <c r="B2521" t="s">
        <v>132</v>
      </c>
      <c r="C2521" t="s">
        <v>2804</v>
      </c>
      <c r="D2521" t="s">
        <v>13</v>
      </c>
      <c r="E2521" t="s">
        <v>22</v>
      </c>
      <c r="F2521">
        <v>2.5</v>
      </c>
    </row>
    <row r="2522" spans="1:6" x14ac:dyDescent="0.25">
      <c r="A2522">
        <v>60</v>
      </c>
      <c r="B2522" t="s">
        <v>132</v>
      </c>
      <c r="C2522" t="s">
        <v>2805</v>
      </c>
      <c r="D2522" t="s">
        <v>13</v>
      </c>
      <c r="E2522" t="s">
        <v>22</v>
      </c>
      <c r="F2522">
        <v>2</v>
      </c>
    </row>
    <row r="2523" spans="1:6" x14ac:dyDescent="0.25">
      <c r="A2523">
        <v>59</v>
      </c>
      <c r="B2523" t="s">
        <v>132</v>
      </c>
      <c r="C2523" t="s">
        <v>2806</v>
      </c>
      <c r="D2523" t="s">
        <v>13</v>
      </c>
      <c r="E2523" t="s">
        <v>22</v>
      </c>
      <c r="F2523">
        <v>3.5</v>
      </c>
    </row>
    <row r="2524" spans="1:6" x14ac:dyDescent="0.25">
      <c r="A2524">
        <v>58</v>
      </c>
      <c r="B2524" t="s">
        <v>243</v>
      </c>
      <c r="C2524" t="s">
        <v>2807</v>
      </c>
      <c r="D2524" t="s">
        <v>13</v>
      </c>
      <c r="E2524" t="s">
        <v>14</v>
      </c>
      <c r="F2524">
        <v>3</v>
      </c>
    </row>
    <row r="2525" spans="1:6" x14ac:dyDescent="0.25">
      <c r="A2525">
        <v>57</v>
      </c>
      <c r="B2525" t="s">
        <v>588</v>
      </c>
      <c r="C2525" t="s">
        <v>2808</v>
      </c>
      <c r="D2525" t="s">
        <v>30</v>
      </c>
      <c r="E2525" t="s">
        <v>46</v>
      </c>
      <c r="F2525">
        <v>3</v>
      </c>
    </row>
    <row r="2526" spans="1:6" x14ac:dyDescent="0.25">
      <c r="A2526">
        <v>56</v>
      </c>
      <c r="B2526" t="s">
        <v>588</v>
      </c>
      <c r="C2526" t="s">
        <v>2809</v>
      </c>
      <c r="D2526" t="s">
        <v>13</v>
      </c>
      <c r="E2526" t="s">
        <v>46</v>
      </c>
      <c r="F2526">
        <v>1</v>
      </c>
    </row>
    <row r="2527" spans="1:6" x14ac:dyDescent="0.25">
      <c r="A2527">
        <v>55</v>
      </c>
      <c r="B2527" t="s">
        <v>2810</v>
      </c>
      <c r="C2527" t="s">
        <v>2811</v>
      </c>
      <c r="D2527" t="s">
        <v>13</v>
      </c>
      <c r="E2527" t="s">
        <v>79</v>
      </c>
      <c r="F2527">
        <v>1</v>
      </c>
    </row>
    <row r="2528" spans="1:6" x14ac:dyDescent="0.25">
      <c r="A2528">
        <v>54</v>
      </c>
      <c r="B2528" t="s">
        <v>2810</v>
      </c>
      <c r="C2528" t="s">
        <v>2812</v>
      </c>
      <c r="D2528" t="s">
        <v>13</v>
      </c>
      <c r="E2528" t="s">
        <v>79</v>
      </c>
      <c r="F2528">
        <v>3</v>
      </c>
    </row>
    <row r="2529" spans="1:7" x14ac:dyDescent="0.25">
      <c r="A2529">
        <v>53</v>
      </c>
      <c r="B2529" t="s">
        <v>135</v>
      </c>
      <c r="C2529" t="s">
        <v>2084</v>
      </c>
      <c r="D2529" t="s">
        <v>9</v>
      </c>
      <c r="E2529" t="s">
        <v>73</v>
      </c>
      <c r="F2529">
        <v>2</v>
      </c>
    </row>
    <row r="2530" spans="1:7" x14ac:dyDescent="0.25">
      <c r="A2530">
        <v>52</v>
      </c>
      <c r="B2530" t="s">
        <v>135</v>
      </c>
      <c r="C2530" t="s">
        <v>2166</v>
      </c>
      <c r="D2530" t="s">
        <v>13</v>
      </c>
      <c r="E2530" t="s">
        <v>73</v>
      </c>
      <c r="F2530">
        <v>4</v>
      </c>
    </row>
    <row r="2531" spans="1:7" x14ac:dyDescent="0.25">
      <c r="A2531">
        <v>51</v>
      </c>
      <c r="B2531" t="s">
        <v>135</v>
      </c>
      <c r="C2531" t="s">
        <v>2813</v>
      </c>
      <c r="D2531" t="s">
        <v>13</v>
      </c>
      <c r="E2531" t="s">
        <v>73</v>
      </c>
      <c r="F2531">
        <v>5</v>
      </c>
    </row>
    <row r="2532" spans="1:7" x14ac:dyDescent="0.25">
      <c r="A2532">
        <v>50</v>
      </c>
      <c r="B2532" t="s">
        <v>135</v>
      </c>
      <c r="C2532" t="s">
        <v>2736</v>
      </c>
      <c r="D2532" t="s">
        <v>13</v>
      </c>
      <c r="E2532" t="s">
        <v>73</v>
      </c>
      <c r="F2532">
        <v>5</v>
      </c>
    </row>
    <row r="2533" spans="1:7" x14ac:dyDescent="0.25">
      <c r="A2533">
        <v>49</v>
      </c>
      <c r="B2533" t="s">
        <v>135</v>
      </c>
      <c r="C2533" t="s">
        <v>2814</v>
      </c>
      <c r="D2533" t="s">
        <v>13</v>
      </c>
      <c r="E2533" t="s">
        <v>73</v>
      </c>
      <c r="F2533">
        <v>4.5</v>
      </c>
    </row>
    <row r="2534" spans="1:7" x14ac:dyDescent="0.25">
      <c r="A2534">
        <v>48</v>
      </c>
      <c r="B2534" t="s">
        <v>135</v>
      </c>
      <c r="C2534" t="s">
        <v>2720</v>
      </c>
      <c r="D2534" t="s">
        <v>13</v>
      </c>
      <c r="E2534" t="s">
        <v>73</v>
      </c>
      <c r="F2534">
        <v>3</v>
      </c>
    </row>
    <row r="2535" spans="1:7" x14ac:dyDescent="0.25">
      <c r="A2535">
        <v>47</v>
      </c>
      <c r="B2535" t="s">
        <v>135</v>
      </c>
      <c r="C2535" t="s">
        <v>2815</v>
      </c>
      <c r="D2535" t="s">
        <v>13</v>
      </c>
      <c r="E2535" t="s">
        <v>73</v>
      </c>
      <c r="F2535">
        <v>5</v>
      </c>
      <c r="G2535" t="s">
        <v>2816</v>
      </c>
    </row>
    <row r="2536" spans="1:7" x14ac:dyDescent="0.25">
      <c r="A2536">
        <v>46</v>
      </c>
      <c r="B2536" t="s">
        <v>135</v>
      </c>
      <c r="C2536" t="s">
        <v>2817</v>
      </c>
      <c r="D2536" t="s">
        <v>13</v>
      </c>
      <c r="E2536" t="s">
        <v>73</v>
      </c>
      <c r="F2536">
        <v>3</v>
      </c>
    </row>
    <row r="2537" spans="1:7" ht="31.5" x14ac:dyDescent="0.25">
      <c r="A2537">
        <v>45</v>
      </c>
      <c r="B2537" t="s">
        <v>135</v>
      </c>
      <c r="C2537" t="s">
        <v>2818</v>
      </c>
      <c r="D2537" t="s">
        <v>13</v>
      </c>
      <c r="E2537" t="s">
        <v>73</v>
      </c>
      <c r="F2537">
        <v>5</v>
      </c>
      <c r="G2537" s="1" t="s">
        <v>1960</v>
      </c>
    </row>
    <row r="2538" spans="1:7" x14ac:dyDescent="0.25">
      <c r="A2538">
        <v>44</v>
      </c>
      <c r="B2538" t="s">
        <v>135</v>
      </c>
      <c r="C2538" t="s">
        <v>2819</v>
      </c>
      <c r="D2538" t="s">
        <v>13</v>
      </c>
      <c r="E2538" t="s">
        <v>73</v>
      </c>
      <c r="F2538">
        <v>4.25</v>
      </c>
    </row>
    <row r="2539" spans="1:7" x14ac:dyDescent="0.25">
      <c r="A2539">
        <v>43</v>
      </c>
      <c r="B2539" t="s">
        <v>2820</v>
      </c>
      <c r="C2539" t="s">
        <v>2821</v>
      </c>
      <c r="D2539" t="s">
        <v>44</v>
      </c>
      <c r="E2539" t="s">
        <v>14</v>
      </c>
      <c r="F2539">
        <v>0</v>
      </c>
    </row>
    <row r="2540" spans="1:7" x14ac:dyDescent="0.25">
      <c r="A2540">
        <v>42</v>
      </c>
      <c r="B2540" t="s">
        <v>243</v>
      </c>
      <c r="C2540" t="s">
        <v>2822</v>
      </c>
      <c r="D2540" t="s">
        <v>13</v>
      </c>
      <c r="E2540" t="s">
        <v>53</v>
      </c>
      <c r="F2540">
        <v>2.75</v>
      </c>
    </row>
    <row r="2541" spans="1:7" x14ac:dyDescent="0.25">
      <c r="A2541">
        <v>41</v>
      </c>
      <c r="B2541" t="s">
        <v>255</v>
      </c>
      <c r="C2541" t="s">
        <v>2823</v>
      </c>
      <c r="D2541" t="s">
        <v>44</v>
      </c>
      <c r="E2541" t="s">
        <v>38</v>
      </c>
      <c r="F2541">
        <v>0.5</v>
      </c>
    </row>
    <row r="2542" spans="1:7" x14ac:dyDescent="0.25">
      <c r="A2542">
        <v>40</v>
      </c>
      <c r="B2542" t="s">
        <v>1157</v>
      </c>
      <c r="C2542" t="s">
        <v>2824</v>
      </c>
      <c r="D2542" t="s">
        <v>13</v>
      </c>
      <c r="E2542" t="s">
        <v>1159</v>
      </c>
      <c r="F2542">
        <v>3</v>
      </c>
    </row>
    <row r="2543" spans="1:7" x14ac:dyDescent="0.25">
      <c r="A2543">
        <v>39</v>
      </c>
      <c r="B2543" t="s">
        <v>1157</v>
      </c>
      <c r="C2543" t="s">
        <v>2825</v>
      </c>
      <c r="D2543" t="s">
        <v>44</v>
      </c>
      <c r="E2543" t="s">
        <v>1159</v>
      </c>
      <c r="F2543">
        <v>3</v>
      </c>
    </row>
    <row r="2544" spans="1:7" x14ac:dyDescent="0.25">
      <c r="A2544">
        <v>38</v>
      </c>
      <c r="B2544" t="s">
        <v>1157</v>
      </c>
      <c r="C2544" t="s">
        <v>2826</v>
      </c>
      <c r="D2544" t="s">
        <v>13</v>
      </c>
      <c r="E2544" t="s">
        <v>1159</v>
      </c>
      <c r="F2544">
        <v>3</v>
      </c>
    </row>
    <row r="2545" spans="1:7" x14ac:dyDescent="0.25">
      <c r="A2545">
        <v>37</v>
      </c>
      <c r="B2545" t="s">
        <v>1157</v>
      </c>
      <c r="C2545" t="s">
        <v>2827</v>
      </c>
      <c r="D2545" t="s">
        <v>13</v>
      </c>
      <c r="E2545" t="s">
        <v>1159</v>
      </c>
      <c r="F2545">
        <v>3</v>
      </c>
    </row>
    <row r="2546" spans="1:7" x14ac:dyDescent="0.25">
      <c r="A2546">
        <v>36</v>
      </c>
      <c r="B2546" t="s">
        <v>1157</v>
      </c>
      <c r="C2546" t="s">
        <v>2828</v>
      </c>
      <c r="D2546" t="s">
        <v>13</v>
      </c>
      <c r="E2546" t="s">
        <v>1159</v>
      </c>
      <c r="F2546">
        <v>3</v>
      </c>
    </row>
    <row r="2547" spans="1:7" x14ac:dyDescent="0.25">
      <c r="A2547">
        <v>35</v>
      </c>
      <c r="B2547" t="s">
        <v>897</v>
      </c>
      <c r="C2547" t="s">
        <v>2304</v>
      </c>
      <c r="D2547" t="s">
        <v>13</v>
      </c>
      <c r="E2547" t="s">
        <v>38</v>
      </c>
      <c r="F2547">
        <v>3</v>
      </c>
    </row>
    <row r="2548" spans="1:7" x14ac:dyDescent="0.25">
      <c r="A2548">
        <v>34</v>
      </c>
      <c r="B2548" t="s">
        <v>102</v>
      </c>
      <c r="C2548" t="s">
        <v>2829</v>
      </c>
      <c r="D2548" t="s">
        <v>13</v>
      </c>
      <c r="E2548" t="s">
        <v>17</v>
      </c>
      <c r="F2548">
        <v>2</v>
      </c>
    </row>
    <row r="2549" spans="1:7" x14ac:dyDescent="0.25">
      <c r="A2549">
        <v>33</v>
      </c>
      <c r="B2549" t="s">
        <v>1045</v>
      </c>
      <c r="C2549" t="s">
        <v>2830</v>
      </c>
      <c r="D2549" t="s">
        <v>13</v>
      </c>
      <c r="E2549" t="s">
        <v>35</v>
      </c>
      <c r="F2549">
        <v>3.75</v>
      </c>
    </row>
    <row r="2550" spans="1:7" x14ac:dyDescent="0.25">
      <c r="A2550">
        <v>32</v>
      </c>
      <c r="B2550" t="s">
        <v>1045</v>
      </c>
      <c r="C2550" t="s">
        <v>2453</v>
      </c>
      <c r="D2550" t="s">
        <v>13</v>
      </c>
      <c r="E2550" t="s">
        <v>35</v>
      </c>
      <c r="F2550">
        <v>3.5</v>
      </c>
    </row>
    <row r="2551" spans="1:7" x14ac:dyDescent="0.25">
      <c r="A2551">
        <v>31</v>
      </c>
      <c r="B2551" t="s">
        <v>183</v>
      </c>
      <c r="C2551" t="s">
        <v>2831</v>
      </c>
      <c r="D2551" t="s">
        <v>30</v>
      </c>
      <c r="E2551" t="s">
        <v>10</v>
      </c>
      <c r="F2551">
        <v>4</v>
      </c>
      <c r="G2551" t="s">
        <v>2832</v>
      </c>
    </row>
    <row r="2552" spans="1:7" x14ac:dyDescent="0.25">
      <c r="A2552">
        <v>30</v>
      </c>
      <c r="B2552" t="s">
        <v>183</v>
      </c>
      <c r="C2552" t="s">
        <v>2833</v>
      </c>
      <c r="D2552" t="s">
        <v>13</v>
      </c>
      <c r="E2552" t="s">
        <v>10</v>
      </c>
      <c r="F2552">
        <v>1</v>
      </c>
    </row>
    <row r="2553" spans="1:7" x14ac:dyDescent="0.25">
      <c r="A2553">
        <v>29</v>
      </c>
      <c r="B2553" t="s">
        <v>2181</v>
      </c>
      <c r="C2553" t="s">
        <v>2622</v>
      </c>
      <c r="D2553" t="s">
        <v>44</v>
      </c>
      <c r="E2553" t="s">
        <v>38</v>
      </c>
      <c r="F2553">
        <v>3.5</v>
      </c>
    </row>
    <row r="2554" spans="1:7" x14ac:dyDescent="0.25">
      <c r="A2554">
        <v>28</v>
      </c>
      <c r="B2554" t="s">
        <v>15</v>
      </c>
      <c r="C2554" t="s">
        <v>2834</v>
      </c>
      <c r="D2554" t="s">
        <v>13</v>
      </c>
      <c r="E2554" t="s">
        <v>10</v>
      </c>
      <c r="F2554">
        <v>5</v>
      </c>
    </row>
    <row r="2555" spans="1:7" x14ac:dyDescent="0.25">
      <c r="A2555">
        <v>27</v>
      </c>
      <c r="B2555" t="s">
        <v>15</v>
      </c>
      <c r="C2555" t="s">
        <v>2835</v>
      </c>
      <c r="D2555" t="s">
        <v>13</v>
      </c>
      <c r="E2555" t="s">
        <v>10</v>
      </c>
      <c r="F2555">
        <v>4</v>
      </c>
    </row>
    <row r="2556" spans="1:7" x14ac:dyDescent="0.25">
      <c r="A2556">
        <v>26</v>
      </c>
      <c r="B2556" t="s">
        <v>15</v>
      </c>
      <c r="C2556" t="s">
        <v>2836</v>
      </c>
      <c r="D2556" t="s">
        <v>13</v>
      </c>
      <c r="E2556" t="s">
        <v>10</v>
      </c>
      <c r="F2556">
        <v>4</v>
      </c>
    </row>
    <row r="2557" spans="1:7" x14ac:dyDescent="0.25">
      <c r="A2557">
        <v>25</v>
      </c>
      <c r="B2557" t="s">
        <v>15</v>
      </c>
      <c r="C2557" t="s">
        <v>2786</v>
      </c>
      <c r="D2557" t="s">
        <v>13</v>
      </c>
      <c r="E2557" t="s">
        <v>10</v>
      </c>
      <c r="F2557">
        <v>3</v>
      </c>
    </row>
    <row r="2558" spans="1:7" x14ac:dyDescent="0.25">
      <c r="A2558">
        <v>24</v>
      </c>
      <c r="B2558" t="s">
        <v>15</v>
      </c>
      <c r="C2558" t="s">
        <v>2837</v>
      </c>
      <c r="D2558" t="s">
        <v>13</v>
      </c>
      <c r="E2558" t="s">
        <v>10</v>
      </c>
      <c r="F2558">
        <v>2</v>
      </c>
    </row>
    <row r="2559" spans="1:7" x14ac:dyDescent="0.25">
      <c r="A2559">
        <v>23</v>
      </c>
      <c r="B2559" t="s">
        <v>15</v>
      </c>
      <c r="C2559" t="s">
        <v>2838</v>
      </c>
      <c r="D2559" t="s">
        <v>13</v>
      </c>
      <c r="E2559" t="s">
        <v>17</v>
      </c>
      <c r="F2559">
        <v>4.5</v>
      </c>
    </row>
    <row r="2560" spans="1:7" x14ac:dyDescent="0.25">
      <c r="A2560">
        <v>22</v>
      </c>
      <c r="B2560" t="s">
        <v>41</v>
      </c>
      <c r="C2560" t="s">
        <v>2839</v>
      </c>
      <c r="D2560" t="s">
        <v>13</v>
      </c>
      <c r="E2560" t="s">
        <v>25</v>
      </c>
      <c r="F2560">
        <v>3.75</v>
      </c>
    </row>
    <row r="2561" spans="1:7" x14ac:dyDescent="0.25">
      <c r="A2561">
        <v>21</v>
      </c>
      <c r="B2561" t="s">
        <v>41</v>
      </c>
      <c r="C2561" t="s">
        <v>2553</v>
      </c>
      <c r="D2561" t="s">
        <v>13</v>
      </c>
      <c r="E2561" t="s">
        <v>25</v>
      </c>
      <c r="F2561">
        <v>4</v>
      </c>
    </row>
    <row r="2562" spans="1:7" x14ac:dyDescent="0.25">
      <c r="A2562">
        <v>20</v>
      </c>
      <c r="B2562" t="s">
        <v>41</v>
      </c>
      <c r="C2562" t="s">
        <v>2840</v>
      </c>
      <c r="D2562" t="s">
        <v>13</v>
      </c>
      <c r="E2562" t="s">
        <v>25</v>
      </c>
      <c r="F2562">
        <v>3.5</v>
      </c>
    </row>
    <row r="2563" spans="1:7" x14ac:dyDescent="0.25">
      <c r="A2563">
        <v>19</v>
      </c>
      <c r="B2563" t="s">
        <v>41</v>
      </c>
      <c r="C2563" t="s">
        <v>139</v>
      </c>
      <c r="D2563" t="s">
        <v>13</v>
      </c>
      <c r="E2563" t="s">
        <v>25</v>
      </c>
      <c r="F2563">
        <v>4</v>
      </c>
    </row>
    <row r="2564" spans="1:7" x14ac:dyDescent="0.25">
      <c r="A2564">
        <v>18</v>
      </c>
      <c r="B2564" t="s">
        <v>74</v>
      </c>
      <c r="C2564" t="s">
        <v>2841</v>
      </c>
      <c r="D2564" t="s">
        <v>13</v>
      </c>
      <c r="E2564" t="s">
        <v>25</v>
      </c>
      <c r="F2564">
        <v>3.5</v>
      </c>
    </row>
    <row r="2565" spans="1:7" x14ac:dyDescent="0.25">
      <c r="A2565">
        <v>17</v>
      </c>
      <c r="B2565" t="s">
        <v>2449</v>
      </c>
      <c r="C2565" t="s">
        <v>2842</v>
      </c>
      <c r="D2565" t="s">
        <v>13</v>
      </c>
      <c r="E2565" t="s">
        <v>1159</v>
      </c>
      <c r="F2565">
        <v>2.5</v>
      </c>
    </row>
    <row r="2566" spans="1:7" x14ac:dyDescent="0.25">
      <c r="A2566">
        <v>16</v>
      </c>
      <c r="B2566" t="s">
        <v>2198</v>
      </c>
      <c r="C2566" t="s">
        <v>2843</v>
      </c>
      <c r="D2566" t="s">
        <v>13</v>
      </c>
      <c r="E2566" t="s">
        <v>25</v>
      </c>
      <c r="F2566">
        <v>3.5</v>
      </c>
    </row>
    <row r="2567" spans="1:7" x14ac:dyDescent="0.25">
      <c r="A2567">
        <v>15</v>
      </c>
      <c r="B2567" t="s">
        <v>2198</v>
      </c>
      <c r="C2567" t="s">
        <v>2844</v>
      </c>
      <c r="D2567" t="s">
        <v>13</v>
      </c>
      <c r="E2567" t="s">
        <v>25</v>
      </c>
      <c r="F2567">
        <v>2.5</v>
      </c>
    </row>
    <row r="2568" spans="1:7" x14ac:dyDescent="0.25">
      <c r="A2568">
        <v>14</v>
      </c>
      <c r="B2568" t="s">
        <v>2198</v>
      </c>
      <c r="C2568" t="s">
        <v>2845</v>
      </c>
      <c r="D2568" t="s">
        <v>13</v>
      </c>
      <c r="E2568" t="s">
        <v>25</v>
      </c>
      <c r="F2568">
        <v>3.5</v>
      </c>
    </row>
    <row r="2569" spans="1:7" x14ac:dyDescent="0.25">
      <c r="A2569">
        <v>13</v>
      </c>
      <c r="B2569" t="s">
        <v>374</v>
      </c>
      <c r="C2569" t="s">
        <v>2846</v>
      </c>
      <c r="D2569" t="s">
        <v>13</v>
      </c>
      <c r="E2569" t="s">
        <v>10</v>
      </c>
      <c r="F2569">
        <v>5</v>
      </c>
      <c r="G2569" t="s">
        <v>2847</v>
      </c>
    </row>
    <row r="2570" spans="1:7" x14ac:dyDescent="0.25">
      <c r="A2570">
        <v>12</v>
      </c>
      <c r="B2570" t="s">
        <v>374</v>
      </c>
      <c r="C2570" t="s">
        <v>2720</v>
      </c>
      <c r="D2570" t="s">
        <v>13</v>
      </c>
      <c r="E2570" t="s">
        <v>10</v>
      </c>
      <c r="F2570">
        <v>2.5</v>
      </c>
    </row>
    <row r="2571" spans="1:7" x14ac:dyDescent="0.25">
      <c r="A2571">
        <v>11</v>
      </c>
      <c r="B2571" t="s">
        <v>2287</v>
      </c>
      <c r="C2571" t="s">
        <v>2848</v>
      </c>
      <c r="D2571" t="s">
        <v>13</v>
      </c>
      <c r="E2571" t="s">
        <v>25</v>
      </c>
      <c r="F2571">
        <v>2</v>
      </c>
    </row>
    <row r="2572" spans="1:7" x14ac:dyDescent="0.25">
      <c r="A2572">
        <v>10</v>
      </c>
      <c r="B2572" t="s">
        <v>2849</v>
      </c>
      <c r="C2572" t="s">
        <v>2850</v>
      </c>
      <c r="D2572" t="s">
        <v>13</v>
      </c>
      <c r="E2572" t="s">
        <v>17</v>
      </c>
      <c r="F2572">
        <v>1.5</v>
      </c>
    </row>
    <row r="2573" spans="1:7" x14ac:dyDescent="0.25">
      <c r="A2573">
        <v>9</v>
      </c>
      <c r="B2573" t="s">
        <v>2851</v>
      </c>
      <c r="C2573" t="s">
        <v>752</v>
      </c>
      <c r="D2573" t="s">
        <v>9</v>
      </c>
      <c r="E2573" t="s">
        <v>25</v>
      </c>
      <c r="F2573">
        <v>2</v>
      </c>
    </row>
    <row r="2574" spans="1:7" x14ac:dyDescent="0.25">
      <c r="A2574">
        <v>8</v>
      </c>
      <c r="B2574" t="s">
        <v>2852</v>
      </c>
      <c r="C2574" t="s">
        <v>2853</v>
      </c>
      <c r="D2574" t="s">
        <v>13</v>
      </c>
      <c r="E2574" t="s">
        <v>14</v>
      </c>
      <c r="F2574">
        <v>3</v>
      </c>
    </row>
    <row r="2575" spans="1:7" x14ac:dyDescent="0.25">
      <c r="A2575">
        <v>7</v>
      </c>
      <c r="B2575" t="s">
        <v>243</v>
      </c>
      <c r="C2575" t="s">
        <v>2854</v>
      </c>
      <c r="D2575" t="s">
        <v>13</v>
      </c>
      <c r="E2575" t="s">
        <v>53</v>
      </c>
      <c r="F2575">
        <v>1</v>
      </c>
    </row>
    <row r="2576" spans="1:7" x14ac:dyDescent="0.25">
      <c r="A2576">
        <v>6</v>
      </c>
      <c r="B2576" t="s">
        <v>331</v>
      </c>
      <c r="C2576" t="s">
        <v>2758</v>
      </c>
      <c r="D2576" t="s">
        <v>13</v>
      </c>
      <c r="E2576" t="s">
        <v>53</v>
      </c>
      <c r="F2576">
        <v>2.5</v>
      </c>
    </row>
    <row r="2577" spans="1:6" x14ac:dyDescent="0.25">
      <c r="A2577">
        <v>5</v>
      </c>
      <c r="B2577" t="s">
        <v>331</v>
      </c>
      <c r="C2577" t="s">
        <v>2855</v>
      </c>
      <c r="D2577" t="s">
        <v>44</v>
      </c>
      <c r="E2577" t="s">
        <v>53</v>
      </c>
      <c r="F2577">
        <v>3.5</v>
      </c>
    </row>
    <row r="2578" spans="1:6" x14ac:dyDescent="0.25">
      <c r="A2578">
        <v>4</v>
      </c>
      <c r="B2578" t="s">
        <v>322</v>
      </c>
      <c r="C2578" t="s">
        <v>2856</v>
      </c>
      <c r="D2578" t="s">
        <v>13</v>
      </c>
      <c r="E2578" t="s">
        <v>38</v>
      </c>
      <c r="F2578">
        <v>1</v>
      </c>
    </row>
    <row r="2579" spans="1:6" x14ac:dyDescent="0.25">
      <c r="A2579">
        <v>3</v>
      </c>
      <c r="B2579" t="s">
        <v>322</v>
      </c>
      <c r="C2579" t="s">
        <v>2622</v>
      </c>
      <c r="D2579" t="s">
        <v>13</v>
      </c>
      <c r="E2579" t="s">
        <v>38</v>
      </c>
      <c r="F2579">
        <v>2</v>
      </c>
    </row>
    <row r="2580" spans="1:6" x14ac:dyDescent="0.25">
      <c r="A2580">
        <v>2</v>
      </c>
      <c r="B2580" t="s">
        <v>322</v>
      </c>
      <c r="C2580" t="s">
        <v>2857</v>
      </c>
      <c r="D2580" t="s">
        <v>13</v>
      </c>
      <c r="E2580" t="s">
        <v>38</v>
      </c>
      <c r="F2580">
        <v>2</v>
      </c>
    </row>
    <row r="2581" spans="1:6" x14ac:dyDescent="0.25">
      <c r="A2581">
        <v>1</v>
      </c>
      <c r="B2581" t="s">
        <v>2858</v>
      </c>
      <c r="C2581" t="s">
        <v>1313</v>
      </c>
      <c r="D2581" t="s">
        <v>13</v>
      </c>
      <c r="E2581" t="s">
        <v>17</v>
      </c>
      <c r="F2581">
        <v>0.5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2581"/>
  <sheetViews>
    <sheetView topLeftCell="A679" workbookViewId="0">
      <selection activeCell="C9" sqref="C9"/>
    </sheetView>
  </sheetViews>
  <sheetFormatPr defaultColWidth="11" defaultRowHeight="15.75" x14ac:dyDescent="0.25"/>
  <cols>
    <col min="1" max="1" width="11.125" customWidth="1"/>
    <col min="3" max="3" width="61.625" customWidth="1"/>
    <col min="6" max="6" width="15.5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2866</v>
      </c>
      <c r="G1" t="s">
        <v>5</v>
      </c>
      <c r="H1" t="s">
        <v>2867</v>
      </c>
      <c r="I1" t="s">
        <v>6</v>
      </c>
      <c r="J1" t="s">
        <v>2868</v>
      </c>
      <c r="K1" t="s">
        <v>2869</v>
      </c>
    </row>
    <row r="2" spans="1:11" x14ac:dyDescent="0.25">
      <c r="A2">
        <v>2562</v>
      </c>
      <c r="B2" t="s">
        <v>51</v>
      </c>
      <c r="C2" t="s">
        <v>52</v>
      </c>
      <c r="D2" t="s">
        <v>13</v>
      </c>
      <c r="E2" t="s">
        <v>53</v>
      </c>
      <c r="F2" t="str">
        <f>VLOOKUP(Ramen_Ratings[[#This Row],[Country]],Country_Region[#All],2,FALSE)</f>
        <v>Asia</v>
      </c>
      <c r="G2">
        <v>4</v>
      </c>
      <c r="H2" t="str" cm="1">
        <f t="array" ref="H2">_xlfn.IFS(Ramen_Ratings[[#This Row],[Stars]] = "Unrated", "NA",Ramen_Ratings[[#This Row],[Stars]]&gt;=4, "Good", Ramen_Ratings[[#This Row],[Stars]]&gt;2.5, "Fair", Ramen_Ratings[[#This Row],[Stars]] &gt;= 0, "Bad")</f>
        <v>Good</v>
      </c>
      <c r="J2" t="str">
        <f>LEFT(Ramen_Ratings[[#This Row],[Top Ten]],4)</f>
        <v/>
      </c>
      <c r="K2" t="str">
        <f>IF(Ramen_Ratings[[#This Row],[Top Ten]]="", "",RIGHT(Ramen_Ratings[[#This Row],[Top Ten]],LEN(Ramen_Ratings[[#This Row],[Top Ten]])-6))</f>
        <v/>
      </c>
    </row>
    <row r="3" spans="1:11" x14ac:dyDescent="0.25">
      <c r="A3">
        <v>2527</v>
      </c>
      <c r="B3" t="s">
        <v>99</v>
      </c>
      <c r="C3" t="s">
        <v>106</v>
      </c>
      <c r="D3" t="s">
        <v>13</v>
      </c>
      <c r="E3" t="s">
        <v>53</v>
      </c>
      <c r="F3" t="str">
        <f>VLOOKUP(Ramen_Ratings[[#This Row],[Country]],Country_Region[#All],2,FALSE)</f>
        <v>Asia</v>
      </c>
      <c r="G3">
        <v>0</v>
      </c>
      <c r="H3" t="str" cm="1">
        <f t="array" ref="H3">_xlfn.IFS(Ramen_Ratings[[#This Row],[Stars]] = "Unrated", "NA",Ramen_Ratings[[#This Row],[Stars]]&gt;=4, "Good", Ramen_Ratings[[#This Row],[Stars]]&gt;2.5, "Fair", Ramen_Ratings[[#This Row],[Stars]] &gt;= 0, "Bad")</f>
        <v>Bad</v>
      </c>
      <c r="J3" t="str">
        <f>LEFT(Ramen_Ratings[[#This Row],[Top Ten]],4)</f>
        <v/>
      </c>
      <c r="K3" t="str">
        <f>IF(Ramen_Ratings[[#This Row],[Top Ten]]="", "",RIGHT(Ramen_Ratings[[#This Row],[Top Ten]],LEN(Ramen_Ratings[[#This Row],[Top Ten]])-6))</f>
        <v/>
      </c>
    </row>
    <row r="4" spans="1:11" x14ac:dyDescent="0.25">
      <c r="A4">
        <v>2435</v>
      </c>
      <c r="B4" t="s">
        <v>226</v>
      </c>
      <c r="C4" t="s">
        <v>227</v>
      </c>
      <c r="D4" t="s">
        <v>13</v>
      </c>
      <c r="E4" t="s">
        <v>53</v>
      </c>
      <c r="F4" t="str">
        <f>VLOOKUP(Ramen_Ratings[[#This Row],[Country]],Country_Region[#All],2,FALSE)</f>
        <v>Asia</v>
      </c>
      <c r="G4">
        <v>3.5</v>
      </c>
      <c r="H4" t="str" cm="1">
        <f t="array" ref="H4">_xlfn.IFS(Ramen_Ratings[[#This Row],[Stars]] = "Unrated", "NA",Ramen_Ratings[[#This Row],[Stars]]&gt;=4, "Good", Ramen_Ratings[[#This Row],[Stars]]&gt;2.5, "Fair", Ramen_Ratings[[#This Row],[Stars]] &gt;= 0, "Bad")</f>
        <v>Fair</v>
      </c>
      <c r="J4" t="str">
        <f>LEFT(Ramen_Ratings[[#This Row],[Top Ten]],4)</f>
        <v/>
      </c>
      <c r="K4" t="str">
        <f>IF(Ramen_Ratings[[#This Row],[Top Ten]]="", "",RIGHT(Ramen_Ratings[[#This Row],[Top Ten]],LEN(Ramen_Ratings[[#This Row],[Top Ten]])-6))</f>
        <v/>
      </c>
    </row>
    <row r="5" spans="1:11" x14ac:dyDescent="0.25">
      <c r="A5">
        <v>2354</v>
      </c>
      <c r="B5" t="s">
        <v>331</v>
      </c>
      <c r="C5" t="s">
        <v>332</v>
      </c>
      <c r="D5" t="s">
        <v>44</v>
      </c>
      <c r="E5" t="s">
        <v>53</v>
      </c>
      <c r="F5" t="str">
        <f>VLOOKUP(Ramen_Ratings[[#This Row],[Country]],Country_Region[#All],2,FALSE)</f>
        <v>Asia</v>
      </c>
      <c r="G5">
        <v>5</v>
      </c>
      <c r="H5" t="str" cm="1">
        <f t="array" ref="H5">_xlfn.IFS(Ramen_Ratings[[#This Row],[Stars]] = "Unrated", "NA",Ramen_Ratings[[#This Row],[Stars]]&gt;=4, "Good", Ramen_Ratings[[#This Row],[Stars]]&gt;2.5, "Fair", Ramen_Ratings[[#This Row],[Stars]] &gt;= 0, "Bad")</f>
        <v>Good</v>
      </c>
      <c r="J5" t="str">
        <f>LEFT(Ramen_Ratings[[#This Row],[Top Ten]],4)</f>
        <v/>
      </c>
      <c r="K5" t="str">
        <f>IF(Ramen_Ratings[[#This Row],[Top Ten]]="", "",RIGHT(Ramen_Ratings[[#This Row],[Top Ten]],LEN(Ramen_Ratings[[#This Row],[Top Ten]])-6))</f>
        <v/>
      </c>
    </row>
    <row r="6" spans="1:11" x14ac:dyDescent="0.25">
      <c r="A6">
        <v>2213</v>
      </c>
      <c r="B6" t="s">
        <v>26</v>
      </c>
      <c r="C6" t="s">
        <v>500</v>
      </c>
      <c r="D6" t="s">
        <v>13</v>
      </c>
      <c r="E6" t="s">
        <v>53</v>
      </c>
      <c r="F6" t="str">
        <f>VLOOKUP(Ramen_Ratings[[#This Row],[Country]],Country_Region[#All],2,FALSE)</f>
        <v>Asia</v>
      </c>
      <c r="G6">
        <v>4</v>
      </c>
      <c r="H6" t="str" cm="1">
        <f t="array" ref="H6">_xlfn.IFS(Ramen_Ratings[[#This Row],[Stars]] = "Unrated", "NA",Ramen_Ratings[[#This Row],[Stars]]&gt;=4, "Good", Ramen_Ratings[[#This Row],[Stars]]&gt;2.5, "Fair", Ramen_Ratings[[#This Row],[Stars]] &gt;= 0, "Bad")</f>
        <v>Good</v>
      </c>
      <c r="J6" t="str">
        <f>LEFT(Ramen_Ratings[[#This Row],[Top Ten]],4)</f>
        <v/>
      </c>
      <c r="K6" t="str">
        <f>IF(Ramen_Ratings[[#This Row],[Top Ten]]="", "",RIGHT(Ramen_Ratings[[#This Row],[Top Ten]],LEN(Ramen_Ratings[[#This Row],[Top Ten]])-6))</f>
        <v/>
      </c>
    </row>
    <row r="7" spans="1:11" x14ac:dyDescent="0.25">
      <c r="A7">
        <v>2143</v>
      </c>
      <c r="B7" t="s">
        <v>579</v>
      </c>
      <c r="C7" t="s">
        <v>580</v>
      </c>
      <c r="D7" t="s">
        <v>13</v>
      </c>
      <c r="E7" t="s">
        <v>53</v>
      </c>
      <c r="F7" t="str">
        <f>VLOOKUP(Ramen_Ratings[[#This Row],[Country]],Country_Region[#All],2,FALSE)</f>
        <v>Asia</v>
      </c>
      <c r="G7">
        <v>3</v>
      </c>
      <c r="H7" t="str" cm="1">
        <f t="array" ref="H7">_xlfn.IFS(Ramen_Ratings[[#This Row],[Stars]] = "Unrated", "NA",Ramen_Ratings[[#This Row],[Stars]]&gt;=4, "Good", Ramen_Ratings[[#This Row],[Stars]]&gt;2.5, "Fair", Ramen_Ratings[[#This Row],[Stars]] &gt;= 0, "Bad")</f>
        <v>Fair</v>
      </c>
      <c r="J7" t="str">
        <f>LEFT(Ramen_Ratings[[#This Row],[Top Ten]],4)</f>
        <v/>
      </c>
      <c r="K7" t="str">
        <f>IF(Ramen_Ratings[[#This Row],[Top Ten]]="", "",RIGHT(Ramen_Ratings[[#This Row],[Top Ten]],LEN(Ramen_Ratings[[#This Row],[Top Ten]])-6))</f>
        <v/>
      </c>
    </row>
    <row r="8" spans="1:11" x14ac:dyDescent="0.25">
      <c r="A8">
        <v>1906</v>
      </c>
      <c r="B8" t="s">
        <v>331</v>
      </c>
      <c r="C8" t="s">
        <v>854</v>
      </c>
      <c r="D8" t="s">
        <v>13</v>
      </c>
      <c r="E8" t="s">
        <v>53</v>
      </c>
      <c r="F8" t="str">
        <f>VLOOKUP(Ramen_Ratings[[#This Row],[Country]],Country_Region[#All],2,FALSE)</f>
        <v>Asia</v>
      </c>
      <c r="G8">
        <v>3.5</v>
      </c>
      <c r="H8" t="str" cm="1">
        <f t="array" ref="H8">_xlfn.IFS(Ramen_Ratings[[#This Row],[Stars]] = "Unrated", "NA",Ramen_Ratings[[#This Row],[Stars]]&gt;=4, "Good", Ramen_Ratings[[#This Row],[Stars]]&gt;2.5, "Fair", Ramen_Ratings[[#This Row],[Stars]] &gt;= 0, "Bad")</f>
        <v>Fair</v>
      </c>
      <c r="J8" t="str">
        <f>LEFT(Ramen_Ratings[[#This Row],[Top Ten]],4)</f>
        <v/>
      </c>
      <c r="K8" t="str">
        <f>IF(Ramen_Ratings[[#This Row],[Top Ten]]="", "",RIGHT(Ramen_Ratings[[#This Row],[Top Ten]],LEN(Ramen_Ratings[[#This Row],[Top Ten]])-6))</f>
        <v/>
      </c>
    </row>
    <row r="9" spans="1:11" x14ac:dyDescent="0.25">
      <c r="A9">
        <v>1816</v>
      </c>
      <c r="B9" t="s">
        <v>331</v>
      </c>
      <c r="C9" t="s">
        <v>957</v>
      </c>
      <c r="D9" t="s">
        <v>44</v>
      </c>
      <c r="E9" t="s">
        <v>53</v>
      </c>
      <c r="F9" t="str">
        <f>VLOOKUP(Ramen_Ratings[[#This Row],[Country]],Country_Region[#All],2,FALSE)</f>
        <v>Asia</v>
      </c>
      <c r="G9">
        <v>3.25</v>
      </c>
      <c r="H9" t="str" cm="1">
        <f t="array" ref="H9">_xlfn.IFS(Ramen_Ratings[[#This Row],[Stars]] = "Unrated", "NA",Ramen_Ratings[[#This Row],[Stars]]&gt;=4, "Good", Ramen_Ratings[[#This Row],[Stars]]&gt;2.5, "Fair", Ramen_Ratings[[#This Row],[Stars]] &gt;= 0, "Bad")</f>
        <v>Fair</v>
      </c>
      <c r="J9" t="str">
        <f>LEFT(Ramen_Ratings[[#This Row],[Top Ten]],4)</f>
        <v/>
      </c>
      <c r="K9" t="str">
        <f>IF(Ramen_Ratings[[#This Row],[Top Ten]]="", "",RIGHT(Ramen_Ratings[[#This Row],[Top Ten]],LEN(Ramen_Ratings[[#This Row],[Top Ten]])-6))</f>
        <v/>
      </c>
    </row>
    <row r="10" spans="1:11" x14ac:dyDescent="0.25">
      <c r="A10">
        <v>1726</v>
      </c>
      <c r="B10" t="s">
        <v>1055</v>
      </c>
      <c r="C10" t="s">
        <v>1056</v>
      </c>
      <c r="D10" t="s">
        <v>44</v>
      </c>
      <c r="E10" t="s">
        <v>53</v>
      </c>
      <c r="F10" t="str">
        <f>VLOOKUP(Ramen_Ratings[[#This Row],[Country]],Country_Region[#All],2,FALSE)</f>
        <v>Asia</v>
      </c>
      <c r="G10">
        <v>3</v>
      </c>
      <c r="H10" t="str" cm="1">
        <f t="array" ref="H10">_xlfn.IFS(Ramen_Ratings[[#This Row],[Stars]] = "Unrated", "NA",Ramen_Ratings[[#This Row],[Stars]]&gt;=4, "Good", Ramen_Ratings[[#This Row],[Stars]]&gt;2.5, "Fair", Ramen_Ratings[[#This Row],[Stars]] &gt;= 0, "Bad")</f>
        <v>Fair</v>
      </c>
      <c r="J10" t="str">
        <f>LEFT(Ramen_Ratings[[#This Row],[Top Ten]],4)</f>
        <v/>
      </c>
      <c r="K10" t="str">
        <f>IF(Ramen_Ratings[[#This Row],[Top Ten]]="", "",RIGHT(Ramen_Ratings[[#This Row],[Top Ten]],LEN(Ramen_Ratings[[#This Row],[Top Ten]])-6))</f>
        <v/>
      </c>
    </row>
    <row r="11" spans="1:11" x14ac:dyDescent="0.25">
      <c r="A11">
        <v>1718</v>
      </c>
      <c r="B11" t="s">
        <v>1055</v>
      </c>
      <c r="C11" t="s">
        <v>1065</v>
      </c>
      <c r="D11" t="s">
        <v>9</v>
      </c>
      <c r="E11" t="s">
        <v>53</v>
      </c>
      <c r="F11" t="str">
        <f>VLOOKUP(Ramen_Ratings[[#This Row],[Country]],Country_Region[#All],2,FALSE)</f>
        <v>Asia</v>
      </c>
      <c r="G11">
        <v>2.5</v>
      </c>
      <c r="H11" t="str" cm="1">
        <f t="array" ref="H11">_xlfn.IFS(Ramen_Ratings[[#This Row],[Stars]] = "Unrated", "NA",Ramen_Ratings[[#This Row],[Stars]]&gt;=4, "Good", Ramen_Ratings[[#This Row],[Stars]]&gt;2.5, "Fair", Ramen_Ratings[[#This Row],[Stars]] &gt;= 0, "Bad")</f>
        <v>Bad</v>
      </c>
      <c r="J11" t="str">
        <f>LEFT(Ramen_Ratings[[#This Row],[Top Ten]],4)</f>
        <v/>
      </c>
      <c r="K11" t="str">
        <f>IF(Ramen_Ratings[[#This Row],[Top Ten]]="", "",RIGHT(Ramen_Ratings[[#This Row],[Top Ten]],LEN(Ramen_Ratings[[#This Row],[Top Ten]])-6))</f>
        <v/>
      </c>
    </row>
    <row r="12" spans="1:11" x14ac:dyDescent="0.25">
      <c r="A12">
        <v>1669</v>
      </c>
      <c r="B12" t="s">
        <v>1123</v>
      </c>
      <c r="C12" t="s">
        <v>1124</v>
      </c>
      <c r="D12" t="s">
        <v>9</v>
      </c>
      <c r="E12" t="s">
        <v>53</v>
      </c>
      <c r="F12" t="str">
        <f>VLOOKUP(Ramen_Ratings[[#This Row],[Country]],Country_Region[#All],2,FALSE)</f>
        <v>Asia</v>
      </c>
      <c r="G12">
        <v>1.25</v>
      </c>
      <c r="H12" t="str" cm="1">
        <f t="array" ref="H12">_xlfn.IFS(Ramen_Ratings[[#This Row],[Stars]] = "Unrated", "NA",Ramen_Ratings[[#This Row],[Stars]]&gt;=4, "Good", Ramen_Ratings[[#This Row],[Stars]]&gt;2.5, "Fair", Ramen_Ratings[[#This Row],[Stars]] &gt;= 0, "Bad")</f>
        <v>Bad</v>
      </c>
      <c r="J12" t="str">
        <f>LEFT(Ramen_Ratings[[#This Row],[Top Ten]],4)</f>
        <v/>
      </c>
      <c r="K12" t="str">
        <f>IF(Ramen_Ratings[[#This Row],[Top Ten]]="", "",RIGHT(Ramen_Ratings[[#This Row],[Top Ten]],LEN(Ramen_Ratings[[#This Row],[Top Ten]])-6))</f>
        <v/>
      </c>
    </row>
    <row r="13" spans="1:11" x14ac:dyDescent="0.25">
      <c r="A13">
        <v>1666</v>
      </c>
      <c r="B13" t="s">
        <v>331</v>
      </c>
      <c r="C13" t="s">
        <v>1128</v>
      </c>
      <c r="D13" t="s">
        <v>9</v>
      </c>
      <c r="E13" t="s">
        <v>53</v>
      </c>
      <c r="F13" t="str">
        <f>VLOOKUP(Ramen_Ratings[[#This Row],[Country]],Country_Region[#All],2,FALSE)</f>
        <v>Asia</v>
      </c>
      <c r="G13">
        <v>3</v>
      </c>
      <c r="H13" t="str" cm="1">
        <f t="array" ref="H13">_xlfn.IFS(Ramen_Ratings[[#This Row],[Stars]] = "Unrated", "NA",Ramen_Ratings[[#This Row],[Stars]]&gt;=4, "Good", Ramen_Ratings[[#This Row],[Stars]]&gt;2.5, "Fair", Ramen_Ratings[[#This Row],[Stars]] &gt;= 0, "Bad")</f>
        <v>Fair</v>
      </c>
      <c r="J13" t="str">
        <f>LEFT(Ramen_Ratings[[#This Row],[Top Ten]],4)</f>
        <v/>
      </c>
      <c r="K13" t="str">
        <f>IF(Ramen_Ratings[[#This Row],[Top Ten]]="", "",RIGHT(Ramen_Ratings[[#This Row],[Top Ten]],LEN(Ramen_Ratings[[#This Row],[Top Ten]])-6))</f>
        <v/>
      </c>
    </row>
    <row r="14" spans="1:11" x14ac:dyDescent="0.25">
      <c r="A14">
        <v>1665</v>
      </c>
      <c r="B14" t="s">
        <v>1129</v>
      </c>
      <c r="C14" t="s">
        <v>1130</v>
      </c>
      <c r="D14" t="s">
        <v>13</v>
      </c>
      <c r="E14" t="s">
        <v>53</v>
      </c>
      <c r="F14" t="str">
        <f>VLOOKUP(Ramen_Ratings[[#This Row],[Country]],Country_Region[#All],2,FALSE)</f>
        <v>Asia</v>
      </c>
      <c r="G14">
        <v>1.5</v>
      </c>
      <c r="H14" t="str" cm="1">
        <f t="array" ref="H14">_xlfn.IFS(Ramen_Ratings[[#This Row],[Stars]] = "Unrated", "NA",Ramen_Ratings[[#This Row],[Stars]]&gt;=4, "Good", Ramen_Ratings[[#This Row],[Stars]]&gt;2.5, "Fair", Ramen_Ratings[[#This Row],[Stars]] &gt;= 0, "Bad")</f>
        <v>Bad</v>
      </c>
      <c r="J14" t="str">
        <f>LEFT(Ramen_Ratings[[#This Row],[Top Ten]],4)</f>
        <v/>
      </c>
      <c r="K14" t="str">
        <f>IF(Ramen_Ratings[[#This Row],[Top Ten]]="", "",RIGHT(Ramen_Ratings[[#This Row],[Top Ten]],LEN(Ramen_Ratings[[#This Row],[Top Ten]])-6))</f>
        <v/>
      </c>
    </row>
    <row r="15" spans="1:11" x14ac:dyDescent="0.25">
      <c r="A15">
        <v>1663</v>
      </c>
      <c r="B15" t="s">
        <v>1055</v>
      </c>
      <c r="C15" t="s">
        <v>1132</v>
      </c>
      <c r="D15" t="s">
        <v>13</v>
      </c>
      <c r="E15" t="s">
        <v>53</v>
      </c>
      <c r="F15" t="str">
        <f>VLOOKUP(Ramen_Ratings[[#This Row],[Country]],Country_Region[#All],2,FALSE)</f>
        <v>Asia</v>
      </c>
      <c r="G15">
        <v>4</v>
      </c>
      <c r="H15" t="str" cm="1">
        <f t="array" ref="H15">_xlfn.IFS(Ramen_Ratings[[#This Row],[Stars]] = "Unrated", "NA",Ramen_Ratings[[#This Row],[Stars]]&gt;=4, "Good", Ramen_Ratings[[#This Row],[Stars]]&gt;2.5, "Fair", Ramen_Ratings[[#This Row],[Stars]] &gt;= 0, "Bad")</f>
        <v>Good</v>
      </c>
      <c r="J15" t="str">
        <f>LEFT(Ramen_Ratings[[#This Row],[Top Ten]],4)</f>
        <v/>
      </c>
      <c r="K15" t="str">
        <f>IF(Ramen_Ratings[[#This Row],[Top Ten]]="", "",RIGHT(Ramen_Ratings[[#This Row],[Top Ten]],LEN(Ramen_Ratings[[#This Row],[Top Ten]])-6))</f>
        <v/>
      </c>
    </row>
    <row r="16" spans="1:11" x14ac:dyDescent="0.25">
      <c r="A16">
        <v>1659</v>
      </c>
      <c r="B16" t="s">
        <v>1137</v>
      </c>
      <c r="C16" t="s">
        <v>1138</v>
      </c>
      <c r="D16" t="s">
        <v>13</v>
      </c>
      <c r="E16" t="s">
        <v>53</v>
      </c>
      <c r="F16" t="str">
        <f>VLOOKUP(Ramen_Ratings[[#This Row],[Country]],Country_Region[#All],2,FALSE)</f>
        <v>Asia</v>
      </c>
      <c r="G16">
        <v>2.75</v>
      </c>
      <c r="H16" t="str" cm="1">
        <f t="array" ref="H16">_xlfn.IFS(Ramen_Ratings[[#This Row],[Stars]] = "Unrated", "NA",Ramen_Ratings[[#This Row],[Stars]]&gt;=4, "Good", Ramen_Ratings[[#This Row],[Stars]]&gt;2.5, "Fair", Ramen_Ratings[[#This Row],[Stars]] &gt;= 0, "Bad")</f>
        <v>Fair</v>
      </c>
      <c r="J16" t="str">
        <f>LEFT(Ramen_Ratings[[#This Row],[Top Ten]],4)</f>
        <v/>
      </c>
      <c r="K16" t="str">
        <f>IF(Ramen_Ratings[[#This Row],[Top Ten]]="", "",RIGHT(Ramen_Ratings[[#This Row],[Top Ten]],LEN(Ramen_Ratings[[#This Row],[Top Ten]])-6))</f>
        <v/>
      </c>
    </row>
    <row r="17" spans="1:11" x14ac:dyDescent="0.25">
      <c r="A17">
        <v>1646</v>
      </c>
      <c r="B17" t="s">
        <v>1155</v>
      </c>
      <c r="C17" t="s">
        <v>1156</v>
      </c>
      <c r="D17" t="s">
        <v>30</v>
      </c>
      <c r="E17" t="s">
        <v>53</v>
      </c>
      <c r="F17" t="str">
        <f>VLOOKUP(Ramen_Ratings[[#This Row],[Country]],Country_Region[#All],2,FALSE)</f>
        <v>Asia</v>
      </c>
      <c r="G17">
        <v>4</v>
      </c>
      <c r="H17" t="str" cm="1">
        <f t="array" ref="H17">_xlfn.IFS(Ramen_Ratings[[#This Row],[Stars]] = "Unrated", "NA",Ramen_Ratings[[#This Row],[Stars]]&gt;=4, "Good", Ramen_Ratings[[#This Row],[Stars]]&gt;2.5, "Fair", Ramen_Ratings[[#This Row],[Stars]] &gt;= 0, "Bad")</f>
        <v>Good</v>
      </c>
      <c r="J17" t="str">
        <f>LEFT(Ramen_Ratings[[#This Row],[Top Ten]],4)</f>
        <v/>
      </c>
      <c r="K17" t="str">
        <f>IF(Ramen_Ratings[[#This Row],[Top Ten]]="", "",RIGHT(Ramen_Ratings[[#This Row],[Top Ten]],LEN(Ramen_Ratings[[#This Row],[Top Ten]])-6))</f>
        <v/>
      </c>
    </row>
    <row r="18" spans="1:11" x14ac:dyDescent="0.25">
      <c r="A18">
        <v>1633</v>
      </c>
      <c r="B18" t="s">
        <v>1123</v>
      </c>
      <c r="C18" t="s">
        <v>1175</v>
      </c>
      <c r="D18" t="s">
        <v>9</v>
      </c>
      <c r="E18" t="s">
        <v>53</v>
      </c>
      <c r="F18" t="str">
        <f>VLOOKUP(Ramen_Ratings[[#This Row],[Country]],Country_Region[#All],2,FALSE)</f>
        <v>Asia</v>
      </c>
      <c r="G18">
        <v>3.5</v>
      </c>
      <c r="H18" t="str" cm="1">
        <f t="array" ref="H18">_xlfn.IFS(Ramen_Ratings[[#This Row],[Stars]] = "Unrated", "NA",Ramen_Ratings[[#This Row],[Stars]]&gt;=4, "Good", Ramen_Ratings[[#This Row],[Stars]]&gt;2.5, "Fair", Ramen_Ratings[[#This Row],[Stars]] &gt;= 0, "Bad")</f>
        <v>Fair</v>
      </c>
      <c r="J18" t="str">
        <f>LEFT(Ramen_Ratings[[#This Row],[Top Ten]],4)</f>
        <v/>
      </c>
      <c r="K18" t="str">
        <f>IF(Ramen_Ratings[[#This Row],[Top Ten]]="", "",RIGHT(Ramen_Ratings[[#This Row],[Top Ten]],LEN(Ramen_Ratings[[#This Row],[Top Ten]])-6))</f>
        <v/>
      </c>
    </row>
    <row r="19" spans="1:11" x14ac:dyDescent="0.25">
      <c r="A19">
        <v>1610</v>
      </c>
      <c r="B19" t="s">
        <v>1129</v>
      </c>
      <c r="C19" t="s">
        <v>1202</v>
      </c>
      <c r="D19" t="s">
        <v>13</v>
      </c>
      <c r="E19" t="s">
        <v>53</v>
      </c>
      <c r="F19" t="str">
        <f>VLOOKUP(Ramen_Ratings[[#This Row],[Country]],Country_Region[#All],2,FALSE)</f>
        <v>Asia</v>
      </c>
      <c r="G19">
        <v>3</v>
      </c>
      <c r="H19" t="str" cm="1">
        <f t="array" ref="H19">_xlfn.IFS(Ramen_Ratings[[#This Row],[Stars]] = "Unrated", "NA",Ramen_Ratings[[#This Row],[Stars]]&gt;=4, "Good", Ramen_Ratings[[#This Row],[Stars]]&gt;2.5, "Fair", Ramen_Ratings[[#This Row],[Stars]] &gt;= 0, "Bad")</f>
        <v>Fair</v>
      </c>
      <c r="J19" t="str">
        <f>LEFT(Ramen_Ratings[[#This Row],[Top Ten]],4)</f>
        <v/>
      </c>
      <c r="K19" t="str">
        <f>IF(Ramen_Ratings[[#This Row],[Top Ten]]="", "",RIGHT(Ramen_Ratings[[#This Row],[Top Ten]],LEN(Ramen_Ratings[[#This Row],[Top Ten]])-6))</f>
        <v/>
      </c>
    </row>
    <row r="20" spans="1:11" x14ac:dyDescent="0.25">
      <c r="A20">
        <v>1602</v>
      </c>
      <c r="B20" t="s">
        <v>1055</v>
      </c>
      <c r="C20" t="s">
        <v>1212</v>
      </c>
      <c r="D20" t="s">
        <v>13</v>
      </c>
      <c r="E20" t="s">
        <v>53</v>
      </c>
      <c r="F20" t="str">
        <f>VLOOKUP(Ramen_Ratings[[#This Row],[Country]],Country_Region[#All],2,FALSE)</f>
        <v>Asia</v>
      </c>
      <c r="G20">
        <v>3.5</v>
      </c>
      <c r="H20" t="str" cm="1">
        <f t="array" ref="H20">_xlfn.IFS(Ramen_Ratings[[#This Row],[Stars]] = "Unrated", "NA",Ramen_Ratings[[#This Row],[Stars]]&gt;=4, "Good", Ramen_Ratings[[#This Row],[Stars]]&gt;2.5, "Fair", Ramen_Ratings[[#This Row],[Stars]] &gt;= 0, "Bad")</f>
        <v>Fair</v>
      </c>
      <c r="J20" t="str">
        <f>LEFT(Ramen_Ratings[[#This Row],[Top Ten]],4)</f>
        <v/>
      </c>
      <c r="K20" t="str">
        <f>IF(Ramen_Ratings[[#This Row],[Top Ten]]="", "",RIGHT(Ramen_Ratings[[#This Row],[Top Ten]],LEN(Ramen_Ratings[[#This Row],[Top Ten]])-6))</f>
        <v/>
      </c>
    </row>
    <row r="21" spans="1:11" x14ac:dyDescent="0.25">
      <c r="A21">
        <v>1581</v>
      </c>
      <c r="B21" t="s">
        <v>1137</v>
      </c>
      <c r="C21" t="s">
        <v>1238</v>
      </c>
      <c r="D21" t="s">
        <v>13</v>
      </c>
      <c r="E21" t="s">
        <v>53</v>
      </c>
      <c r="F21" t="str">
        <f>VLOOKUP(Ramen_Ratings[[#This Row],[Country]],Country_Region[#All],2,FALSE)</f>
        <v>Asia</v>
      </c>
      <c r="G21">
        <v>2.75</v>
      </c>
      <c r="H21" t="str" cm="1">
        <f t="array" ref="H21">_xlfn.IFS(Ramen_Ratings[[#This Row],[Stars]] = "Unrated", "NA",Ramen_Ratings[[#This Row],[Stars]]&gt;=4, "Good", Ramen_Ratings[[#This Row],[Stars]]&gt;2.5, "Fair", Ramen_Ratings[[#This Row],[Stars]] &gt;= 0, "Bad")</f>
        <v>Fair</v>
      </c>
      <c r="J21" t="str">
        <f>LEFT(Ramen_Ratings[[#This Row],[Top Ten]],4)</f>
        <v/>
      </c>
      <c r="K21" t="str">
        <f>IF(Ramen_Ratings[[#This Row],[Top Ten]]="", "",RIGHT(Ramen_Ratings[[#This Row],[Top Ten]],LEN(Ramen_Ratings[[#This Row],[Top Ten]])-6))</f>
        <v/>
      </c>
    </row>
    <row r="22" spans="1:11" x14ac:dyDescent="0.25">
      <c r="A22">
        <v>1564</v>
      </c>
      <c r="B22" t="s">
        <v>1123</v>
      </c>
      <c r="C22" t="s">
        <v>1257</v>
      </c>
      <c r="D22" t="s">
        <v>9</v>
      </c>
      <c r="E22" t="s">
        <v>53</v>
      </c>
      <c r="F22" t="str">
        <f>VLOOKUP(Ramen_Ratings[[#This Row],[Country]],Country_Region[#All],2,FALSE)</f>
        <v>Asia</v>
      </c>
      <c r="G22">
        <v>3</v>
      </c>
      <c r="H22" t="str" cm="1">
        <f t="array" ref="H22">_xlfn.IFS(Ramen_Ratings[[#This Row],[Stars]] = "Unrated", "NA",Ramen_Ratings[[#This Row],[Stars]]&gt;=4, "Good", Ramen_Ratings[[#This Row],[Stars]]&gt;2.5, "Fair", Ramen_Ratings[[#This Row],[Stars]] &gt;= 0, "Bad")</f>
        <v>Fair</v>
      </c>
      <c r="J22" t="str">
        <f>LEFT(Ramen_Ratings[[#This Row],[Top Ten]],4)</f>
        <v/>
      </c>
      <c r="K22" t="str">
        <f>IF(Ramen_Ratings[[#This Row],[Top Ten]]="", "",RIGHT(Ramen_Ratings[[#This Row],[Top Ten]],LEN(Ramen_Ratings[[#This Row],[Top Ten]])-6))</f>
        <v/>
      </c>
    </row>
    <row r="23" spans="1:11" x14ac:dyDescent="0.25">
      <c r="A23">
        <v>1536</v>
      </c>
      <c r="B23" t="s">
        <v>1129</v>
      </c>
      <c r="C23" t="s">
        <v>1289</v>
      </c>
      <c r="D23" t="s">
        <v>13</v>
      </c>
      <c r="E23" t="s">
        <v>53</v>
      </c>
      <c r="F23" t="str">
        <f>VLOOKUP(Ramen_Ratings[[#This Row],[Country]],Country_Region[#All],2,FALSE)</f>
        <v>Asia</v>
      </c>
      <c r="G23">
        <v>3.25</v>
      </c>
      <c r="H23" t="str" cm="1">
        <f t="array" ref="H23">_xlfn.IFS(Ramen_Ratings[[#This Row],[Stars]] = "Unrated", "NA",Ramen_Ratings[[#This Row],[Stars]]&gt;=4, "Good", Ramen_Ratings[[#This Row],[Stars]]&gt;2.5, "Fair", Ramen_Ratings[[#This Row],[Stars]] &gt;= 0, "Bad")</f>
        <v>Fair</v>
      </c>
      <c r="J23" t="str">
        <f>LEFT(Ramen_Ratings[[#This Row],[Top Ten]],4)</f>
        <v/>
      </c>
      <c r="K23" t="str">
        <f>IF(Ramen_Ratings[[#This Row],[Top Ten]]="", "",RIGHT(Ramen_Ratings[[#This Row],[Top Ten]],LEN(Ramen_Ratings[[#This Row],[Top Ten]])-6))</f>
        <v/>
      </c>
    </row>
    <row r="24" spans="1:11" x14ac:dyDescent="0.25">
      <c r="A24">
        <v>1533</v>
      </c>
      <c r="B24" t="s">
        <v>1292</v>
      </c>
      <c r="C24" t="s">
        <v>1293</v>
      </c>
      <c r="D24" t="s">
        <v>13</v>
      </c>
      <c r="E24" t="s">
        <v>53</v>
      </c>
      <c r="F24" t="str">
        <f>VLOOKUP(Ramen_Ratings[[#This Row],[Country]],Country_Region[#All],2,FALSE)</f>
        <v>Asia</v>
      </c>
      <c r="G24">
        <v>3.75</v>
      </c>
      <c r="H24" t="str" cm="1">
        <f t="array" ref="H24">_xlfn.IFS(Ramen_Ratings[[#This Row],[Stars]] = "Unrated", "NA",Ramen_Ratings[[#This Row],[Stars]]&gt;=4, "Good", Ramen_Ratings[[#This Row],[Stars]]&gt;2.5, "Fair", Ramen_Ratings[[#This Row],[Stars]] &gt;= 0, "Bad")</f>
        <v>Fair</v>
      </c>
      <c r="J24" t="str">
        <f>LEFT(Ramen_Ratings[[#This Row],[Top Ten]],4)</f>
        <v/>
      </c>
      <c r="K24" t="str">
        <f>IF(Ramen_Ratings[[#This Row],[Top Ten]]="", "",RIGHT(Ramen_Ratings[[#This Row],[Top Ten]],LEN(Ramen_Ratings[[#This Row],[Top Ten]])-6))</f>
        <v/>
      </c>
    </row>
    <row r="25" spans="1:11" x14ac:dyDescent="0.25">
      <c r="A25">
        <v>1522</v>
      </c>
      <c r="B25" t="s">
        <v>331</v>
      </c>
      <c r="C25" t="s">
        <v>1304</v>
      </c>
      <c r="D25" t="s">
        <v>13</v>
      </c>
      <c r="E25" t="s">
        <v>53</v>
      </c>
      <c r="F25" t="str">
        <f>VLOOKUP(Ramen_Ratings[[#This Row],[Country]],Country_Region[#All],2,FALSE)</f>
        <v>Asia</v>
      </c>
      <c r="G25">
        <v>3.25</v>
      </c>
      <c r="H25" t="str" cm="1">
        <f t="array" ref="H25">_xlfn.IFS(Ramen_Ratings[[#This Row],[Stars]] = "Unrated", "NA",Ramen_Ratings[[#This Row],[Stars]]&gt;=4, "Good", Ramen_Ratings[[#This Row],[Stars]]&gt;2.5, "Fair", Ramen_Ratings[[#This Row],[Stars]] &gt;= 0, "Bad")</f>
        <v>Fair</v>
      </c>
      <c r="J25" t="str">
        <f>LEFT(Ramen_Ratings[[#This Row],[Top Ten]],4)</f>
        <v/>
      </c>
      <c r="K25" t="str">
        <f>IF(Ramen_Ratings[[#This Row],[Top Ten]]="", "",RIGHT(Ramen_Ratings[[#This Row],[Top Ten]],LEN(Ramen_Ratings[[#This Row],[Top Ten]])-6))</f>
        <v/>
      </c>
    </row>
    <row r="26" spans="1:11" x14ac:dyDescent="0.25">
      <c r="A26">
        <v>1499</v>
      </c>
      <c r="B26" t="s">
        <v>1137</v>
      </c>
      <c r="C26" t="s">
        <v>1332</v>
      </c>
      <c r="D26" t="s">
        <v>13</v>
      </c>
      <c r="E26" t="s">
        <v>53</v>
      </c>
      <c r="F26" t="str">
        <f>VLOOKUP(Ramen_Ratings[[#This Row],[Country]],Country_Region[#All],2,FALSE)</f>
        <v>Asia</v>
      </c>
      <c r="G26">
        <v>3.25</v>
      </c>
      <c r="H26" t="str" cm="1">
        <f t="array" ref="H26">_xlfn.IFS(Ramen_Ratings[[#This Row],[Stars]] = "Unrated", "NA",Ramen_Ratings[[#This Row],[Stars]]&gt;=4, "Good", Ramen_Ratings[[#This Row],[Stars]]&gt;2.5, "Fair", Ramen_Ratings[[#This Row],[Stars]] &gt;= 0, "Bad")</f>
        <v>Fair</v>
      </c>
      <c r="J26" t="str">
        <f>LEFT(Ramen_Ratings[[#This Row],[Top Ten]],4)</f>
        <v/>
      </c>
      <c r="K26" t="str">
        <f>IF(Ramen_Ratings[[#This Row],[Top Ten]]="", "",RIGHT(Ramen_Ratings[[#This Row],[Top Ten]],LEN(Ramen_Ratings[[#This Row],[Top Ten]])-6))</f>
        <v/>
      </c>
    </row>
    <row r="27" spans="1:11" x14ac:dyDescent="0.25">
      <c r="A27">
        <v>1423</v>
      </c>
      <c r="B27" t="s">
        <v>1055</v>
      </c>
      <c r="C27" t="s">
        <v>1405</v>
      </c>
      <c r="D27" t="s">
        <v>13</v>
      </c>
      <c r="E27" t="s">
        <v>53</v>
      </c>
      <c r="F27" t="str">
        <f>VLOOKUP(Ramen_Ratings[[#This Row],[Country]],Country_Region[#All],2,FALSE)</f>
        <v>Asia</v>
      </c>
      <c r="G27">
        <v>3</v>
      </c>
      <c r="H27" t="str" cm="1">
        <f t="array" ref="H27">_xlfn.IFS(Ramen_Ratings[[#This Row],[Stars]] = "Unrated", "NA",Ramen_Ratings[[#This Row],[Stars]]&gt;=4, "Good", Ramen_Ratings[[#This Row],[Stars]]&gt;2.5, "Fair", Ramen_Ratings[[#This Row],[Stars]] &gt;= 0, "Bad")</f>
        <v>Fair</v>
      </c>
      <c r="J27" t="str">
        <f>LEFT(Ramen_Ratings[[#This Row],[Top Ten]],4)</f>
        <v/>
      </c>
      <c r="K27" t="str">
        <f>IF(Ramen_Ratings[[#This Row],[Top Ten]]="", "",RIGHT(Ramen_Ratings[[#This Row],[Top Ten]],LEN(Ramen_Ratings[[#This Row],[Top Ten]])-6))</f>
        <v/>
      </c>
    </row>
    <row r="28" spans="1:11" x14ac:dyDescent="0.25">
      <c r="A28">
        <v>1419</v>
      </c>
      <c r="B28" t="s">
        <v>331</v>
      </c>
      <c r="C28" t="s">
        <v>1409</v>
      </c>
      <c r="D28" t="s">
        <v>9</v>
      </c>
      <c r="E28" t="s">
        <v>53</v>
      </c>
      <c r="F28" t="str">
        <f>VLOOKUP(Ramen_Ratings[[#This Row],[Country]],Country_Region[#All],2,FALSE)</f>
        <v>Asia</v>
      </c>
      <c r="G28">
        <v>3.5</v>
      </c>
      <c r="H28" t="str" cm="1">
        <f t="array" ref="H28">_xlfn.IFS(Ramen_Ratings[[#This Row],[Stars]] = "Unrated", "NA",Ramen_Ratings[[#This Row],[Stars]]&gt;=4, "Good", Ramen_Ratings[[#This Row],[Stars]]&gt;2.5, "Fair", Ramen_Ratings[[#This Row],[Stars]] &gt;= 0, "Bad")</f>
        <v>Fair</v>
      </c>
      <c r="J28" t="str">
        <f>LEFT(Ramen_Ratings[[#This Row],[Top Ten]],4)</f>
        <v/>
      </c>
      <c r="K28" t="str">
        <f>IF(Ramen_Ratings[[#This Row],[Top Ten]]="", "",RIGHT(Ramen_Ratings[[#This Row],[Top Ten]],LEN(Ramen_Ratings[[#This Row],[Top Ten]])-6))</f>
        <v/>
      </c>
    </row>
    <row r="29" spans="1:11" x14ac:dyDescent="0.25">
      <c r="A29">
        <v>1399</v>
      </c>
      <c r="B29" t="s">
        <v>1055</v>
      </c>
      <c r="C29" t="s">
        <v>1435</v>
      </c>
      <c r="D29" t="s">
        <v>44</v>
      </c>
      <c r="E29" t="s">
        <v>53</v>
      </c>
      <c r="F29" t="str">
        <f>VLOOKUP(Ramen_Ratings[[#This Row],[Country]],Country_Region[#All],2,FALSE)</f>
        <v>Asia</v>
      </c>
      <c r="G29">
        <v>3.75</v>
      </c>
      <c r="H29" t="str" cm="1">
        <f t="array" ref="H29">_xlfn.IFS(Ramen_Ratings[[#This Row],[Stars]] = "Unrated", "NA",Ramen_Ratings[[#This Row],[Stars]]&gt;=4, "Good", Ramen_Ratings[[#This Row],[Stars]]&gt;2.5, "Fair", Ramen_Ratings[[#This Row],[Stars]] &gt;= 0, "Bad")</f>
        <v>Fair</v>
      </c>
      <c r="J29" t="str">
        <f>LEFT(Ramen_Ratings[[#This Row],[Top Ten]],4)</f>
        <v/>
      </c>
      <c r="K29" t="str">
        <f>IF(Ramen_Ratings[[#This Row],[Top Ten]]="", "",RIGHT(Ramen_Ratings[[#This Row],[Top Ten]],LEN(Ramen_Ratings[[#This Row],[Top Ten]])-6))</f>
        <v/>
      </c>
    </row>
    <row r="30" spans="1:11" x14ac:dyDescent="0.25">
      <c r="A30">
        <v>1329</v>
      </c>
      <c r="B30" t="s">
        <v>331</v>
      </c>
      <c r="C30" t="s">
        <v>1514</v>
      </c>
      <c r="D30" t="s">
        <v>9</v>
      </c>
      <c r="E30" t="s">
        <v>53</v>
      </c>
      <c r="F30" t="str">
        <f>VLOOKUP(Ramen_Ratings[[#This Row],[Country]],Country_Region[#All],2,FALSE)</f>
        <v>Asia</v>
      </c>
      <c r="G30">
        <v>1.25</v>
      </c>
      <c r="H30" t="str" cm="1">
        <f t="array" ref="H30">_xlfn.IFS(Ramen_Ratings[[#This Row],[Stars]] = "Unrated", "NA",Ramen_Ratings[[#This Row],[Stars]]&gt;=4, "Good", Ramen_Ratings[[#This Row],[Stars]]&gt;2.5, "Fair", Ramen_Ratings[[#This Row],[Stars]] &gt;= 0, "Bad")</f>
        <v>Bad</v>
      </c>
      <c r="J30" t="str">
        <f>LEFT(Ramen_Ratings[[#This Row],[Top Ten]],4)</f>
        <v/>
      </c>
      <c r="K30" t="str">
        <f>IF(Ramen_Ratings[[#This Row],[Top Ten]]="", "",RIGHT(Ramen_Ratings[[#This Row],[Top Ten]],LEN(Ramen_Ratings[[#This Row],[Top Ten]])-6))</f>
        <v/>
      </c>
    </row>
    <row r="31" spans="1:11" x14ac:dyDescent="0.25">
      <c r="A31">
        <v>1291</v>
      </c>
      <c r="B31" t="s">
        <v>1123</v>
      </c>
      <c r="C31" t="s">
        <v>1556</v>
      </c>
      <c r="D31" t="s">
        <v>9</v>
      </c>
      <c r="E31" t="s">
        <v>53</v>
      </c>
      <c r="F31" t="str">
        <f>VLOOKUP(Ramen_Ratings[[#This Row],[Country]],Country_Region[#All],2,FALSE)</f>
        <v>Asia</v>
      </c>
      <c r="G31">
        <v>3.25</v>
      </c>
      <c r="H31" t="str" cm="1">
        <f t="array" ref="H31">_xlfn.IFS(Ramen_Ratings[[#This Row],[Stars]] = "Unrated", "NA",Ramen_Ratings[[#This Row],[Stars]]&gt;=4, "Good", Ramen_Ratings[[#This Row],[Stars]]&gt;2.5, "Fair", Ramen_Ratings[[#This Row],[Stars]] &gt;= 0, "Bad")</f>
        <v>Fair</v>
      </c>
      <c r="J31" t="str">
        <f>LEFT(Ramen_Ratings[[#This Row],[Top Ten]],4)</f>
        <v/>
      </c>
      <c r="K31" t="str">
        <f>IF(Ramen_Ratings[[#This Row],[Top Ten]]="", "",RIGHT(Ramen_Ratings[[#This Row],[Top Ten]],LEN(Ramen_Ratings[[#This Row],[Top Ten]])-6))</f>
        <v/>
      </c>
    </row>
    <row r="32" spans="1:11" x14ac:dyDescent="0.25">
      <c r="A32">
        <v>1277</v>
      </c>
      <c r="B32" t="s">
        <v>331</v>
      </c>
      <c r="C32" t="s">
        <v>1572</v>
      </c>
      <c r="D32" t="s">
        <v>13</v>
      </c>
      <c r="E32" t="s">
        <v>53</v>
      </c>
      <c r="F32" t="str">
        <f>VLOOKUP(Ramen_Ratings[[#This Row],[Country]],Country_Region[#All],2,FALSE)</f>
        <v>Asia</v>
      </c>
      <c r="G32">
        <v>2</v>
      </c>
      <c r="H32" t="str" cm="1">
        <f t="array" ref="H32">_xlfn.IFS(Ramen_Ratings[[#This Row],[Stars]] = "Unrated", "NA",Ramen_Ratings[[#This Row],[Stars]]&gt;=4, "Good", Ramen_Ratings[[#This Row],[Stars]]&gt;2.5, "Fair", Ramen_Ratings[[#This Row],[Stars]] &gt;= 0, "Bad")</f>
        <v>Bad</v>
      </c>
      <c r="J32" t="str">
        <f>LEFT(Ramen_Ratings[[#This Row],[Top Ten]],4)</f>
        <v/>
      </c>
      <c r="K32" t="str">
        <f>IF(Ramen_Ratings[[#This Row],[Top Ten]]="", "",RIGHT(Ramen_Ratings[[#This Row],[Top Ten]],LEN(Ramen_Ratings[[#This Row],[Top Ten]])-6))</f>
        <v/>
      </c>
    </row>
    <row r="33" spans="1:11" x14ac:dyDescent="0.25">
      <c r="A33">
        <v>1156</v>
      </c>
      <c r="B33" t="s">
        <v>331</v>
      </c>
      <c r="C33" t="s">
        <v>1703</v>
      </c>
      <c r="D33" t="s">
        <v>13</v>
      </c>
      <c r="E33" t="s">
        <v>53</v>
      </c>
      <c r="F33" t="str">
        <f>VLOOKUP(Ramen_Ratings[[#This Row],[Country]],Country_Region[#All],2,FALSE)</f>
        <v>Asia</v>
      </c>
      <c r="G33">
        <v>3.75</v>
      </c>
      <c r="H33" t="str" cm="1">
        <f t="array" ref="H33">_xlfn.IFS(Ramen_Ratings[[#This Row],[Stars]] = "Unrated", "NA",Ramen_Ratings[[#This Row],[Stars]]&gt;=4, "Good", Ramen_Ratings[[#This Row],[Stars]]&gt;2.5, "Fair", Ramen_Ratings[[#This Row],[Stars]] &gt;= 0, "Bad")</f>
        <v>Fair</v>
      </c>
      <c r="J33" t="str">
        <f>LEFT(Ramen_Ratings[[#This Row],[Top Ten]],4)</f>
        <v/>
      </c>
      <c r="K33" t="str">
        <f>IF(Ramen_Ratings[[#This Row],[Top Ten]]="", "",RIGHT(Ramen_Ratings[[#This Row],[Top Ten]],LEN(Ramen_Ratings[[#This Row],[Top Ten]])-6))</f>
        <v/>
      </c>
    </row>
    <row r="34" spans="1:11" x14ac:dyDescent="0.25">
      <c r="A34">
        <v>1085</v>
      </c>
      <c r="B34" t="s">
        <v>1055</v>
      </c>
      <c r="C34" t="s">
        <v>1780</v>
      </c>
      <c r="D34" t="s">
        <v>13</v>
      </c>
      <c r="E34" t="s">
        <v>53</v>
      </c>
      <c r="F34" t="str">
        <f>VLOOKUP(Ramen_Ratings[[#This Row],[Country]],Country_Region[#All],2,FALSE)</f>
        <v>Asia</v>
      </c>
      <c r="G34">
        <v>3.5</v>
      </c>
      <c r="H34" t="str" cm="1">
        <f t="array" ref="H34">_xlfn.IFS(Ramen_Ratings[[#This Row],[Stars]] = "Unrated", "NA",Ramen_Ratings[[#This Row],[Stars]]&gt;=4, "Good", Ramen_Ratings[[#This Row],[Stars]]&gt;2.5, "Fair", Ramen_Ratings[[#This Row],[Stars]] &gt;= 0, "Bad")</f>
        <v>Fair</v>
      </c>
      <c r="J34" t="str">
        <f>LEFT(Ramen_Ratings[[#This Row],[Top Ten]],4)</f>
        <v/>
      </c>
      <c r="K34" t="str">
        <f>IF(Ramen_Ratings[[#This Row],[Top Ten]]="", "",RIGHT(Ramen_Ratings[[#This Row],[Top Ten]],LEN(Ramen_Ratings[[#This Row],[Top Ten]])-6))</f>
        <v/>
      </c>
    </row>
    <row r="35" spans="1:11" x14ac:dyDescent="0.25">
      <c r="A35">
        <v>1013</v>
      </c>
      <c r="B35" t="s">
        <v>1055</v>
      </c>
      <c r="C35" t="s">
        <v>1851</v>
      </c>
      <c r="D35" t="s">
        <v>13</v>
      </c>
      <c r="E35" t="s">
        <v>53</v>
      </c>
      <c r="F35" t="str">
        <f>VLOOKUP(Ramen_Ratings[[#This Row],[Country]],Country_Region[#All],2,FALSE)</f>
        <v>Asia</v>
      </c>
      <c r="G35">
        <v>3.5</v>
      </c>
      <c r="H35" t="str" cm="1">
        <f t="array" ref="H35">_xlfn.IFS(Ramen_Ratings[[#This Row],[Stars]] = "Unrated", "NA",Ramen_Ratings[[#This Row],[Stars]]&gt;=4, "Good", Ramen_Ratings[[#This Row],[Stars]]&gt;2.5, "Fair", Ramen_Ratings[[#This Row],[Stars]] &gt;= 0, "Bad")</f>
        <v>Fair</v>
      </c>
      <c r="J35" t="str">
        <f>LEFT(Ramen_Ratings[[#This Row],[Top Ten]],4)</f>
        <v/>
      </c>
      <c r="K35" t="str">
        <f>IF(Ramen_Ratings[[#This Row],[Top Ten]]="", "",RIGHT(Ramen_Ratings[[#This Row],[Top Ten]],LEN(Ramen_Ratings[[#This Row],[Top Ten]])-6))</f>
        <v/>
      </c>
    </row>
    <row r="36" spans="1:11" x14ac:dyDescent="0.25">
      <c r="A36">
        <v>929</v>
      </c>
      <c r="B36" t="s">
        <v>1055</v>
      </c>
      <c r="C36" t="s">
        <v>1940</v>
      </c>
      <c r="D36" t="s">
        <v>13</v>
      </c>
      <c r="E36" t="s">
        <v>53</v>
      </c>
      <c r="F36" t="str">
        <f>VLOOKUP(Ramen_Ratings[[#This Row],[Country]],Country_Region[#All],2,FALSE)</f>
        <v>Asia</v>
      </c>
      <c r="G36">
        <v>3.75</v>
      </c>
      <c r="H36" t="str" cm="1">
        <f t="array" ref="H36">_xlfn.IFS(Ramen_Ratings[[#This Row],[Stars]] = "Unrated", "NA",Ramen_Ratings[[#This Row],[Stars]]&gt;=4, "Good", Ramen_Ratings[[#This Row],[Stars]]&gt;2.5, "Fair", Ramen_Ratings[[#This Row],[Stars]] &gt;= 0, "Bad")</f>
        <v>Fair</v>
      </c>
      <c r="J36" t="str">
        <f>LEFT(Ramen_Ratings[[#This Row],[Top Ten]],4)</f>
        <v/>
      </c>
      <c r="K36" t="str">
        <f>IF(Ramen_Ratings[[#This Row],[Top Ten]]="", "",RIGHT(Ramen_Ratings[[#This Row],[Top Ten]],LEN(Ramen_Ratings[[#This Row],[Top Ten]])-6))</f>
        <v/>
      </c>
    </row>
    <row r="37" spans="1:11" x14ac:dyDescent="0.25">
      <c r="A37">
        <v>917</v>
      </c>
      <c r="B37" t="s">
        <v>1055</v>
      </c>
      <c r="C37" t="s">
        <v>1951</v>
      </c>
      <c r="D37" t="s">
        <v>13</v>
      </c>
      <c r="E37" t="s">
        <v>53</v>
      </c>
      <c r="F37" t="str">
        <f>VLOOKUP(Ramen_Ratings[[#This Row],[Country]],Country_Region[#All],2,FALSE)</f>
        <v>Asia</v>
      </c>
      <c r="G37">
        <v>3.25</v>
      </c>
      <c r="H37" t="str" cm="1">
        <f t="array" ref="H37">_xlfn.IFS(Ramen_Ratings[[#This Row],[Stars]] = "Unrated", "NA",Ramen_Ratings[[#This Row],[Stars]]&gt;=4, "Good", Ramen_Ratings[[#This Row],[Stars]]&gt;2.5, "Fair", Ramen_Ratings[[#This Row],[Stars]] &gt;= 0, "Bad")</f>
        <v>Fair</v>
      </c>
      <c r="J37" t="str">
        <f>LEFT(Ramen_Ratings[[#This Row],[Top Ten]],4)</f>
        <v/>
      </c>
      <c r="K37" t="str">
        <f>IF(Ramen_Ratings[[#This Row],[Top Ten]]="", "",RIGHT(Ramen_Ratings[[#This Row],[Top Ten]],LEN(Ramen_Ratings[[#This Row],[Top Ten]])-6))</f>
        <v/>
      </c>
    </row>
    <row r="38" spans="1:11" x14ac:dyDescent="0.25">
      <c r="A38">
        <v>896</v>
      </c>
      <c r="B38" t="s">
        <v>1055</v>
      </c>
      <c r="C38" t="s">
        <v>1979</v>
      </c>
      <c r="D38" t="s">
        <v>13</v>
      </c>
      <c r="E38" t="s">
        <v>53</v>
      </c>
      <c r="F38" t="str">
        <f>VLOOKUP(Ramen_Ratings[[#This Row],[Country]],Country_Region[#All],2,FALSE)</f>
        <v>Asia</v>
      </c>
      <c r="G38">
        <v>3.5</v>
      </c>
      <c r="H38" t="str" cm="1">
        <f t="array" ref="H38">_xlfn.IFS(Ramen_Ratings[[#This Row],[Stars]] = "Unrated", "NA",Ramen_Ratings[[#This Row],[Stars]]&gt;=4, "Good", Ramen_Ratings[[#This Row],[Stars]]&gt;2.5, "Fair", Ramen_Ratings[[#This Row],[Stars]] &gt;= 0, "Bad")</f>
        <v>Fair</v>
      </c>
      <c r="J38" t="str">
        <f>LEFT(Ramen_Ratings[[#This Row],[Top Ten]],4)</f>
        <v/>
      </c>
      <c r="K38" t="str">
        <f>IF(Ramen_Ratings[[#This Row],[Top Ten]]="", "",RIGHT(Ramen_Ratings[[#This Row],[Top Ten]],LEN(Ramen_Ratings[[#This Row],[Top Ten]])-6))</f>
        <v/>
      </c>
    </row>
    <row r="39" spans="1:11" x14ac:dyDescent="0.25">
      <c r="A39">
        <v>891</v>
      </c>
      <c r="B39" t="s">
        <v>1055</v>
      </c>
      <c r="C39" t="s">
        <v>1984</v>
      </c>
      <c r="D39" t="s">
        <v>13</v>
      </c>
      <c r="E39" t="s">
        <v>53</v>
      </c>
      <c r="F39" t="str">
        <f>VLOOKUP(Ramen_Ratings[[#This Row],[Country]],Country_Region[#All],2,FALSE)</f>
        <v>Asia</v>
      </c>
      <c r="G39">
        <v>2.75</v>
      </c>
      <c r="H39" t="str" cm="1">
        <f t="array" ref="H39">_xlfn.IFS(Ramen_Ratings[[#This Row],[Stars]] = "Unrated", "NA",Ramen_Ratings[[#This Row],[Stars]]&gt;=4, "Good", Ramen_Ratings[[#This Row],[Stars]]&gt;2.5, "Fair", Ramen_Ratings[[#This Row],[Stars]] &gt;= 0, "Bad")</f>
        <v>Fair</v>
      </c>
      <c r="J39" t="str">
        <f>LEFT(Ramen_Ratings[[#This Row],[Top Ten]],4)</f>
        <v/>
      </c>
      <c r="K39" t="str">
        <f>IF(Ramen_Ratings[[#This Row],[Top Ten]]="", "",RIGHT(Ramen_Ratings[[#This Row],[Top Ten]],LEN(Ramen_Ratings[[#This Row],[Top Ten]])-6))</f>
        <v/>
      </c>
    </row>
    <row r="40" spans="1:11" x14ac:dyDescent="0.25">
      <c r="A40">
        <v>890</v>
      </c>
      <c r="B40" t="s">
        <v>1985</v>
      </c>
      <c r="C40" t="s">
        <v>1986</v>
      </c>
      <c r="D40" t="s">
        <v>13</v>
      </c>
      <c r="E40" t="s">
        <v>53</v>
      </c>
      <c r="F40" t="str">
        <f>VLOOKUP(Ramen_Ratings[[#This Row],[Country]],Country_Region[#All],2,FALSE)</f>
        <v>Asia</v>
      </c>
      <c r="G40">
        <v>3.5</v>
      </c>
      <c r="H40" t="str" cm="1">
        <f t="array" ref="H40">_xlfn.IFS(Ramen_Ratings[[#This Row],[Stars]] = "Unrated", "NA",Ramen_Ratings[[#This Row],[Stars]]&gt;=4, "Good", Ramen_Ratings[[#This Row],[Stars]]&gt;2.5, "Fair", Ramen_Ratings[[#This Row],[Stars]] &gt;= 0, "Bad")</f>
        <v>Fair</v>
      </c>
      <c r="J40" t="str">
        <f>LEFT(Ramen_Ratings[[#This Row],[Top Ten]],4)</f>
        <v/>
      </c>
      <c r="K40" t="str">
        <f>IF(Ramen_Ratings[[#This Row],[Top Ten]]="", "",RIGHT(Ramen_Ratings[[#This Row],[Top Ten]],LEN(Ramen_Ratings[[#This Row],[Top Ten]])-6))</f>
        <v/>
      </c>
    </row>
    <row r="41" spans="1:11" x14ac:dyDescent="0.25">
      <c r="A41">
        <v>873</v>
      </c>
      <c r="B41" t="s">
        <v>331</v>
      </c>
      <c r="C41" t="s">
        <v>2005</v>
      </c>
      <c r="D41" t="s">
        <v>13</v>
      </c>
      <c r="E41" t="s">
        <v>53</v>
      </c>
      <c r="F41" t="str">
        <f>VLOOKUP(Ramen_Ratings[[#This Row],[Country]],Country_Region[#All],2,FALSE)</f>
        <v>Asia</v>
      </c>
      <c r="G41">
        <v>3.5</v>
      </c>
      <c r="H41" t="str" cm="1">
        <f t="array" ref="H41">_xlfn.IFS(Ramen_Ratings[[#This Row],[Stars]] = "Unrated", "NA",Ramen_Ratings[[#This Row],[Stars]]&gt;=4, "Good", Ramen_Ratings[[#This Row],[Stars]]&gt;2.5, "Fair", Ramen_Ratings[[#This Row],[Stars]] &gt;= 0, "Bad")</f>
        <v>Fair</v>
      </c>
      <c r="J41" t="str">
        <f>LEFT(Ramen_Ratings[[#This Row],[Top Ten]],4)</f>
        <v/>
      </c>
      <c r="K41" t="str">
        <f>IF(Ramen_Ratings[[#This Row],[Top Ten]]="", "",RIGHT(Ramen_Ratings[[#This Row],[Top Ten]],LEN(Ramen_Ratings[[#This Row],[Top Ten]])-6))</f>
        <v/>
      </c>
    </row>
    <row r="42" spans="1:11" x14ac:dyDescent="0.25">
      <c r="A42">
        <v>869</v>
      </c>
      <c r="B42" t="s">
        <v>1055</v>
      </c>
      <c r="C42" t="s">
        <v>2010</v>
      </c>
      <c r="D42" t="s">
        <v>13</v>
      </c>
      <c r="E42" t="s">
        <v>53</v>
      </c>
      <c r="F42" t="str">
        <f>VLOOKUP(Ramen_Ratings[[#This Row],[Country]],Country_Region[#All],2,FALSE)</f>
        <v>Asia</v>
      </c>
      <c r="G42">
        <v>3.25</v>
      </c>
      <c r="H42" t="str" cm="1">
        <f t="array" ref="H42">_xlfn.IFS(Ramen_Ratings[[#This Row],[Stars]] = "Unrated", "NA",Ramen_Ratings[[#This Row],[Stars]]&gt;=4, "Good", Ramen_Ratings[[#This Row],[Stars]]&gt;2.5, "Fair", Ramen_Ratings[[#This Row],[Stars]] &gt;= 0, "Bad")</f>
        <v>Fair</v>
      </c>
      <c r="J42" t="str">
        <f>LEFT(Ramen_Ratings[[#This Row],[Top Ten]],4)</f>
        <v/>
      </c>
      <c r="K42" t="str">
        <f>IF(Ramen_Ratings[[#This Row],[Top Ten]]="", "",RIGHT(Ramen_Ratings[[#This Row],[Top Ten]],LEN(Ramen_Ratings[[#This Row],[Top Ten]])-6))</f>
        <v/>
      </c>
    </row>
    <row r="43" spans="1:11" x14ac:dyDescent="0.25">
      <c r="A43">
        <v>861</v>
      </c>
      <c r="B43" t="s">
        <v>1055</v>
      </c>
      <c r="C43" t="s">
        <v>2019</v>
      </c>
      <c r="D43" t="s">
        <v>13</v>
      </c>
      <c r="E43" t="s">
        <v>53</v>
      </c>
      <c r="F43" t="str">
        <f>VLOOKUP(Ramen_Ratings[[#This Row],[Country]],Country_Region[#All],2,FALSE)</f>
        <v>Asia</v>
      </c>
      <c r="G43">
        <v>3.25</v>
      </c>
      <c r="H43" t="str" cm="1">
        <f t="array" ref="H43">_xlfn.IFS(Ramen_Ratings[[#This Row],[Stars]] = "Unrated", "NA",Ramen_Ratings[[#This Row],[Stars]]&gt;=4, "Good", Ramen_Ratings[[#This Row],[Stars]]&gt;2.5, "Fair", Ramen_Ratings[[#This Row],[Stars]] &gt;= 0, "Bad")</f>
        <v>Fair</v>
      </c>
      <c r="J43" t="str">
        <f>LEFT(Ramen_Ratings[[#This Row],[Top Ten]],4)</f>
        <v/>
      </c>
      <c r="K43" t="str">
        <f>IF(Ramen_Ratings[[#This Row],[Top Ten]]="", "",RIGHT(Ramen_Ratings[[#This Row],[Top Ten]],LEN(Ramen_Ratings[[#This Row],[Top Ten]])-6))</f>
        <v/>
      </c>
    </row>
    <row r="44" spans="1:11" x14ac:dyDescent="0.25">
      <c r="A44">
        <v>855</v>
      </c>
      <c r="B44" t="s">
        <v>1055</v>
      </c>
      <c r="C44" t="s">
        <v>2025</v>
      </c>
      <c r="D44" t="s">
        <v>44</v>
      </c>
      <c r="E44" t="s">
        <v>53</v>
      </c>
      <c r="F44" t="str">
        <f>VLOOKUP(Ramen_Ratings[[#This Row],[Country]],Country_Region[#All],2,FALSE)</f>
        <v>Asia</v>
      </c>
      <c r="G44">
        <v>4.25</v>
      </c>
      <c r="H44" t="str" cm="1">
        <f t="array" ref="H44">_xlfn.IFS(Ramen_Ratings[[#This Row],[Stars]] = "Unrated", "NA",Ramen_Ratings[[#This Row],[Stars]]&gt;=4, "Good", Ramen_Ratings[[#This Row],[Stars]]&gt;2.5, "Fair", Ramen_Ratings[[#This Row],[Stars]] &gt;= 0, "Bad")</f>
        <v>Good</v>
      </c>
      <c r="J44" t="str">
        <f>LEFT(Ramen_Ratings[[#This Row],[Top Ten]],4)</f>
        <v/>
      </c>
      <c r="K44" t="str">
        <f>IF(Ramen_Ratings[[#This Row],[Top Ten]]="", "",RIGHT(Ramen_Ratings[[#This Row],[Top Ten]],LEN(Ramen_Ratings[[#This Row],[Top Ten]])-6))</f>
        <v/>
      </c>
    </row>
    <row r="45" spans="1:11" x14ac:dyDescent="0.25">
      <c r="A45">
        <v>846</v>
      </c>
      <c r="B45" t="s">
        <v>331</v>
      </c>
      <c r="C45" t="s">
        <v>2035</v>
      </c>
      <c r="D45" t="s">
        <v>13</v>
      </c>
      <c r="E45" t="s">
        <v>53</v>
      </c>
      <c r="F45" t="str">
        <f>VLOOKUP(Ramen_Ratings[[#This Row],[Country]],Country_Region[#All],2,FALSE)</f>
        <v>Asia</v>
      </c>
      <c r="G45">
        <v>3.75</v>
      </c>
      <c r="H45" t="str" cm="1">
        <f t="array" ref="H45">_xlfn.IFS(Ramen_Ratings[[#This Row],[Stars]] = "Unrated", "NA",Ramen_Ratings[[#This Row],[Stars]]&gt;=4, "Good", Ramen_Ratings[[#This Row],[Stars]]&gt;2.5, "Fair", Ramen_Ratings[[#This Row],[Stars]] &gt;= 0, "Bad")</f>
        <v>Fair</v>
      </c>
      <c r="J45" t="str">
        <f>LEFT(Ramen_Ratings[[#This Row],[Top Ten]],4)</f>
        <v/>
      </c>
      <c r="K45" t="str">
        <f>IF(Ramen_Ratings[[#This Row],[Top Ten]]="", "",RIGHT(Ramen_Ratings[[#This Row],[Top Ten]],LEN(Ramen_Ratings[[#This Row],[Top Ten]])-6))</f>
        <v/>
      </c>
    </row>
    <row r="46" spans="1:11" x14ac:dyDescent="0.25">
      <c r="A46">
        <v>836</v>
      </c>
      <c r="B46" t="s">
        <v>51</v>
      </c>
      <c r="C46" t="s">
        <v>2045</v>
      </c>
      <c r="D46" t="s">
        <v>13</v>
      </c>
      <c r="E46" t="s">
        <v>53</v>
      </c>
      <c r="F46" t="str">
        <f>VLOOKUP(Ramen_Ratings[[#This Row],[Country]],Country_Region[#All],2,FALSE)</f>
        <v>Asia</v>
      </c>
      <c r="G46">
        <v>3.5</v>
      </c>
      <c r="H46" t="str" cm="1">
        <f t="array" ref="H46">_xlfn.IFS(Ramen_Ratings[[#This Row],[Stars]] = "Unrated", "NA",Ramen_Ratings[[#This Row],[Stars]]&gt;=4, "Good", Ramen_Ratings[[#This Row],[Stars]]&gt;2.5, "Fair", Ramen_Ratings[[#This Row],[Stars]] &gt;= 0, "Bad")</f>
        <v>Fair</v>
      </c>
      <c r="J46" t="str">
        <f>LEFT(Ramen_Ratings[[#This Row],[Top Ten]],4)</f>
        <v/>
      </c>
      <c r="K46" t="str">
        <f>IF(Ramen_Ratings[[#This Row],[Top Ten]]="", "",RIGHT(Ramen_Ratings[[#This Row],[Top Ten]],LEN(Ramen_Ratings[[#This Row],[Top Ten]])-6))</f>
        <v/>
      </c>
    </row>
    <row r="47" spans="1:11" x14ac:dyDescent="0.25">
      <c r="A47">
        <v>831</v>
      </c>
      <c r="B47" t="s">
        <v>331</v>
      </c>
      <c r="C47" t="s">
        <v>2050</v>
      </c>
      <c r="D47" t="s">
        <v>13</v>
      </c>
      <c r="E47" t="s">
        <v>53</v>
      </c>
      <c r="F47" t="str">
        <f>VLOOKUP(Ramen_Ratings[[#This Row],[Country]],Country_Region[#All],2,FALSE)</f>
        <v>Asia</v>
      </c>
      <c r="G47">
        <v>3.25</v>
      </c>
      <c r="H47" t="str" cm="1">
        <f t="array" ref="H47">_xlfn.IFS(Ramen_Ratings[[#This Row],[Stars]] = "Unrated", "NA",Ramen_Ratings[[#This Row],[Stars]]&gt;=4, "Good", Ramen_Ratings[[#This Row],[Stars]]&gt;2.5, "Fair", Ramen_Ratings[[#This Row],[Stars]] &gt;= 0, "Bad")</f>
        <v>Fair</v>
      </c>
      <c r="J47" t="str">
        <f>LEFT(Ramen_Ratings[[#This Row],[Top Ten]],4)</f>
        <v/>
      </c>
      <c r="K47" t="str">
        <f>IF(Ramen_Ratings[[#This Row],[Top Ten]]="", "",RIGHT(Ramen_Ratings[[#This Row],[Top Ten]],LEN(Ramen_Ratings[[#This Row],[Top Ten]])-6))</f>
        <v/>
      </c>
    </row>
    <row r="48" spans="1:11" x14ac:dyDescent="0.25">
      <c r="A48">
        <v>816</v>
      </c>
      <c r="B48" t="s">
        <v>1055</v>
      </c>
      <c r="C48" t="s">
        <v>2067</v>
      </c>
      <c r="D48" t="s">
        <v>13</v>
      </c>
      <c r="E48" t="s">
        <v>53</v>
      </c>
      <c r="F48" t="str">
        <f>VLOOKUP(Ramen_Ratings[[#This Row],[Country]],Country_Region[#All],2,FALSE)</f>
        <v>Asia</v>
      </c>
      <c r="G48">
        <v>3.75</v>
      </c>
      <c r="H48" t="str" cm="1">
        <f t="array" ref="H48">_xlfn.IFS(Ramen_Ratings[[#This Row],[Stars]] = "Unrated", "NA",Ramen_Ratings[[#This Row],[Stars]]&gt;=4, "Good", Ramen_Ratings[[#This Row],[Stars]]&gt;2.5, "Fair", Ramen_Ratings[[#This Row],[Stars]] &gt;= 0, "Bad")</f>
        <v>Fair</v>
      </c>
      <c r="J48" t="str">
        <f>LEFT(Ramen_Ratings[[#This Row],[Top Ten]],4)</f>
        <v/>
      </c>
      <c r="K48" t="str">
        <f>IF(Ramen_Ratings[[#This Row],[Top Ten]]="", "",RIGHT(Ramen_Ratings[[#This Row],[Top Ten]],LEN(Ramen_Ratings[[#This Row],[Top Ten]])-6))</f>
        <v/>
      </c>
    </row>
    <row r="49" spans="1:11" x14ac:dyDescent="0.25">
      <c r="A49">
        <v>801</v>
      </c>
      <c r="B49" t="s">
        <v>2082</v>
      </c>
      <c r="C49" t="s">
        <v>2083</v>
      </c>
      <c r="D49" t="s">
        <v>13</v>
      </c>
      <c r="E49" t="s">
        <v>53</v>
      </c>
      <c r="F49" t="str">
        <f>VLOOKUP(Ramen_Ratings[[#This Row],[Country]],Country_Region[#All],2,FALSE)</f>
        <v>Asia</v>
      </c>
      <c r="G49">
        <v>3.75</v>
      </c>
      <c r="H49" t="str" cm="1">
        <f t="array" ref="H49">_xlfn.IFS(Ramen_Ratings[[#This Row],[Stars]] = "Unrated", "NA",Ramen_Ratings[[#This Row],[Stars]]&gt;=4, "Good", Ramen_Ratings[[#This Row],[Stars]]&gt;2.5, "Fair", Ramen_Ratings[[#This Row],[Stars]] &gt;= 0, "Bad")</f>
        <v>Fair</v>
      </c>
      <c r="J49" t="str">
        <f>LEFT(Ramen_Ratings[[#This Row],[Top Ten]],4)</f>
        <v/>
      </c>
      <c r="K49" t="str">
        <f>IF(Ramen_Ratings[[#This Row],[Top Ten]]="", "",RIGHT(Ramen_Ratings[[#This Row],[Top Ten]],LEN(Ramen_Ratings[[#This Row],[Top Ten]])-6))</f>
        <v/>
      </c>
    </row>
    <row r="50" spans="1:11" x14ac:dyDescent="0.25">
      <c r="A50">
        <v>796</v>
      </c>
      <c r="B50" t="s">
        <v>1055</v>
      </c>
      <c r="C50" t="s">
        <v>2089</v>
      </c>
      <c r="D50" t="s">
        <v>13</v>
      </c>
      <c r="E50" t="s">
        <v>53</v>
      </c>
      <c r="F50" t="str">
        <f>VLOOKUP(Ramen_Ratings[[#This Row],[Country]],Country_Region[#All],2,FALSE)</f>
        <v>Asia</v>
      </c>
      <c r="G50">
        <v>3</v>
      </c>
      <c r="H50" t="str" cm="1">
        <f t="array" ref="H50">_xlfn.IFS(Ramen_Ratings[[#This Row],[Stars]] = "Unrated", "NA",Ramen_Ratings[[#This Row],[Stars]]&gt;=4, "Good", Ramen_Ratings[[#This Row],[Stars]]&gt;2.5, "Fair", Ramen_Ratings[[#This Row],[Stars]] &gt;= 0, "Bad")</f>
        <v>Fair</v>
      </c>
      <c r="J50" t="str">
        <f>LEFT(Ramen_Ratings[[#This Row],[Top Ten]],4)</f>
        <v/>
      </c>
      <c r="K50" t="str">
        <f>IF(Ramen_Ratings[[#This Row],[Top Ten]]="", "",RIGHT(Ramen_Ratings[[#This Row],[Top Ten]],LEN(Ramen_Ratings[[#This Row],[Top Ten]])-6))</f>
        <v/>
      </c>
    </row>
    <row r="51" spans="1:11" x14ac:dyDescent="0.25">
      <c r="A51">
        <v>781</v>
      </c>
      <c r="B51" t="s">
        <v>1055</v>
      </c>
      <c r="C51" t="s">
        <v>2103</v>
      </c>
      <c r="D51" t="s">
        <v>13</v>
      </c>
      <c r="E51" t="s">
        <v>53</v>
      </c>
      <c r="F51" t="str">
        <f>VLOOKUP(Ramen_Ratings[[#This Row],[Country]],Country_Region[#All],2,FALSE)</f>
        <v>Asia</v>
      </c>
      <c r="G51">
        <v>3</v>
      </c>
      <c r="H51" t="str" cm="1">
        <f t="array" ref="H51">_xlfn.IFS(Ramen_Ratings[[#This Row],[Stars]] = "Unrated", "NA",Ramen_Ratings[[#This Row],[Stars]]&gt;=4, "Good", Ramen_Ratings[[#This Row],[Stars]]&gt;2.5, "Fair", Ramen_Ratings[[#This Row],[Stars]] &gt;= 0, "Bad")</f>
        <v>Fair</v>
      </c>
      <c r="J51" t="str">
        <f>LEFT(Ramen_Ratings[[#This Row],[Top Ten]],4)</f>
        <v/>
      </c>
      <c r="K51" t="str">
        <f>IF(Ramen_Ratings[[#This Row],[Top Ten]]="", "",RIGHT(Ramen_Ratings[[#This Row],[Top Ten]],LEN(Ramen_Ratings[[#This Row],[Top Ten]])-6))</f>
        <v/>
      </c>
    </row>
    <row r="52" spans="1:11" x14ac:dyDescent="0.25">
      <c r="A52">
        <v>737</v>
      </c>
      <c r="B52" t="s">
        <v>2082</v>
      </c>
      <c r="C52" t="s">
        <v>2148</v>
      </c>
      <c r="D52" t="s">
        <v>13</v>
      </c>
      <c r="E52" t="s">
        <v>53</v>
      </c>
      <c r="F52" t="str">
        <f>VLOOKUP(Ramen_Ratings[[#This Row],[Country]],Country_Region[#All],2,FALSE)</f>
        <v>Asia</v>
      </c>
      <c r="G52">
        <v>2.5</v>
      </c>
      <c r="H52" t="str" cm="1">
        <f t="array" ref="H52">_xlfn.IFS(Ramen_Ratings[[#This Row],[Stars]] = "Unrated", "NA",Ramen_Ratings[[#This Row],[Stars]]&gt;=4, "Good", Ramen_Ratings[[#This Row],[Stars]]&gt;2.5, "Fair", Ramen_Ratings[[#This Row],[Stars]] &gt;= 0, "Bad")</f>
        <v>Bad</v>
      </c>
      <c r="J52" t="str">
        <f>LEFT(Ramen_Ratings[[#This Row],[Top Ten]],4)</f>
        <v/>
      </c>
      <c r="K52" t="str">
        <f>IF(Ramen_Ratings[[#This Row],[Top Ten]]="", "",RIGHT(Ramen_Ratings[[#This Row],[Top Ten]],LEN(Ramen_Ratings[[#This Row],[Top Ten]])-6))</f>
        <v/>
      </c>
    </row>
    <row r="53" spans="1:11" x14ac:dyDescent="0.25">
      <c r="A53">
        <v>716</v>
      </c>
      <c r="B53" t="s">
        <v>331</v>
      </c>
      <c r="C53" t="s">
        <v>2169</v>
      </c>
      <c r="D53" t="s">
        <v>44</v>
      </c>
      <c r="E53" t="s">
        <v>53</v>
      </c>
      <c r="F53" t="str">
        <f>VLOOKUP(Ramen_Ratings[[#This Row],[Country]],Country_Region[#All],2,FALSE)</f>
        <v>Asia</v>
      </c>
      <c r="G53">
        <v>3.75</v>
      </c>
      <c r="H53" t="str" cm="1">
        <f t="array" ref="H53">_xlfn.IFS(Ramen_Ratings[[#This Row],[Stars]] = "Unrated", "NA",Ramen_Ratings[[#This Row],[Stars]]&gt;=4, "Good", Ramen_Ratings[[#This Row],[Stars]]&gt;2.5, "Fair", Ramen_Ratings[[#This Row],[Stars]] &gt;= 0, "Bad")</f>
        <v>Fair</v>
      </c>
      <c r="J53" t="str">
        <f>LEFT(Ramen_Ratings[[#This Row],[Top Ten]],4)</f>
        <v/>
      </c>
      <c r="K53" t="str">
        <f>IF(Ramen_Ratings[[#This Row],[Top Ten]]="", "",RIGHT(Ramen_Ratings[[#This Row],[Top Ten]],LEN(Ramen_Ratings[[#This Row],[Top Ten]])-6))</f>
        <v/>
      </c>
    </row>
    <row r="54" spans="1:11" x14ac:dyDescent="0.25">
      <c r="A54">
        <v>710</v>
      </c>
      <c r="B54" t="s">
        <v>2176</v>
      </c>
      <c r="C54" t="s">
        <v>2177</v>
      </c>
      <c r="D54" t="s">
        <v>44</v>
      </c>
      <c r="E54" t="s">
        <v>53</v>
      </c>
      <c r="F54" t="str">
        <f>VLOOKUP(Ramen_Ratings[[#This Row],[Country]],Country_Region[#All],2,FALSE)</f>
        <v>Asia</v>
      </c>
      <c r="G54">
        <v>2.75</v>
      </c>
      <c r="H54" t="str" cm="1">
        <f t="array" ref="H54">_xlfn.IFS(Ramen_Ratings[[#This Row],[Stars]] = "Unrated", "NA",Ramen_Ratings[[#This Row],[Stars]]&gt;=4, "Good", Ramen_Ratings[[#This Row],[Stars]]&gt;2.5, "Fair", Ramen_Ratings[[#This Row],[Stars]] &gt;= 0, "Bad")</f>
        <v>Fair</v>
      </c>
      <c r="J54" t="str">
        <f>LEFT(Ramen_Ratings[[#This Row],[Top Ten]],4)</f>
        <v/>
      </c>
      <c r="K54" t="str">
        <f>IF(Ramen_Ratings[[#This Row],[Top Ten]]="", "",RIGHT(Ramen_Ratings[[#This Row],[Top Ten]],LEN(Ramen_Ratings[[#This Row],[Top Ten]])-6))</f>
        <v/>
      </c>
    </row>
    <row r="55" spans="1:11" x14ac:dyDescent="0.25">
      <c r="A55">
        <v>694</v>
      </c>
      <c r="B55" t="s">
        <v>1055</v>
      </c>
      <c r="C55" t="s">
        <v>2196</v>
      </c>
      <c r="D55" t="s">
        <v>13</v>
      </c>
      <c r="E55" t="s">
        <v>53</v>
      </c>
      <c r="F55" t="str">
        <f>VLOOKUP(Ramen_Ratings[[#This Row],[Country]],Country_Region[#All],2,FALSE)</f>
        <v>Asia</v>
      </c>
      <c r="G55">
        <v>3.5</v>
      </c>
      <c r="H55" t="str" cm="1">
        <f t="array" ref="H55">_xlfn.IFS(Ramen_Ratings[[#This Row],[Stars]] = "Unrated", "NA",Ramen_Ratings[[#This Row],[Stars]]&gt;=4, "Good", Ramen_Ratings[[#This Row],[Stars]]&gt;2.5, "Fair", Ramen_Ratings[[#This Row],[Stars]] &gt;= 0, "Bad")</f>
        <v>Fair</v>
      </c>
      <c r="J55" t="str">
        <f>LEFT(Ramen_Ratings[[#This Row],[Top Ten]],4)</f>
        <v/>
      </c>
      <c r="K55" t="str">
        <f>IF(Ramen_Ratings[[#This Row],[Top Ten]]="", "",RIGHT(Ramen_Ratings[[#This Row],[Top Ten]],LEN(Ramen_Ratings[[#This Row],[Top Ten]])-6))</f>
        <v/>
      </c>
    </row>
    <row r="56" spans="1:11" x14ac:dyDescent="0.25">
      <c r="A56">
        <v>680</v>
      </c>
      <c r="B56" t="s">
        <v>1055</v>
      </c>
      <c r="C56" t="s">
        <v>2211</v>
      </c>
      <c r="D56" t="s">
        <v>13</v>
      </c>
      <c r="E56" t="s">
        <v>53</v>
      </c>
      <c r="F56" t="str">
        <f>VLOOKUP(Ramen_Ratings[[#This Row],[Country]],Country_Region[#All],2,FALSE)</f>
        <v>Asia</v>
      </c>
      <c r="G56">
        <v>2.75</v>
      </c>
      <c r="H56" t="str" cm="1">
        <f t="array" ref="H56">_xlfn.IFS(Ramen_Ratings[[#This Row],[Stars]] = "Unrated", "NA",Ramen_Ratings[[#This Row],[Stars]]&gt;=4, "Good", Ramen_Ratings[[#This Row],[Stars]]&gt;2.5, "Fair", Ramen_Ratings[[#This Row],[Stars]] &gt;= 0, "Bad")</f>
        <v>Fair</v>
      </c>
      <c r="J56" t="str">
        <f>LEFT(Ramen_Ratings[[#This Row],[Top Ten]],4)</f>
        <v/>
      </c>
      <c r="K56" t="str">
        <f>IF(Ramen_Ratings[[#This Row],[Top Ten]]="", "",RIGHT(Ramen_Ratings[[#This Row],[Top Ten]],LEN(Ramen_Ratings[[#This Row],[Top Ten]])-6))</f>
        <v/>
      </c>
    </row>
    <row r="57" spans="1:11" x14ac:dyDescent="0.25">
      <c r="A57">
        <v>670</v>
      </c>
      <c r="B57" t="s">
        <v>2176</v>
      </c>
      <c r="C57" t="s">
        <v>2219</v>
      </c>
      <c r="D57" t="s">
        <v>44</v>
      </c>
      <c r="E57" t="s">
        <v>53</v>
      </c>
      <c r="F57" t="str">
        <f>VLOOKUP(Ramen_Ratings[[#This Row],[Country]],Country_Region[#All],2,FALSE)</f>
        <v>Asia</v>
      </c>
      <c r="G57">
        <v>3.5</v>
      </c>
      <c r="H57" t="str" cm="1">
        <f t="array" ref="H57">_xlfn.IFS(Ramen_Ratings[[#This Row],[Stars]] = "Unrated", "NA",Ramen_Ratings[[#This Row],[Stars]]&gt;=4, "Good", Ramen_Ratings[[#This Row],[Stars]]&gt;2.5, "Fair", Ramen_Ratings[[#This Row],[Stars]] &gt;= 0, "Bad")</f>
        <v>Fair</v>
      </c>
      <c r="J57" t="str">
        <f>LEFT(Ramen_Ratings[[#This Row],[Top Ten]],4)</f>
        <v/>
      </c>
      <c r="K57" t="str">
        <f>IF(Ramen_Ratings[[#This Row],[Top Ten]]="", "",RIGHT(Ramen_Ratings[[#This Row],[Top Ten]],LEN(Ramen_Ratings[[#This Row],[Top Ten]])-6))</f>
        <v/>
      </c>
    </row>
    <row r="58" spans="1:11" x14ac:dyDescent="0.25">
      <c r="A58">
        <v>668</v>
      </c>
      <c r="B58" t="s">
        <v>2176</v>
      </c>
      <c r="C58" t="s">
        <v>2221</v>
      </c>
      <c r="D58" t="s">
        <v>44</v>
      </c>
      <c r="E58" t="s">
        <v>53</v>
      </c>
      <c r="F58" t="str">
        <f>VLOOKUP(Ramen_Ratings[[#This Row],[Country]],Country_Region[#All],2,FALSE)</f>
        <v>Asia</v>
      </c>
      <c r="G58">
        <v>2</v>
      </c>
      <c r="H58" t="str" cm="1">
        <f t="array" ref="H58">_xlfn.IFS(Ramen_Ratings[[#This Row],[Stars]] = "Unrated", "NA",Ramen_Ratings[[#This Row],[Stars]]&gt;=4, "Good", Ramen_Ratings[[#This Row],[Stars]]&gt;2.5, "Fair", Ramen_Ratings[[#This Row],[Stars]] &gt;= 0, "Bad")</f>
        <v>Bad</v>
      </c>
      <c r="J58" t="str">
        <f>LEFT(Ramen_Ratings[[#This Row],[Top Ten]],4)</f>
        <v/>
      </c>
      <c r="K58" t="str">
        <f>IF(Ramen_Ratings[[#This Row],[Top Ten]]="", "",RIGHT(Ramen_Ratings[[#This Row],[Top Ten]],LEN(Ramen_Ratings[[#This Row],[Top Ten]])-6))</f>
        <v/>
      </c>
    </row>
    <row r="59" spans="1:11" x14ac:dyDescent="0.25">
      <c r="A59">
        <v>641</v>
      </c>
      <c r="B59" t="s">
        <v>1055</v>
      </c>
      <c r="C59" t="s">
        <v>2249</v>
      </c>
      <c r="D59" t="s">
        <v>13</v>
      </c>
      <c r="E59" t="s">
        <v>53</v>
      </c>
      <c r="F59" t="str">
        <f>VLOOKUP(Ramen_Ratings[[#This Row],[Country]],Country_Region[#All],2,FALSE)</f>
        <v>Asia</v>
      </c>
      <c r="G59">
        <v>3</v>
      </c>
      <c r="H59" t="str" cm="1">
        <f t="array" ref="H59">_xlfn.IFS(Ramen_Ratings[[#This Row],[Stars]] = "Unrated", "NA",Ramen_Ratings[[#This Row],[Stars]]&gt;=4, "Good", Ramen_Ratings[[#This Row],[Stars]]&gt;2.5, "Fair", Ramen_Ratings[[#This Row],[Stars]] &gt;= 0, "Bad")</f>
        <v>Fair</v>
      </c>
      <c r="J59" t="str">
        <f>LEFT(Ramen_Ratings[[#This Row],[Top Ten]],4)</f>
        <v/>
      </c>
      <c r="K59" t="str">
        <f>IF(Ramen_Ratings[[#This Row],[Top Ten]]="", "",RIGHT(Ramen_Ratings[[#This Row],[Top Ten]],LEN(Ramen_Ratings[[#This Row],[Top Ten]])-6))</f>
        <v/>
      </c>
    </row>
    <row r="60" spans="1:11" x14ac:dyDescent="0.25">
      <c r="A60">
        <v>627</v>
      </c>
      <c r="B60" t="s">
        <v>2263</v>
      </c>
      <c r="C60" t="s">
        <v>2264</v>
      </c>
      <c r="D60" t="s">
        <v>13</v>
      </c>
      <c r="E60" t="s">
        <v>53</v>
      </c>
      <c r="F60" t="str">
        <f>VLOOKUP(Ramen_Ratings[[#This Row],[Country]],Country_Region[#All],2,FALSE)</f>
        <v>Asia</v>
      </c>
      <c r="G60">
        <v>3.75</v>
      </c>
      <c r="H60" t="str" cm="1">
        <f t="array" ref="H60">_xlfn.IFS(Ramen_Ratings[[#This Row],[Stars]] = "Unrated", "NA",Ramen_Ratings[[#This Row],[Stars]]&gt;=4, "Good", Ramen_Ratings[[#This Row],[Stars]]&gt;2.5, "Fair", Ramen_Ratings[[#This Row],[Stars]] &gt;= 0, "Bad")</f>
        <v>Fair</v>
      </c>
      <c r="J60" t="str">
        <f>LEFT(Ramen_Ratings[[#This Row],[Top Ten]],4)</f>
        <v/>
      </c>
      <c r="K60" t="str">
        <f>IF(Ramen_Ratings[[#This Row],[Top Ten]]="", "",RIGHT(Ramen_Ratings[[#This Row],[Top Ten]],LEN(Ramen_Ratings[[#This Row],[Top Ten]])-6))</f>
        <v/>
      </c>
    </row>
    <row r="61" spans="1:11" x14ac:dyDescent="0.25">
      <c r="A61">
        <v>620</v>
      </c>
      <c r="B61" t="s">
        <v>331</v>
      </c>
      <c r="C61" t="s">
        <v>2272</v>
      </c>
      <c r="D61" t="s">
        <v>13</v>
      </c>
      <c r="E61" t="s">
        <v>53</v>
      </c>
      <c r="F61" t="str">
        <f>VLOOKUP(Ramen_Ratings[[#This Row],[Country]],Country_Region[#All],2,FALSE)</f>
        <v>Asia</v>
      </c>
      <c r="G61">
        <v>1.25</v>
      </c>
      <c r="H61" t="str" cm="1">
        <f t="array" ref="H61">_xlfn.IFS(Ramen_Ratings[[#This Row],[Stars]] = "Unrated", "NA",Ramen_Ratings[[#This Row],[Stars]]&gt;=4, "Good", Ramen_Ratings[[#This Row],[Stars]]&gt;2.5, "Fair", Ramen_Ratings[[#This Row],[Stars]] &gt;= 0, "Bad")</f>
        <v>Bad</v>
      </c>
      <c r="J61" t="str">
        <f>LEFT(Ramen_Ratings[[#This Row],[Top Ten]],4)</f>
        <v/>
      </c>
      <c r="K61" t="str">
        <f>IF(Ramen_Ratings[[#This Row],[Top Ten]]="", "",RIGHT(Ramen_Ratings[[#This Row],[Top Ten]],LEN(Ramen_Ratings[[#This Row],[Top Ten]])-6))</f>
        <v/>
      </c>
    </row>
    <row r="62" spans="1:11" x14ac:dyDescent="0.25">
      <c r="A62">
        <v>613</v>
      </c>
      <c r="B62" t="s">
        <v>2176</v>
      </c>
      <c r="C62" t="s">
        <v>2279</v>
      </c>
      <c r="D62" t="s">
        <v>44</v>
      </c>
      <c r="E62" t="s">
        <v>53</v>
      </c>
      <c r="F62" t="str">
        <f>VLOOKUP(Ramen_Ratings[[#This Row],[Country]],Country_Region[#All],2,FALSE)</f>
        <v>Asia</v>
      </c>
      <c r="G62">
        <v>3</v>
      </c>
      <c r="H62" t="str" cm="1">
        <f t="array" ref="H62">_xlfn.IFS(Ramen_Ratings[[#This Row],[Stars]] = "Unrated", "NA",Ramen_Ratings[[#This Row],[Stars]]&gt;=4, "Good", Ramen_Ratings[[#This Row],[Stars]]&gt;2.5, "Fair", Ramen_Ratings[[#This Row],[Stars]] &gt;= 0, "Bad")</f>
        <v>Fair</v>
      </c>
      <c r="J62" t="str">
        <f>LEFT(Ramen_Ratings[[#This Row],[Top Ten]],4)</f>
        <v/>
      </c>
      <c r="K62" t="str">
        <f>IF(Ramen_Ratings[[#This Row],[Top Ten]]="", "",RIGHT(Ramen_Ratings[[#This Row],[Top Ten]],LEN(Ramen_Ratings[[#This Row],[Top Ten]])-6))</f>
        <v/>
      </c>
    </row>
    <row r="63" spans="1:11" x14ac:dyDescent="0.25">
      <c r="A63">
        <v>589</v>
      </c>
      <c r="B63" t="s">
        <v>331</v>
      </c>
      <c r="C63" t="s">
        <v>2305</v>
      </c>
      <c r="D63" t="s">
        <v>44</v>
      </c>
      <c r="E63" t="s">
        <v>53</v>
      </c>
      <c r="F63" t="str">
        <f>VLOOKUP(Ramen_Ratings[[#This Row],[Country]],Country_Region[#All],2,FALSE)</f>
        <v>Asia</v>
      </c>
      <c r="G63">
        <v>4.25</v>
      </c>
      <c r="H63" t="str" cm="1">
        <f t="array" ref="H63">_xlfn.IFS(Ramen_Ratings[[#This Row],[Stars]] = "Unrated", "NA",Ramen_Ratings[[#This Row],[Stars]]&gt;=4, "Good", Ramen_Ratings[[#This Row],[Stars]]&gt;2.5, "Fair", Ramen_Ratings[[#This Row],[Stars]] &gt;= 0, "Bad")</f>
        <v>Good</v>
      </c>
      <c r="J63" t="str">
        <f>LEFT(Ramen_Ratings[[#This Row],[Top Ten]],4)</f>
        <v/>
      </c>
      <c r="K63" t="str">
        <f>IF(Ramen_Ratings[[#This Row],[Top Ten]]="", "",RIGHT(Ramen_Ratings[[#This Row],[Top Ten]],LEN(Ramen_Ratings[[#This Row],[Top Ten]])-6))</f>
        <v/>
      </c>
    </row>
    <row r="64" spans="1:11" x14ac:dyDescent="0.25">
      <c r="A64">
        <v>588</v>
      </c>
      <c r="B64" t="s">
        <v>331</v>
      </c>
      <c r="C64" t="s">
        <v>2306</v>
      </c>
      <c r="D64" t="s">
        <v>13</v>
      </c>
      <c r="E64" t="s">
        <v>53</v>
      </c>
      <c r="F64" t="str">
        <f>VLOOKUP(Ramen_Ratings[[#This Row],[Country]],Country_Region[#All],2,FALSE)</f>
        <v>Asia</v>
      </c>
      <c r="G64">
        <v>2.75</v>
      </c>
      <c r="H64" t="str" cm="1">
        <f t="array" ref="H64">_xlfn.IFS(Ramen_Ratings[[#This Row],[Stars]] = "Unrated", "NA",Ramen_Ratings[[#This Row],[Stars]]&gt;=4, "Good", Ramen_Ratings[[#This Row],[Stars]]&gt;2.5, "Fair", Ramen_Ratings[[#This Row],[Stars]] &gt;= 0, "Bad")</f>
        <v>Fair</v>
      </c>
      <c r="J64" t="str">
        <f>LEFT(Ramen_Ratings[[#This Row],[Top Ten]],4)</f>
        <v/>
      </c>
      <c r="K64" t="str">
        <f>IF(Ramen_Ratings[[#This Row],[Top Ten]]="", "",RIGHT(Ramen_Ratings[[#This Row],[Top Ten]],LEN(Ramen_Ratings[[#This Row],[Top Ten]])-6))</f>
        <v/>
      </c>
    </row>
    <row r="65" spans="1:11" x14ac:dyDescent="0.25">
      <c r="A65">
        <v>583</v>
      </c>
      <c r="B65" t="s">
        <v>331</v>
      </c>
      <c r="C65" t="s">
        <v>2312</v>
      </c>
      <c r="D65" t="s">
        <v>13</v>
      </c>
      <c r="E65" t="s">
        <v>53</v>
      </c>
      <c r="F65" t="str">
        <f>VLOOKUP(Ramen_Ratings[[#This Row],[Country]],Country_Region[#All],2,FALSE)</f>
        <v>Asia</v>
      </c>
      <c r="G65">
        <v>2.25</v>
      </c>
      <c r="H65" t="str" cm="1">
        <f t="array" ref="H65">_xlfn.IFS(Ramen_Ratings[[#This Row],[Stars]] = "Unrated", "NA",Ramen_Ratings[[#This Row],[Stars]]&gt;=4, "Good", Ramen_Ratings[[#This Row],[Stars]]&gt;2.5, "Fair", Ramen_Ratings[[#This Row],[Stars]] &gt;= 0, "Bad")</f>
        <v>Bad</v>
      </c>
      <c r="J65" t="str">
        <f>LEFT(Ramen_Ratings[[#This Row],[Top Ten]],4)</f>
        <v/>
      </c>
      <c r="K65" t="str">
        <f>IF(Ramen_Ratings[[#This Row],[Top Ten]]="", "",RIGHT(Ramen_Ratings[[#This Row],[Top Ten]],LEN(Ramen_Ratings[[#This Row],[Top Ten]])-6))</f>
        <v/>
      </c>
    </row>
    <row r="66" spans="1:11" x14ac:dyDescent="0.25">
      <c r="A66">
        <v>573</v>
      </c>
      <c r="B66" t="s">
        <v>2320</v>
      </c>
      <c r="C66" t="s">
        <v>2321</v>
      </c>
      <c r="D66" t="s">
        <v>44</v>
      </c>
      <c r="E66" t="s">
        <v>53</v>
      </c>
      <c r="F66" t="str">
        <f>VLOOKUP(Ramen_Ratings[[#This Row],[Country]],Country_Region[#All],2,FALSE)</f>
        <v>Asia</v>
      </c>
      <c r="G66">
        <v>2</v>
      </c>
      <c r="H66" t="str" cm="1">
        <f t="array" ref="H66">_xlfn.IFS(Ramen_Ratings[[#This Row],[Stars]] = "Unrated", "NA",Ramen_Ratings[[#This Row],[Stars]]&gt;=4, "Good", Ramen_Ratings[[#This Row],[Stars]]&gt;2.5, "Fair", Ramen_Ratings[[#This Row],[Stars]] &gt;= 0, "Bad")</f>
        <v>Bad</v>
      </c>
      <c r="J66" t="str">
        <f>LEFT(Ramen_Ratings[[#This Row],[Top Ten]],4)</f>
        <v/>
      </c>
      <c r="K66" t="str">
        <f>IF(Ramen_Ratings[[#This Row],[Top Ten]]="", "",RIGHT(Ramen_Ratings[[#This Row],[Top Ten]],LEN(Ramen_Ratings[[#This Row],[Top Ten]])-6))</f>
        <v/>
      </c>
    </row>
    <row r="67" spans="1:11" x14ac:dyDescent="0.25">
      <c r="A67">
        <v>569</v>
      </c>
      <c r="B67" t="s">
        <v>2176</v>
      </c>
      <c r="C67" t="s">
        <v>2326</v>
      </c>
      <c r="D67" t="s">
        <v>44</v>
      </c>
      <c r="E67" t="s">
        <v>53</v>
      </c>
      <c r="F67" t="str">
        <f>VLOOKUP(Ramen_Ratings[[#This Row],[Country]],Country_Region[#All],2,FALSE)</f>
        <v>Asia</v>
      </c>
      <c r="G67">
        <v>3</v>
      </c>
      <c r="H67" t="str" cm="1">
        <f t="array" ref="H67">_xlfn.IFS(Ramen_Ratings[[#This Row],[Stars]] = "Unrated", "NA",Ramen_Ratings[[#This Row],[Stars]]&gt;=4, "Good", Ramen_Ratings[[#This Row],[Stars]]&gt;2.5, "Fair", Ramen_Ratings[[#This Row],[Stars]] &gt;= 0, "Bad")</f>
        <v>Fair</v>
      </c>
      <c r="J67" t="str">
        <f>LEFT(Ramen_Ratings[[#This Row],[Top Ten]],4)</f>
        <v/>
      </c>
      <c r="K67" t="str">
        <f>IF(Ramen_Ratings[[#This Row],[Top Ten]]="", "",RIGHT(Ramen_Ratings[[#This Row],[Top Ten]],LEN(Ramen_Ratings[[#This Row],[Top Ten]])-6))</f>
        <v/>
      </c>
    </row>
    <row r="68" spans="1:11" x14ac:dyDescent="0.25">
      <c r="A68">
        <v>492</v>
      </c>
      <c r="B68" t="s">
        <v>2320</v>
      </c>
      <c r="C68" t="s">
        <v>2393</v>
      </c>
      <c r="D68" t="s">
        <v>44</v>
      </c>
      <c r="E68" t="s">
        <v>53</v>
      </c>
      <c r="F68" t="str">
        <f>VLOOKUP(Ramen_Ratings[[#This Row],[Country]],Country_Region[#All],2,FALSE)</f>
        <v>Asia</v>
      </c>
      <c r="G68">
        <v>2.75</v>
      </c>
      <c r="H68" t="str" cm="1">
        <f t="array" ref="H68">_xlfn.IFS(Ramen_Ratings[[#This Row],[Stars]] = "Unrated", "NA",Ramen_Ratings[[#This Row],[Stars]]&gt;=4, "Good", Ramen_Ratings[[#This Row],[Stars]]&gt;2.5, "Fair", Ramen_Ratings[[#This Row],[Stars]] &gt;= 0, "Bad")</f>
        <v>Fair</v>
      </c>
      <c r="J68" t="str">
        <f>LEFT(Ramen_Ratings[[#This Row],[Top Ten]],4)</f>
        <v/>
      </c>
      <c r="K68" t="str">
        <f>IF(Ramen_Ratings[[#This Row],[Top Ten]]="", "",RIGHT(Ramen_Ratings[[#This Row],[Top Ten]],LEN(Ramen_Ratings[[#This Row],[Top Ten]])-6))</f>
        <v/>
      </c>
    </row>
    <row r="69" spans="1:11" x14ac:dyDescent="0.25">
      <c r="A69">
        <v>474</v>
      </c>
      <c r="B69" t="s">
        <v>2176</v>
      </c>
      <c r="C69" t="s">
        <v>2408</v>
      </c>
      <c r="D69" t="s">
        <v>44</v>
      </c>
      <c r="E69" t="s">
        <v>53</v>
      </c>
      <c r="F69" t="str">
        <f>VLOOKUP(Ramen_Ratings[[#This Row],[Country]],Country_Region[#All],2,FALSE)</f>
        <v>Asia</v>
      </c>
      <c r="G69">
        <v>3.75</v>
      </c>
      <c r="H69" t="str" cm="1">
        <f t="array" ref="H69">_xlfn.IFS(Ramen_Ratings[[#This Row],[Stars]] = "Unrated", "NA",Ramen_Ratings[[#This Row],[Stars]]&gt;=4, "Good", Ramen_Ratings[[#This Row],[Stars]]&gt;2.5, "Fair", Ramen_Ratings[[#This Row],[Stars]] &gt;= 0, "Bad")</f>
        <v>Fair</v>
      </c>
      <c r="J69" t="str">
        <f>LEFT(Ramen_Ratings[[#This Row],[Top Ten]],4)</f>
        <v/>
      </c>
      <c r="K69" t="str">
        <f>IF(Ramen_Ratings[[#This Row],[Top Ten]]="", "",RIGHT(Ramen_Ratings[[#This Row],[Top Ten]],LEN(Ramen_Ratings[[#This Row],[Top Ten]])-6))</f>
        <v/>
      </c>
    </row>
    <row r="70" spans="1:11" x14ac:dyDescent="0.25">
      <c r="A70">
        <v>467</v>
      </c>
      <c r="B70" t="s">
        <v>331</v>
      </c>
      <c r="C70" t="s">
        <v>2413</v>
      </c>
      <c r="D70" t="s">
        <v>13</v>
      </c>
      <c r="E70" t="s">
        <v>53</v>
      </c>
      <c r="F70" t="str">
        <f>VLOOKUP(Ramen_Ratings[[#This Row],[Country]],Country_Region[#All],2,FALSE)</f>
        <v>Asia</v>
      </c>
      <c r="G70">
        <v>1.75</v>
      </c>
      <c r="H70" t="str" cm="1">
        <f t="array" ref="H70">_xlfn.IFS(Ramen_Ratings[[#This Row],[Stars]] = "Unrated", "NA",Ramen_Ratings[[#This Row],[Stars]]&gt;=4, "Good", Ramen_Ratings[[#This Row],[Stars]]&gt;2.5, "Fair", Ramen_Ratings[[#This Row],[Stars]] &gt;= 0, "Bad")</f>
        <v>Bad</v>
      </c>
      <c r="J70" t="str">
        <f>LEFT(Ramen_Ratings[[#This Row],[Top Ten]],4)</f>
        <v/>
      </c>
      <c r="K70" t="str">
        <f>IF(Ramen_Ratings[[#This Row],[Top Ten]]="", "",RIGHT(Ramen_Ratings[[#This Row],[Top Ten]],LEN(Ramen_Ratings[[#This Row],[Top Ten]])-6))</f>
        <v/>
      </c>
    </row>
    <row r="71" spans="1:11" x14ac:dyDescent="0.25">
      <c r="A71">
        <v>466</v>
      </c>
      <c r="B71" t="s">
        <v>2176</v>
      </c>
      <c r="C71" t="s">
        <v>2414</v>
      </c>
      <c r="D71" t="s">
        <v>44</v>
      </c>
      <c r="E71" t="s">
        <v>53</v>
      </c>
      <c r="F71" t="str">
        <f>VLOOKUP(Ramen_Ratings[[#This Row],[Country]],Country_Region[#All],2,FALSE)</f>
        <v>Asia</v>
      </c>
      <c r="G71">
        <v>3.5</v>
      </c>
      <c r="H71" t="str" cm="1">
        <f t="array" ref="H71">_xlfn.IFS(Ramen_Ratings[[#This Row],[Stars]] = "Unrated", "NA",Ramen_Ratings[[#This Row],[Stars]]&gt;=4, "Good", Ramen_Ratings[[#This Row],[Stars]]&gt;2.5, "Fair", Ramen_Ratings[[#This Row],[Stars]] &gt;= 0, "Bad")</f>
        <v>Fair</v>
      </c>
      <c r="J71" t="str">
        <f>LEFT(Ramen_Ratings[[#This Row],[Top Ten]],4)</f>
        <v/>
      </c>
      <c r="K71" t="str">
        <f>IF(Ramen_Ratings[[#This Row],[Top Ten]]="", "",RIGHT(Ramen_Ratings[[#This Row],[Top Ten]],LEN(Ramen_Ratings[[#This Row],[Top Ten]])-6))</f>
        <v/>
      </c>
    </row>
    <row r="72" spans="1:11" x14ac:dyDescent="0.25">
      <c r="A72">
        <v>447</v>
      </c>
      <c r="B72" t="s">
        <v>243</v>
      </c>
      <c r="C72" t="s">
        <v>2431</v>
      </c>
      <c r="D72" t="s">
        <v>13</v>
      </c>
      <c r="E72" t="s">
        <v>53</v>
      </c>
      <c r="F72" t="str">
        <f>VLOOKUP(Ramen_Ratings[[#This Row],[Country]],Country_Region[#All],2,FALSE)</f>
        <v>Asia</v>
      </c>
      <c r="G72">
        <v>4.75</v>
      </c>
      <c r="H72" t="str" cm="1">
        <f t="array" ref="H72">_xlfn.IFS(Ramen_Ratings[[#This Row],[Stars]] = "Unrated", "NA",Ramen_Ratings[[#This Row],[Stars]]&gt;=4, "Good", Ramen_Ratings[[#This Row],[Stars]]&gt;2.5, "Fair", Ramen_Ratings[[#This Row],[Stars]] &gt;= 0, "Bad")</f>
        <v>Good</v>
      </c>
      <c r="J72" t="str">
        <f>LEFT(Ramen_Ratings[[#This Row],[Top Ten]],4)</f>
        <v/>
      </c>
      <c r="K72" t="str">
        <f>IF(Ramen_Ratings[[#This Row],[Top Ten]]="", "",RIGHT(Ramen_Ratings[[#This Row],[Top Ten]],LEN(Ramen_Ratings[[#This Row],[Top Ten]])-6))</f>
        <v/>
      </c>
    </row>
    <row r="73" spans="1:11" x14ac:dyDescent="0.25">
      <c r="A73">
        <v>426</v>
      </c>
      <c r="B73" t="s">
        <v>331</v>
      </c>
      <c r="C73" t="s">
        <v>2454</v>
      </c>
      <c r="D73" t="s">
        <v>13</v>
      </c>
      <c r="E73" t="s">
        <v>53</v>
      </c>
      <c r="F73" t="str">
        <f>VLOOKUP(Ramen_Ratings[[#This Row],[Country]],Country_Region[#All],2,FALSE)</f>
        <v>Asia</v>
      </c>
      <c r="G73">
        <v>3</v>
      </c>
      <c r="H73" t="str" cm="1">
        <f t="array" ref="H73">_xlfn.IFS(Ramen_Ratings[[#This Row],[Stars]] = "Unrated", "NA",Ramen_Ratings[[#This Row],[Stars]]&gt;=4, "Good", Ramen_Ratings[[#This Row],[Stars]]&gt;2.5, "Fair", Ramen_Ratings[[#This Row],[Stars]] &gt;= 0, "Bad")</f>
        <v>Fair</v>
      </c>
      <c r="J73" t="str">
        <f>LEFT(Ramen_Ratings[[#This Row],[Top Ten]],4)</f>
        <v/>
      </c>
      <c r="K73" t="str">
        <f>IF(Ramen_Ratings[[#This Row],[Top Ten]]="", "",RIGHT(Ramen_Ratings[[#This Row],[Top Ten]],LEN(Ramen_Ratings[[#This Row],[Top Ten]])-6))</f>
        <v/>
      </c>
    </row>
    <row r="74" spans="1:11" x14ac:dyDescent="0.25">
      <c r="A74">
        <v>422</v>
      </c>
      <c r="B74" t="s">
        <v>331</v>
      </c>
      <c r="C74" t="s">
        <v>2461</v>
      </c>
      <c r="D74" t="s">
        <v>44</v>
      </c>
      <c r="E74" t="s">
        <v>53</v>
      </c>
      <c r="F74" t="str">
        <f>VLOOKUP(Ramen_Ratings[[#This Row],[Country]],Country_Region[#All],2,FALSE)</f>
        <v>Asia</v>
      </c>
      <c r="G74">
        <v>4</v>
      </c>
      <c r="H74" t="str" cm="1">
        <f t="array" ref="H74">_xlfn.IFS(Ramen_Ratings[[#This Row],[Stars]] = "Unrated", "NA",Ramen_Ratings[[#This Row],[Stars]]&gt;=4, "Good", Ramen_Ratings[[#This Row],[Stars]]&gt;2.5, "Fair", Ramen_Ratings[[#This Row],[Stars]] &gt;= 0, "Bad")</f>
        <v>Good</v>
      </c>
      <c r="J74" t="str">
        <f>LEFT(Ramen_Ratings[[#This Row],[Top Ten]],4)</f>
        <v/>
      </c>
      <c r="K74" t="str">
        <f>IF(Ramen_Ratings[[#This Row],[Top Ten]]="", "",RIGHT(Ramen_Ratings[[#This Row],[Top Ten]],LEN(Ramen_Ratings[[#This Row],[Top Ten]])-6))</f>
        <v/>
      </c>
    </row>
    <row r="75" spans="1:11" x14ac:dyDescent="0.25">
      <c r="A75">
        <v>417</v>
      </c>
      <c r="B75" t="s">
        <v>331</v>
      </c>
      <c r="C75" t="s">
        <v>2466</v>
      </c>
      <c r="D75" t="s">
        <v>13</v>
      </c>
      <c r="E75" t="s">
        <v>53</v>
      </c>
      <c r="F75" t="str">
        <f>VLOOKUP(Ramen_Ratings[[#This Row],[Country]],Country_Region[#All],2,FALSE)</f>
        <v>Asia</v>
      </c>
      <c r="G75">
        <v>3.5</v>
      </c>
      <c r="H75" t="str" cm="1">
        <f t="array" ref="H75">_xlfn.IFS(Ramen_Ratings[[#This Row],[Stars]] = "Unrated", "NA",Ramen_Ratings[[#This Row],[Stars]]&gt;=4, "Good", Ramen_Ratings[[#This Row],[Stars]]&gt;2.5, "Fair", Ramen_Ratings[[#This Row],[Stars]] &gt;= 0, "Bad")</f>
        <v>Fair</v>
      </c>
      <c r="J75" t="str">
        <f>LEFT(Ramen_Ratings[[#This Row],[Top Ten]],4)</f>
        <v/>
      </c>
      <c r="K75" t="str">
        <f>IF(Ramen_Ratings[[#This Row],[Top Ten]]="", "",RIGHT(Ramen_Ratings[[#This Row],[Top Ten]],LEN(Ramen_Ratings[[#This Row],[Top Ten]])-6))</f>
        <v/>
      </c>
    </row>
    <row r="76" spans="1:11" x14ac:dyDescent="0.25">
      <c r="A76">
        <v>408</v>
      </c>
      <c r="B76" t="s">
        <v>2474</v>
      </c>
      <c r="C76" t="s">
        <v>2475</v>
      </c>
      <c r="D76" t="s">
        <v>13</v>
      </c>
      <c r="E76" t="s">
        <v>53</v>
      </c>
      <c r="F76" t="str">
        <f>VLOOKUP(Ramen_Ratings[[#This Row],[Country]],Country_Region[#All],2,FALSE)</f>
        <v>Asia</v>
      </c>
      <c r="G76">
        <v>2.25</v>
      </c>
      <c r="H76" t="str" cm="1">
        <f t="array" ref="H76">_xlfn.IFS(Ramen_Ratings[[#This Row],[Stars]] = "Unrated", "NA",Ramen_Ratings[[#This Row],[Stars]]&gt;=4, "Good", Ramen_Ratings[[#This Row],[Stars]]&gt;2.5, "Fair", Ramen_Ratings[[#This Row],[Stars]] &gt;= 0, "Bad")</f>
        <v>Bad</v>
      </c>
      <c r="J76" t="str">
        <f>LEFT(Ramen_Ratings[[#This Row],[Top Ten]],4)</f>
        <v/>
      </c>
      <c r="K76" t="str">
        <f>IF(Ramen_Ratings[[#This Row],[Top Ten]]="", "",RIGHT(Ramen_Ratings[[#This Row],[Top Ten]],LEN(Ramen_Ratings[[#This Row],[Top Ten]])-6))</f>
        <v/>
      </c>
    </row>
    <row r="77" spans="1:11" x14ac:dyDescent="0.25">
      <c r="A77">
        <v>406</v>
      </c>
      <c r="B77" t="s">
        <v>331</v>
      </c>
      <c r="C77" t="s">
        <v>2477</v>
      </c>
      <c r="D77" t="s">
        <v>13</v>
      </c>
      <c r="E77" t="s">
        <v>53</v>
      </c>
      <c r="F77" t="str">
        <f>VLOOKUP(Ramen_Ratings[[#This Row],[Country]],Country_Region[#All],2,FALSE)</f>
        <v>Asia</v>
      </c>
      <c r="G77">
        <v>3.75</v>
      </c>
      <c r="H77" t="str" cm="1">
        <f t="array" ref="H77">_xlfn.IFS(Ramen_Ratings[[#This Row],[Stars]] = "Unrated", "NA",Ramen_Ratings[[#This Row],[Stars]]&gt;=4, "Good", Ramen_Ratings[[#This Row],[Stars]]&gt;2.5, "Fair", Ramen_Ratings[[#This Row],[Stars]] &gt;= 0, "Bad")</f>
        <v>Fair</v>
      </c>
      <c r="J77" t="str">
        <f>LEFT(Ramen_Ratings[[#This Row],[Top Ten]],4)</f>
        <v/>
      </c>
      <c r="K77" t="str">
        <f>IF(Ramen_Ratings[[#This Row],[Top Ten]]="", "",RIGHT(Ramen_Ratings[[#This Row],[Top Ten]],LEN(Ramen_Ratings[[#This Row],[Top Ten]])-6))</f>
        <v/>
      </c>
    </row>
    <row r="78" spans="1:11" x14ac:dyDescent="0.25">
      <c r="A78">
        <v>404</v>
      </c>
      <c r="B78" t="s">
        <v>1055</v>
      </c>
      <c r="C78" t="s">
        <v>2479</v>
      </c>
      <c r="D78" t="s">
        <v>13</v>
      </c>
      <c r="E78" t="s">
        <v>53</v>
      </c>
      <c r="F78" t="str">
        <f>VLOOKUP(Ramen_Ratings[[#This Row],[Country]],Country_Region[#All],2,FALSE)</f>
        <v>Asia</v>
      </c>
      <c r="G78">
        <v>3.75</v>
      </c>
      <c r="H78" t="str" cm="1">
        <f t="array" ref="H78">_xlfn.IFS(Ramen_Ratings[[#This Row],[Stars]] = "Unrated", "NA",Ramen_Ratings[[#This Row],[Stars]]&gt;=4, "Good", Ramen_Ratings[[#This Row],[Stars]]&gt;2.5, "Fair", Ramen_Ratings[[#This Row],[Stars]] &gt;= 0, "Bad")</f>
        <v>Fair</v>
      </c>
      <c r="J78" t="str">
        <f>LEFT(Ramen_Ratings[[#This Row],[Top Ten]],4)</f>
        <v/>
      </c>
      <c r="K78" t="str">
        <f>IF(Ramen_Ratings[[#This Row],[Top Ten]]="", "",RIGHT(Ramen_Ratings[[#This Row],[Top Ten]],LEN(Ramen_Ratings[[#This Row],[Top Ten]])-6))</f>
        <v/>
      </c>
    </row>
    <row r="79" spans="1:11" x14ac:dyDescent="0.25">
      <c r="A79">
        <v>396</v>
      </c>
      <c r="B79" t="s">
        <v>1055</v>
      </c>
      <c r="C79" t="s">
        <v>2487</v>
      </c>
      <c r="D79" t="s">
        <v>44</v>
      </c>
      <c r="E79" t="s">
        <v>53</v>
      </c>
      <c r="F79" t="str">
        <f>VLOOKUP(Ramen_Ratings[[#This Row],[Country]],Country_Region[#All],2,FALSE)</f>
        <v>Asia</v>
      </c>
      <c r="G79">
        <v>4.25</v>
      </c>
      <c r="H79" t="str" cm="1">
        <f t="array" ref="H79">_xlfn.IFS(Ramen_Ratings[[#This Row],[Stars]] = "Unrated", "NA",Ramen_Ratings[[#This Row],[Stars]]&gt;=4, "Good", Ramen_Ratings[[#This Row],[Stars]]&gt;2.5, "Fair", Ramen_Ratings[[#This Row],[Stars]] &gt;= 0, "Bad")</f>
        <v>Good</v>
      </c>
      <c r="J79" t="str">
        <f>LEFT(Ramen_Ratings[[#This Row],[Top Ten]],4)</f>
        <v/>
      </c>
      <c r="K79" t="str">
        <f>IF(Ramen_Ratings[[#This Row],[Top Ten]]="", "",RIGHT(Ramen_Ratings[[#This Row],[Top Ten]],LEN(Ramen_Ratings[[#This Row],[Top Ten]])-6))</f>
        <v/>
      </c>
    </row>
    <row r="80" spans="1:11" x14ac:dyDescent="0.25">
      <c r="A80">
        <v>381</v>
      </c>
      <c r="B80" t="s">
        <v>2176</v>
      </c>
      <c r="C80" t="s">
        <v>2420</v>
      </c>
      <c r="D80" t="s">
        <v>13</v>
      </c>
      <c r="E80" t="s">
        <v>53</v>
      </c>
      <c r="F80" t="str">
        <f>VLOOKUP(Ramen_Ratings[[#This Row],[Country]],Country_Region[#All],2,FALSE)</f>
        <v>Asia</v>
      </c>
      <c r="G80">
        <v>4.25</v>
      </c>
      <c r="H80" t="str" cm="1">
        <f t="array" ref="H80">_xlfn.IFS(Ramen_Ratings[[#This Row],[Stars]] = "Unrated", "NA",Ramen_Ratings[[#This Row],[Stars]]&gt;=4, "Good", Ramen_Ratings[[#This Row],[Stars]]&gt;2.5, "Fair", Ramen_Ratings[[#This Row],[Stars]] &gt;= 0, "Bad")</f>
        <v>Good</v>
      </c>
      <c r="J80" t="str">
        <f>LEFT(Ramen_Ratings[[#This Row],[Top Ten]],4)</f>
        <v/>
      </c>
      <c r="K80" t="str">
        <f>IF(Ramen_Ratings[[#This Row],[Top Ten]]="", "",RIGHT(Ramen_Ratings[[#This Row],[Top Ten]],LEN(Ramen_Ratings[[#This Row],[Top Ten]])-6))</f>
        <v/>
      </c>
    </row>
    <row r="81" spans="1:11" x14ac:dyDescent="0.25">
      <c r="A81">
        <v>375</v>
      </c>
      <c r="B81" t="s">
        <v>331</v>
      </c>
      <c r="C81" t="s">
        <v>2509</v>
      </c>
      <c r="D81" t="s">
        <v>13</v>
      </c>
      <c r="E81" t="s">
        <v>53</v>
      </c>
      <c r="F81" t="str">
        <f>VLOOKUP(Ramen_Ratings[[#This Row],[Country]],Country_Region[#All],2,FALSE)</f>
        <v>Asia</v>
      </c>
      <c r="G81">
        <v>0.5</v>
      </c>
      <c r="H81" t="str" cm="1">
        <f t="array" ref="H81">_xlfn.IFS(Ramen_Ratings[[#This Row],[Stars]] = "Unrated", "NA",Ramen_Ratings[[#This Row],[Stars]]&gt;=4, "Good", Ramen_Ratings[[#This Row],[Stars]]&gt;2.5, "Fair", Ramen_Ratings[[#This Row],[Stars]] &gt;= 0, "Bad")</f>
        <v>Bad</v>
      </c>
      <c r="J81" t="str">
        <f>LEFT(Ramen_Ratings[[#This Row],[Top Ten]],4)</f>
        <v/>
      </c>
      <c r="K81" t="str">
        <f>IF(Ramen_Ratings[[#This Row],[Top Ten]]="", "",RIGHT(Ramen_Ratings[[#This Row],[Top Ten]],LEN(Ramen_Ratings[[#This Row],[Top Ten]])-6))</f>
        <v/>
      </c>
    </row>
    <row r="82" spans="1:11" x14ac:dyDescent="0.25">
      <c r="A82">
        <v>374</v>
      </c>
      <c r="B82" t="s">
        <v>331</v>
      </c>
      <c r="C82" t="s">
        <v>2510</v>
      </c>
      <c r="D82" t="s">
        <v>13</v>
      </c>
      <c r="E82" t="s">
        <v>53</v>
      </c>
      <c r="F82" t="str">
        <f>VLOOKUP(Ramen_Ratings[[#This Row],[Country]],Country_Region[#All],2,FALSE)</f>
        <v>Asia</v>
      </c>
      <c r="G82">
        <v>3.75</v>
      </c>
      <c r="H82" t="str" cm="1">
        <f t="array" ref="H82">_xlfn.IFS(Ramen_Ratings[[#This Row],[Stars]] = "Unrated", "NA",Ramen_Ratings[[#This Row],[Stars]]&gt;=4, "Good", Ramen_Ratings[[#This Row],[Stars]]&gt;2.5, "Fair", Ramen_Ratings[[#This Row],[Stars]] &gt;= 0, "Bad")</f>
        <v>Fair</v>
      </c>
      <c r="J82" t="str">
        <f>LEFT(Ramen_Ratings[[#This Row],[Top Ten]],4)</f>
        <v/>
      </c>
      <c r="K82" t="str">
        <f>IF(Ramen_Ratings[[#This Row],[Top Ten]]="", "",RIGHT(Ramen_Ratings[[#This Row],[Top Ten]],LEN(Ramen_Ratings[[#This Row],[Top Ten]])-6))</f>
        <v/>
      </c>
    </row>
    <row r="83" spans="1:11" x14ac:dyDescent="0.25">
      <c r="A83">
        <v>367</v>
      </c>
      <c r="B83" t="s">
        <v>2176</v>
      </c>
      <c r="C83" t="s">
        <v>2517</v>
      </c>
      <c r="D83" t="s">
        <v>13</v>
      </c>
      <c r="E83" t="s">
        <v>53</v>
      </c>
      <c r="F83" t="str">
        <f>VLOOKUP(Ramen_Ratings[[#This Row],[Country]],Country_Region[#All],2,FALSE)</f>
        <v>Asia</v>
      </c>
      <c r="G83">
        <v>3.25</v>
      </c>
      <c r="H83" t="str" cm="1">
        <f t="array" ref="H83">_xlfn.IFS(Ramen_Ratings[[#This Row],[Stars]] = "Unrated", "NA",Ramen_Ratings[[#This Row],[Stars]]&gt;=4, "Good", Ramen_Ratings[[#This Row],[Stars]]&gt;2.5, "Fair", Ramen_Ratings[[#This Row],[Stars]] &gt;= 0, "Bad")</f>
        <v>Fair</v>
      </c>
      <c r="J83" t="str">
        <f>LEFT(Ramen_Ratings[[#This Row],[Top Ten]],4)</f>
        <v/>
      </c>
      <c r="K83" t="str">
        <f>IF(Ramen_Ratings[[#This Row],[Top Ten]]="", "",RIGHT(Ramen_Ratings[[#This Row],[Top Ten]],LEN(Ramen_Ratings[[#This Row],[Top Ten]])-6))</f>
        <v/>
      </c>
    </row>
    <row r="84" spans="1:11" x14ac:dyDescent="0.25">
      <c r="A84">
        <v>362</v>
      </c>
      <c r="B84" t="s">
        <v>1055</v>
      </c>
      <c r="C84" t="s">
        <v>2522</v>
      </c>
      <c r="D84" t="s">
        <v>13</v>
      </c>
      <c r="E84" t="s">
        <v>53</v>
      </c>
      <c r="F84" t="str">
        <f>VLOOKUP(Ramen_Ratings[[#This Row],[Country]],Country_Region[#All],2,FALSE)</f>
        <v>Asia</v>
      </c>
      <c r="G84">
        <v>4.5</v>
      </c>
      <c r="H84" t="str" cm="1">
        <f t="array" ref="H84">_xlfn.IFS(Ramen_Ratings[[#This Row],[Stars]] = "Unrated", "NA",Ramen_Ratings[[#This Row],[Stars]]&gt;=4, "Good", Ramen_Ratings[[#This Row],[Stars]]&gt;2.5, "Fair", Ramen_Ratings[[#This Row],[Stars]] &gt;= 0, "Bad")</f>
        <v>Good</v>
      </c>
      <c r="J84" t="str">
        <f>LEFT(Ramen_Ratings[[#This Row],[Top Ten]],4)</f>
        <v/>
      </c>
      <c r="K84" t="str">
        <f>IF(Ramen_Ratings[[#This Row],[Top Ten]]="", "",RIGHT(Ramen_Ratings[[#This Row],[Top Ten]],LEN(Ramen_Ratings[[#This Row],[Top Ten]])-6))</f>
        <v/>
      </c>
    </row>
    <row r="85" spans="1:11" x14ac:dyDescent="0.25">
      <c r="A85">
        <v>341</v>
      </c>
      <c r="B85" t="s">
        <v>1055</v>
      </c>
      <c r="C85" t="s">
        <v>2544</v>
      </c>
      <c r="D85" t="s">
        <v>13</v>
      </c>
      <c r="E85" t="s">
        <v>53</v>
      </c>
      <c r="F85" t="str">
        <f>VLOOKUP(Ramen_Ratings[[#This Row],[Country]],Country_Region[#All],2,FALSE)</f>
        <v>Asia</v>
      </c>
      <c r="G85">
        <v>3.75</v>
      </c>
      <c r="H85" t="str" cm="1">
        <f t="array" ref="H85">_xlfn.IFS(Ramen_Ratings[[#This Row],[Stars]] = "Unrated", "NA",Ramen_Ratings[[#This Row],[Stars]]&gt;=4, "Good", Ramen_Ratings[[#This Row],[Stars]]&gt;2.5, "Fair", Ramen_Ratings[[#This Row],[Stars]] &gt;= 0, "Bad")</f>
        <v>Fair</v>
      </c>
      <c r="J85" t="str">
        <f>LEFT(Ramen_Ratings[[#This Row],[Top Ten]],4)</f>
        <v/>
      </c>
      <c r="K85" t="str">
        <f>IF(Ramen_Ratings[[#This Row],[Top Ten]]="", "",RIGHT(Ramen_Ratings[[#This Row],[Top Ten]],LEN(Ramen_Ratings[[#This Row],[Top Ten]])-6))</f>
        <v/>
      </c>
    </row>
    <row r="86" spans="1:11" x14ac:dyDescent="0.25">
      <c r="A86">
        <v>330</v>
      </c>
      <c r="B86" t="s">
        <v>331</v>
      </c>
      <c r="C86" t="s">
        <v>2555</v>
      </c>
      <c r="D86" t="s">
        <v>13</v>
      </c>
      <c r="E86" t="s">
        <v>53</v>
      </c>
      <c r="F86" t="str">
        <f>VLOOKUP(Ramen_Ratings[[#This Row],[Country]],Country_Region[#All],2,FALSE)</f>
        <v>Asia</v>
      </c>
      <c r="G86">
        <v>3.25</v>
      </c>
      <c r="H86" t="str" cm="1">
        <f t="array" ref="H86">_xlfn.IFS(Ramen_Ratings[[#This Row],[Stars]] = "Unrated", "NA",Ramen_Ratings[[#This Row],[Stars]]&gt;=4, "Good", Ramen_Ratings[[#This Row],[Stars]]&gt;2.5, "Fair", Ramen_Ratings[[#This Row],[Stars]] &gt;= 0, "Bad")</f>
        <v>Fair</v>
      </c>
      <c r="J86" t="str">
        <f>LEFT(Ramen_Ratings[[#This Row],[Top Ten]],4)</f>
        <v/>
      </c>
      <c r="K86" t="str">
        <f>IF(Ramen_Ratings[[#This Row],[Top Ten]]="", "",RIGHT(Ramen_Ratings[[#This Row],[Top Ten]],LEN(Ramen_Ratings[[#This Row],[Top Ten]])-6))</f>
        <v/>
      </c>
    </row>
    <row r="87" spans="1:11" x14ac:dyDescent="0.25">
      <c r="A87">
        <v>327</v>
      </c>
      <c r="B87" t="s">
        <v>2474</v>
      </c>
      <c r="C87" t="s">
        <v>2557</v>
      </c>
      <c r="D87" t="s">
        <v>13</v>
      </c>
      <c r="E87" t="s">
        <v>53</v>
      </c>
      <c r="F87" t="str">
        <f>VLOOKUP(Ramen_Ratings[[#This Row],[Country]],Country_Region[#All],2,FALSE)</f>
        <v>Asia</v>
      </c>
      <c r="G87">
        <v>3.5</v>
      </c>
      <c r="H87" t="str" cm="1">
        <f t="array" ref="H87">_xlfn.IFS(Ramen_Ratings[[#This Row],[Stars]] = "Unrated", "NA",Ramen_Ratings[[#This Row],[Stars]]&gt;=4, "Good", Ramen_Ratings[[#This Row],[Stars]]&gt;2.5, "Fair", Ramen_Ratings[[#This Row],[Stars]] &gt;= 0, "Bad")</f>
        <v>Fair</v>
      </c>
      <c r="J87" t="str">
        <f>LEFT(Ramen_Ratings[[#This Row],[Top Ten]],4)</f>
        <v/>
      </c>
      <c r="K87" t="str">
        <f>IF(Ramen_Ratings[[#This Row],[Top Ten]]="", "",RIGHT(Ramen_Ratings[[#This Row],[Top Ten]],LEN(Ramen_Ratings[[#This Row],[Top Ten]])-6))</f>
        <v/>
      </c>
    </row>
    <row r="88" spans="1:11" x14ac:dyDescent="0.25">
      <c r="A88">
        <v>311</v>
      </c>
      <c r="B88" t="s">
        <v>331</v>
      </c>
      <c r="C88" t="s">
        <v>2572</v>
      </c>
      <c r="D88" t="s">
        <v>13</v>
      </c>
      <c r="E88" t="s">
        <v>53</v>
      </c>
      <c r="F88" t="str">
        <f>VLOOKUP(Ramen_Ratings[[#This Row],[Country]],Country_Region[#All],2,FALSE)</f>
        <v>Asia</v>
      </c>
      <c r="G88">
        <v>2</v>
      </c>
      <c r="H88" t="str" cm="1">
        <f t="array" ref="H88">_xlfn.IFS(Ramen_Ratings[[#This Row],[Stars]] = "Unrated", "NA",Ramen_Ratings[[#This Row],[Stars]]&gt;=4, "Good", Ramen_Ratings[[#This Row],[Stars]]&gt;2.5, "Fair", Ramen_Ratings[[#This Row],[Stars]] &gt;= 0, "Bad")</f>
        <v>Bad</v>
      </c>
      <c r="J88" t="str">
        <f>LEFT(Ramen_Ratings[[#This Row],[Top Ten]],4)</f>
        <v/>
      </c>
      <c r="K88" t="str">
        <f>IF(Ramen_Ratings[[#This Row],[Top Ten]]="", "",RIGHT(Ramen_Ratings[[#This Row],[Top Ten]],LEN(Ramen_Ratings[[#This Row],[Top Ten]])-6))</f>
        <v/>
      </c>
    </row>
    <row r="89" spans="1:11" x14ac:dyDescent="0.25">
      <c r="A89">
        <v>277</v>
      </c>
      <c r="B89" t="s">
        <v>1055</v>
      </c>
      <c r="C89" t="s">
        <v>2603</v>
      </c>
      <c r="D89" t="s">
        <v>13</v>
      </c>
      <c r="E89" t="s">
        <v>53</v>
      </c>
      <c r="F89" t="str">
        <f>VLOOKUP(Ramen_Ratings[[#This Row],[Country]],Country_Region[#All],2,FALSE)</f>
        <v>Asia</v>
      </c>
      <c r="G89">
        <v>4</v>
      </c>
      <c r="H89" t="str" cm="1">
        <f t="array" ref="H89">_xlfn.IFS(Ramen_Ratings[[#This Row],[Stars]] = "Unrated", "NA",Ramen_Ratings[[#This Row],[Stars]]&gt;=4, "Good", Ramen_Ratings[[#This Row],[Stars]]&gt;2.5, "Fair", Ramen_Ratings[[#This Row],[Stars]] &gt;= 0, "Bad")</f>
        <v>Good</v>
      </c>
      <c r="J89" t="str">
        <f>LEFT(Ramen_Ratings[[#This Row],[Top Ten]],4)</f>
        <v/>
      </c>
      <c r="K89" t="str">
        <f>IF(Ramen_Ratings[[#This Row],[Top Ten]]="", "",RIGHT(Ramen_Ratings[[#This Row],[Top Ten]],LEN(Ramen_Ratings[[#This Row],[Top Ten]])-6))</f>
        <v/>
      </c>
    </row>
    <row r="90" spans="1:11" x14ac:dyDescent="0.25">
      <c r="A90">
        <v>272</v>
      </c>
      <c r="B90" t="s">
        <v>1055</v>
      </c>
      <c r="C90" t="s">
        <v>2608</v>
      </c>
      <c r="D90" t="s">
        <v>13</v>
      </c>
      <c r="E90" t="s">
        <v>53</v>
      </c>
      <c r="F90" t="str">
        <f>VLOOKUP(Ramen_Ratings[[#This Row],[Country]],Country_Region[#All],2,FALSE)</f>
        <v>Asia</v>
      </c>
      <c r="G90">
        <v>3.5</v>
      </c>
      <c r="H90" t="str" cm="1">
        <f t="array" ref="H90">_xlfn.IFS(Ramen_Ratings[[#This Row],[Stars]] = "Unrated", "NA",Ramen_Ratings[[#This Row],[Stars]]&gt;=4, "Good", Ramen_Ratings[[#This Row],[Stars]]&gt;2.5, "Fair", Ramen_Ratings[[#This Row],[Stars]] &gt;= 0, "Bad")</f>
        <v>Fair</v>
      </c>
      <c r="J90" t="str">
        <f>LEFT(Ramen_Ratings[[#This Row],[Top Ten]],4)</f>
        <v/>
      </c>
      <c r="K90" t="str">
        <f>IF(Ramen_Ratings[[#This Row],[Top Ten]]="", "",RIGHT(Ramen_Ratings[[#This Row],[Top Ten]],LEN(Ramen_Ratings[[#This Row],[Top Ten]])-6))</f>
        <v/>
      </c>
    </row>
    <row r="91" spans="1:11" x14ac:dyDescent="0.25">
      <c r="A91">
        <v>266</v>
      </c>
      <c r="B91" t="s">
        <v>1055</v>
      </c>
      <c r="C91" t="s">
        <v>2614</v>
      </c>
      <c r="D91" t="s">
        <v>13</v>
      </c>
      <c r="E91" t="s">
        <v>53</v>
      </c>
      <c r="F91" t="str">
        <f>VLOOKUP(Ramen_Ratings[[#This Row],[Country]],Country_Region[#All],2,FALSE)</f>
        <v>Asia</v>
      </c>
      <c r="G91">
        <v>4</v>
      </c>
      <c r="H91" t="str" cm="1">
        <f t="array" ref="H91">_xlfn.IFS(Ramen_Ratings[[#This Row],[Stars]] = "Unrated", "NA",Ramen_Ratings[[#This Row],[Stars]]&gt;=4, "Good", Ramen_Ratings[[#This Row],[Stars]]&gt;2.5, "Fair", Ramen_Ratings[[#This Row],[Stars]] &gt;= 0, "Bad")</f>
        <v>Good</v>
      </c>
      <c r="J91" t="str">
        <f>LEFT(Ramen_Ratings[[#This Row],[Top Ten]],4)</f>
        <v/>
      </c>
      <c r="K91" t="str">
        <f>IF(Ramen_Ratings[[#This Row],[Top Ten]]="", "",RIGHT(Ramen_Ratings[[#This Row],[Top Ten]],LEN(Ramen_Ratings[[#This Row],[Top Ten]])-6))</f>
        <v/>
      </c>
    </row>
    <row r="92" spans="1:11" x14ac:dyDescent="0.25">
      <c r="A92">
        <v>264</v>
      </c>
      <c r="B92" t="s">
        <v>1055</v>
      </c>
      <c r="C92" t="s">
        <v>2616</v>
      </c>
      <c r="D92" t="s">
        <v>13</v>
      </c>
      <c r="E92" t="s">
        <v>53</v>
      </c>
      <c r="F92" t="str">
        <f>VLOOKUP(Ramen_Ratings[[#This Row],[Country]],Country_Region[#All],2,FALSE)</f>
        <v>Asia</v>
      </c>
      <c r="G92">
        <v>3.75</v>
      </c>
      <c r="H92" t="str" cm="1">
        <f t="array" ref="H92">_xlfn.IFS(Ramen_Ratings[[#This Row],[Stars]] = "Unrated", "NA",Ramen_Ratings[[#This Row],[Stars]]&gt;=4, "Good", Ramen_Ratings[[#This Row],[Stars]]&gt;2.5, "Fair", Ramen_Ratings[[#This Row],[Stars]] &gt;= 0, "Bad")</f>
        <v>Fair</v>
      </c>
      <c r="J92" t="str">
        <f>LEFT(Ramen_Ratings[[#This Row],[Top Ten]],4)</f>
        <v/>
      </c>
      <c r="K92" t="str">
        <f>IF(Ramen_Ratings[[#This Row],[Top Ten]]="", "",RIGHT(Ramen_Ratings[[#This Row],[Top Ten]],LEN(Ramen_Ratings[[#This Row],[Top Ten]])-6))</f>
        <v/>
      </c>
    </row>
    <row r="93" spans="1:11" x14ac:dyDescent="0.25">
      <c r="A93">
        <v>262</v>
      </c>
      <c r="B93" t="s">
        <v>1055</v>
      </c>
      <c r="C93" t="s">
        <v>2618</v>
      </c>
      <c r="D93" t="s">
        <v>13</v>
      </c>
      <c r="E93" t="s">
        <v>53</v>
      </c>
      <c r="F93" t="str">
        <f>VLOOKUP(Ramen_Ratings[[#This Row],[Country]],Country_Region[#All],2,FALSE)</f>
        <v>Asia</v>
      </c>
      <c r="G93">
        <v>3.75</v>
      </c>
      <c r="H93" t="str" cm="1">
        <f t="array" ref="H93">_xlfn.IFS(Ramen_Ratings[[#This Row],[Stars]] = "Unrated", "NA",Ramen_Ratings[[#This Row],[Stars]]&gt;=4, "Good", Ramen_Ratings[[#This Row],[Stars]]&gt;2.5, "Fair", Ramen_Ratings[[#This Row],[Stars]] &gt;= 0, "Bad")</f>
        <v>Fair</v>
      </c>
      <c r="J93" t="str">
        <f>LEFT(Ramen_Ratings[[#This Row],[Top Ten]],4)</f>
        <v/>
      </c>
      <c r="K93" t="str">
        <f>IF(Ramen_Ratings[[#This Row],[Top Ten]]="", "",RIGHT(Ramen_Ratings[[#This Row],[Top Ten]],LEN(Ramen_Ratings[[#This Row],[Top Ten]])-6))</f>
        <v/>
      </c>
    </row>
    <row r="94" spans="1:11" x14ac:dyDescent="0.25">
      <c r="A94">
        <v>261</v>
      </c>
      <c r="B94" t="s">
        <v>1055</v>
      </c>
      <c r="C94" t="s">
        <v>2619</v>
      </c>
      <c r="D94" t="s">
        <v>13</v>
      </c>
      <c r="E94" t="s">
        <v>53</v>
      </c>
      <c r="F94" t="str">
        <f>VLOOKUP(Ramen_Ratings[[#This Row],[Country]],Country_Region[#All],2,FALSE)</f>
        <v>Asia</v>
      </c>
      <c r="G94">
        <v>3.75</v>
      </c>
      <c r="H94" t="str" cm="1">
        <f t="array" ref="H94">_xlfn.IFS(Ramen_Ratings[[#This Row],[Stars]] = "Unrated", "NA",Ramen_Ratings[[#This Row],[Stars]]&gt;=4, "Good", Ramen_Ratings[[#This Row],[Stars]]&gt;2.5, "Fair", Ramen_Ratings[[#This Row],[Stars]] &gt;= 0, "Bad")</f>
        <v>Fair</v>
      </c>
      <c r="J94" t="str">
        <f>LEFT(Ramen_Ratings[[#This Row],[Top Ten]],4)</f>
        <v/>
      </c>
      <c r="K94" t="str">
        <f>IF(Ramen_Ratings[[#This Row],[Top Ten]]="", "",RIGHT(Ramen_Ratings[[#This Row],[Top Ten]],LEN(Ramen_Ratings[[#This Row],[Top Ten]])-6))</f>
        <v/>
      </c>
    </row>
    <row r="95" spans="1:11" x14ac:dyDescent="0.25">
      <c r="A95">
        <v>259</v>
      </c>
      <c r="B95" t="s">
        <v>1055</v>
      </c>
      <c r="C95" t="s">
        <v>2621</v>
      </c>
      <c r="D95" t="s">
        <v>13</v>
      </c>
      <c r="E95" t="s">
        <v>53</v>
      </c>
      <c r="F95" t="str">
        <f>VLOOKUP(Ramen_Ratings[[#This Row],[Country]],Country_Region[#All],2,FALSE)</f>
        <v>Asia</v>
      </c>
      <c r="G95">
        <v>4</v>
      </c>
      <c r="H95" t="str" cm="1">
        <f t="array" ref="H95">_xlfn.IFS(Ramen_Ratings[[#This Row],[Stars]] = "Unrated", "NA",Ramen_Ratings[[#This Row],[Stars]]&gt;=4, "Good", Ramen_Ratings[[#This Row],[Stars]]&gt;2.5, "Fair", Ramen_Ratings[[#This Row],[Stars]] &gt;= 0, "Bad")</f>
        <v>Good</v>
      </c>
      <c r="J95" t="str">
        <f>LEFT(Ramen_Ratings[[#This Row],[Top Ten]],4)</f>
        <v/>
      </c>
      <c r="K95" t="str">
        <f>IF(Ramen_Ratings[[#This Row],[Top Ten]]="", "",RIGHT(Ramen_Ratings[[#This Row],[Top Ten]],LEN(Ramen_Ratings[[#This Row],[Top Ten]])-6))</f>
        <v/>
      </c>
    </row>
    <row r="96" spans="1:11" x14ac:dyDescent="0.25">
      <c r="A96">
        <v>254</v>
      </c>
      <c r="B96" t="s">
        <v>1055</v>
      </c>
      <c r="C96" t="s">
        <v>2626</v>
      </c>
      <c r="D96" t="s">
        <v>13</v>
      </c>
      <c r="E96" t="s">
        <v>53</v>
      </c>
      <c r="F96" t="str">
        <f>VLOOKUP(Ramen_Ratings[[#This Row],[Country]],Country_Region[#All],2,FALSE)</f>
        <v>Asia</v>
      </c>
      <c r="G96">
        <v>4</v>
      </c>
      <c r="H96" t="str" cm="1">
        <f t="array" ref="H96">_xlfn.IFS(Ramen_Ratings[[#This Row],[Stars]] = "Unrated", "NA",Ramen_Ratings[[#This Row],[Stars]]&gt;=4, "Good", Ramen_Ratings[[#This Row],[Stars]]&gt;2.5, "Fair", Ramen_Ratings[[#This Row],[Stars]] &gt;= 0, "Bad")</f>
        <v>Good</v>
      </c>
      <c r="J96" t="str">
        <f>LEFT(Ramen_Ratings[[#This Row],[Top Ten]],4)</f>
        <v/>
      </c>
      <c r="K96" t="str">
        <f>IF(Ramen_Ratings[[#This Row],[Top Ten]]="", "",RIGHT(Ramen_Ratings[[#This Row],[Top Ten]],LEN(Ramen_Ratings[[#This Row],[Top Ten]])-6))</f>
        <v/>
      </c>
    </row>
    <row r="97" spans="1:11" x14ac:dyDescent="0.25">
      <c r="A97">
        <v>228</v>
      </c>
      <c r="B97" t="s">
        <v>331</v>
      </c>
      <c r="C97" t="s">
        <v>2650</v>
      </c>
      <c r="D97" t="s">
        <v>44</v>
      </c>
      <c r="E97" t="s">
        <v>53</v>
      </c>
      <c r="F97" t="str">
        <f>VLOOKUP(Ramen_Ratings[[#This Row],[Country]],Country_Region[#All],2,FALSE)</f>
        <v>Asia</v>
      </c>
      <c r="G97">
        <v>2</v>
      </c>
      <c r="H97" t="str" cm="1">
        <f t="array" ref="H97">_xlfn.IFS(Ramen_Ratings[[#This Row],[Stars]] = "Unrated", "NA",Ramen_Ratings[[#This Row],[Stars]]&gt;=4, "Good", Ramen_Ratings[[#This Row],[Stars]]&gt;2.5, "Fair", Ramen_Ratings[[#This Row],[Stars]] &gt;= 0, "Bad")</f>
        <v>Bad</v>
      </c>
      <c r="J97" t="str">
        <f>LEFT(Ramen_Ratings[[#This Row],[Top Ten]],4)</f>
        <v/>
      </c>
      <c r="K97" t="str">
        <f>IF(Ramen_Ratings[[#This Row],[Top Ten]]="", "",RIGHT(Ramen_Ratings[[#This Row],[Top Ten]],LEN(Ramen_Ratings[[#This Row],[Top Ten]])-6))</f>
        <v/>
      </c>
    </row>
    <row r="98" spans="1:11" x14ac:dyDescent="0.25">
      <c r="A98">
        <v>211</v>
      </c>
      <c r="B98" t="s">
        <v>1055</v>
      </c>
      <c r="C98" t="s">
        <v>2664</v>
      </c>
      <c r="D98" t="s">
        <v>30</v>
      </c>
      <c r="E98" t="s">
        <v>53</v>
      </c>
      <c r="F98" t="str">
        <f>VLOOKUP(Ramen_Ratings[[#This Row],[Country]],Country_Region[#All],2,FALSE)</f>
        <v>Asia</v>
      </c>
      <c r="G98">
        <v>3.5</v>
      </c>
      <c r="H98" t="str" cm="1">
        <f t="array" ref="H98">_xlfn.IFS(Ramen_Ratings[[#This Row],[Stars]] = "Unrated", "NA",Ramen_Ratings[[#This Row],[Stars]]&gt;=4, "Good", Ramen_Ratings[[#This Row],[Stars]]&gt;2.5, "Fair", Ramen_Ratings[[#This Row],[Stars]] &gt;= 0, "Bad")</f>
        <v>Fair</v>
      </c>
      <c r="J98" t="str">
        <f>LEFT(Ramen_Ratings[[#This Row],[Top Ten]],4)</f>
        <v/>
      </c>
      <c r="K98" t="str">
        <f>IF(Ramen_Ratings[[#This Row],[Top Ten]]="", "",RIGHT(Ramen_Ratings[[#This Row],[Top Ten]],LEN(Ramen_Ratings[[#This Row],[Top Ten]])-6))</f>
        <v/>
      </c>
    </row>
    <row r="99" spans="1:11" x14ac:dyDescent="0.25">
      <c r="A99">
        <v>194</v>
      </c>
      <c r="B99" t="s">
        <v>2176</v>
      </c>
      <c r="C99" t="s">
        <v>2681</v>
      </c>
      <c r="D99" t="s">
        <v>13</v>
      </c>
      <c r="E99" t="s">
        <v>53</v>
      </c>
      <c r="F99" t="str">
        <f>VLOOKUP(Ramen_Ratings[[#This Row],[Country]],Country_Region[#All],2,FALSE)</f>
        <v>Asia</v>
      </c>
      <c r="G99">
        <v>3.5</v>
      </c>
      <c r="H99" t="str" cm="1">
        <f t="array" ref="H99">_xlfn.IFS(Ramen_Ratings[[#This Row],[Stars]] = "Unrated", "NA",Ramen_Ratings[[#This Row],[Stars]]&gt;=4, "Good", Ramen_Ratings[[#This Row],[Stars]]&gt;2.5, "Fair", Ramen_Ratings[[#This Row],[Stars]] &gt;= 0, "Bad")</f>
        <v>Fair</v>
      </c>
      <c r="J99" t="str">
        <f>LEFT(Ramen_Ratings[[#This Row],[Top Ten]],4)</f>
        <v/>
      </c>
      <c r="K99" t="str">
        <f>IF(Ramen_Ratings[[#This Row],[Top Ten]]="", "",RIGHT(Ramen_Ratings[[#This Row],[Top Ten]],LEN(Ramen_Ratings[[#This Row],[Top Ten]])-6))</f>
        <v/>
      </c>
    </row>
    <row r="100" spans="1:11" x14ac:dyDescent="0.25">
      <c r="A100">
        <v>177</v>
      </c>
      <c r="B100" t="s">
        <v>331</v>
      </c>
      <c r="C100" t="s">
        <v>2697</v>
      </c>
      <c r="D100" t="s">
        <v>13</v>
      </c>
      <c r="E100" t="s">
        <v>53</v>
      </c>
      <c r="F100" t="str">
        <f>VLOOKUP(Ramen_Ratings[[#This Row],[Country]],Country_Region[#All],2,FALSE)</f>
        <v>Asia</v>
      </c>
      <c r="G100">
        <v>3.75</v>
      </c>
      <c r="H100" t="str" cm="1">
        <f t="array" ref="H100">_xlfn.IFS(Ramen_Ratings[[#This Row],[Stars]] = "Unrated", "NA",Ramen_Ratings[[#This Row],[Stars]]&gt;=4, "Good", Ramen_Ratings[[#This Row],[Stars]]&gt;2.5, "Fair", Ramen_Ratings[[#This Row],[Stars]] &gt;= 0, "Bad")</f>
        <v>Fair</v>
      </c>
      <c r="J100" t="str">
        <f>LEFT(Ramen_Ratings[[#This Row],[Top Ten]],4)</f>
        <v/>
      </c>
      <c r="K100" t="str">
        <f>IF(Ramen_Ratings[[#This Row],[Top Ten]]="", "",RIGHT(Ramen_Ratings[[#This Row],[Top Ten]],LEN(Ramen_Ratings[[#This Row],[Top Ten]])-6))</f>
        <v/>
      </c>
    </row>
    <row r="101" spans="1:11" x14ac:dyDescent="0.25">
      <c r="A101">
        <v>163</v>
      </c>
      <c r="B101" t="s">
        <v>331</v>
      </c>
      <c r="C101" t="s">
        <v>2710</v>
      </c>
      <c r="D101" t="s">
        <v>13</v>
      </c>
      <c r="E101" t="s">
        <v>53</v>
      </c>
      <c r="F101" t="str">
        <f>VLOOKUP(Ramen_Ratings[[#This Row],[Country]],Country_Region[#All],2,FALSE)</f>
        <v>Asia</v>
      </c>
      <c r="G101">
        <v>3.5</v>
      </c>
      <c r="H101" t="str" cm="1">
        <f t="array" ref="H101">_xlfn.IFS(Ramen_Ratings[[#This Row],[Stars]] = "Unrated", "NA",Ramen_Ratings[[#This Row],[Stars]]&gt;=4, "Good", Ramen_Ratings[[#This Row],[Stars]]&gt;2.5, "Fair", Ramen_Ratings[[#This Row],[Stars]] &gt;= 0, "Bad")</f>
        <v>Fair</v>
      </c>
      <c r="J101" t="str">
        <f>LEFT(Ramen_Ratings[[#This Row],[Top Ten]],4)</f>
        <v/>
      </c>
      <c r="K101" t="str">
        <f>IF(Ramen_Ratings[[#This Row],[Top Ten]]="", "",RIGHT(Ramen_Ratings[[#This Row],[Top Ten]],LEN(Ramen_Ratings[[#This Row],[Top Ten]])-6))</f>
        <v/>
      </c>
    </row>
    <row r="102" spans="1:11" x14ac:dyDescent="0.25">
      <c r="A102">
        <v>127</v>
      </c>
      <c r="B102" t="s">
        <v>331</v>
      </c>
      <c r="C102" t="s">
        <v>2045</v>
      </c>
      <c r="D102" t="s">
        <v>13</v>
      </c>
      <c r="E102" t="s">
        <v>53</v>
      </c>
      <c r="F102" t="str">
        <f>VLOOKUP(Ramen_Ratings[[#This Row],[Country]],Country_Region[#All],2,FALSE)</f>
        <v>Asia</v>
      </c>
      <c r="G102">
        <v>2.8</v>
      </c>
      <c r="H102" t="str" cm="1">
        <f t="array" ref="H102">_xlfn.IFS(Ramen_Ratings[[#This Row],[Stars]] = "Unrated", "NA",Ramen_Ratings[[#This Row],[Stars]]&gt;=4, "Good", Ramen_Ratings[[#This Row],[Stars]]&gt;2.5, "Fair", Ramen_Ratings[[#This Row],[Stars]] &gt;= 0, "Bad")</f>
        <v>Fair</v>
      </c>
      <c r="J102" t="str">
        <f>LEFT(Ramen_Ratings[[#This Row],[Top Ten]],4)</f>
        <v/>
      </c>
      <c r="K102" t="str">
        <f>IF(Ramen_Ratings[[#This Row],[Top Ten]]="", "",RIGHT(Ramen_Ratings[[#This Row],[Top Ten]],LEN(Ramen_Ratings[[#This Row],[Top Ten]])-6))</f>
        <v/>
      </c>
    </row>
    <row r="103" spans="1:11" x14ac:dyDescent="0.25">
      <c r="A103">
        <v>97</v>
      </c>
      <c r="B103" t="s">
        <v>2176</v>
      </c>
      <c r="C103" t="s">
        <v>2776</v>
      </c>
      <c r="D103" t="s">
        <v>13</v>
      </c>
      <c r="E103" t="s">
        <v>53</v>
      </c>
      <c r="F103" t="str">
        <f>VLOOKUP(Ramen_Ratings[[#This Row],[Country]],Country_Region[#All],2,FALSE)</f>
        <v>Asia</v>
      </c>
      <c r="G103">
        <v>2.5</v>
      </c>
      <c r="H103" t="str" cm="1">
        <f t="array" ref="H103">_xlfn.IFS(Ramen_Ratings[[#This Row],[Stars]] = "Unrated", "NA",Ramen_Ratings[[#This Row],[Stars]]&gt;=4, "Good", Ramen_Ratings[[#This Row],[Stars]]&gt;2.5, "Fair", Ramen_Ratings[[#This Row],[Stars]] &gt;= 0, "Bad")</f>
        <v>Bad</v>
      </c>
      <c r="J103" t="str">
        <f>LEFT(Ramen_Ratings[[#This Row],[Top Ten]],4)</f>
        <v/>
      </c>
      <c r="K103" t="str">
        <f>IF(Ramen_Ratings[[#This Row],[Top Ten]]="", "",RIGHT(Ramen_Ratings[[#This Row],[Top Ten]],LEN(Ramen_Ratings[[#This Row],[Top Ten]])-6))</f>
        <v/>
      </c>
    </row>
    <row r="104" spans="1:11" x14ac:dyDescent="0.25">
      <c r="A104">
        <v>96</v>
      </c>
      <c r="B104" t="s">
        <v>2176</v>
      </c>
      <c r="C104" t="s">
        <v>2279</v>
      </c>
      <c r="D104" t="s">
        <v>13</v>
      </c>
      <c r="E104" t="s">
        <v>53</v>
      </c>
      <c r="F104" t="str">
        <f>VLOOKUP(Ramen_Ratings[[#This Row],[Country]],Country_Region[#All],2,FALSE)</f>
        <v>Asia</v>
      </c>
      <c r="G104">
        <v>3.75</v>
      </c>
      <c r="H104" t="str" cm="1">
        <f t="array" ref="H104">_xlfn.IFS(Ramen_Ratings[[#This Row],[Stars]] = "Unrated", "NA",Ramen_Ratings[[#This Row],[Stars]]&gt;=4, "Good", Ramen_Ratings[[#This Row],[Stars]]&gt;2.5, "Fair", Ramen_Ratings[[#This Row],[Stars]] &gt;= 0, "Bad")</f>
        <v>Fair</v>
      </c>
      <c r="J104" t="str">
        <f>LEFT(Ramen_Ratings[[#This Row],[Top Ten]],4)</f>
        <v/>
      </c>
      <c r="K104" t="str">
        <f>IF(Ramen_Ratings[[#This Row],[Top Ten]]="", "",RIGHT(Ramen_Ratings[[#This Row],[Top Ten]],LEN(Ramen_Ratings[[#This Row],[Top Ten]])-6))</f>
        <v/>
      </c>
    </row>
    <row r="105" spans="1:11" x14ac:dyDescent="0.25">
      <c r="A105">
        <v>91</v>
      </c>
      <c r="B105" t="s">
        <v>51</v>
      </c>
      <c r="C105" t="s">
        <v>2778</v>
      </c>
      <c r="D105" t="s">
        <v>13</v>
      </c>
      <c r="E105" t="s">
        <v>53</v>
      </c>
      <c r="F105" t="str">
        <f>VLOOKUP(Ramen_Ratings[[#This Row],[Country]],Country_Region[#All],2,FALSE)</f>
        <v>Asia</v>
      </c>
      <c r="G105">
        <v>2.75</v>
      </c>
      <c r="H105" t="str" cm="1">
        <f t="array" ref="H105">_xlfn.IFS(Ramen_Ratings[[#This Row],[Stars]] = "Unrated", "NA",Ramen_Ratings[[#This Row],[Stars]]&gt;=4, "Good", Ramen_Ratings[[#This Row],[Stars]]&gt;2.5, "Fair", Ramen_Ratings[[#This Row],[Stars]] &gt;= 0, "Bad")</f>
        <v>Fair</v>
      </c>
      <c r="J105" t="str">
        <f>LEFT(Ramen_Ratings[[#This Row],[Top Ten]],4)</f>
        <v/>
      </c>
      <c r="K105" t="str">
        <f>IF(Ramen_Ratings[[#This Row],[Top Ten]]="", "",RIGHT(Ramen_Ratings[[#This Row],[Top Ten]],LEN(Ramen_Ratings[[#This Row],[Top Ten]])-6))</f>
        <v/>
      </c>
    </row>
    <row r="106" spans="1:11" x14ac:dyDescent="0.25">
      <c r="A106">
        <v>42</v>
      </c>
      <c r="B106" t="s">
        <v>243</v>
      </c>
      <c r="C106" t="s">
        <v>2822</v>
      </c>
      <c r="D106" t="s">
        <v>13</v>
      </c>
      <c r="E106" t="s">
        <v>53</v>
      </c>
      <c r="F106" t="str">
        <f>VLOOKUP(Ramen_Ratings[[#This Row],[Country]],Country_Region[#All],2,FALSE)</f>
        <v>Asia</v>
      </c>
      <c r="G106">
        <v>2.75</v>
      </c>
      <c r="H106" t="str" cm="1">
        <f t="array" ref="H106">_xlfn.IFS(Ramen_Ratings[[#This Row],[Stars]] = "Unrated", "NA",Ramen_Ratings[[#This Row],[Stars]]&gt;=4, "Good", Ramen_Ratings[[#This Row],[Stars]]&gt;2.5, "Fair", Ramen_Ratings[[#This Row],[Stars]] &gt;= 0, "Bad")</f>
        <v>Fair</v>
      </c>
      <c r="J106" t="str">
        <f>LEFT(Ramen_Ratings[[#This Row],[Top Ten]],4)</f>
        <v/>
      </c>
      <c r="K106" t="str">
        <f>IF(Ramen_Ratings[[#This Row],[Top Ten]]="", "",RIGHT(Ramen_Ratings[[#This Row],[Top Ten]],LEN(Ramen_Ratings[[#This Row],[Top Ten]])-6))</f>
        <v/>
      </c>
    </row>
    <row r="107" spans="1:11" x14ac:dyDescent="0.25">
      <c r="A107">
        <v>7</v>
      </c>
      <c r="B107" t="s">
        <v>243</v>
      </c>
      <c r="C107" t="s">
        <v>2854</v>
      </c>
      <c r="D107" t="s">
        <v>13</v>
      </c>
      <c r="E107" t="s">
        <v>53</v>
      </c>
      <c r="F107" t="str">
        <f>VLOOKUP(Ramen_Ratings[[#This Row],[Country]],Country_Region[#All],2,FALSE)</f>
        <v>Asia</v>
      </c>
      <c r="G107">
        <v>1</v>
      </c>
      <c r="H107" t="str" cm="1">
        <f t="array" ref="H107">_xlfn.IFS(Ramen_Ratings[[#This Row],[Stars]] = "Unrated", "NA",Ramen_Ratings[[#This Row],[Stars]]&gt;=4, "Good", Ramen_Ratings[[#This Row],[Stars]]&gt;2.5, "Fair", Ramen_Ratings[[#This Row],[Stars]] &gt;= 0, "Bad")</f>
        <v>Bad</v>
      </c>
      <c r="J107" t="str">
        <f>LEFT(Ramen_Ratings[[#This Row],[Top Ten]],4)</f>
        <v/>
      </c>
      <c r="K107" t="str">
        <f>IF(Ramen_Ratings[[#This Row],[Top Ten]]="", "",RIGHT(Ramen_Ratings[[#This Row],[Top Ten]],LEN(Ramen_Ratings[[#This Row],[Top Ten]])-6))</f>
        <v/>
      </c>
    </row>
    <row r="108" spans="1:11" x14ac:dyDescent="0.25">
      <c r="A108">
        <v>6</v>
      </c>
      <c r="B108" t="s">
        <v>331</v>
      </c>
      <c r="C108" t="s">
        <v>2758</v>
      </c>
      <c r="D108" t="s">
        <v>13</v>
      </c>
      <c r="E108" t="s">
        <v>53</v>
      </c>
      <c r="F108" t="str">
        <f>VLOOKUP(Ramen_Ratings[[#This Row],[Country]],Country_Region[#All],2,FALSE)</f>
        <v>Asia</v>
      </c>
      <c r="G108">
        <v>2.5</v>
      </c>
      <c r="H108" t="str" cm="1">
        <f t="array" ref="H108">_xlfn.IFS(Ramen_Ratings[[#This Row],[Stars]] = "Unrated", "NA",Ramen_Ratings[[#This Row],[Stars]]&gt;=4, "Good", Ramen_Ratings[[#This Row],[Stars]]&gt;2.5, "Fair", Ramen_Ratings[[#This Row],[Stars]] &gt;= 0, "Bad")</f>
        <v>Bad</v>
      </c>
      <c r="J108" t="str">
        <f>LEFT(Ramen_Ratings[[#This Row],[Top Ten]],4)</f>
        <v/>
      </c>
      <c r="K108" t="str">
        <f>IF(Ramen_Ratings[[#This Row],[Top Ten]]="", "",RIGHT(Ramen_Ratings[[#This Row],[Top Ten]],LEN(Ramen_Ratings[[#This Row],[Top Ten]])-6))</f>
        <v/>
      </c>
    </row>
    <row r="109" spans="1:11" x14ac:dyDescent="0.25">
      <c r="A109">
        <v>5</v>
      </c>
      <c r="B109" t="s">
        <v>331</v>
      </c>
      <c r="C109" t="s">
        <v>2855</v>
      </c>
      <c r="D109" t="s">
        <v>44</v>
      </c>
      <c r="E109" t="s">
        <v>53</v>
      </c>
      <c r="F109" t="str">
        <f>VLOOKUP(Ramen_Ratings[[#This Row],[Country]],Country_Region[#All],2,FALSE)</f>
        <v>Asia</v>
      </c>
      <c r="G109">
        <v>3.5</v>
      </c>
      <c r="H109" t="str" cm="1">
        <f t="array" ref="H109">_xlfn.IFS(Ramen_Ratings[[#This Row],[Stars]] = "Unrated", "NA",Ramen_Ratings[[#This Row],[Stars]]&gt;=4, "Good", Ramen_Ratings[[#This Row],[Stars]]&gt;2.5, "Fair", Ramen_Ratings[[#This Row],[Stars]] &gt;= 0, "Bad")</f>
        <v>Fair</v>
      </c>
      <c r="J109" t="str">
        <f>LEFT(Ramen_Ratings[[#This Row],[Top Ten]],4)</f>
        <v/>
      </c>
      <c r="K109" t="str">
        <f>IF(Ramen_Ratings[[#This Row],[Top Ten]]="", "",RIGHT(Ramen_Ratings[[#This Row],[Top Ten]],LEN(Ramen_Ratings[[#This Row],[Top Ten]])-6))</f>
        <v/>
      </c>
    </row>
    <row r="110" spans="1:11" x14ac:dyDescent="0.25">
      <c r="A110">
        <v>934</v>
      </c>
      <c r="B110" t="s">
        <v>41</v>
      </c>
      <c r="C110" t="s">
        <v>1934</v>
      </c>
      <c r="D110" t="s">
        <v>13</v>
      </c>
      <c r="E110" t="s">
        <v>17</v>
      </c>
      <c r="F110" t="str">
        <f>VLOOKUP(Ramen_Ratings[[#This Row],[Country]],Country_Region[#All],2,FALSE)</f>
        <v>North America</v>
      </c>
      <c r="G110">
        <v>5</v>
      </c>
      <c r="H110" t="str" cm="1">
        <f t="array" ref="H110">_xlfn.IFS(Ramen_Ratings[[#This Row],[Stars]] = "Unrated", "NA",Ramen_Ratings[[#This Row],[Stars]]&gt;=4, "Good", Ramen_Ratings[[#This Row],[Stars]]&gt;2.5, "Fair", Ramen_Ratings[[#This Row],[Stars]] &gt;= 0, "Bad")</f>
        <v>Good</v>
      </c>
      <c r="I110" t="s">
        <v>1935</v>
      </c>
      <c r="J110" t="str">
        <f>LEFT(Ramen_Ratings[[#This Row],[Top Ten]],4)</f>
        <v>2013</v>
      </c>
      <c r="K110" t="str">
        <f>IF(Ramen_Ratings[[#This Row],[Top Ten]]="", "",RIGHT(Ramen_Ratings[[#This Row],[Top Ten]],LEN(Ramen_Ratings[[#This Row],[Top Ten]])-6))</f>
        <v>4</v>
      </c>
    </row>
    <row r="111" spans="1:11" x14ac:dyDescent="0.25">
      <c r="A111">
        <v>2578</v>
      </c>
      <c r="B111" t="s">
        <v>15</v>
      </c>
      <c r="C111" t="s">
        <v>16</v>
      </c>
      <c r="D111" t="s">
        <v>9</v>
      </c>
      <c r="E111" t="s">
        <v>17</v>
      </c>
      <c r="F111" t="str">
        <f>VLOOKUP(Ramen_Ratings[[#This Row],[Country]],Country_Region[#All],2,FALSE)</f>
        <v>North America</v>
      </c>
      <c r="G111">
        <v>2.25</v>
      </c>
      <c r="H111" t="str" cm="1">
        <f t="array" ref="H111">_xlfn.IFS(Ramen_Ratings[[#This Row],[Stars]] = "Unrated", "NA",Ramen_Ratings[[#This Row],[Stars]]&gt;=4, "Good", Ramen_Ratings[[#This Row],[Stars]]&gt;2.5, "Fair", Ramen_Ratings[[#This Row],[Stars]] &gt;= 0, "Bad")</f>
        <v>Bad</v>
      </c>
      <c r="J111" t="str">
        <f>LEFT(Ramen_Ratings[[#This Row],[Top Ten]],4)</f>
        <v/>
      </c>
      <c r="K111" t="str">
        <f>IF(Ramen_Ratings[[#This Row],[Top Ten]]="", "",RIGHT(Ramen_Ratings[[#This Row],[Top Ten]],LEN(Ramen_Ratings[[#This Row],[Top Ten]])-6))</f>
        <v/>
      </c>
    </row>
    <row r="112" spans="1:11" x14ac:dyDescent="0.25">
      <c r="A112">
        <v>2569</v>
      </c>
      <c r="B112" t="s">
        <v>39</v>
      </c>
      <c r="C112" t="s">
        <v>40</v>
      </c>
      <c r="D112" t="s">
        <v>13</v>
      </c>
      <c r="E112" t="s">
        <v>17</v>
      </c>
      <c r="F112" t="str">
        <f>VLOOKUP(Ramen_Ratings[[#This Row],[Country]],Country_Region[#All],2,FALSE)</f>
        <v>North America</v>
      </c>
      <c r="G112">
        <v>5</v>
      </c>
      <c r="H112" t="str" cm="1">
        <f t="array" ref="H112">_xlfn.IFS(Ramen_Ratings[[#This Row],[Stars]] = "Unrated", "NA",Ramen_Ratings[[#This Row],[Stars]]&gt;=4, "Good", Ramen_Ratings[[#This Row],[Stars]]&gt;2.5, "Fair", Ramen_Ratings[[#This Row],[Stars]] &gt;= 0, "Bad")</f>
        <v>Good</v>
      </c>
      <c r="J112" t="str">
        <f>LEFT(Ramen_Ratings[[#This Row],[Top Ten]],4)</f>
        <v/>
      </c>
      <c r="K112" t="str">
        <f>IF(Ramen_Ratings[[#This Row],[Top Ten]]="", "",RIGHT(Ramen_Ratings[[#This Row],[Top Ten]],LEN(Ramen_Ratings[[#This Row],[Top Ten]])-6))</f>
        <v/>
      </c>
    </row>
    <row r="113" spans="1:11" x14ac:dyDescent="0.25">
      <c r="A113">
        <v>2563</v>
      </c>
      <c r="B113" t="s">
        <v>39</v>
      </c>
      <c r="C113" t="s">
        <v>50</v>
      </c>
      <c r="D113" t="s">
        <v>13</v>
      </c>
      <c r="E113" t="s">
        <v>17</v>
      </c>
      <c r="F113" t="str">
        <f>VLOOKUP(Ramen_Ratings[[#This Row],[Country]],Country_Region[#All],2,FALSE)</f>
        <v>North America</v>
      </c>
      <c r="G113">
        <v>5</v>
      </c>
      <c r="H113" t="str" cm="1">
        <f t="array" ref="H113">_xlfn.IFS(Ramen_Ratings[[#This Row],[Stars]] = "Unrated", "NA",Ramen_Ratings[[#This Row],[Stars]]&gt;=4, "Good", Ramen_Ratings[[#This Row],[Stars]]&gt;2.5, "Fair", Ramen_Ratings[[#This Row],[Stars]] &gt;= 0, "Bad")</f>
        <v>Good</v>
      </c>
      <c r="J113" t="str">
        <f>LEFT(Ramen_Ratings[[#This Row],[Top Ten]],4)</f>
        <v/>
      </c>
      <c r="K113" t="str">
        <f>IF(Ramen_Ratings[[#This Row],[Top Ten]]="", "",RIGHT(Ramen_Ratings[[#This Row],[Top Ten]],LEN(Ramen_Ratings[[#This Row],[Top Ten]])-6))</f>
        <v/>
      </c>
    </row>
    <row r="114" spans="1:11" x14ac:dyDescent="0.25">
      <c r="A114">
        <v>2559</v>
      </c>
      <c r="B114" t="s">
        <v>57</v>
      </c>
      <c r="C114" t="s">
        <v>58</v>
      </c>
      <c r="D114" t="s">
        <v>13</v>
      </c>
      <c r="E114" t="s">
        <v>17</v>
      </c>
      <c r="F114" t="str">
        <f>VLOOKUP(Ramen_Ratings[[#This Row],[Country]],Country_Region[#All],2,FALSE)</f>
        <v>North America</v>
      </c>
      <c r="G114">
        <v>5</v>
      </c>
      <c r="H114" t="str" cm="1">
        <f t="array" ref="H114">_xlfn.IFS(Ramen_Ratings[[#This Row],[Stars]] = "Unrated", "NA",Ramen_Ratings[[#This Row],[Stars]]&gt;=4, "Good", Ramen_Ratings[[#This Row],[Stars]]&gt;2.5, "Fair", Ramen_Ratings[[#This Row],[Stars]] &gt;= 0, "Bad")</f>
        <v>Good</v>
      </c>
      <c r="J114" t="str">
        <f>LEFT(Ramen_Ratings[[#This Row],[Top Ten]],4)</f>
        <v/>
      </c>
      <c r="K114" t="str">
        <f>IF(Ramen_Ratings[[#This Row],[Top Ten]]="", "",RIGHT(Ramen_Ratings[[#This Row],[Top Ten]],LEN(Ramen_Ratings[[#This Row],[Top Ten]])-6))</f>
        <v/>
      </c>
    </row>
    <row r="115" spans="1:11" x14ac:dyDescent="0.25">
      <c r="A115">
        <v>2557</v>
      </c>
      <c r="B115" t="s">
        <v>39</v>
      </c>
      <c r="C115" t="s">
        <v>60</v>
      </c>
      <c r="D115" t="s">
        <v>13</v>
      </c>
      <c r="E115" t="s">
        <v>17</v>
      </c>
      <c r="F115" t="str">
        <f>VLOOKUP(Ramen_Ratings[[#This Row],[Country]],Country_Region[#All],2,FALSE)</f>
        <v>North America</v>
      </c>
      <c r="G115">
        <v>4.75</v>
      </c>
      <c r="H115" t="str" cm="1">
        <f t="array" ref="H115">_xlfn.IFS(Ramen_Ratings[[#This Row],[Stars]] = "Unrated", "NA",Ramen_Ratings[[#This Row],[Stars]]&gt;=4, "Good", Ramen_Ratings[[#This Row],[Stars]]&gt;2.5, "Fair", Ramen_Ratings[[#This Row],[Stars]] &gt;= 0, "Bad")</f>
        <v>Good</v>
      </c>
      <c r="J115" t="str">
        <f>LEFT(Ramen_Ratings[[#This Row],[Top Ten]],4)</f>
        <v/>
      </c>
      <c r="K115" t="str">
        <f>IF(Ramen_Ratings[[#This Row],[Top Ten]]="", "",RIGHT(Ramen_Ratings[[#This Row],[Top Ten]],LEN(Ramen_Ratings[[#This Row],[Top Ten]])-6))</f>
        <v/>
      </c>
    </row>
    <row r="116" spans="1:11" x14ac:dyDescent="0.25">
      <c r="A116">
        <v>2544</v>
      </c>
      <c r="B116" t="s">
        <v>82</v>
      </c>
      <c r="C116" t="s">
        <v>83</v>
      </c>
      <c r="D116" t="s">
        <v>84</v>
      </c>
      <c r="E116" t="s">
        <v>17</v>
      </c>
      <c r="F116" t="str">
        <f>VLOOKUP(Ramen_Ratings[[#This Row],[Country]],Country_Region[#All],2,FALSE)</f>
        <v>North America</v>
      </c>
      <c r="G116">
        <v>1.5</v>
      </c>
      <c r="H116" t="str" cm="1">
        <f t="array" ref="H116">_xlfn.IFS(Ramen_Ratings[[#This Row],[Stars]] = "Unrated", "NA",Ramen_Ratings[[#This Row],[Stars]]&gt;=4, "Good", Ramen_Ratings[[#This Row],[Stars]]&gt;2.5, "Fair", Ramen_Ratings[[#This Row],[Stars]] &gt;= 0, "Bad")</f>
        <v>Bad</v>
      </c>
      <c r="J116" t="str">
        <f>LEFT(Ramen_Ratings[[#This Row],[Top Ten]],4)</f>
        <v/>
      </c>
      <c r="K116" t="str">
        <f>IF(Ramen_Ratings[[#This Row],[Top Ten]]="", "",RIGHT(Ramen_Ratings[[#This Row],[Top Ten]],LEN(Ramen_Ratings[[#This Row],[Top Ten]])-6))</f>
        <v/>
      </c>
    </row>
    <row r="117" spans="1:11" x14ac:dyDescent="0.25">
      <c r="A117">
        <v>2541</v>
      </c>
      <c r="B117" t="s">
        <v>15</v>
      </c>
      <c r="C117" t="s">
        <v>87</v>
      </c>
      <c r="D117" t="s">
        <v>9</v>
      </c>
      <c r="E117" t="s">
        <v>17</v>
      </c>
      <c r="F117" t="str">
        <f>VLOOKUP(Ramen_Ratings[[#This Row],[Country]],Country_Region[#All],2,FALSE)</f>
        <v>North America</v>
      </c>
      <c r="G117">
        <v>5</v>
      </c>
      <c r="H117" t="str" cm="1">
        <f t="array" ref="H117">_xlfn.IFS(Ramen_Ratings[[#This Row],[Stars]] = "Unrated", "NA",Ramen_Ratings[[#This Row],[Stars]]&gt;=4, "Good", Ramen_Ratings[[#This Row],[Stars]]&gt;2.5, "Fair", Ramen_Ratings[[#This Row],[Stars]] &gt;= 0, "Bad")</f>
        <v>Good</v>
      </c>
      <c r="J117" t="str">
        <f>LEFT(Ramen_Ratings[[#This Row],[Top Ten]],4)</f>
        <v/>
      </c>
      <c r="K117" t="str">
        <f>IF(Ramen_Ratings[[#This Row],[Top Ten]]="", "",RIGHT(Ramen_Ratings[[#This Row],[Top Ten]],LEN(Ramen_Ratings[[#This Row],[Top Ten]])-6))</f>
        <v/>
      </c>
    </row>
    <row r="118" spans="1:11" x14ac:dyDescent="0.25">
      <c r="A118">
        <v>2538</v>
      </c>
      <c r="B118" t="s">
        <v>15</v>
      </c>
      <c r="C118" t="s">
        <v>90</v>
      </c>
      <c r="D118" t="s">
        <v>9</v>
      </c>
      <c r="E118" t="s">
        <v>17</v>
      </c>
      <c r="F118" t="str">
        <f>VLOOKUP(Ramen_Ratings[[#This Row],[Country]],Country_Region[#All],2,FALSE)</f>
        <v>North America</v>
      </c>
      <c r="G118">
        <v>5</v>
      </c>
      <c r="H118" t="str" cm="1">
        <f t="array" ref="H118">_xlfn.IFS(Ramen_Ratings[[#This Row],[Stars]] = "Unrated", "NA",Ramen_Ratings[[#This Row],[Stars]]&gt;=4, "Good", Ramen_Ratings[[#This Row],[Stars]]&gt;2.5, "Fair", Ramen_Ratings[[#This Row],[Stars]] &gt;= 0, "Bad")</f>
        <v>Good</v>
      </c>
      <c r="J118" t="str">
        <f>LEFT(Ramen_Ratings[[#This Row],[Top Ten]],4)</f>
        <v/>
      </c>
      <c r="K118" t="str">
        <f>IF(Ramen_Ratings[[#This Row],[Top Ten]]="", "",RIGHT(Ramen_Ratings[[#This Row],[Top Ten]],LEN(Ramen_Ratings[[#This Row],[Top Ten]])-6))</f>
        <v/>
      </c>
    </row>
    <row r="119" spans="1:11" x14ac:dyDescent="0.25">
      <c r="A119">
        <v>2535</v>
      </c>
      <c r="B119" t="s">
        <v>15</v>
      </c>
      <c r="C119" t="s">
        <v>94</v>
      </c>
      <c r="D119" t="s">
        <v>9</v>
      </c>
      <c r="E119" t="s">
        <v>17</v>
      </c>
      <c r="F119" t="str">
        <f>VLOOKUP(Ramen_Ratings[[#This Row],[Country]],Country_Region[#All],2,FALSE)</f>
        <v>North America</v>
      </c>
      <c r="G119">
        <v>5</v>
      </c>
      <c r="H119" t="str" cm="1">
        <f t="array" ref="H119">_xlfn.IFS(Ramen_Ratings[[#This Row],[Stars]] = "Unrated", "NA",Ramen_Ratings[[#This Row],[Stars]]&gt;=4, "Good", Ramen_Ratings[[#This Row],[Stars]]&gt;2.5, "Fair", Ramen_Ratings[[#This Row],[Stars]] &gt;= 0, "Bad")</f>
        <v>Good</v>
      </c>
      <c r="J119" t="str">
        <f>LEFT(Ramen_Ratings[[#This Row],[Top Ten]],4)</f>
        <v/>
      </c>
      <c r="K119" t="str">
        <f>IF(Ramen_Ratings[[#This Row],[Top Ten]]="", "",RIGHT(Ramen_Ratings[[#This Row],[Top Ten]],LEN(Ramen_Ratings[[#This Row],[Top Ten]])-6))</f>
        <v/>
      </c>
    </row>
    <row r="120" spans="1:11" x14ac:dyDescent="0.25">
      <c r="A120">
        <v>2513</v>
      </c>
      <c r="B120" t="s">
        <v>125</v>
      </c>
      <c r="C120" t="s">
        <v>126</v>
      </c>
      <c r="D120" t="s">
        <v>127</v>
      </c>
      <c r="E120" t="s">
        <v>17</v>
      </c>
      <c r="F120" t="str">
        <f>VLOOKUP(Ramen_Ratings[[#This Row],[Country]],Country_Region[#All],2,FALSE)</f>
        <v>North America</v>
      </c>
      <c r="G120">
        <v>3.5</v>
      </c>
      <c r="H120" t="str" cm="1">
        <f t="array" ref="H120">_xlfn.IFS(Ramen_Ratings[[#This Row],[Stars]] = "Unrated", "NA",Ramen_Ratings[[#This Row],[Stars]]&gt;=4, "Good", Ramen_Ratings[[#This Row],[Stars]]&gt;2.5, "Fair", Ramen_Ratings[[#This Row],[Stars]] &gt;= 0, "Bad")</f>
        <v>Fair</v>
      </c>
      <c r="J120" t="str">
        <f>LEFT(Ramen_Ratings[[#This Row],[Top Ten]],4)</f>
        <v/>
      </c>
      <c r="K120" t="str">
        <f>IF(Ramen_Ratings[[#This Row],[Top Ten]]="", "",RIGHT(Ramen_Ratings[[#This Row],[Top Ten]],LEN(Ramen_Ratings[[#This Row],[Top Ten]])-6))</f>
        <v/>
      </c>
    </row>
    <row r="121" spans="1:11" x14ac:dyDescent="0.25">
      <c r="A121">
        <v>2470</v>
      </c>
      <c r="B121" t="s">
        <v>183</v>
      </c>
      <c r="C121" t="s">
        <v>184</v>
      </c>
      <c r="D121" t="s">
        <v>13</v>
      </c>
      <c r="E121" t="s">
        <v>17</v>
      </c>
      <c r="F121" t="str">
        <f>VLOOKUP(Ramen_Ratings[[#This Row],[Country]],Country_Region[#All],2,FALSE)</f>
        <v>North America</v>
      </c>
      <c r="G121">
        <v>3.75</v>
      </c>
      <c r="H121" t="str" cm="1">
        <f t="array" ref="H121">_xlfn.IFS(Ramen_Ratings[[#This Row],[Stars]] = "Unrated", "NA",Ramen_Ratings[[#This Row],[Stars]]&gt;=4, "Good", Ramen_Ratings[[#This Row],[Stars]]&gt;2.5, "Fair", Ramen_Ratings[[#This Row],[Stars]] &gt;= 0, "Bad")</f>
        <v>Fair</v>
      </c>
      <c r="J121" t="str">
        <f>LEFT(Ramen_Ratings[[#This Row],[Top Ten]],4)</f>
        <v/>
      </c>
      <c r="K121" t="str">
        <f>IF(Ramen_Ratings[[#This Row],[Top Ten]]="", "",RIGHT(Ramen_Ratings[[#This Row],[Top Ten]],LEN(Ramen_Ratings[[#This Row],[Top Ten]])-6))</f>
        <v/>
      </c>
    </row>
    <row r="122" spans="1:11" x14ac:dyDescent="0.25">
      <c r="A122">
        <v>2460</v>
      </c>
      <c r="B122" t="s">
        <v>196</v>
      </c>
      <c r="C122" t="s">
        <v>197</v>
      </c>
      <c r="D122" t="s">
        <v>44</v>
      </c>
      <c r="E122" t="s">
        <v>17</v>
      </c>
      <c r="F122" t="str">
        <f>VLOOKUP(Ramen_Ratings[[#This Row],[Country]],Country_Region[#All],2,FALSE)</f>
        <v>North America</v>
      </c>
      <c r="G122">
        <v>5</v>
      </c>
      <c r="H122" t="str" cm="1">
        <f t="array" ref="H122">_xlfn.IFS(Ramen_Ratings[[#This Row],[Stars]] = "Unrated", "NA",Ramen_Ratings[[#This Row],[Stars]]&gt;=4, "Good", Ramen_Ratings[[#This Row],[Stars]]&gt;2.5, "Fair", Ramen_Ratings[[#This Row],[Stars]] &gt;= 0, "Bad")</f>
        <v>Good</v>
      </c>
      <c r="J122" t="str">
        <f>LEFT(Ramen_Ratings[[#This Row],[Top Ten]],4)</f>
        <v/>
      </c>
      <c r="K122" t="str">
        <f>IF(Ramen_Ratings[[#This Row],[Top Ten]]="", "",RIGHT(Ramen_Ratings[[#This Row],[Top Ten]],LEN(Ramen_Ratings[[#This Row],[Top Ten]])-6))</f>
        <v/>
      </c>
    </row>
    <row r="123" spans="1:11" x14ac:dyDescent="0.25">
      <c r="A123">
        <v>2431</v>
      </c>
      <c r="B123" t="s">
        <v>232</v>
      </c>
      <c r="C123" t="s">
        <v>233</v>
      </c>
      <c r="D123" t="s">
        <v>44</v>
      </c>
      <c r="E123" t="s">
        <v>17</v>
      </c>
      <c r="F123" t="str">
        <f>VLOOKUP(Ramen_Ratings[[#This Row],[Country]],Country_Region[#All],2,FALSE)</f>
        <v>North America</v>
      </c>
      <c r="G123">
        <v>3.75</v>
      </c>
      <c r="H123" t="str" cm="1">
        <f t="array" ref="H123">_xlfn.IFS(Ramen_Ratings[[#This Row],[Stars]] = "Unrated", "NA",Ramen_Ratings[[#This Row],[Stars]]&gt;=4, "Good", Ramen_Ratings[[#This Row],[Stars]]&gt;2.5, "Fair", Ramen_Ratings[[#This Row],[Stars]] &gt;= 0, "Bad")</f>
        <v>Fair</v>
      </c>
      <c r="J123" t="str">
        <f>LEFT(Ramen_Ratings[[#This Row],[Top Ten]],4)</f>
        <v/>
      </c>
      <c r="K123" t="str">
        <f>IF(Ramen_Ratings[[#This Row],[Top Ten]]="", "",RIGHT(Ramen_Ratings[[#This Row],[Top Ten]],LEN(Ramen_Ratings[[#This Row],[Top Ten]])-6))</f>
        <v/>
      </c>
    </row>
    <row r="124" spans="1:11" x14ac:dyDescent="0.25">
      <c r="A124">
        <v>2426</v>
      </c>
      <c r="B124" t="s">
        <v>239</v>
      </c>
      <c r="C124" t="s">
        <v>240</v>
      </c>
      <c r="D124" t="s">
        <v>9</v>
      </c>
      <c r="E124" t="s">
        <v>17</v>
      </c>
      <c r="F124" t="str">
        <f>VLOOKUP(Ramen_Ratings[[#This Row],[Country]],Country_Region[#All],2,FALSE)</f>
        <v>North America</v>
      </c>
      <c r="G124">
        <v>0</v>
      </c>
      <c r="H124" t="str" cm="1">
        <f t="array" ref="H124">_xlfn.IFS(Ramen_Ratings[[#This Row],[Stars]] = "Unrated", "NA",Ramen_Ratings[[#This Row],[Stars]]&gt;=4, "Good", Ramen_Ratings[[#This Row],[Stars]]&gt;2.5, "Fair", Ramen_Ratings[[#This Row],[Stars]] &gt;= 0, "Bad")</f>
        <v>Bad</v>
      </c>
      <c r="J124" t="str">
        <f>LEFT(Ramen_Ratings[[#This Row],[Top Ten]],4)</f>
        <v/>
      </c>
      <c r="K124" t="str">
        <f>IF(Ramen_Ratings[[#This Row],[Top Ten]]="", "",RIGHT(Ramen_Ratings[[#This Row],[Top Ten]],LEN(Ramen_Ratings[[#This Row],[Top Ten]])-6))</f>
        <v/>
      </c>
    </row>
    <row r="125" spans="1:11" x14ac:dyDescent="0.25">
      <c r="A125">
        <v>2412</v>
      </c>
      <c r="B125" t="s">
        <v>258</v>
      </c>
      <c r="C125" t="s">
        <v>259</v>
      </c>
      <c r="D125" t="s">
        <v>13</v>
      </c>
      <c r="E125" t="s">
        <v>17</v>
      </c>
      <c r="F125" t="str">
        <f>VLOOKUP(Ramen_Ratings[[#This Row],[Country]],Country_Region[#All],2,FALSE)</f>
        <v>North America</v>
      </c>
      <c r="G125">
        <v>3.25</v>
      </c>
      <c r="H125" t="str" cm="1">
        <f t="array" ref="H125">_xlfn.IFS(Ramen_Ratings[[#This Row],[Stars]] = "Unrated", "NA",Ramen_Ratings[[#This Row],[Stars]]&gt;=4, "Good", Ramen_Ratings[[#This Row],[Stars]]&gt;2.5, "Fair", Ramen_Ratings[[#This Row],[Stars]] &gt;= 0, "Bad")</f>
        <v>Fair</v>
      </c>
      <c r="J125" t="str">
        <f>LEFT(Ramen_Ratings[[#This Row],[Top Ten]],4)</f>
        <v/>
      </c>
      <c r="K125" t="str">
        <f>IF(Ramen_Ratings[[#This Row],[Top Ten]]="", "",RIGHT(Ramen_Ratings[[#This Row],[Top Ten]],LEN(Ramen_Ratings[[#This Row],[Top Ten]])-6))</f>
        <v/>
      </c>
    </row>
    <row r="126" spans="1:11" x14ac:dyDescent="0.25">
      <c r="A126">
        <v>2411</v>
      </c>
      <c r="B126" t="s">
        <v>260</v>
      </c>
      <c r="C126" t="s">
        <v>261</v>
      </c>
      <c r="D126" t="s">
        <v>13</v>
      </c>
      <c r="E126" t="s">
        <v>17</v>
      </c>
      <c r="F126" t="str">
        <f>VLOOKUP(Ramen_Ratings[[#This Row],[Country]],Country_Region[#All],2,FALSE)</f>
        <v>North America</v>
      </c>
      <c r="G126">
        <v>3.75</v>
      </c>
      <c r="H126" t="str" cm="1">
        <f t="array" ref="H126">_xlfn.IFS(Ramen_Ratings[[#This Row],[Stars]] = "Unrated", "NA",Ramen_Ratings[[#This Row],[Stars]]&gt;=4, "Good", Ramen_Ratings[[#This Row],[Stars]]&gt;2.5, "Fair", Ramen_Ratings[[#This Row],[Stars]] &gt;= 0, "Bad")</f>
        <v>Fair</v>
      </c>
      <c r="J126" t="str">
        <f>LEFT(Ramen_Ratings[[#This Row],[Top Ten]],4)</f>
        <v/>
      </c>
      <c r="K126" t="str">
        <f>IF(Ramen_Ratings[[#This Row],[Top Ten]]="", "",RIGHT(Ramen_Ratings[[#This Row],[Top Ten]],LEN(Ramen_Ratings[[#This Row],[Top Ten]])-6))</f>
        <v/>
      </c>
    </row>
    <row r="127" spans="1:11" x14ac:dyDescent="0.25">
      <c r="A127">
        <v>2410</v>
      </c>
      <c r="B127" t="s">
        <v>260</v>
      </c>
      <c r="C127" t="s">
        <v>262</v>
      </c>
      <c r="D127" t="s">
        <v>13</v>
      </c>
      <c r="E127" t="s">
        <v>17</v>
      </c>
      <c r="F127" t="str">
        <f>VLOOKUP(Ramen_Ratings[[#This Row],[Country]],Country_Region[#All],2,FALSE)</f>
        <v>North America</v>
      </c>
      <c r="G127">
        <v>3.75</v>
      </c>
      <c r="H127" t="str" cm="1">
        <f t="array" ref="H127">_xlfn.IFS(Ramen_Ratings[[#This Row],[Stars]] = "Unrated", "NA",Ramen_Ratings[[#This Row],[Stars]]&gt;=4, "Good", Ramen_Ratings[[#This Row],[Stars]]&gt;2.5, "Fair", Ramen_Ratings[[#This Row],[Stars]] &gt;= 0, "Bad")</f>
        <v>Fair</v>
      </c>
      <c r="J127" t="str">
        <f>LEFT(Ramen_Ratings[[#This Row],[Top Ten]],4)</f>
        <v/>
      </c>
      <c r="K127" t="str">
        <f>IF(Ramen_Ratings[[#This Row],[Top Ten]]="", "",RIGHT(Ramen_Ratings[[#This Row],[Top Ten]],LEN(Ramen_Ratings[[#This Row],[Top Ten]])-6))</f>
        <v/>
      </c>
    </row>
    <row r="128" spans="1:11" x14ac:dyDescent="0.25">
      <c r="A128">
        <v>2409</v>
      </c>
      <c r="B128" t="s">
        <v>260</v>
      </c>
      <c r="C128" t="s">
        <v>263</v>
      </c>
      <c r="D128" t="s">
        <v>13</v>
      </c>
      <c r="E128" t="s">
        <v>17</v>
      </c>
      <c r="F128" t="str">
        <f>VLOOKUP(Ramen_Ratings[[#This Row],[Country]],Country_Region[#All],2,FALSE)</f>
        <v>North America</v>
      </c>
      <c r="G128">
        <v>3.5</v>
      </c>
      <c r="H128" t="str" cm="1">
        <f t="array" ref="H128">_xlfn.IFS(Ramen_Ratings[[#This Row],[Stars]] = "Unrated", "NA",Ramen_Ratings[[#This Row],[Stars]]&gt;=4, "Good", Ramen_Ratings[[#This Row],[Stars]]&gt;2.5, "Fair", Ramen_Ratings[[#This Row],[Stars]] &gt;= 0, "Bad")</f>
        <v>Fair</v>
      </c>
      <c r="J128" t="str">
        <f>LEFT(Ramen_Ratings[[#This Row],[Top Ten]],4)</f>
        <v/>
      </c>
      <c r="K128" t="str">
        <f>IF(Ramen_Ratings[[#This Row],[Top Ten]]="", "",RIGHT(Ramen_Ratings[[#This Row],[Top Ten]],LEN(Ramen_Ratings[[#This Row],[Top Ten]])-6))</f>
        <v/>
      </c>
    </row>
    <row r="129" spans="1:11" x14ac:dyDescent="0.25">
      <c r="A129">
        <v>2408</v>
      </c>
      <c r="B129" t="s">
        <v>260</v>
      </c>
      <c r="C129" t="s">
        <v>264</v>
      </c>
      <c r="D129" t="s">
        <v>13</v>
      </c>
      <c r="E129" t="s">
        <v>17</v>
      </c>
      <c r="F129" t="str">
        <f>VLOOKUP(Ramen_Ratings[[#This Row],[Country]],Country_Region[#All],2,FALSE)</f>
        <v>North America</v>
      </c>
      <c r="G129">
        <v>3.75</v>
      </c>
      <c r="H129" t="str" cm="1">
        <f t="array" ref="H129">_xlfn.IFS(Ramen_Ratings[[#This Row],[Stars]] = "Unrated", "NA",Ramen_Ratings[[#This Row],[Stars]]&gt;=4, "Good", Ramen_Ratings[[#This Row],[Stars]]&gt;2.5, "Fair", Ramen_Ratings[[#This Row],[Stars]] &gt;= 0, "Bad")</f>
        <v>Fair</v>
      </c>
      <c r="J129" t="str">
        <f>LEFT(Ramen_Ratings[[#This Row],[Top Ten]],4)</f>
        <v/>
      </c>
      <c r="K129" t="str">
        <f>IF(Ramen_Ratings[[#This Row],[Top Ten]]="", "",RIGHT(Ramen_Ratings[[#This Row],[Top Ten]],LEN(Ramen_Ratings[[#This Row],[Top Ten]])-6))</f>
        <v/>
      </c>
    </row>
    <row r="130" spans="1:11" x14ac:dyDescent="0.25">
      <c r="A130">
        <v>2403</v>
      </c>
      <c r="B130" t="s">
        <v>269</v>
      </c>
      <c r="C130" t="s">
        <v>270</v>
      </c>
      <c r="D130" t="s">
        <v>44</v>
      </c>
      <c r="E130" t="s">
        <v>17</v>
      </c>
      <c r="F130" t="str">
        <f>VLOOKUP(Ramen_Ratings[[#This Row],[Country]],Country_Region[#All],2,FALSE)</f>
        <v>North America</v>
      </c>
      <c r="G130">
        <v>4.75</v>
      </c>
      <c r="H130" t="str" cm="1">
        <f t="array" ref="H130">_xlfn.IFS(Ramen_Ratings[[#This Row],[Stars]] = "Unrated", "NA",Ramen_Ratings[[#This Row],[Stars]]&gt;=4, "Good", Ramen_Ratings[[#This Row],[Stars]]&gt;2.5, "Fair", Ramen_Ratings[[#This Row],[Stars]] &gt;= 0, "Bad")</f>
        <v>Good</v>
      </c>
      <c r="J130" t="str">
        <f>LEFT(Ramen_Ratings[[#This Row],[Top Ten]],4)</f>
        <v/>
      </c>
      <c r="K130" t="str">
        <f>IF(Ramen_Ratings[[#This Row],[Top Ten]]="", "",RIGHT(Ramen_Ratings[[#This Row],[Top Ten]],LEN(Ramen_Ratings[[#This Row],[Top Ten]])-6))</f>
        <v/>
      </c>
    </row>
    <row r="131" spans="1:11" x14ac:dyDescent="0.25">
      <c r="A131">
        <v>2389</v>
      </c>
      <c r="B131" t="s">
        <v>287</v>
      </c>
      <c r="C131" t="s">
        <v>288</v>
      </c>
      <c r="D131" t="s">
        <v>9</v>
      </c>
      <c r="E131" t="s">
        <v>17</v>
      </c>
      <c r="F131" t="str">
        <f>VLOOKUP(Ramen_Ratings[[#This Row],[Country]],Country_Region[#All],2,FALSE)</f>
        <v>North America</v>
      </c>
      <c r="G131">
        <v>4</v>
      </c>
      <c r="H131" t="str" cm="1">
        <f t="array" ref="H131">_xlfn.IFS(Ramen_Ratings[[#This Row],[Stars]] = "Unrated", "NA",Ramen_Ratings[[#This Row],[Stars]]&gt;=4, "Good", Ramen_Ratings[[#This Row],[Stars]]&gt;2.5, "Fair", Ramen_Ratings[[#This Row],[Stars]] &gt;= 0, "Bad")</f>
        <v>Good</v>
      </c>
      <c r="J131" t="str">
        <f>LEFT(Ramen_Ratings[[#This Row],[Top Ten]],4)</f>
        <v/>
      </c>
      <c r="K131" t="str">
        <f>IF(Ramen_Ratings[[#This Row],[Top Ten]]="", "",RIGHT(Ramen_Ratings[[#This Row],[Top Ten]],LEN(Ramen_Ratings[[#This Row],[Top Ten]])-6))</f>
        <v/>
      </c>
    </row>
    <row r="132" spans="1:11" x14ac:dyDescent="0.25">
      <c r="A132">
        <v>2383</v>
      </c>
      <c r="B132" t="s">
        <v>15</v>
      </c>
      <c r="C132" t="s">
        <v>295</v>
      </c>
      <c r="D132" t="s">
        <v>9</v>
      </c>
      <c r="E132" t="s">
        <v>17</v>
      </c>
      <c r="F132" t="str">
        <f>VLOOKUP(Ramen_Ratings[[#This Row],[Country]],Country_Region[#All],2,FALSE)</f>
        <v>North America</v>
      </c>
      <c r="G132">
        <v>3.5</v>
      </c>
      <c r="H132" t="str" cm="1">
        <f t="array" ref="H132">_xlfn.IFS(Ramen_Ratings[[#This Row],[Stars]] = "Unrated", "NA",Ramen_Ratings[[#This Row],[Stars]]&gt;=4, "Good", Ramen_Ratings[[#This Row],[Stars]]&gt;2.5, "Fair", Ramen_Ratings[[#This Row],[Stars]] &gt;= 0, "Bad")</f>
        <v>Fair</v>
      </c>
      <c r="J132" t="str">
        <f>LEFT(Ramen_Ratings[[#This Row],[Top Ten]],4)</f>
        <v/>
      </c>
      <c r="K132" t="str">
        <f>IF(Ramen_Ratings[[#This Row],[Top Ten]]="", "",RIGHT(Ramen_Ratings[[#This Row],[Top Ten]],LEN(Ramen_Ratings[[#This Row],[Top Ten]])-6))</f>
        <v/>
      </c>
    </row>
    <row r="133" spans="1:11" x14ac:dyDescent="0.25">
      <c r="A133">
        <v>2379</v>
      </c>
      <c r="B133" t="s">
        <v>15</v>
      </c>
      <c r="C133" t="s">
        <v>300</v>
      </c>
      <c r="D133" t="s">
        <v>9</v>
      </c>
      <c r="E133" t="s">
        <v>17</v>
      </c>
      <c r="F133" t="str">
        <f>VLOOKUP(Ramen_Ratings[[#This Row],[Country]],Country_Region[#All],2,FALSE)</f>
        <v>North America</v>
      </c>
      <c r="G133">
        <v>2.5</v>
      </c>
      <c r="H133" t="str" cm="1">
        <f t="array" ref="H133">_xlfn.IFS(Ramen_Ratings[[#This Row],[Stars]] = "Unrated", "NA",Ramen_Ratings[[#This Row],[Stars]]&gt;=4, "Good", Ramen_Ratings[[#This Row],[Stars]]&gt;2.5, "Fair", Ramen_Ratings[[#This Row],[Stars]] &gt;= 0, "Bad")</f>
        <v>Bad</v>
      </c>
      <c r="J133" t="str">
        <f>LEFT(Ramen_Ratings[[#This Row],[Top Ten]],4)</f>
        <v/>
      </c>
      <c r="K133" t="str">
        <f>IF(Ramen_Ratings[[#This Row],[Top Ten]]="", "",RIGHT(Ramen_Ratings[[#This Row],[Top Ten]],LEN(Ramen_Ratings[[#This Row],[Top Ten]])-6))</f>
        <v/>
      </c>
    </row>
    <row r="134" spans="1:11" x14ac:dyDescent="0.25">
      <c r="A134">
        <v>2327</v>
      </c>
      <c r="B134" t="s">
        <v>15</v>
      </c>
      <c r="C134" t="s">
        <v>367</v>
      </c>
      <c r="D134" t="s">
        <v>9</v>
      </c>
      <c r="E134" t="s">
        <v>17</v>
      </c>
      <c r="F134" t="str">
        <f>VLOOKUP(Ramen_Ratings[[#This Row],[Country]],Country_Region[#All],2,FALSE)</f>
        <v>North America</v>
      </c>
      <c r="G134">
        <v>4</v>
      </c>
      <c r="H134" t="str" cm="1">
        <f t="array" ref="H134">_xlfn.IFS(Ramen_Ratings[[#This Row],[Stars]] = "Unrated", "NA",Ramen_Ratings[[#This Row],[Stars]]&gt;=4, "Good", Ramen_Ratings[[#This Row],[Stars]]&gt;2.5, "Fair", Ramen_Ratings[[#This Row],[Stars]] &gt;= 0, "Bad")</f>
        <v>Good</v>
      </c>
      <c r="J134" t="str">
        <f>LEFT(Ramen_Ratings[[#This Row],[Top Ten]],4)</f>
        <v/>
      </c>
      <c r="K134" t="str">
        <f>IF(Ramen_Ratings[[#This Row],[Top Ten]]="", "",RIGHT(Ramen_Ratings[[#This Row],[Top Ten]],LEN(Ramen_Ratings[[#This Row],[Top Ten]])-6))</f>
        <v/>
      </c>
    </row>
    <row r="135" spans="1:11" x14ac:dyDescent="0.25">
      <c r="A135">
        <v>2315</v>
      </c>
      <c r="B135" t="s">
        <v>269</v>
      </c>
      <c r="C135" t="s">
        <v>383</v>
      </c>
      <c r="D135" t="s">
        <v>44</v>
      </c>
      <c r="E135" t="s">
        <v>17</v>
      </c>
      <c r="F135" t="str">
        <f>VLOOKUP(Ramen_Ratings[[#This Row],[Country]],Country_Region[#All],2,FALSE)</f>
        <v>North America</v>
      </c>
      <c r="G135">
        <v>3</v>
      </c>
      <c r="H135" t="str" cm="1">
        <f t="array" ref="H135">_xlfn.IFS(Ramen_Ratings[[#This Row],[Stars]] = "Unrated", "NA",Ramen_Ratings[[#This Row],[Stars]]&gt;=4, "Good", Ramen_Ratings[[#This Row],[Stars]]&gt;2.5, "Fair", Ramen_Ratings[[#This Row],[Stars]] &gt;= 0, "Bad")</f>
        <v>Fair</v>
      </c>
      <c r="J135" t="str">
        <f>LEFT(Ramen_Ratings[[#This Row],[Top Ten]],4)</f>
        <v/>
      </c>
      <c r="K135" t="str">
        <f>IF(Ramen_Ratings[[#This Row],[Top Ten]]="", "",RIGHT(Ramen_Ratings[[#This Row],[Top Ten]],LEN(Ramen_Ratings[[#This Row],[Top Ten]])-6))</f>
        <v/>
      </c>
    </row>
    <row r="136" spans="1:11" x14ac:dyDescent="0.25">
      <c r="A136">
        <v>2298</v>
      </c>
      <c r="B136" t="s">
        <v>15</v>
      </c>
      <c r="C136" t="s">
        <v>403</v>
      </c>
      <c r="D136" t="s">
        <v>9</v>
      </c>
      <c r="E136" t="s">
        <v>17</v>
      </c>
      <c r="F136" t="str">
        <f>VLOOKUP(Ramen_Ratings[[#This Row],[Country]],Country_Region[#All],2,FALSE)</f>
        <v>North America</v>
      </c>
      <c r="G136">
        <v>4</v>
      </c>
      <c r="H136" t="str" cm="1">
        <f t="array" ref="H136">_xlfn.IFS(Ramen_Ratings[[#This Row],[Stars]] = "Unrated", "NA",Ramen_Ratings[[#This Row],[Stars]]&gt;=4, "Good", Ramen_Ratings[[#This Row],[Stars]]&gt;2.5, "Fair", Ramen_Ratings[[#This Row],[Stars]] &gt;= 0, "Bad")</f>
        <v>Good</v>
      </c>
      <c r="J136" t="str">
        <f>LEFT(Ramen_Ratings[[#This Row],[Top Ten]],4)</f>
        <v/>
      </c>
      <c r="K136" t="str">
        <f>IF(Ramen_Ratings[[#This Row],[Top Ten]]="", "",RIGHT(Ramen_Ratings[[#This Row],[Top Ten]],LEN(Ramen_Ratings[[#This Row],[Top Ten]])-6))</f>
        <v/>
      </c>
    </row>
    <row r="137" spans="1:11" x14ac:dyDescent="0.25">
      <c r="A137">
        <v>2277</v>
      </c>
      <c r="B137" t="s">
        <v>269</v>
      </c>
      <c r="C137" t="s">
        <v>424</v>
      </c>
      <c r="D137" t="s">
        <v>44</v>
      </c>
      <c r="E137" t="s">
        <v>17</v>
      </c>
      <c r="F137" t="str">
        <f>VLOOKUP(Ramen_Ratings[[#This Row],[Country]],Country_Region[#All],2,FALSE)</f>
        <v>North America</v>
      </c>
      <c r="G137">
        <v>3</v>
      </c>
      <c r="H137" t="str" cm="1">
        <f t="array" ref="H137">_xlfn.IFS(Ramen_Ratings[[#This Row],[Stars]] = "Unrated", "NA",Ramen_Ratings[[#This Row],[Stars]]&gt;=4, "Good", Ramen_Ratings[[#This Row],[Stars]]&gt;2.5, "Fair", Ramen_Ratings[[#This Row],[Stars]] &gt;= 0, "Bad")</f>
        <v>Fair</v>
      </c>
      <c r="J137" t="str">
        <f>LEFT(Ramen_Ratings[[#This Row],[Top Ten]],4)</f>
        <v/>
      </c>
      <c r="K137" t="str">
        <f>IF(Ramen_Ratings[[#This Row],[Top Ten]]="", "",RIGHT(Ramen_Ratings[[#This Row],[Top Ten]],LEN(Ramen_Ratings[[#This Row],[Top Ten]])-6))</f>
        <v/>
      </c>
    </row>
    <row r="138" spans="1:11" x14ac:dyDescent="0.25">
      <c r="A138">
        <v>2276</v>
      </c>
      <c r="B138" t="s">
        <v>15</v>
      </c>
      <c r="C138" t="s">
        <v>425</v>
      </c>
      <c r="D138" t="s">
        <v>9</v>
      </c>
      <c r="E138" t="s">
        <v>17</v>
      </c>
      <c r="F138" t="str">
        <f>VLOOKUP(Ramen_Ratings[[#This Row],[Country]],Country_Region[#All],2,FALSE)</f>
        <v>North America</v>
      </c>
      <c r="G138">
        <v>3</v>
      </c>
      <c r="H138" t="str" cm="1">
        <f t="array" ref="H138">_xlfn.IFS(Ramen_Ratings[[#This Row],[Stars]] = "Unrated", "NA",Ramen_Ratings[[#This Row],[Stars]]&gt;=4, "Good", Ramen_Ratings[[#This Row],[Stars]]&gt;2.5, "Fair", Ramen_Ratings[[#This Row],[Stars]] &gt;= 0, "Bad")</f>
        <v>Fair</v>
      </c>
      <c r="J138" t="str">
        <f>LEFT(Ramen_Ratings[[#This Row],[Top Ten]],4)</f>
        <v/>
      </c>
      <c r="K138" t="str">
        <f>IF(Ramen_Ratings[[#This Row],[Top Ten]]="", "",RIGHT(Ramen_Ratings[[#This Row],[Top Ten]],LEN(Ramen_Ratings[[#This Row],[Top Ten]])-6))</f>
        <v/>
      </c>
    </row>
    <row r="139" spans="1:11" x14ac:dyDescent="0.25">
      <c r="A139">
        <v>2267</v>
      </c>
      <c r="B139" t="s">
        <v>258</v>
      </c>
      <c r="C139" t="s">
        <v>433</v>
      </c>
      <c r="D139" t="s">
        <v>13</v>
      </c>
      <c r="E139" t="s">
        <v>17</v>
      </c>
      <c r="F139" t="str">
        <f>VLOOKUP(Ramen_Ratings[[#This Row],[Country]],Country_Region[#All],2,FALSE)</f>
        <v>North America</v>
      </c>
      <c r="G139">
        <v>2</v>
      </c>
      <c r="H139" t="str" cm="1">
        <f t="array" ref="H139">_xlfn.IFS(Ramen_Ratings[[#This Row],[Stars]] = "Unrated", "NA",Ramen_Ratings[[#This Row],[Stars]]&gt;=4, "Good", Ramen_Ratings[[#This Row],[Stars]]&gt;2.5, "Fair", Ramen_Ratings[[#This Row],[Stars]] &gt;= 0, "Bad")</f>
        <v>Bad</v>
      </c>
      <c r="J139" t="str">
        <f>LEFT(Ramen_Ratings[[#This Row],[Top Ten]],4)</f>
        <v/>
      </c>
      <c r="K139" t="str">
        <f>IF(Ramen_Ratings[[#This Row],[Top Ten]]="", "",RIGHT(Ramen_Ratings[[#This Row],[Top Ten]],LEN(Ramen_Ratings[[#This Row],[Top Ten]])-6))</f>
        <v/>
      </c>
    </row>
    <row r="140" spans="1:11" x14ac:dyDescent="0.25">
      <c r="A140">
        <v>2262</v>
      </c>
      <c r="B140" t="s">
        <v>232</v>
      </c>
      <c r="C140" t="s">
        <v>85</v>
      </c>
      <c r="D140" t="s">
        <v>9</v>
      </c>
      <c r="E140" t="s">
        <v>17</v>
      </c>
      <c r="F140" t="str">
        <f>VLOOKUP(Ramen_Ratings[[#This Row],[Country]],Country_Region[#All],2,FALSE)</f>
        <v>North America</v>
      </c>
      <c r="G140">
        <v>5</v>
      </c>
      <c r="H140" t="str" cm="1">
        <f t="array" ref="H140">_xlfn.IFS(Ramen_Ratings[[#This Row],[Stars]] = "Unrated", "NA",Ramen_Ratings[[#This Row],[Stars]]&gt;=4, "Good", Ramen_Ratings[[#This Row],[Stars]]&gt;2.5, "Fair", Ramen_Ratings[[#This Row],[Stars]] &gt;= 0, "Bad")</f>
        <v>Good</v>
      </c>
      <c r="J140" t="str">
        <f>LEFT(Ramen_Ratings[[#This Row],[Top Ten]],4)</f>
        <v/>
      </c>
      <c r="K140" t="str">
        <f>IF(Ramen_Ratings[[#This Row],[Top Ten]]="", "",RIGHT(Ramen_Ratings[[#This Row],[Top Ten]],LEN(Ramen_Ratings[[#This Row],[Top Ten]])-6))</f>
        <v/>
      </c>
    </row>
    <row r="141" spans="1:11" x14ac:dyDescent="0.25">
      <c r="A141">
        <v>2259</v>
      </c>
      <c r="B141" t="s">
        <v>442</v>
      </c>
      <c r="C141" t="s">
        <v>443</v>
      </c>
      <c r="D141" t="s">
        <v>44</v>
      </c>
      <c r="E141" t="s">
        <v>17</v>
      </c>
      <c r="F141" t="str">
        <f>VLOOKUP(Ramen_Ratings[[#This Row],[Country]],Country_Region[#All],2,FALSE)</f>
        <v>North America</v>
      </c>
      <c r="G141">
        <v>3.75</v>
      </c>
      <c r="H141" t="str" cm="1">
        <f t="array" ref="H141">_xlfn.IFS(Ramen_Ratings[[#This Row],[Stars]] = "Unrated", "NA",Ramen_Ratings[[#This Row],[Stars]]&gt;=4, "Good", Ramen_Ratings[[#This Row],[Stars]]&gt;2.5, "Fair", Ramen_Ratings[[#This Row],[Stars]] &gt;= 0, "Bad")</f>
        <v>Fair</v>
      </c>
      <c r="J141" t="str">
        <f>LEFT(Ramen_Ratings[[#This Row],[Top Ten]],4)</f>
        <v/>
      </c>
      <c r="K141" t="str">
        <f>IF(Ramen_Ratings[[#This Row],[Top Ten]]="", "",RIGHT(Ramen_Ratings[[#This Row],[Top Ten]],LEN(Ramen_Ratings[[#This Row],[Top Ten]])-6))</f>
        <v/>
      </c>
    </row>
    <row r="142" spans="1:11" x14ac:dyDescent="0.25">
      <c r="A142">
        <v>2256</v>
      </c>
      <c r="B142" t="s">
        <v>269</v>
      </c>
      <c r="C142" t="s">
        <v>447</v>
      </c>
      <c r="D142" t="s">
        <v>44</v>
      </c>
      <c r="E142" t="s">
        <v>17</v>
      </c>
      <c r="F142" t="str">
        <f>VLOOKUP(Ramen_Ratings[[#This Row],[Country]],Country_Region[#All],2,FALSE)</f>
        <v>North America</v>
      </c>
      <c r="G142">
        <v>3</v>
      </c>
      <c r="H142" t="str" cm="1">
        <f t="array" ref="H142">_xlfn.IFS(Ramen_Ratings[[#This Row],[Stars]] = "Unrated", "NA",Ramen_Ratings[[#This Row],[Stars]]&gt;=4, "Good", Ramen_Ratings[[#This Row],[Stars]]&gt;2.5, "Fair", Ramen_Ratings[[#This Row],[Stars]] &gt;= 0, "Bad")</f>
        <v>Fair</v>
      </c>
      <c r="J142" t="str">
        <f>LEFT(Ramen_Ratings[[#This Row],[Top Ten]],4)</f>
        <v/>
      </c>
      <c r="K142" t="str">
        <f>IF(Ramen_Ratings[[#This Row],[Top Ten]]="", "",RIGHT(Ramen_Ratings[[#This Row],[Top Ten]],LEN(Ramen_Ratings[[#This Row],[Top Ten]])-6))</f>
        <v/>
      </c>
    </row>
    <row r="143" spans="1:11" x14ac:dyDescent="0.25">
      <c r="A143">
        <v>2248</v>
      </c>
      <c r="B143" t="s">
        <v>41</v>
      </c>
      <c r="C143" t="s">
        <v>457</v>
      </c>
      <c r="D143" t="s">
        <v>9</v>
      </c>
      <c r="E143" t="s">
        <v>17</v>
      </c>
      <c r="F143" t="str">
        <f>VLOOKUP(Ramen_Ratings[[#This Row],[Country]],Country_Region[#All],2,FALSE)</f>
        <v>North America</v>
      </c>
      <c r="G143">
        <v>5</v>
      </c>
      <c r="H143" t="str" cm="1">
        <f t="array" ref="H143">_xlfn.IFS(Ramen_Ratings[[#This Row],[Stars]] = "Unrated", "NA",Ramen_Ratings[[#This Row],[Stars]]&gt;=4, "Good", Ramen_Ratings[[#This Row],[Stars]]&gt;2.5, "Fair", Ramen_Ratings[[#This Row],[Stars]] &gt;= 0, "Bad")</f>
        <v>Good</v>
      </c>
      <c r="J143" t="str">
        <f>LEFT(Ramen_Ratings[[#This Row],[Top Ten]],4)</f>
        <v/>
      </c>
      <c r="K143" t="str">
        <f>IF(Ramen_Ratings[[#This Row],[Top Ten]]="", "",RIGHT(Ramen_Ratings[[#This Row],[Top Ten]],LEN(Ramen_Ratings[[#This Row],[Top Ten]])-6))</f>
        <v/>
      </c>
    </row>
    <row r="144" spans="1:11" x14ac:dyDescent="0.25">
      <c r="A144">
        <v>2246</v>
      </c>
      <c r="B144" t="s">
        <v>232</v>
      </c>
      <c r="C144" t="s">
        <v>459</v>
      </c>
      <c r="D144" t="s">
        <v>9</v>
      </c>
      <c r="E144" t="s">
        <v>17</v>
      </c>
      <c r="F144" t="str">
        <f>VLOOKUP(Ramen_Ratings[[#This Row],[Country]],Country_Region[#All],2,FALSE)</f>
        <v>North America</v>
      </c>
      <c r="G144">
        <v>4</v>
      </c>
      <c r="H144" t="str" cm="1">
        <f t="array" ref="H144">_xlfn.IFS(Ramen_Ratings[[#This Row],[Stars]] = "Unrated", "NA",Ramen_Ratings[[#This Row],[Stars]]&gt;=4, "Good", Ramen_Ratings[[#This Row],[Stars]]&gt;2.5, "Fair", Ramen_Ratings[[#This Row],[Stars]] &gt;= 0, "Bad")</f>
        <v>Good</v>
      </c>
      <c r="J144" t="str">
        <f>LEFT(Ramen_Ratings[[#This Row],[Top Ten]],4)</f>
        <v/>
      </c>
      <c r="K144" t="str">
        <f>IF(Ramen_Ratings[[#This Row],[Top Ten]]="", "",RIGHT(Ramen_Ratings[[#This Row],[Top Ten]],LEN(Ramen_Ratings[[#This Row],[Top Ten]])-6))</f>
        <v/>
      </c>
    </row>
    <row r="145" spans="1:11" x14ac:dyDescent="0.25">
      <c r="A145">
        <v>2239</v>
      </c>
      <c r="B145" t="s">
        <v>15</v>
      </c>
      <c r="C145" t="s">
        <v>468</v>
      </c>
      <c r="D145" t="s">
        <v>9</v>
      </c>
      <c r="E145" t="s">
        <v>17</v>
      </c>
      <c r="F145" t="str">
        <f>VLOOKUP(Ramen_Ratings[[#This Row],[Country]],Country_Region[#All],2,FALSE)</f>
        <v>North America</v>
      </c>
      <c r="G145">
        <v>4</v>
      </c>
      <c r="H145" t="str" cm="1">
        <f t="array" ref="H145">_xlfn.IFS(Ramen_Ratings[[#This Row],[Stars]] = "Unrated", "NA",Ramen_Ratings[[#This Row],[Stars]]&gt;=4, "Good", Ramen_Ratings[[#This Row],[Stars]]&gt;2.5, "Fair", Ramen_Ratings[[#This Row],[Stars]] &gt;= 0, "Bad")</f>
        <v>Good</v>
      </c>
      <c r="J145" t="str">
        <f>LEFT(Ramen_Ratings[[#This Row],[Top Ten]],4)</f>
        <v/>
      </c>
      <c r="K145" t="str">
        <f>IF(Ramen_Ratings[[#This Row],[Top Ten]]="", "",RIGHT(Ramen_Ratings[[#This Row],[Top Ten]],LEN(Ramen_Ratings[[#This Row],[Top Ten]])-6))</f>
        <v/>
      </c>
    </row>
    <row r="146" spans="1:11" x14ac:dyDescent="0.25">
      <c r="A146">
        <v>2227</v>
      </c>
      <c r="B146" t="s">
        <v>102</v>
      </c>
      <c r="C146" t="s">
        <v>482</v>
      </c>
      <c r="D146" t="s">
        <v>13</v>
      </c>
      <c r="E146" t="s">
        <v>17</v>
      </c>
      <c r="F146" t="str">
        <f>VLOOKUP(Ramen_Ratings[[#This Row],[Country]],Country_Region[#All],2,FALSE)</f>
        <v>North America</v>
      </c>
      <c r="G146">
        <v>4</v>
      </c>
      <c r="H146" t="str" cm="1">
        <f t="array" ref="H146">_xlfn.IFS(Ramen_Ratings[[#This Row],[Stars]] = "Unrated", "NA",Ramen_Ratings[[#This Row],[Stars]]&gt;=4, "Good", Ramen_Ratings[[#This Row],[Stars]]&gt;2.5, "Fair", Ramen_Ratings[[#This Row],[Stars]] &gt;= 0, "Bad")</f>
        <v>Good</v>
      </c>
      <c r="J146" t="str">
        <f>LEFT(Ramen_Ratings[[#This Row],[Top Ten]],4)</f>
        <v/>
      </c>
      <c r="K146" t="str">
        <f>IF(Ramen_Ratings[[#This Row],[Top Ten]]="", "",RIGHT(Ramen_Ratings[[#This Row],[Top Ten]],LEN(Ramen_Ratings[[#This Row],[Top Ten]])-6))</f>
        <v/>
      </c>
    </row>
    <row r="147" spans="1:11" x14ac:dyDescent="0.25">
      <c r="A147">
        <v>2208</v>
      </c>
      <c r="B147" t="s">
        <v>505</v>
      </c>
      <c r="C147" t="s">
        <v>506</v>
      </c>
      <c r="D147" t="s">
        <v>13</v>
      </c>
      <c r="E147" t="s">
        <v>17</v>
      </c>
      <c r="F147" t="str">
        <f>VLOOKUP(Ramen_Ratings[[#This Row],[Country]],Country_Region[#All],2,FALSE)</f>
        <v>North America</v>
      </c>
      <c r="G147">
        <v>0</v>
      </c>
      <c r="H147" t="str" cm="1">
        <f t="array" ref="H147">_xlfn.IFS(Ramen_Ratings[[#This Row],[Stars]] = "Unrated", "NA",Ramen_Ratings[[#This Row],[Stars]]&gt;=4, "Good", Ramen_Ratings[[#This Row],[Stars]]&gt;2.5, "Fair", Ramen_Ratings[[#This Row],[Stars]] &gt;= 0, "Bad")</f>
        <v>Bad</v>
      </c>
      <c r="J147" t="str">
        <f>LEFT(Ramen_Ratings[[#This Row],[Top Ten]],4)</f>
        <v/>
      </c>
      <c r="K147" t="str">
        <f>IF(Ramen_Ratings[[#This Row],[Top Ten]]="", "",RIGHT(Ramen_Ratings[[#This Row],[Top Ten]],LEN(Ramen_Ratings[[#This Row],[Top Ten]])-6))</f>
        <v/>
      </c>
    </row>
    <row r="148" spans="1:11" x14ac:dyDescent="0.25">
      <c r="A148">
        <v>2205</v>
      </c>
      <c r="B148" t="s">
        <v>102</v>
      </c>
      <c r="C148" t="s">
        <v>509</v>
      </c>
      <c r="D148" t="s">
        <v>44</v>
      </c>
      <c r="E148" t="s">
        <v>17</v>
      </c>
      <c r="F148" t="str">
        <f>VLOOKUP(Ramen_Ratings[[#This Row],[Country]],Country_Region[#All],2,FALSE)</f>
        <v>North America</v>
      </c>
      <c r="G148">
        <v>4</v>
      </c>
      <c r="H148" t="str" cm="1">
        <f t="array" ref="H148">_xlfn.IFS(Ramen_Ratings[[#This Row],[Stars]] = "Unrated", "NA",Ramen_Ratings[[#This Row],[Stars]]&gt;=4, "Good", Ramen_Ratings[[#This Row],[Stars]]&gt;2.5, "Fair", Ramen_Ratings[[#This Row],[Stars]] &gt;= 0, "Bad")</f>
        <v>Good</v>
      </c>
      <c r="J148" t="str">
        <f>LEFT(Ramen_Ratings[[#This Row],[Top Ten]],4)</f>
        <v/>
      </c>
      <c r="K148" t="str">
        <f>IF(Ramen_Ratings[[#This Row],[Top Ten]]="", "",RIGHT(Ramen_Ratings[[#This Row],[Top Ten]],LEN(Ramen_Ratings[[#This Row],[Top Ten]])-6))</f>
        <v/>
      </c>
    </row>
    <row r="149" spans="1:11" x14ac:dyDescent="0.25">
      <c r="A149">
        <v>2203</v>
      </c>
      <c r="B149" t="s">
        <v>41</v>
      </c>
      <c r="C149" t="s">
        <v>512</v>
      </c>
      <c r="D149" t="s">
        <v>44</v>
      </c>
      <c r="E149" t="s">
        <v>17</v>
      </c>
      <c r="F149" t="str">
        <f>VLOOKUP(Ramen_Ratings[[#This Row],[Country]],Country_Region[#All],2,FALSE)</f>
        <v>North America</v>
      </c>
      <c r="G149">
        <v>4</v>
      </c>
      <c r="H149" t="str" cm="1">
        <f t="array" ref="H149">_xlfn.IFS(Ramen_Ratings[[#This Row],[Stars]] = "Unrated", "NA",Ramen_Ratings[[#This Row],[Stars]]&gt;=4, "Good", Ramen_Ratings[[#This Row],[Stars]]&gt;2.5, "Fair", Ramen_Ratings[[#This Row],[Stars]] &gt;= 0, "Bad")</f>
        <v>Good</v>
      </c>
      <c r="J149" t="str">
        <f>LEFT(Ramen_Ratings[[#This Row],[Top Ten]],4)</f>
        <v/>
      </c>
      <c r="K149" t="str">
        <f>IF(Ramen_Ratings[[#This Row],[Top Ten]]="", "",RIGHT(Ramen_Ratings[[#This Row],[Top Ten]],LEN(Ramen_Ratings[[#This Row],[Top Ten]])-6))</f>
        <v/>
      </c>
    </row>
    <row r="150" spans="1:11" x14ac:dyDescent="0.25">
      <c r="A150">
        <v>2170</v>
      </c>
      <c r="B150" t="s">
        <v>102</v>
      </c>
      <c r="C150" t="s">
        <v>548</v>
      </c>
      <c r="D150" t="s">
        <v>13</v>
      </c>
      <c r="E150" t="s">
        <v>17</v>
      </c>
      <c r="F150" t="str">
        <f>VLOOKUP(Ramen_Ratings[[#This Row],[Country]],Country_Region[#All],2,FALSE)</f>
        <v>North America</v>
      </c>
      <c r="G150">
        <v>4</v>
      </c>
      <c r="H150" t="str" cm="1">
        <f t="array" ref="H150">_xlfn.IFS(Ramen_Ratings[[#This Row],[Stars]] = "Unrated", "NA",Ramen_Ratings[[#This Row],[Stars]]&gt;=4, "Good", Ramen_Ratings[[#This Row],[Stars]]&gt;2.5, "Fair", Ramen_Ratings[[#This Row],[Stars]] &gt;= 0, "Bad")</f>
        <v>Good</v>
      </c>
      <c r="J150" t="str">
        <f>LEFT(Ramen_Ratings[[#This Row],[Top Ten]],4)</f>
        <v/>
      </c>
      <c r="K150" t="str">
        <f>IF(Ramen_Ratings[[#This Row],[Top Ten]]="", "",RIGHT(Ramen_Ratings[[#This Row],[Top Ten]],LEN(Ramen_Ratings[[#This Row],[Top Ten]])-6))</f>
        <v/>
      </c>
    </row>
    <row r="151" spans="1:11" x14ac:dyDescent="0.25">
      <c r="A151">
        <v>2147</v>
      </c>
      <c r="B151" t="s">
        <v>102</v>
      </c>
      <c r="C151" t="s">
        <v>575</v>
      </c>
      <c r="D151" t="s">
        <v>9</v>
      </c>
      <c r="E151" t="s">
        <v>17</v>
      </c>
      <c r="F151" t="str">
        <f>VLOOKUP(Ramen_Ratings[[#This Row],[Country]],Country_Region[#All],2,FALSE)</f>
        <v>North America</v>
      </c>
      <c r="G151">
        <v>3</v>
      </c>
      <c r="H151" t="str" cm="1">
        <f t="array" ref="H151">_xlfn.IFS(Ramen_Ratings[[#This Row],[Stars]] = "Unrated", "NA",Ramen_Ratings[[#This Row],[Stars]]&gt;=4, "Good", Ramen_Ratings[[#This Row],[Stars]]&gt;2.5, "Fair", Ramen_Ratings[[#This Row],[Stars]] &gt;= 0, "Bad")</f>
        <v>Fair</v>
      </c>
      <c r="J151" t="str">
        <f>LEFT(Ramen_Ratings[[#This Row],[Top Ten]],4)</f>
        <v/>
      </c>
      <c r="K151" t="str">
        <f>IF(Ramen_Ratings[[#This Row],[Top Ten]]="", "",RIGHT(Ramen_Ratings[[#This Row],[Top Ten]],LEN(Ramen_Ratings[[#This Row],[Top Ten]])-6))</f>
        <v/>
      </c>
    </row>
    <row r="152" spans="1:11" x14ac:dyDescent="0.25">
      <c r="A152">
        <v>2145</v>
      </c>
      <c r="B152" t="s">
        <v>232</v>
      </c>
      <c r="C152" t="s">
        <v>577</v>
      </c>
      <c r="D152" t="s">
        <v>9</v>
      </c>
      <c r="E152" t="s">
        <v>17</v>
      </c>
      <c r="F152" t="str">
        <f>VLOOKUP(Ramen_Ratings[[#This Row],[Country]],Country_Region[#All],2,FALSE)</f>
        <v>North America</v>
      </c>
      <c r="G152">
        <v>3</v>
      </c>
      <c r="H152" t="str" cm="1">
        <f t="array" ref="H152">_xlfn.IFS(Ramen_Ratings[[#This Row],[Stars]] = "Unrated", "NA",Ramen_Ratings[[#This Row],[Stars]]&gt;=4, "Good", Ramen_Ratings[[#This Row],[Stars]]&gt;2.5, "Fair", Ramen_Ratings[[#This Row],[Stars]] &gt;= 0, "Bad")</f>
        <v>Fair</v>
      </c>
      <c r="J152" t="str">
        <f>LEFT(Ramen_Ratings[[#This Row],[Top Ten]],4)</f>
        <v/>
      </c>
      <c r="K152" t="str">
        <f>IF(Ramen_Ratings[[#This Row],[Top Ten]]="", "",RIGHT(Ramen_Ratings[[#This Row],[Top Ten]],LEN(Ramen_Ratings[[#This Row],[Top Ten]])-6))</f>
        <v/>
      </c>
    </row>
    <row r="153" spans="1:11" x14ac:dyDescent="0.25">
      <c r="A153">
        <v>2142</v>
      </c>
      <c r="B153" t="s">
        <v>102</v>
      </c>
      <c r="C153" t="s">
        <v>581</v>
      </c>
      <c r="D153" t="s">
        <v>44</v>
      </c>
      <c r="E153" t="s">
        <v>17</v>
      </c>
      <c r="F153" t="str">
        <f>VLOOKUP(Ramen_Ratings[[#This Row],[Country]],Country_Region[#All],2,FALSE)</f>
        <v>North America</v>
      </c>
      <c r="G153">
        <v>4</v>
      </c>
      <c r="H153" t="str" cm="1">
        <f t="array" ref="H153">_xlfn.IFS(Ramen_Ratings[[#This Row],[Stars]] = "Unrated", "NA",Ramen_Ratings[[#This Row],[Stars]]&gt;=4, "Good", Ramen_Ratings[[#This Row],[Stars]]&gt;2.5, "Fair", Ramen_Ratings[[#This Row],[Stars]] &gt;= 0, "Bad")</f>
        <v>Good</v>
      </c>
      <c r="J153" t="str">
        <f>LEFT(Ramen_Ratings[[#This Row],[Top Ten]],4)</f>
        <v/>
      </c>
      <c r="K153" t="str">
        <f>IF(Ramen_Ratings[[#This Row],[Top Ten]]="", "",RIGHT(Ramen_Ratings[[#This Row],[Top Ten]],LEN(Ramen_Ratings[[#This Row],[Top Ten]])-6))</f>
        <v/>
      </c>
    </row>
    <row r="154" spans="1:11" x14ac:dyDescent="0.25">
      <c r="A154">
        <v>2132</v>
      </c>
      <c r="B154" t="s">
        <v>102</v>
      </c>
      <c r="C154" t="s">
        <v>592</v>
      </c>
      <c r="D154" t="s">
        <v>9</v>
      </c>
      <c r="E154" t="s">
        <v>17</v>
      </c>
      <c r="F154" t="str">
        <f>VLOOKUP(Ramen_Ratings[[#This Row],[Country]],Country_Region[#All],2,FALSE)</f>
        <v>North America</v>
      </c>
      <c r="G154">
        <v>5</v>
      </c>
      <c r="H154" t="str" cm="1">
        <f t="array" ref="H154">_xlfn.IFS(Ramen_Ratings[[#This Row],[Stars]] = "Unrated", "NA",Ramen_Ratings[[#This Row],[Stars]]&gt;=4, "Good", Ramen_Ratings[[#This Row],[Stars]]&gt;2.5, "Fair", Ramen_Ratings[[#This Row],[Stars]] &gt;= 0, "Bad")</f>
        <v>Good</v>
      </c>
      <c r="J154" t="str">
        <f>LEFT(Ramen_Ratings[[#This Row],[Top Ten]],4)</f>
        <v/>
      </c>
      <c r="K154" t="str">
        <f>IF(Ramen_Ratings[[#This Row],[Top Ten]]="", "",RIGHT(Ramen_Ratings[[#This Row],[Top Ten]],LEN(Ramen_Ratings[[#This Row],[Top Ten]])-6))</f>
        <v/>
      </c>
    </row>
    <row r="155" spans="1:11" x14ac:dyDescent="0.25">
      <c r="A155">
        <v>2105</v>
      </c>
      <c r="B155" t="s">
        <v>102</v>
      </c>
      <c r="C155" t="s">
        <v>623</v>
      </c>
      <c r="D155" t="s">
        <v>13</v>
      </c>
      <c r="E155" t="s">
        <v>17</v>
      </c>
      <c r="F155" t="str">
        <f>VLOOKUP(Ramen_Ratings[[#This Row],[Country]],Country_Region[#All],2,FALSE)</f>
        <v>North America</v>
      </c>
      <c r="G155">
        <v>3</v>
      </c>
      <c r="H155" t="str" cm="1">
        <f t="array" ref="H155">_xlfn.IFS(Ramen_Ratings[[#This Row],[Stars]] = "Unrated", "NA",Ramen_Ratings[[#This Row],[Stars]]&gt;=4, "Good", Ramen_Ratings[[#This Row],[Stars]]&gt;2.5, "Fair", Ramen_Ratings[[#This Row],[Stars]] &gt;= 0, "Bad")</f>
        <v>Fair</v>
      </c>
      <c r="J155" t="str">
        <f>LEFT(Ramen_Ratings[[#This Row],[Top Ten]],4)</f>
        <v/>
      </c>
      <c r="K155" t="str">
        <f>IF(Ramen_Ratings[[#This Row],[Top Ten]]="", "",RIGHT(Ramen_Ratings[[#This Row],[Top Ten]],LEN(Ramen_Ratings[[#This Row],[Top Ten]])-6))</f>
        <v/>
      </c>
    </row>
    <row r="156" spans="1:11" x14ac:dyDescent="0.25">
      <c r="A156">
        <v>2103</v>
      </c>
      <c r="B156" t="s">
        <v>505</v>
      </c>
      <c r="C156" t="s">
        <v>625</v>
      </c>
      <c r="D156" t="s">
        <v>13</v>
      </c>
      <c r="E156" t="s">
        <v>17</v>
      </c>
      <c r="F156" t="str">
        <f>VLOOKUP(Ramen_Ratings[[#This Row],[Country]],Country_Region[#All],2,FALSE)</f>
        <v>North America</v>
      </c>
      <c r="G156">
        <v>0</v>
      </c>
      <c r="H156" t="str" cm="1">
        <f t="array" ref="H156">_xlfn.IFS(Ramen_Ratings[[#This Row],[Stars]] = "Unrated", "NA",Ramen_Ratings[[#This Row],[Stars]]&gt;=4, "Good", Ramen_Ratings[[#This Row],[Stars]]&gt;2.5, "Fair", Ramen_Ratings[[#This Row],[Stars]] &gt;= 0, "Bad")</f>
        <v>Bad</v>
      </c>
      <c r="J156" t="str">
        <f>LEFT(Ramen_Ratings[[#This Row],[Top Ten]],4)</f>
        <v/>
      </c>
      <c r="K156" t="str">
        <f>IF(Ramen_Ratings[[#This Row],[Top Ten]]="", "",RIGHT(Ramen_Ratings[[#This Row],[Top Ten]],LEN(Ramen_Ratings[[#This Row],[Top Ten]])-6))</f>
        <v/>
      </c>
    </row>
    <row r="157" spans="1:11" x14ac:dyDescent="0.25">
      <c r="A157">
        <v>2098</v>
      </c>
      <c r="B157" t="s">
        <v>41</v>
      </c>
      <c r="C157" t="s">
        <v>631</v>
      </c>
      <c r="D157" t="s">
        <v>9</v>
      </c>
      <c r="E157" t="s">
        <v>17</v>
      </c>
      <c r="F157" t="str">
        <f>VLOOKUP(Ramen_Ratings[[#This Row],[Country]],Country_Region[#All],2,FALSE)</f>
        <v>North America</v>
      </c>
      <c r="G157">
        <v>5</v>
      </c>
      <c r="H157" t="str" cm="1">
        <f t="array" ref="H157">_xlfn.IFS(Ramen_Ratings[[#This Row],[Stars]] = "Unrated", "NA",Ramen_Ratings[[#This Row],[Stars]]&gt;=4, "Good", Ramen_Ratings[[#This Row],[Stars]]&gt;2.5, "Fair", Ramen_Ratings[[#This Row],[Stars]] &gt;= 0, "Bad")</f>
        <v>Good</v>
      </c>
      <c r="J157" t="str">
        <f>LEFT(Ramen_Ratings[[#This Row],[Top Ten]],4)</f>
        <v/>
      </c>
      <c r="K157" t="str">
        <f>IF(Ramen_Ratings[[#This Row],[Top Ten]]="", "",RIGHT(Ramen_Ratings[[#This Row],[Top Ten]],LEN(Ramen_Ratings[[#This Row],[Top Ten]])-6))</f>
        <v/>
      </c>
    </row>
    <row r="158" spans="1:11" x14ac:dyDescent="0.25">
      <c r="A158">
        <v>2072</v>
      </c>
      <c r="B158" t="s">
        <v>102</v>
      </c>
      <c r="C158" t="s">
        <v>658</v>
      </c>
      <c r="D158" t="s">
        <v>44</v>
      </c>
      <c r="E158" t="s">
        <v>17</v>
      </c>
      <c r="F158" t="str">
        <f>VLOOKUP(Ramen_Ratings[[#This Row],[Country]],Country_Region[#All],2,FALSE)</f>
        <v>North America</v>
      </c>
      <c r="G158">
        <v>5</v>
      </c>
      <c r="H158" t="str" cm="1">
        <f t="array" ref="H158">_xlfn.IFS(Ramen_Ratings[[#This Row],[Stars]] = "Unrated", "NA",Ramen_Ratings[[#This Row],[Stars]]&gt;=4, "Good", Ramen_Ratings[[#This Row],[Stars]]&gt;2.5, "Fair", Ramen_Ratings[[#This Row],[Stars]] &gt;= 0, "Bad")</f>
        <v>Good</v>
      </c>
      <c r="J158" t="str">
        <f>LEFT(Ramen_Ratings[[#This Row],[Top Ten]],4)</f>
        <v/>
      </c>
      <c r="K158" t="str">
        <f>IF(Ramen_Ratings[[#This Row],[Top Ten]]="", "",RIGHT(Ramen_Ratings[[#This Row],[Top Ten]],LEN(Ramen_Ratings[[#This Row],[Top Ten]])-6))</f>
        <v/>
      </c>
    </row>
    <row r="159" spans="1:11" x14ac:dyDescent="0.25">
      <c r="A159">
        <v>2064</v>
      </c>
      <c r="B159" t="s">
        <v>41</v>
      </c>
      <c r="C159" t="s">
        <v>667</v>
      </c>
      <c r="D159" t="s">
        <v>13</v>
      </c>
      <c r="E159" t="s">
        <v>17</v>
      </c>
      <c r="F159" t="str">
        <f>VLOOKUP(Ramen_Ratings[[#This Row],[Country]],Country_Region[#All],2,FALSE)</f>
        <v>North America</v>
      </c>
      <c r="G159">
        <v>5</v>
      </c>
      <c r="H159" t="str" cm="1">
        <f t="array" ref="H159">_xlfn.IFS(Ramen_Ratings[[#This Row],[Stars]] = "Unrated", "NA",Ramen_Ratings[[#This Row],[Stars]]&gt;=4, "Good", Ramen_Ratings[[#This Row],[Stars]]&gt;2.5, "Fair", Ramen_Ratings[[#This Row],[Stars]] &gt;= 0, "Bad")</f>
        <v>Good</v>
      </c>
      <c r="J159" t="str">
        <f>LEFT(Ramen_Ratings[[#This Row],[Top Ten]],4)</f>
        <v/>
      </c>
      <c r="K159" t="str">
        <f>IF(Ramen_Ratings[[#This Row],[Top Ten]]="", "",RIGHT(Ramen_Ratings[[#This Row],[Top Ten]],LEN(Ramen_Ratings[[#This Row],[Top Ten]])-6))</f>
        <v/>
      </c>
    </row>
    <row r="160" spans="1:11" x14ac:dyDescent="0.25">
      <c r="A160">
        <v>2056</v>
      </c>
      <c r="B160" t="s">
        <v>677</v>
      </c>
      <c r="C160" t="s">
        <v>678</v>
      </c>
      <c r="D160" t="s">
        <v>13</v>
      </c>
      <c r="E160" t="s">
        <v>17</v>
      </c>
      <c r="F160" t="str">
        <f>VLOOKUP(Ramen_Ratings[[#This Row],[Country]],Country_Region[#All],2,FALSE)</f>
        <v>North America</v>
      </c>
      <c r="G160">
        <v>0</v>
      </c>
      <c r="H160" t="str" cm="1">
        <f t="array" ref="H160">_xlfn.IFS(Ramen_Ratings[[#This Row],[Stars]] = "Unrated", "NA",Ramen_Ratings[[#This Row],[Stars]]&gt;=4, "Good", Ramen_Ratings[[#This Row],[Stars]]&gt;2.5, "Fair", Ramen_Ratings[[#This Row],[Stars]] &gt;= 0, "Bad")</f>
        <v>Bad</v>
      </c>
      <c r="J160" t="str">
        <f>LEFT(Ramen_Ratings[[#This Row],[Top Ten]],4)</f>
        <v/>
      </c>
      <c r="K160" t="str">
        <f>IF(Ramen_Ratings[[#This Row],[Top Ten]]="", "",RIGHT(Ramen_Ratings[[#This Row],[Top Ten]],LEN(Ramen_Ratings[[#This Row],[Top Ten]])-6))</f>
        <v/>
      </c>
    </row>
    <row r="161" spans="1:11" x14ac:dyDescent="0.25">
      <c r="A161">
        <v>2053</v>
      </c>
      <c r="B161" t="s">
        <v>102</v>
      </c>
      <c r="C161" t="s">
        <v>681</v>
      </c>
      <c r="D161" t="s">
        <v>9</v>
      </c>
      <c r="E161" t="s">
        <v>17</v>
      </c>
      <c r="F161" t="str">
        <f>VLOOKUP(Ramen_Ratings[[#This Row],[Country]],Country_Region[#All],2,FALSE)</f>
        <v>North America</v>
      </c>
      <c r="G161">
        <v>3.75</v>
      </c>
      <c r="H161" t="str" cm="1">
        <f t="array" ref="H161">_xlfn.IFS(Ramen_Ratings[[#This Row],[Stars]] = "Unrated", "NA",Ramen_Ratings[[#This Row],[Stars]]&gt;=4, "Good", Ramen_Ratings[[#This Row],[Stars]]&gt;2.5, "Fair", Ramen_Ratings[[#This Row],[Stars]] &gt;= 0, "Bad")</f>
        <v>Fair</v>
      </c>
      <c r="J161" t="str">
        <f>LEFT(Ramen_Ratings[[#This Row],[Top Ten]],4)</f>
        <v/>
      </c>
      <c r="K161" t="str">
        <f>IF(Ramen_Ratings[[#This Row],[Top Ten]]="", "",RIGHT(Ramen_Ratings[[#This Row],[Top Ten]],LEN(Ramen_Ratings[[#This Row],[Top Ten]])-6))</f>
        <v/>
      </c>
    </row>
    <row r="162" spans="1:11" x14ac:dyDescent="0.25">
      <c r="A162">
        <v>1969</v>
      </c>
      <c r="B162" t="s">
        <v>41</v>
      </c>
      <c r="C162" t="s">
        <v>776</v>
      </c>
      <c r="D162" t="s">
        <v>13</v>
      </c>
      <c r="E162" t="s">
        <v>17</v>
      </c>
      <c r="F162" t="str">
        <f>VLOOKUP(Ramen_Ratings[[#This Row],[Country]],Country_Region[#All],2,FALSE)</f>
        <v>North America</v>
      </c>
      <c r="G162">
        <v>4.75</v>
      </c>
      <c r="H162" t="str" cm="1">
        <f t="array" ref="H162">_xlfn.IFS(Ramen_Ratings[[#This Row],[Stars]] = "Unrated", "NA",Ramen_Ratings[[#This Row],[Stars]]&gt;=4, "Good", Ramen_Ratings[[#This Row],[Stars]]&gt;2.5, "Fair", Ramen_Ratings[[#This Row],[Stars]] &gt;= 0, "Bad")</f>
        <v>Good</v>
      </c>
      <c r="J162" t="str">
        <f>LEFT(Ramen_Ratings[[#This Row],[Top Ten]],4)</f>
        <v/>
      </c>
      <c r="K162" t="str">
        <f>IF(Ramen_Ratings[[#This Row],[Top Ten]]="", "",RIGHT(Ramen_Ratings[[#This Row],[Top Ten]],LEN(Ramen_Ratings[[#This Row],[Top Ten]])-6))</f>
        <v/>
      </c>
    </row>
    <row r="163" spans="1:11" x14ac:dyDescent="0.25">
      <c r="A163">
        <v>1968</v>
      </c>
      <c r="B163" t="s">
        <v>15</v>
      </c>
      <c r="C163" t="s">
        <v>777</v>
      </c>
      <c r="D163" t="s">
        <v>13</v>
      </c>
      <c r="E163" t="s">
        <v>17</v>
      </c>
      <c r="F163" t="str">
        <f>VLOOKUP(Ramen_Ratings[[#This Row],[Country]],Country_Region[#All],2,FALSE)</f>
        <v>North America</v>
      </c>
      <c r="G163">
        <v>3.5</v>
      </c>
      <c r="H163" t="str" cm="1">
        <f t="array" ref="H163">_xlfn.IFS(Ramen_Ratings[[#This Row],[Stars]] = "Unrated", "NA",Ramen_Ratings[[#This Row],[Stars]]&gt;=4, "Good", Ramen_Ratings[[#This Row],[Stars]]&gt;2.5, "Fair", Ramen_Ratings[[#This Row],[Stars]] &gt;= 0, "Bad")</f>
        <v>Fair</v>
      </c>
      <c r="J163" t="str">
        <f>LEFT(Ramen_Ratings[[#This Row],[Top Ten]],4)</f>
        <v/>
      </c>
      <c r="K163" t="str">
        <f>IF(Ramen_Ratings[[#This Row],[Top Ten]]="", "",RIGHT(Ramen_Ratings[[#This Row],[Top Ten]],LEN(Ramen_Ratings[[#This Row],[Top Ten]])-6))</f>
        <v/>
      </c>
    </row>
    <row r="164" spans="1:11" x14ac:dyDescent="0.25">
      <c r="A164">
        <v>1958</v>
      </c>
      <c r="B164" t="s">
        <v>789</v>
      </c>
      <c r="C164" t="s">
        <v>790</v>
      </c>
      <c r="D164" t="s">
        <v>30</v>
      </c>
      <c r="E164" t="s">
        <v>17</v>
      </c>
      <c r="F164" t="str">
        <f>VLOOKUP(Ramen_Ratings[[#This Row],[Country]],Country_Region[#All],2,FALSE)</f>
        <v>North America</v>
      </c>
      <c r="G164">
        <v>4</v>
      </c>
      <c r="H164" t="str" cm="1">
        <f t="array" ref="H164">_xlfn.IFS(Ramen_Ratings[[#This Row],[Stars]] = "Unrated", "NA",Ramen_Ratings[[#This Row],[Stars]]&gt;=4, "Good", Ramen_Ratings[[#This Row],[Stars]]&gt;2.5, "Fair", Ramen_Ratings[[#This Row],[Stars]] &gt;= 0, "Bad")</f>
        <v>Good</v>
      </c>
      <c r="J164" t="str">
        <f>LEFT(Ramen_Ratings[[#This Row],[Top Ten]],4)</f>
        <v/>
      </c>
      <c r="K164" t="str">
        <f>IF(Ramen_Ratings[[#This Row],[Top Ten]]="", "",RIGHT(Ramen_Ratings[[#This Row],[Top Ten]],LEN(Ramen_Ratings[[#This Row],[Top Ten]])-6))</f>
        <v/>
      </c>
    </row>
    <row r="165" spans="1:11" x14ac:dyDescent="0.25">
      <c r="A165">
        <v>1955</v>
      </c>
      <c r="B165" t="s">
        <v>15</v>
      </c>
      <c r="C165" t="s">
        <v>793</v>
      </c>
      <c r="D165" t="s">
        <v>13</v>
      </c>
      <c r="E165" t="s">
        <v>17</v>
      </c>
      <c r="F165" t="str">
        <f>VLOOKUP(Ramen_Ratings[[#This Row],[Country]],Country_Region[#All],2,FALSE)</f>
        <v>North America</v>
      </c>
      <c r="G165">
        <v>4.75</v>
      </c>
      <c r="H165" t="str" cm="1">
        <f t="array" ref="H165">_xlfn.IFS(Ramen_Ratings[[#This Row],[Stars]] = "Unrated", "NA",Ramen_Ratings[[#This Row],[Stars]]&gt;=4, "Good", Ramen_Ratings[[#This Row],[Stars]]&gt;2.5, "Fair", Ramen_Ratings[[#This Row],[Stars]] &gt;= 0, "Bad")</f>
        <v>Good</v>
      </c>
      <c r="J165" t="str">
        <f>LEFT(Ramen_Ratings[[#This Row],[Top Ten]],4)</f>
        <v/>
      </c>
      <c r="K165" t="str">
        <f>IF(Ramen_Ratings[[#This Row],[Top Ten]]="", "",RIGHT(Ramen_Ratings[[#This Row],[Top Ten]],LEN(Ramen_Ratings[[#This Row],[Top Ten]])-6))</f>
        <v/>
      </c>
    </row>
    <row r="166" spans="1:11" x14ac:dyDescent="0.25">
      <c r="A166">
        <v>1951</v>
      </c>
      <c r="B166" t="s">
        <v>15</v>
      </c>
      <c r="C166" t="s">
        <v>798</v>
      </c>
      <c r="D166" t="s">
        <v>9</v>
      </c>
      <c r="E166" t="s">
        <v>17</v>
      </c>
      <c r="F166" t="str">
        <f>VLOOKUP(Ramen_Ratings[[#This Row],[Country]],Country_Region[#All],2,FALSE)</f>
        <v>North America</v>
      </c>
      <c r="G166">
        <v>4.25</v>
      </c>
      <c r="H166" t="str" cm="1">
        <f t="array" ref="H166">_xlfn.IFS(Ramen_Ratings[[#This Row],[Stars]] = "Unrated", "NA",Ramen_Ratings[[#This Row],[Stars]]&gt;=4, "Good", Ramen_Ratings[[#This Row],[Stars]]&gt;2.5, "Fair", Ramen_Ratings[[#This Row],[Stars]] &gt;= 0, "Bad")</f>
        <v>Good</v>
      </c>
      <c r="J166" t="str">
        <f>LEFT(Ramen_Ratings[[#This Row],[Top Ten]],4)</f>
        <v/>
      </c>
      <c r="K166" t="str">
        <f>IF(Ramen_Ratings[[#This Row],[Top Ten]]="", "",RIGHT(Ramen_Ratings[[#This Row],[Top Ten]],LEN(Ramen_Ratings[[#This Row],[Top Ten]])-6))</f>
        <v/>
      </c>
    </row>
    <row r="167" spans="1:11" x14ac:dyDescent="0.25">
      <c r="A167">
        <v>1936</v>
      </c>
      <c r="B167" t="s">
        <v>817</v>
      </c>
      <c r="C167" t="s">
        <v>818</v>
      </c>
      <c r="D167" t="s">
        <v>13</v>
      </c>
      <c r="E167" t="s">
        <v>17</v>
      </c>
      <c r="F167" t="str">
        <f>VLOOKUP(Ramen_Ratings[[#This Row],[Country]],Country_Region[#All],2,FALSE)</f>
        <v>North America</v>
      </c>
      <c r="G167">
        <v>1</v>
      </c>
      <c r="H167" t="str" cm="1">
        <f t="array" ref="H167">_xlfn.IFS(Ramen_Ratings[[#This Row],[Stars]] = "Unrated", "NA",Ramen_Ratings[[#This Row],[Stars]]&gt;=4, "Good", Ramen_Ratings[[#This Row],[Stars]]&gt;2.5, "Fair", Ramen_Ratings[[#This Row],[Stars]] &gt;= 0, "Bad")</f>
        <v>Bad</v>
      </c>
      <c r="J167" t="str">
        <f>LEFT(Ramen_Ratings[[#This Row],[Top Ten]],4)</f>
        <v/>
      </c>
      <c r="K167" t="str">
        <f>IF(Ramen_Ratings[[#This Row],[Top Ten]]="", "",RIGHT(Ramen_Ratings[[#This Row],[Top Ten]],LEN(Ramen_Ratings[[#This Row],[Top Ten]])-6))</f>
        <v/>
      </c>
    </row>
    <row r="168" spans="1:11" x14ac:dyDescent="0.25">
      <c r="A168">
        <v>1926</v>
      </c>
      <c r="B168" t="s">
        <v>15</v>
      </c>
      <c r="C168" t="s">
        <v>829</v>
      </c>
      <c r="D168" t="s">
        <v>44</v>
      </c>
      <c r="E168" t="s">
        <v>17</v>
      </c>
      <c r="F168" t="str">
        <f>VLOOKUP(Ramen_Ratings[[#This Row],[Country]],Country_Region[#All],2,FALSE)</f>
        <v>North America</v>
      </c>
      <c r="G168">
        <v>4</v>
      </c>
      <c r="H168" t="str" cm="1">
        <f t="array" ref="H168">_xlfn.IFS(Ramen_Ratings[[#This Row],[Stars]] = "Unrated", "NA",Ramen_Ratings[[#This Row],[Stars]]&gt;=4, "Good", Ramen_Ratings[[#This Row],[Stars]]&gt;2.5, "Fair", Ramen_Ratings[[#This Row],[Stars]] &gt;= 0, "Bad")</f>
        <v>Good</v>
      </c>
      <c r="J168" t="str">
        <f>LEFT(Ramen_Ratings[[#This Row],[Top Ten]],4)</f>
        <v/>
      </c>
      <c r="K168" t="str">
        <f>IF(Ramen_Ratings[[#This Row],[Top Ten]]="", "",RIGHT(Ramen_Ratings[[#This Row],[Top Ten]],LEN(Ramen_Ratings[[#This Row],[Top Ten]])-6))</f>
        <v/>
      </c>
    </row>
    <row r="169" spans="1:11" x14ac:dyDescent="0.25">
      <c r="A169">
        <v>1921</v>
      </c>
      <c r="B169" t="s">
        <v>15</v>
      </c>
      <c r="C169" t="s">
        <v>836</v>
      </c>
      <c r="D169" t="s">
        <v>9</v>
      </c>
      <c r="E169" t="s">
        <v>17</v>
      </c>
      <c r="F169" t="str">
        <f>VLOOKUP(Ramen_Ratings[[#This Row],[Country]],Country_Region[#All],2,FALSE)</f>
        <v>North America</v>
      </c>
      <c r="G169">
        <v>3.5</v>
      </c>
      <c r="H169" t="str" cm="1">
        <f t="array" ref="H169">_xlfn.IFS(Ramen_Ratings[[#This Row],[Stars]] = "Unrated", "NA",Ramen_Ratings[[#This Row],[Stars]]&gt;=4, "Good", Ramen_Ratings[[#This Row],[Stars]]&gt;2.5, "Fair", Ramen_Ratings[[#This Row],[Stars]] &gt;= 0, "Bad")</f>
        <v>Fair</v>
      </c>
      <c r="J169" t="str">
        <f>LEFT(Ramen_Ratings[[#This Row],[Top Ten]],4)</f>
        <v/>
      </c>
      <c r="K169" t="str">
        <f>IF(Ramen_Ratings[[#This Row],[Top Ten]]="", "",RIGHT(Ramen_Ratings[[#This Row],[Top Ten]],LEN(Ramen_Ratings[[#This Row],[Top Ten]])-6))</f>
        <v/>
      </c>
    </row>
    <row r="170" spans="1:11" x14ac:dyDescent="0.25">
      <c r="A170">
        <v>1917</v>
      </c>
      <c r="B170" t="s">
        <v>789</v>
      </c>
      <c r="C170" t="s">
        <v>840</v>
      </c>
      <c r="D170" t="s">
        <v>30</v>
      </c>
      <c r="E170" t="s">
        <v>17</v>
      </c>
      <c r="F170" t="str">
        <f>VLOOKUP(Ramen_Ratings[[#This Row],[Country]],Country_Region[#All],2,FALSE)</f>
        <v>North America</v>
      </c>
      <c r="G170">
        <v>0.25</v>
      </c>
      <c r="H170" t="str" cm="1">
        <f t="array" ref="H170">_xlfn.IFS(Ramen_Ratings[[#This Row],[Stars]] = "Unrated", "NA",Ramen_Ratings[[#This Row],[Stars]]&gt;=4, "Good", Ramen_Ratings[[#This Row],[Stars]]&gt;2.5, "Fair", Ramen_Ratings[[#This Row],[Stars]] &gt;= 0, "Bad")</f>
        <v>Bad</v>
      </c>
      <c r="J170" t="str">
        <f>LEFT(Ramen_Ratings[[#This Row],[Top Ten]],4)</f>
        <v/>
      </c>
      <c r="K170" t="str">
        <f>IF(Ramen_Ratings[[#This Row],[Top Ten]]="", "",RIGHT(Ramen_Ratings[[#This Row],[Top Ten]],LEN(Ramen_Ratings[[#This Row],[Top Ten]])-6))</f>
        <v/>
      </c>
    </row>
    <row r="171" spans="1:11" x14ac:dyDescent="0.25">
      <c r="A171">
        <v>1913</v>
      </c>
      <c r="B171" t="s">
        <v>844</v>
      </c>
      <c r="C171" t="s">
        <v>845</v>
      </c>
      <c r="D171" t="s">
        <v>44</v>
      </c>
      <c r="E171" t="s">
        <v>17</v>
      </c>
      <c r="F171" t="str">
        <f>VLOOKUP(Ramen_Ratings[[#This Row],[Country]],Country_Region[#All],2,FALSE)</f>
        <v>North America</v>
      </c>
      <c r="G171">
        <v>0</v>
      </c>
      <c r="H171" t="str" cm="1">
        <f t="array" ref="H171">_xlfn.IFS(Ramen_Ratings[[#This Row],[Stars]] = "Unrated", "NA",Ramen_Ratings[[#This Row],[Stars]]&gt;=4, "Good", Ramen_Ratings[[#This Row],[Stars]]&gt;2.5, "Fair", Ramen_Ratings[[#This Row],[Stars]] &gt;= 0, "Bad")</f>
        <v>Bad</v>
      </c>
      <c r="J171" t="str">
        <f>LEFT(Ramen_Ratings[[#This Row],[Top Ten]],4)</f>
        <v/>
      </c>
      <c r="K171" t="str">
        <f>IF(Ramen_Ratings[[#This Row],[Top Ten]]="", "",RIGHT(Ramen_Ratings[[#This Row],[Top Ten]],LEN(Ramen_Ratings[[#This Row],[Top Ten]])-6))</f>
        <v/>
      </c>
    </row>
    <row r="172" spans="1:11" x14ac:dyDescent="0.25">
      <c r="A172">
        <v>1910</v>
      </c>
      <c r="B172" t="s">
        <v>15</v>
      </c>
      <c r="C172" t="s">
        <v>848</v>
      </c>
      <c r="D172" t="s">
        <v>30</v>
      </c>
      <c r="E172" t="s">
        <v>17</v>
      </c>
      <c r="F172" t="str">
        <f>VLOOKUP(Ramen_Ratings[[#This Row],[Country]],Country_Region[#All],2,FALSE)</f>
        <v>North America</v>
      </c>
      <c r="G172">
        <v>3</v>
      </c>
      <c r="H172" t="str" cm="1">
        <f t="array" ref="H172">_xlfn.IFS(Ramen_Ratings[[#This Row],[Stars]] = "Unrated", "NA",Ramen_Ratings[[#This Row],[Stars]]&gt;=4, "Good", Ramen_Ratings[[#This Row],[Stars]]&gt;2.5, "Fair", Ramen_Ratings[[#This Row],[Stars]] &gt;= 0, "Bad")</f>
        <v>Fair</v>
      </c>
      <c r="J172" t="str">
        <f>LEFT(Ramen_Ratings[[#This Row],[Top Ten]],4)</f>
        <v/>
      </c>
      <c r="K172" t="str">
        <f>IF(Ramen_Ratings[[#This Row],[Top Ten]]="", "",RIGHT(Ramen_Ratings[[#This Row],[Top Ten]],LEN(Ramen_Ratings[[#This Row],[Top Ten]])-6))</f>
        <v/>
      </c>
    </row>
    <row r="173" spans="1:11" x14ac:dyDescent="0.25">
      <c r="A173">
        <v>1891</v>
      </c>
      <c r="B173" t="s">
        <v>15</v>
      </c>
      <c r="C173" t="s">
        <v>871</v>
      </c>
      <c r="D173" t="s">
        <v>9</v>
      </c>
      <c r="E173" t="s">
        <v>17</v>
      </c>
      <c r="F173" t="str">
        <f>VLOOKUP(Ramen_Ratings[[#This Row],[Country]],Country_Region[#All],2,FALSE)</f>
        <v>North America</v>
      </c>
      <c r="G173">
        <v>3.5</v>
      </c>
      <c r="H173" t="str" cm="1">
        <f t="array" ref="H173">_xlfn.IFS(Ramen_Ratings[[#This Row],[Stars]] = "Unrated", "NA",Ramen_Ratings[[#This Row],[Stars]]&gt;=4, "Good", Ramen_Ratings[[#This Row],[Stars]]&gt;2.5, "Fair", Ramen_Ratings[[#This Row],[Stars]] &gt;= 0, "Bad")</f>
        <v>Fair</v>
      </c>
      <c r="J173" t="str">
        <f>LEFT(Ramen_Ratings[[#This Row],[Top Ten]],4)</f>
        <v/>
      </c>
      <c r="K173" t="str">
        <f>IF(Ramen_Ratings[[#This Row],[Top Ten]]="", "",RIGHT(Ramen_Ratings[[#This Row],[Top Ten]],LEN(Ramen_Ratings[[#This Row],[Top Ten]])-6))</f>
        <v/>
      </c>
    </row>
    <row r="174" spans="1:11" x14ac:dyDescent="0.25">
      <c r="A174">
        <v>1875</v>
      </c>
      <c r="B174" t="s">
        <v>374</v>
      </c>
      <c r="C174" t="s">
        <v>887</v>
      </c>
      <c r="D174" t="s">
        <v>13</v>
      </c>
      <c r="E174" t="s">
        <v>17</v>
      </c>
      <c r="F174" t="str">
        <f>VLOOKUP(Ramen_Ratings[[#This Row],[Country]],Country_Region[#All],2,FALSE)</f>
        <v>North America</v>
      </c>
      <c r="G174">
        <v>5</v>
      </c>
      <c r="H174" t="str" cm="1">
        <f t="array" ref="H174">_xlfn.IFS(Ramen_Ratings[[#This Row],[Stars]] = "Unrated", "NA",Ramen_Ratings[[#This Row],[Stars]]&gt;=4, "Good", Ramen_Ratings[[#This Row],[Stars]]&gt;2.5, "Fair", Ramen_Ratings[[#This Row],[Stars]] &gt;= 0, "Bad")</f>
        <v>Good</v>
      </c>
      <c r="J174" t="str">
        <f>LEFT(Ramen_Ratings[[#This Row],[Top Ten]],4)</f>
        <v/>
      </c>
      <c r="K174" t="str">
        <f>IF(Ramen_Ratings[[#This Row],[Top Ten]]="", "",RIGHT(Ramen_Ratings[[#This Row],[Top Ten]],LEN(Ramen_Ratings[[#This Row],[Top Ten]])-6))</f>
        <v/>
      </c>
    </row>
    <row r="175" spans="1:11" x14ac:dyDescent="0.25">
      <c r="A175">
        <v>1864</v>
      </c>
      <c r="B175" t="s">
        <v>15</v>
      </c>
      <c r="C175" t="s">
        <v>899</v>
      </c>
      <c r="D175" t="s">
        <v>13</v>
      </c>
      <c r="E175" t="s">
        <v>17</v>
      </c>
      <c r="F175" t="str">
        <f>VLOOKUP(Ramen_Ratings[[#This Row],[Country]],Country_Region[#All],2,FALSE)</f>
        <v>North America</v>
      </c>
      <c r="G175">
        <v>5</v>
      </c>
      <c r="H175" t="str" cm="1">
        <f t="array" ref="H175">_xlfn.IFS(Ramen_Ratings[[#This Row],[Stars]] = "Unrated", "NA",Ramen_Ratings[[#This Row],[Stars]]&gt;=4, "Good", Ramen_Ratings[[#This Row],[Stars]]&gt;2.5, "Fair", Ramen_Ratings[[#This Row],[Stars]] &gt;= 0, "Bad")</f>
        <v>Good</v>
      </c>
      <c r="J175" t="str">
        <f>LEFT(Ramen_Ratings[[#This Row],[Top Ten]],4)</f>
        <v/>
      </c>
      <c r="K175" t="str">
        <f>IF(Ramen_Ratings[[#This Row],[Top Ten]]="", "",RIGHT(Ramen_Ratings[[#This Row],[Top Ten]],LEN(Ramen_Ratings[[#This Row],[Top Ten]])-6))</f>
        <v/>
      </c>
    </row>
    <row r="176" spans="1:11" x14ac:dyDescent="0.25">
      <c r="A176">
        <v>1857</v>
      </c>
      <c r="B176" t="s">
        <v>789</v>
      </c>
      <c r="C176" t="s">
        <v>907</v>
      </c>
      <c r="D176" t="s">
        <v>30</v>
      </c>
      <c r="E176" t="s">
        <v>17</v>
      </c>
      <c r="F176" t="str">
        <f>VLOOKUP(Ramen_Ratings[[#This Row],[Country]],Country_Region[#All],2,FALSE)</f>
        <v>North America</v>
      </c>
      <c r="G176">
        <v>3.25</v>
      </c>
      <c r="H176" t="str" cm="1">
        <f t="array" ref="H176">_xlfn.IFS(Ramen_Ratings[[#This Row],[Stars]] = "Unrated", "NA",Ramen_Ratings[[#This Row],[Stars]]&gt;=4, "Good", Ramen_Ratings[[#This Row],[Stars]]&gt;2.5, "Fair", Ramen_Ratings[[#This Row],[Stars]] &gt;= 0, "Bad")</f>
        <v>Fair</v>
      </c>
      <c r="J176" t="str">
        <f>LEFT(Ramen_Ratings[[#This Row],[Top Ten]],4)</f>
        <v/>
      </c>
      <c r="K176" t="str">
        <f>IF(Ramen_Ratings[[#This Row],[Top Ten]]="", "",RIGHT(Ramen_Ratings[[#This Row],[Top Ten]],LEN(Ramen_Ratings[[#This Row],[Top Ten]])-6))</f>
        <v/>
      </c>
    </row>
    <row r="177" spans="1:11" x14ac:dyDescent="0.25">
      <c r="A177">
        <v>1852</v>
      </c>
      <c r="B177" t="s">
        <v>183</v>
      </c>
      <c r="C177" t="s">
        <v>913</v>
      </c>
      <c r="D177" t="s">
        <v>44</v>
      </c>
      <c r="E177" t="s">
        <v>17</v>
      </c>
      <c r="F177" t="str">
        <f>VLOOKUP(Ramen_Ratings[[#This Row],[Country]],Country_Region[#All],2,FALSE)</f>
        <v>North America</v>
      </c>
      <c r="G177">
        <v>3.25</v>
      </c>
      <c r="H177" t="str" cm="1">
        <f t="array" ref="H177">_xlfn.IFS(Ramen_Ratings[[#This Row],[Stars]] = "Unrated", "NA",Ramen_Ratings[[#This Row],[Stars]]&gt;=4, "Good", Ramen_Ratings[[#This Row],[Stars]]&gt;2.5, "Fair", Ramen_Ratings[[#This Row],[Stars]] &gt;= 0, "Bad")</f>
        <v>Fair</v>
      </c>
      <c r="J177" t="str">
        <f>LEFT(Ramen_Ratings[[#This Row],[Top Ten]],4)</f>
        <v/>
      </c>
      <c r="K177" t="str">
        <f>IF(Ramen_Ratings[[#This Row],[Top Ten]]="", "",RIGHT(Ramen_Ratings[[#This Row],[Top Ten]],LEN(Ramen_Ratings[[#This Row],[Top Ten]])-6))</f>
        <v/>
      </c>
    </row>
    <row r="178" spans="1:11" x14ac:dyDescent="0.25">
      <c r="A178">
        <v>1850</v>
      </c>
      <c r="B178" t="s">
        <v>15</v>
      </c>
      <c r="C178" t="s">
        <v>915</v>
      </c>
      <c r="D178" t="s">
        <v>13</v>
      </c>
      <c r="E178" t="s">
        <v>17</v>
      </c>
      <c r="F178" t="str">
        <f>VLOOKUP(Ramen_Ratings[[#This Row],[Country]],Country_Region[#All],2,FALSE)</f>
        <v>North America</v>
      </c>
      <c r="G178">
        <v>4.5</v>
      </c>
      <c r="H178" t="str" cm="1">
        <f t="array" ref="H178">_xlfn.IFS(Ramen_Ratings[[#This Row],[Stars]] = "Unrated", "NA",Ramen_Ratings[[#This Row],[Stars]]&gt;=4, "Good", Ramen_Ratings[[#This Row],[Stars]]&gt;2.5, "Fair", Ramen_Ratings[[#This Row],[Stars]] &gt;= 0, "Bad")</f>
        <v>Good</v>
      </c>
      <c r="J178" t="str">
        <f>LEFT(Ramen_Ratings[[#This Row],[Top Ten]],4)</f>
        <v/>
      </c>
      <c r="K178" t="str">
        <f>IF(Ramen_Ratings[[#This Row],[Top Ten]]="", "",RIGHT(Ramen_Ratings[[#This Row],[Top Ten]],LEN(Ramen_Ratings[[#This Row],[Top Ten]])-6))</f>
        <v/>
      </c>
    </row>
    <row r="179" spans="1:11" x14ac:dyDescent="0.25">
      <c r="A179">
        <v>1846</v>
      </c>
      <c r="B179" t="s">
        <v>15</v>
      </c>
      <c r="C179" t="s">
        <v>920</v>
      </c>
      <c r="D179" t="s">
        <v>30</v>
      </c>
      <c r="E179" t="s">
        <v>17</v>
      </c>
      <c r="F179" t="str">
        <f>VLOOKUP(Ramen_Ratings[[#This Row],[Country]],Country_Region[#All],2,FALSE)</f>
        <v>North America</v>
      </c>
      <c r="G179">
        <v>4.5</v>
      </c>
      <c r="H179" t="str" cm="1">
        <f t="array" ref="H179">_xlfn.IFS(Ramen_Ratings[[#This Row],[Stars]] = "Unrated", "NA",Ramen_Ratings[[#This Row],[Stars]]&gt;=4, "Good", Ramen_Ratings[[#This Row],[Stars]]&gt;2.5, "Fair", Ramen_Ratings[[#This Row],[Stars]] &gt;= 0, "Bad")</f>
        <v>Good</v>
      </c>
      <c r="J179" t="str">
        <f>LEFT(Ramen_Ratings[[#This Row],[Top Ten]],4)</f>
        <v/>
      </c>
      <c r="K179" t="str">
        <f>IF(Ramen_Ratings[[#This Row],[Top Ten]]="", "",RIGHT(Ramen_Ratings[[#This Row],[Top Ten]],LEN(Ramen_Ratings[[#This Row],[Top Ten]])-6))</f>
        <v/>
      </c>
    </row>
    <row r="180" spans="1:11" x14ac:dyDescent="0.25">
      <c r="A180">
        <v>1824</v>
      </c>
      <c r="B180" t="s">
        <v>41</v>
      </c>
      <c r="C180" t="s">
        <v>946</v>
      </c>
      <c r="D180" t="s">
        <v>9</v>
      </c>
      <c r="E180" t="s">
        <v>17</v>
      </c>
      <c r="F180" t="str">
        <f>VLOOKUP(Ramen_Ratings[[#This Row],[Country]],Country_Region[#All],2,FALSE)</f>
        <v>North America</v>
      </c>
      <c r="G180">
        <v>5</v>
      </c>
      <c r="H180" t="str" cm="1">
        <f t="array" ref="H180">_xlfn.IFS(Ramen_Ratings[[#This Row],[Stars]] = "Unrated", "NA",Ramen_Ratings[[#This Row],[Stars]]&gt;=4, "Good", Ramen_Ratings[[#This Row],[Stars]]&gt;2.5, "Fair", Ramen_Ratings[[#This Row],[Stars]] &gt;= 0, "Bad")</f>
        <v>Good</v>
      </c>
      <c r="J180" t="str">
        <f>LEFT(Ramen_Ratings[[#This Row],[Top Ten]],4)</f>
        <v/>
      </c>
      <c r="K180" t="str">
        <f>IF(Ramen_Ratings[[#This Row],[Top Ten]]="", "",RIGHT(Ramen_Ratings[[#This Row],[Top Ten]],LEN(Ramen_Ratings[[#This Row],[Top Ten]])-6))</f>
        <v/>
      </c>
    </row>
    <row r="181" spans="1:11" x14ac:dyDescent="0.25">
      <c r="A181">
        <v>1821</v>
      </c>
      <c r="B181" t="s">
        <v>183</v>
      </c>
      <c r="C181" t="s">
        <v>949</v>
      </c>
      <c r="D181" t="s">
        <v>44</v>
      </c>
      <c r="E181" t="s">
        <v>17</v>
      </c>
      <c r="F181" t="str">
        <f>VLOOKUP(Ramen_Ratings[[#This Row],[Country]],Country_Region[#All],2,FALSE)</f>
        <v>North America</v>
      </c>
      <c r="G181">
        <v>3.25</v>
      </c>
      <c r="H181" t="str" cm="1">
        <f t="array" ref="H181">_xlfn.IFS(Ramen_Ratings[[#This Row],[Stars]] = "Unrated", "NA",Ramen_Ratings[[#This Row],[Stars]]&gt;=4, "Good", Ramen_Ratings[[#This Row],[Stars]]&gt;2.5, "Fair", Ramen_Ratings[[#This Row],[Stars]] &gt;= 0, "Bad")</f>
        <v>Fair</v>
      </c>
      <c r="J181" t="str">
        <f>LEFT(Ramen_Ratings[[#This Row],[Top Ten]],4)</f>
        <v/>
      </c>
      <c r="K181" t="str">
        <f>IF(Ramen_Ratings[[#This Row],[Top Ten]]="", "",RIGHT(Ramen_Ratings[[#This Row],[Top Ten]],LEN(Ramen_Ratings[[#This Row],[Top Ten]])-6))</f>
        <v/>
      </c>
    </row>
    <row r="182" spans="1:11" x14ac:dyDescent="0.25">
      <c r="A182">
        <v>1802</v>
      </c>
      <c r="B182" t="s">
        <v>15</v>
      </c>
      <c r="C182" t="s">
        <v>973</v>
      </c>
      <c r="D182" t="s">
        <v>9</v>
      </c>
      <c r="E182" t="s">
        <v>17</v>
      </c>
      <c r="F182" t="str">
        <f>VLOOKUP(Ramen_Ratings[[#This Row],[Country]],Country_Region[#All],2,FALSE)</f>
        <v>North America</v>
      </c>
      <c r="G182">
        <v>3.5</v>
      </c>
      <c r="H182" t="str" cm="1">
        <f t="array" ref="H182">_xlfn.IFS(Ramen_Ratings[[#This Row],[Stars]] = "Unrated", "NA",Ramen_Ratings[[#This Row],[Stars]]&gt;=4, "Good", Ramen_Ratings[[#This Row],[Stars]]&gt;2.5, "Fair", Ramen_Ratings[[#This Row],[Stars]] &gt;= 0, "Bad")</f>
        <v>Fair</v>
      </c>
      <c r="J182" t="str">
        <f>LEFT(Ramen_Ratings[[#This Row],[Top Ten]],4)</f>
        <v/>
      </c>
      <c r="K182" t="str">
        <f>IF(Ramen_Ratings[[#This Row],[Top Ten]]="", "",RIGHT(Ramen_Ratings[[#This Row],[Top Ten]],LEN(Ramen_Ratings[[#This Row],[Top Ten]])-6))</f>
        <v/>
      </c>
    </row>
    <row r="183" spans="1:11" x14ac:dyDescent="0.25">
      <c r="A183">
        <v>1800</v>
      </c>
      <c r="B183" t="s">
        <v>975</v>
      </c>
      <c r="C183" t="s">
        <v>976</v>
      </c>
      <c r="D183" t="s">
        <v>9</v>
      </c>
      <c r="E183" t="s">
        <v>17</v>
      </c>
      <c r="F183" t="str">
        <f>VLOOKUP(Ramen_Ratings[[#This Row],[Country]],Country_Region[#All],2,FALSE)</f>
        <v>North America</v>
      </c>
      <c r="G183">
        <v>0.25</v>
      </c>
      <c r="H183" t="str" cm="1">
        <f t="array" ref="H183">_xlfn.IFS(Ramen_Ratings[[#This Row],[Stars]] = "Unrated", "NA",Ramen_Ratings[[#This Row],[Stars]]&gt;=4, "Good", Ramen_Ratings[[#This Row],[Stars]]&gt;2.5, "Fair", Ramen_Ratings[[#This Row],[Stars]] &gt;= 0, "Bad")</f>
        <v>Bad</v>
      </c>
      <c r="J183" t="str">
        <f>LEFT(Ramen_Ratings[[#This Row],[Top Ten]],4)</f>
        <v/>
      </c>
      <c r="K183" t="str">
        <f>IF(Ramen_Ratings[[#This Row],[Top Ten]]="", "",RIGHT(Ramen_Ratings[[#This Row],[Top Ten]],LEN(Ramen_Ratings[[#This Row],[Top Ten]])-6))</f>
        <v/>
      </c>
    </row>
    <row r="184" spans="1:11" x14ac:dyDescent="0.25">
      <c r="A184">
        <v>1799</v>
      </c>
      <c r="B184" t="s">
        <v>844</v>
      </c>
      <c r="C184" t="s">
        <v>977</v>
      </c>
      <c r="D184" t="s">
        <v>44</v>
      </c>
      <c r="E184" t="s">
        <v>17</v>
      </c>
      <c r="F184" t="str">
        <f>VLOOKUP(Ramen_Ratings[[#This Row],[Country]],Country_Region[#All],2,FALSE)</f>
        <v>North America</v>
      </c>
      <c r="G184">
        <v>2.5</v>
      </c>
      <c r="H184" t="str" cm="1">
        <f t="array" ref="H184">_xlfn.IFS(Ramen_Ratings[[#This Row],[Stars]] = "Unrated", "NA",Ramen_Ratings[[#This Row],[Stars]]&gt;=4, "Good", Ramen_Ratings[[#This Row],[Stars]]&gt;2.5, "Fair", Ramen_Ratings[[#This Row],[Stars]] &gt;= 0, "Bad")</f>
        <v>Bad</v>
      </c>
      <c r="J184" t="str">
        <f>LEFT(Ramen_Ratings[[#This Row],[Top Ten]],4)</f>
        <v/>
      </c>
      <c r="K184" t="str">
        <f>IF(Ramen_Ratings[[#This Row],[Top Ten]]="", "",RIGHT(Ramen_Ratings[[#This Row],[Top Ten]],LEN(Ramen_Ratings[[#This Row],[Top Ten]])-6))</f>
        <v/>
      </c>
    </row>
    <row r="185" spans="1:11" x14ac:dyDescent="0.25">
      <c r="A185">
        <v>1786</v>
      </c>
      <c r="B185" t="s">
        <v>15</v>
      </c>
      <c r="C185" t="s">
        <v>992</v>
      </c>
      <c r="D185" t="s">
        <v>30</v>
      </c>
      <c r="E185" t="s">
        <v>17</v>
      </c>
      <c r="F185" t="str">
        <f>VLOOKUP(Ramen_Ratings[[#This Row],[Country]],Country_Region[#All],2,FALSE)</f>
        <v>North America</v>
      </c>
      <c r="G185">
        <v>4.25</v>
      </c>
      <c r="H185" t="str" cm="1">
        <f t="array" ref="H185">_xlfn.IFS(Ramen_Ratings[[#This Row],[Stars]] = "Unrated", "NA",Ramen_Ratings[[#This Row],[Stars]]&gt;=4, "Good", Ramen_Ratings[[#This Row],[Stars]]&gt;2.5, "Fair", Ramen_Ratings[[#This Row],[Stars]] &gt;= 0, "Bad")</f>
        <v>Good</v>
      </c>
      <c r="J185" t="str">
        <f>LEFT(Ramen_Ratings[[#This Row],[Top Ten]],4)</f>
        <v/>
      </c>
      <c r="K185" t="str">
        <f>IF(Ramen_Ratings[[#This Row],[Top Ten]]="", "",RIGHT(Ramen_Ratings[[#This Row],[Top Ten]],LEN(Ramen_Ratings[[#This Row],[Top Ten]])-6))</f>
        <v/>
      </c>
    </row>
    <row r="186" spans="1:11" x14ac:dyDescent="0.25">
      <c r="A186">
        <v>1765</v>
      </c>
      <c r="B186" t="s">
        <v>15</v>
      </c>
      <c r="C186" t="s">
        <v>1015</v>
      </c>
      <c r="D186" t="s">
        <v>9</v>
      </c>
      <c r="E186" t="s">
        <v>17</v>
      </c>
      <c r="F186" t="str">
        <f>VLOOKUP(Ramen_Ratings[[#This Row],[Country]],Country_Region[#All],2,FALSE)</f>
        <v>North America</v>
      </c>
      <c r="G186">
        <v>3.5</v>
      </c>
      <c r="H186" t="str" cm="1">
        <f t="array" ref="H186">_xlfn.IFS(Ramen_Ratings[[#This Row],[Stars]] = "Unrated", "NA",Ramen_Ratings[[#This Row],[Stars]]&gt;=4, "Good", Ramen_Ratings[[#This Row],[Stars]]&gt;2.5, "Fair", Ramen_Ratings[[#This Row],[Stars]] &gt;= 0, "Bad")</f>
        <v>Fair</v>
      </c>
      <c r="J186" t="str">
        <f>LEFT(Ramen_Ratings[[#This Row],[Top Ten]],4)</f>
        <v/>
      </c>
      <c r="K186" t="str">
        <f>IF(Ramen_Ratings[[#This Row],[Top Ten]]="", "",RIGHT(Ramen_Ratings[[#This Row],[Top Ten]],LEN(Ramen_Ratings[[#This Row],[Top Ten]])-6))</f>
        <v/>
      </c>
    </row>
    <row r="187" spans="1:11" x14ac:dyDescent="0.25">
      <c r="A187">
        <v>1761</v>
      </c>
      <c r="B187" t="s">
        <v>1020</v>
      </c>
      <c r="C187" t="s">
        <v>1021</v>
      </c>
      <c r="D187" t="s">
        <v>44</v>
      </c>
      <c r="E187" t="s">
        <v>17</v>
      </c>
      <c r="F187" t="str">
        <f>VLOOKUP(Ramen_Ratings[[#This Row],[Country]],Country_Region[#All],2,FALSE)</f>
        <v>North America</v>
      </c>
      <c r="G187">
        <v>1</v>
      </c>
      <c r="H187" t="str" cm="1">
        <f t="array" ref="H187">_xlfn.IFS(Ramen_Ratings[[#This Row],[Stars]] = "Unrated", "NA",Ramen_Ratings[[#This Row],[Stars]]&gt;=4, "Good", Ramen_Ratings[[#This Row],[Stars]]&gt;2.5, "Fair", Ramen_Ratings[[#This Row],[Stars]] &gt;= 0, "Bad")</f>
        <v>Bad</v>
      </c>
      <c r="J187" t="str">
        <f>LEFT(Ramen_Ratings[[#This Row],[Top Ten]],4)</f>
        <v/>
      </c>
      <c r="K187" t="str">
        <f>IF(Ramen_Ratings[[#This Row],[Top Ten]]="", "",RIGHT(Ramen_Ratings[[#This Row],[Top Ten]],LEN(Ramen_Ratings[[#This Row],[Top Ten]])-6))</f>
        <v/>
      </c>
    </row>
    <row r="188" spans="1:11" x14ac:dyDescent="0.25">
      <c r="A188">
        <v>1753</v>
      </c>
      <c r="B188" t="s">
        <v>844</v>
      </c>
      <c r="C188" t="s">
        <v>1027</v>
      </c>
      <c r="D188" t="s">
        <v>44</v>
      </c>
      <c r="E188" t="s">
        <v>17</v>
      </c>
      <c r="F188" t="str">
        <f>VLOOKUP(Ramen_Ratings[[#This Row],[Country]],Country_Region[#All],2,FALSE)</f>
        <v>North America</v>
      </c>
      <c r="G188">
        <v>3.5</v>
      </c>
      <c r="H188" t="str" cm="1">
        <f t="array" ref="H188">_xlfn.IFS(Ramen_Ratings[[#This Row],[Stars]] = "Unrated", "NA",Ramen_Ratings[[#This Row],[Stars]]&gt;=4, "Good", Ramen_Ratings[[#This Row],[Stars]]&gt;2.5, "Fair", Ramen_Ratings[[#This Row],[Stars]] &gt;= 0, "Bad")</f>
        <v>Fair</v>
      </c>
      <c r="J188" t="str">
        <f>LEFT(Ramen_Ratings[[#This Row],[Top Ten]],4)</f>
        <v/>
      </c>
      <c r="K188" t="str">
        <f>IF(Ramen_Ratings[[#This Row],[Top Ten]]="", "",RIGHT(Ramen_Ratings[[#This Row],[Top Ten]],LEN(Ramen_Ratings[[#This Row],[Top Ten]])-6))</f>
        <v/>
      </c>
    </row>
    <row r="189" spans="1:11" x14ac:dyDescent="0.25">
      <c r="A189">
        <v>1741</v>
      </c>
      <c r="B189" t="s">
        <v>183</v>
      </c>
      <c r="C189" t="s">
        <v>1040</v>
      </c>
      <c r="D189" t="s">
        <v>44</v>
      </c>
      <c r="E189" t="s">
        <v>17</v>
      </c>
      <c r="F189" t="str">
        <f>VLOOKUP(Ramen_Ratings[[#This Row],[Country]],Country_Region[#All],2,FALSE)</f>
        <v>North America</v>
      </c>
      <c r="G189">
        <v>2.5</v>
      </c>
      <c r="H189" t="str" cm="1">
        <f t="array" ref="H189">_xlfn.IFS(Ramen_Ratings[[#This Row],[Stars]] = "Unrated", "NA",Ramen_Ratings[[#This Row],[Stars]]&gt;=4, "Good", Ramen_Ratings[[#This Row],[Stars]]&gt;2.5, "Fair", Ramen_Ratings[[#This Row],[Stars]] &gt;= 0, "Bad")</f>
        <v>Bad</v>
      </c>
      <c r="J189" t="str">
        <f>LEFT(Ramen_Ratings[[#This Row],[Top Ten]],4)</f>
        <v/>
      </c>
      <c r="K189" t="str">
        <f>IF(Ramen_Ratings[[#This Row],[Top Ten]]="", "",RIGHT(Ramen_Ratings[[#This Row],[Top Ten]],LEN(Ramen_Ratings[[#This Row],[Top Ten]])-6))</f>
        <v/>
      </c>
    </row>
    <row r="190" spans="1:11" x14ac:dyDescent="0.25">
      <c r="A190">
        <v>1698</v>
      </c>
      <c r="B190" t="s">
        <v>102</v>
      </c>
      <c r="C190" t="s">
        <v>1090</v>
      </c>
      <c r="D190" t="s">
        <v>9</v>
      </c>
      <c r="E190" t="s">
        <v>17</v>
      </c>
      <c r="F190" t="str">
        <f>VLOOKUP(Ramen_Ratings[[#This Row],[Country]],Country_Region[#All],2,FALSE)</f>
        <v>North America</v>
      </c>
      <c r="G190">
        <v>4</v>
      </c>
      <c r="H190" t="str" cm="1">
        <f t="array" ref="H190">_xlfn.IFS(Ramen_Ratings[[#This Row],[Stars]] = "Unrated", "NA",Ramen_Ratings[[#This Row],[Stars]]&gt;=4, "Good", Ramen_Ratings[[#This Row],[Stars]]&gt;2.5, "Fair", Ramen_Ratings[[#This Row],[Stars]] &gt;= 0, "Bad")</f>
        <v>Good</v>
      </c>
      <c r="J190" t="str">
        <f>LEFT(Ramen_Ratings[[#This Row],[Top Ten]],4)</f>
        <v/>
      </c>
      <c r="K190" t="str">
        <f>IF(Ramen_Ratings[[#This Row],[Top Ten]]="", "",RIGHT(Ramen_Ratings[[#This Row],[Top Ten]],LEN(Ramen_Ratings[[#This Row],[Top Ten]])-6))</f>
        <v/>
      </c>
    </row>
    <row r="191" spans="1:11" x14ac:dyDescent="0.25">
      <c r="A191">
        <v>1678</v>
      </c>
      <c r="B191" t="s">
        <v>41</v>
      </c>
      <c r="C191" t="s">
        <v>1110</v>
      </c>
      <c r="D191" t="s">
        <v>13</v>
      </c>
      <c r="E191" t="s">
        <v>17</v>
      </c>
      <c r="F191" t="str">
        <f>VLOOKUP(Ramen_Ratings[[#This Row],[Country]],Country_Region[#All],2,FALSE)</f>
        <v>North America</v>
      </c>
      <c r="G191">
        <v>5</v>
      </c>
      <c r="H191" t="str" cm="1">
        <f t="array" ref="H191">_xlfn.IFS(Ramen_Ratings[[#This Row],[Stars]] = "Unrated", "NA",Ramen_Ratings[[#This Row],[Stars]]&gt;=4, "Good", Ramen_Ratings[[#This Row],[Stars]]&gt;2.5, "Fair", Ramen_Ratings[[#This Row],[Stars]] &gt;= 0, "Bad")</f>
        <v>Good</v>
      </c>
      <c r="J191" t="str">
        <f>LEFT(Ramen_Ratings[[#This Row],[Top Ten]],4)</f>
        <v/>
      </c>
      <c r="K191" t="str">
        <f>IF(Ramen_Ratings[[#This Row],[Top Ten]]="", "",RIGHT(Ramen_Ratings[[#This Row],[Top Ten]],LEN(Ramen_Ratings[[#This Row],[Top Ten]])-6))</f>
        <v/>
      </c>
    </row>
    <row r="192" spans="1:11" x14ac:dyDescent="0.25">
      <c r="A192">
        <v>1641</v>
      </c>
      <c r="B192" t="s">
        <v>1164</v>
      </c>
      <c r="C192" t="s">
        <v>1165</v>
      </c>
      <c r="D192" t="s">
        <v>44</v>
      </c>
      <c r="E192" t="s">
        <v>17</v>
      </c>
      <c r="F192" t="str">
        <f>VLOOKUP(Ramen_Ratings[[#This Row],[Country]],Country_Region[#All],2,FALSE)</f>
        <v>North America</v>
      </c>
      <c r="G192">
        <v>0</v>
      </c>
      <c r="H192" t="str" cm="1">
        <f t="array" ref="H192">_xlfn.IFS(Ramen_Ratings[[#This Row],[Stars]] = "Unrated", "NA",Ramen_Ratings[[#This Row],[Stars]]&gt;=4, "Good", Ramen_Ratings[[#This Row],[Stars]]&gt;2.5, "Fair", Ramen_Ratings[[#This Row],[Stars]] &gt;= 0, "Bad")</f>
        <v>Bad</v>
      </c>
      <c r="J192" t="str">
        <f>LEFT(Ramen_Ratings[[#This Row],[Top Ten]],4)</f>
        <v/>
      </c>
      <c r="K192" t="str">
        <f>IF(Ramen_Ratings[[#This Row],[Top Ten]]="", "",RIGHT(Ramen_Ratings[[#This Row],[Top Ten]],LEN(Ramen_Ratings[[#This Row],[Top Ten]])-6))</f>
        <v/>
      </c>
    </row>
    <row r="193" spans="1:11" x14ac:dyDescent="0.25">
      <c r="A193">
        <v>1622</v>
      </c>
      <c r="B193" t="s">
        <v>41</v>
      </c>
      <c r="C193" t="s">
        <v>1186</v>
      </c>
      <c r="D193" t="s">
        <v>13</v>
      </c>
      <c r="E193" t="s">
        <v>17</v>
      </c>
      <c r="F193" t="str">
        <f>VLOOKUP(Ramen_Ratings[[#This Row],[Country]],Country_Region[#All],2,FALSE)</f>
        <v>North America</v>
      </c>
      <c r="G193">
        <v>4</v>
      </c>
      <c r="H193" t="str" cm="1">
        <f t="array" ref="H193">_xlfn.IFS(Ramen_Ratings[[#This Row],[Stars]] = "Unrated", "NA",Ramen_Ratings[[#This Row],[Stars]]&gt;=4, "Good", Ramen_Ratings[[#This Row],[Stars]]&gt;2.5, "Fair", Ramen_Ratings[[#This Row],[Stars]] &gt;= 0, "Bad")</f>
        <v>Good</v>
      </c>
      <c r="J193" t="str">
        <f>LEFT(Ramen_Ratings[[#This Row],[Top Ten]],4)</f>
        <v/>
      </c>
      <c r="K193" t="str">
        <f>IF(Ramen_Ratings[[#This Row],[Top Ten]]="", "",RIGHT(Ramen_Ratings[[#This Row],[Top Ten]],LEN(Ramen_Ratings[[#This Row],[Top Ten]])-6))</f>
        <v/>
      </c>
    </row>
    <row r="194" spans="1:11" x14ac:dyDescent="0.25">
      <c r="A194">
        <v>1597</v>
      </c>
      <c r="B194" t="s">
        <v>15</v>
      </c>
      <c r="C194" t="s">
        <v>1217</v>
      </c>
      <c r="D194" t="s">
        <v>30</v>
      </c>
      <c r="E194" t="s">
        <v>17</v>
      </c>
      <c r="F194" t="str">
        <f>VLOOKUP(Ramen_Ratings[[#This Row],[Country]],Country_Region[#All],2,FALSE)</f>
        <v>North America</v>
      </c>
      <c r="G194">
        <v>4</v>
      </c>
      <c r="H194" t="str" cm="1">
        <f t="array" ref="H194">_xlfn.IFS(Ramen_Ratings[[#This Row],[Stars]] = "Unrated", "NA",Ramen_Ratings[[#This Row],[Stars]]&gt;=4, "Good", Ramen_Ratings[[#This Row],[Stars]]&gt;2.5, "Fair", Ramen_Ratings[[#This Row],[Stars]] &gt;= 0, "Bad")</f>
        <v>Good</v>
      </c>
      <c r="J194" t="str">
        <f>LEFT(Ramen_Ratings[[#This Row],[Top Ten]],4)</f>
        <v/>
      </c>
      <c r="K194" t="str">
        <f>IF(Ramen_Ratings[[#This Row],[Top Ten]]="", "",RIGHT(Ramen_Ratings[[#This Row],[Top Ten]],LEN(Ramen_Ratings[[#This Row],[Top Ten]])-6))</f>
        <v/>
      </c>
    </row>
    <row r="195" spans="1:11" x14ac:dyDescent="0.25">
      <c r="A195">
        <v>1563</v>
      </c>
      <c r="B195" t="s">
        <v>41</v>
      </c>
      <c r="C195" t="s">
        <v>1258</v>
      </c>
      <c r="D195" t="s">
        <v>13</v>
      </c>
      <c r="E195" t="s">
        <v>17</v>
      </c>
      <c r="F195" t="str">
        <f>VLOOKUP(Ramen_Ratings[[#This Row],[Country]],Country_Region[#All],2,FALSE)</f>
        <v>North America</v>
      </c>
      <c r="G195">
        <v>4.25</v>
      </c>
      <c r="H195" t="str" cm="1">
        <f t="array" ref="H195">_xlfn.IFS(Ramen_Ratings[[#This Row],[Stars]] = "Unrated", "NA",Ramen_Ratings[[#This Row],[Stars]]&gt;=4, "Good", Ramen_Ratings[[#This Row],[Stars]]&gt;2.5, "Fair", Ramen_Ratings[[#This Row],[Stars]] &gt;= 0, "Bad")</f>
        <v>Good</v>
      </c>
      <c r="J195" t="str">
        <f>LEFT(Ramen_Ratings[[#This Row],[Top Ten]],4)</f>
        <v/>
      </c>
      <c r="K195" t="str">
        <f>IF(Ramen_Ratings[[#This Row],[Top Ten]]="", "",RIGHT(Ramen_Ratings[[#This Row],[Top Ten]],LEN(Ramen_Ratings[[#This Row],[Top Ten]])-6))</f>
        <v/>
      </c>
    </row>
    <row r="196" spans="1:11" x14ac:dyDescent="0.25">
      <c r="A196">
        <v>1544</v>
      </c>
      <c r="B196" t="s">
        <v>1281</v>
      </c>
      <c r="C196" t="s">
        <v>1282</v>
      </c>
      <c r="D196" t="s">
        <v>30</v>
      </c>
      <c r="E196" t="s">
        <v>17</v>
      </c>
      <c r="F196" t="str">
        <f>VLOOKUP(Ramen_Ratings[[#This Row],[Country]],Country_Region[#All],2,FALSE)</f>
        <v>North America</v>
      </c>
      <c r="G196">
        <v>1.5</v>
      </c>
      <c r="H196" t="str" cm="1">
        <f t="array" ref="H196">_xlfn.IFS(Ramen_Ratings[[#This Row],[Stars]] = "Unrated", "NA",Ramen_Ratings[[#This Row],[Stars]]&gt;=4, "Good", Ramen_Ratings[[#This Row],[Stars]]&gt;2.5, "Fair", Ramen_Ratings[[#This Row],[Stars]] &gt;= 0, "Bad")</f>
        <v>Bad</v>
      </c>
      <c r="J196" t="str">
        <f>LEFT(Ramen_Ratings[[#This Row],[Top Ten]],4)</f>
        <v/>
      </c>
      <c r="K196" t="str">
        <f>IF(Ramen_Ratings[[#This Row],[Top Ten]]="", "",RIGHT(Ramen_Ratings[[#This Row],[Top Ten]],LEN(Ramen_Ratings[[#This Row],[Top Ten]])-6))</f>
        <v/>
      </c>
    </row>
    <row r="197" spans="1:11" x14ac:dyDescent="0.25">
      <c r="A197">
        <v>1503</v>
      </c>
      <c r="B197" t="s">
        <v>41</v>
      </c>
      <c r="C197" t="s">
        <v>1328</v>
      </c>
      <c r="D197" t="s">
        <v>44</v>
      </c>
      <c r="E197" t="s">
        <v>17</v>
      </c>
      <c r="F197" t="str">
        <f>VLOOKUP(Ramen_Ratings[[#This Row],[Country]],Country_Region[#All],2,FALSE)</f>
        <v>North America</v>
      </c>
      <c r="G197">
        <v>3.25</v>
      </c>
      <c r="H197" t="str" cm="1">
        <f t="array" ref="H197">_xlfn.IFS(Ramen_Ratings[[#This Row],[Stars]] = "Unrated", "NA",Ramen_Ratings[[#This Row],[Stars]]&gt;=4, "Good", Ramen_Ratings[[#This Row],[Stars]]&gt;2.5, "Fair", Ramen_Ratings[[#This Row],[Stars]] &gt;= 0, "Bad")</f>
        <v>Fair</v>
      </c>
      <c r="J197" t="str">
        <f>LEFT(Ramen_Ratings[[#This Row],[Top Ten]],4)</f>
        <v/>
      </c>
      <c r="K197" t="str">
        <f>IF(Ramen_Ratings[[#This Row],[Top Ten]]="", "",RIGHT(Ramen_Ratings[[#This Row],[Top Ten]],LEN(Ramen_Ratings[[#This Row],[Top Ten]])-6))</f>
        <v/>
      </c>
    </row>
    <row r="198" spans="1:11" x14ac:dyDescent="0.25">
      <c r="A198">
        <v>1497</v>
      </c>
      <c r="B198" t="s">
        <v>15</v>
      </c>
      <c r="C198" t="s">
        <v>1334</v>
      </c>
      <c r="D198" t="s">
        <v>9</v>
      </c>
      <c r="E198" t="s">
        <v>17</v>
      </c>
      <c r="F198" t="str">
        <f>VLOOKUP(Ramen_Ratings[[#This Row],[Country]],Country_Region[#All],2,FALSE)</f>
        <v>North America</v>
      </c>
      <c r="G198">
        <v>3.5</v>
      </c>
      <c r="H198" t="str" cm="1">
        <f t="array" ref="H198">_xlfn.IFS(Ramen_Ratings[[#This Row],[Stars]] = "Unrated", "NA",Ramen_Ratings[[#This Row],[Stars]]&gt;=4, "Good", Ramen_Ratings[[#This Row],[Stars]]&gt;2.5, "Fair", Ramen_Ratings[[#This Row],[Stars]] &gt;= 0, "Bad")</f>
        <v>Fair</v>
      </c>
      <c r="J198" t="str">
        <f>LEFT(Ramen_Ratings[[#This Row],[Top Ten]],4)</f>
        <v/>
      </c>
      <c r="K198" t="str">
        <f>IF(Ramen_Ratings[[#This Row],[Top Ten]]="", "",RIGHT(Ramen_Ratings[[#This Row],[Top Ten]],LEN(Ramen_Ratings[[#This Row],[Top Ten]])-6))</f>
        <v/>
      </c>
    </row>
    <row r="199" spans="1:11" x14ac:dyDescent="0.25">
      <c r="A199">
        <v>1485</v>
      </c>
      <c r="B199" t="s">
        <v>41</v>
      </c>
      <c r="C199" t="s">
        <v>1345</v>
      </c>
      <c r="D199" t="s">
        <v>13</v>
      </c>
      <c r="E199" t="s">
        <v>17</v>
      </c>
      <c r="F199" t="str">
        <f>VLOOKUP(Ramen_Ratings[[#This Row],[Country]],Country_Region[#All],2,FALSE)</f>
        <v>North America</v>
      </c>
      <c r="G199">
        <v>5</v>
      </c>
      <c r="H199" t="str" cm="1">
        <f t="array" ref="H199">_xlfn.IFS(Ramen_Ratings[[#This Row],[Stars]] = "Unrated", "NA",Ramen_Ratings[[#This Row],[Stars]]&gt;=4, "Good", Ramen_Ratings[[#This Row],[Stars]]&gt;2.5, "Fair", Ramen_Ratings[[#This Row],[Stars]] &gt;= 0, "Bad")</f>
        <v>Good</v>
      </c>
      <c r="J199" t="str">
        <f>LEFT(Ramen_Ratings[[#This Row],[Top Ten]],4)</f>
        <v/>
      </c>
      <c r="K199" t="str">
        <f>IF(Ramen_Ratings[[#This Row],[Top Ten]]="", "",RIGHT(Ramen_Ratings[[#This Row],[Top Ten]],LEN(Ramen_Ratings[[#This Row],[Top Ten]])-6))</f>
        <v/>
      </c>
    </row>
    <row r="200" spans="1:11" x14ac:dyDescent="0.25">
      <c r="A200">
        <v>1479</v>
      </c>
      <c r="B200" t="s">
        <v>15</v>
      </c>
      <c r="C200" t="s">
        <v>1351</v>
      </c>
      <c r="D200" t="s">
        <v>9</v>
      </c>
      <c r="E200" t="s">
        <v>17</v>
      </c>
      <c r="F200" t="str">
        <f>VLOOKUP(Ramen_Ratings[[#This Row],[Country]],Country_Region[#All],2,FALSE)</f>
        <v>North America</v>
      </c>
      <c r="G200">
        <v>3.5</v>
      </c>
      <c r="H200" t="str" cm="1">
        <f t="array" ref="H200">_xlfn.IFS(Ramen_Ratings[[#This Row],[Stars]] = "Unrated", "NA",Ramen_Ratings[[#This Row],[Stars]]&gt;=4, "Good", Ramen_Ratings[[#This Row],[Stars]]&gt;2.5, "Fair", Ramen_Ratings[[#This Row],[Stars]] &gt;= 0, "Bad")</f>
        <v>Fair</v>
      </c>
      <c r="J200" t="str">
        <f>LEFT(Ramen_Ratings[[#This Row],[Top Ten]],4)</f>
        <v/>
      </c>
      <c r="K200" t="str">
        <f>IF(Ramen_Ratings[[#This Row],[Top Ten]]="", "",RIGHT(Ramen_Ratings[[#This Row],[Top Ten]],LEN(Ramen_Ratings[[#This Row],[Top Ten]])-6))</f>
        <v/>
      </c>
    </row>
    <row r="201" spans="1:11" x14ac:dyDescent="0.25">
      <c r="A201">
        <v>1463</v>
      </c>
      <c r="B201" t="s">
        <v>102</v>
      </c>
      <c r="C201" t="s">
        <v>1369</v>
      </c>
      <c r="D201" t="s">
        <v>9</v>
      </c>
      <c r="E201" t="s">
        <v>17</v>
      </c>
      <c r="F201" t="str">
        <f>VLOOKUP(Ramen_Ratings[[#This Row],[Country]],Country_Region[#All],2,FALSE)</f>
        <v>North America</v>
      </c>
      <c r="G201">
        <v>3.5</v>
      </c>
      <c r="H201" t="str" cm="1">
        <f t="array" ref="H201">_xlfn.IFS(Ramen_Ratings[[#This Row],[Stars]] = "Unrated", "NA",Ramen_Ratings[[#This Row],[Stars]]&gt;=4, "Good", Ramen_Ratings[[#This Row],[Stars]]&gt;2.5, "Fair", Ramen_Ratings[[#This Row],[Stars]] &gt;= 0, "Bad")</f>
        <v>Fair</v>
      </c>
      <c r="J201" t="str">
        <f>LEFT(Ramen_Ratings[[#This Row],[Top Ten]],4)</f>
        <v/>
      </c>
      <c r="K201" t="str">
        <f>IF(Ramen_Ratings[[#This Row],[Top Ten]]="", "",RIGHT(Ramen_Ratings[[#This Row],[Top Ten]],LEN(Ramen_Ratings[[#This Row],[Top Ten]])-6))</f>
        <v/>
      </c>
    </row>
    <row r="202" spans="1:11" x14ac:dyDescent="0.25">
      <c r="A202">
        <v>1444</v>
      </c>
      <c r="B202" t="s">
        <v>102</v>
      </c>
      <c r="C202" t="s">
        <v>1383</v>
      </c>
      <c r="D202" t="s">
        <v>9</v>
      </c>
      <c r="E202" t="s">
        <v>17</v>
      </c>
      <c r="F202" t="str">
        <f>VLOOKUP(Ramen_Ratings[[#This Row],[Country]],Country_Region[#All],2,FALSE)</f>
        <v>North America</v>
      </c>
      <c r="G202">
        <v>3.5</v>
      </c>
      <c r="H202" t="str" cm="1">
        <f t="array" ref="H202">_xlfn.IFS(Ramen_Ratings[[#This Row],[Stars]] = "Unrated", "NA",Ramen_Ratings[[#This Row],[Stars]]&gt;=4, "Good", Ramen_Ratings[[#This Row],[Stars]]&gt;2.5, "Fair", Ramen_Ratings[[#This Row],[Stars]] &gt;= 0, "Bad")</f>
        <v>Fair</v>
      </c>
      <c r="J202" t="str">
        <f>LEFT(Ramen_Ratings[[#This Row],[Top Ten]],4)</f>
        <v/>
      </c>
      <c r="K202" t="str">
        <f>IF(Ramen_Ratings[[#This Row],[Top Ten]]="", "",RIGHT(Ramen_Ratings[[#This Row],[Top Ten]],LEN(Ramen_Ratings[[#This Row],[Top Ten]])-6))</f>
        <v/>
      </c>
    </row>
    <row r="203" spans="1:11" x14ac:dyDescent="0.25">
      <c r="A203">
        <v>1443</v>
      </c>
      <c r="B203" t="s">
        <v>41</v>
      </c>
      <c r="C203" t="s">
        <v>1384</v>
      </c>
      <c r="D203" t="s">
        <v>13</v>
      </c>
      <c r="E203" t="s">
        <v>17</v>
      </c>
      <c r="F203" t="str">
        <f>VLOOKUP(Ramen_Ratings[[#This Row],[Country]],Country_Region[#All],2,FALSE)</f>
        <v>North America</v>
      </c>
      <c r="G203">
        <v>4.25</v>
      </c>
      <c r="H203" t="str" cm="1">
        <f t="array" ref="H203">_xlfn.IFS(Ramen_Ratings[[#This Row],[Stars]] = "Unrated", "NA",Ramen_Ratings[[#This Row],[Stars]]&gt;=4, "Good", Ramen_Ratings[[#This Row],[Stars]]&gt;2.5, "Fair", Ramen_Ratings[[#This Row],[Stars]] &gt;= 0, "Bad")</f>
        <v>Good</v>
      </c>
      <c r="J203" t="str">
        <f>LEFT(Ramen_Ratings[[#This Row],[Top Ten]],4)</f>
        <v/>
      </c>
      <c r="K203" t="str">
        <f>IF(Ramen_Ratings[[#This Row],[Top Ten]]="", "",RIGHT(Ramen_Ratings[[#This Row],[Top Ten]],LEN(Ramen_Ratings[[#This Row],[Top Ten]])-6))</f>
        <v/>
      </c>
    </row>
    <row r="204" spans="1:11" x14ac:dyDescent="0.25">
      <c r="A204">
        <v>1441</v>
      </c>
      <c r="B204" t="s">
        <v>15</v>
      </c>
      <c r="C204" t="s">
        <v>1386</v>
      </c>
      <c r="D204" t="s">
        <v>44</v>
      </c>
      <c r="E204" t="s">
        <v>17</v>
      </c>
      <c r="F204" t="str">
        <f>VLOOKUP(Ramen_Ratings[[#This Row],[Country]],Country_Region[#All],2,FALSE)</f>
        <v>North America</v>
      </c>
      <c r="G204">
        <v>3.5</v>
      </c>
      <c r="H204" t="str" cm="1">
        <f t="array" ref="H204">_xlfn.IFS(Ramen_Ratings[[#This Row],[Stars]] = "Unrated", "NA",Ramen_Ratings[[#This Row],[Stars]]&gt;=4, "Good", Ramen_Ratings[[#This Row],[Stars]]&gt;2.5, "Fair", Ramen_Ratings[[#This Row],[Stars]] &gt;= 0, "Bad")</f>
        <v>Fair</v>
      </c>
      <c r="J204" t="str">
        <f>LEFT(Ramen_Ratings[[#This Row],[Top Ten]],4)</f>
        <v/>
      </c>
      <c r="K204" t="str">
        <f>IF(Ramen_Ratings[[#This Row],[Top Ten]]="", "",RIGHT(Ramen_Ratings[[#This Row],[Top Ten]],LEN(Ramen_Ratings[[#This Row],[Top Ten]])-6))</f>
        <v/>
      </c>
    </row>
    <row r="205" spans="1:11" x14ac:dyDescent="0.25">
      <c r="A205">
        <v>1427</v>
      </c>
      <c r="B205" t="s">
        <v>1401</v>
      </c>
      <c r="C205" t="s">
        <v>1313</v>
      </c>
      <c r="D205" t="s">
        <v>44</v>
      </c>
      <c r="E205" t="s">
        <v>17</v>
      </c>
      <c r="F205" t="str">
        <f>VLOOKUP(Ramen_Ratings[[#This Row],[Country]],Country_Region[#All],2,FALSE)</f>
        <v>North America</v>
      </c>
      <c r="G205">
        <v>3.75</v>
      </c>
      <c r="H205" t="str" cm="1">
        <f t="array" ref="H205">_xlfn.IFS(Ramen_Ratings[[#This Row],[Stars]] = "Unrated", "NA",Ramen_Ratings[[#This Row],[Stars]]&gt;=4, "Good", Ramen_Ratings[[#This Row],[Stars]]&gt;2.5, "Fair", Ramen_Ratings[[#This Row],[Stars]] &gt;= 0, "Bad")</f>
        <v>Fair</v>
      </c>
      <c r="J205" t="str">
        <f>LEFT(Ramen_Ratings[[#This Row],[Top Ten]],4)</f>
        <v/>
      </c>
      <c r="K205" t="str">
        <f>IF(Ramen_Ratings[[#This Row],[Top Ten]]="", "",RIGHT(Ramen_Ratings[[#This Row],[Top Ten]],LEN(Ramen_Ratings[[#This Row],[Top Ten]])-6))</f>
        <v/>
      </c>
    </row>
    <row r="206" spans="1:11" x14ac:dyDescent="0.25">
      <c r="A206">
        <v>1422</v>
      </c>
      <c r="B206" t="s">
        <v>15</v>
      </c>
      <c r="C206" t="s">
        <v>1406</v>
      </c>
      <c r="D206" t="s">
        <v>30</v>
      </c>
      <c r="E206" t="s">
        <v>17</v>
      </c>
      <c r="F206" t="str">
        <f>VLOOKUP(Ramen_Ratings[[#This Row],[Country]],Country_Region[#All],2,FALSE)</f>
        <v>North America</v>
      </c>
      <c r="G206">
        <v>3</v>
      </c>
      <c r="H206" t="str" cm="1">
        <f t="array" ref="H206">_xlfn.IFS(Ramen_Ratings[[#This Row],[Stars]] = "Unrated", "NA",Ramen_Ratings[[#This Row],[Stars]]&gt;=4, "Good", Ramen_Ratings[[#This Row],[Stars]]&gt;2.5, "Fair", Ramen_Ratings[[#This Row],[Stars]] &gt;= 0, "Bad")</f>
        <v>Fair</v>
      </c>
      <c r="J206" t="str">
        <f>LEFT(Ramen_Ratings[[#This Row],[Top Ten]],4)</f>
        <v/>
      </c>
      <c r="K206" t="str">
        <f>IF(Ramen_Ratings[[#This Row],[Top Ten]]="", "",RIGHT(Ramen_Ratings[[#This Row],[Top Ten]],LEN(Ramen_Ratings[[#This Row],[Top Ten]])-6))</f>
        <v/>
      </c>
    </row>
    <row r="207" spans="1:11" x14ac:dyDescent="0.25">
      <c r="A207">
        <v>1407</v>
      </c>
      <c r="B207" t="s">
        <v>1422</v>
      </c>
      <c r="C207" t="s">
        <v>1423</v>
      </c>
      <c r="D207" t="s">
        <v>13</v>
      </c>
      <c r="E207" t="s">
        <v>17</v>
      </c>
      <c r="F207" t="str">
        <f>VLOOKUP(Ramen_Ratings[[#This Row],[Country]],Country_Region[#All],2,FALSE)</f>
        <v>North America</v>
      </c>
      <c r="G207">
        <v>5</v>
      </c>
      <c r="H207" t="str" cm="1">
        <f t="array" ref="H207">_xlfn.IFS(Ramen_Ratings[[#This Row],[Stars]] = "Unrated", "NA",Ramen_Ratings[[#This Row],[Stars]]&gt;=4, "Good", Ramen_Ratings[[#This Row],[Stars]]&gt;2.5, "Fair", Ramen_Ratings[[#This Row],[Stars]] &gt;= 0, "Bad")</f>
        <v>Good</v>
      </c>
      <c r="J207" t="str">
        <f>LEFT(Ramen_Ratings[[#This Row],[Top Ten]],4)</f>
        <v/>
      </c>
      <c r="K207" t="str">
        <f>IF(Ramen_Ratings[[#This Row],[Top Ten]]="", "",RIGHT(Ramen_Ratings[[#This Row],[Top Ten]],LEN(Ramen_Ratings[[#This Row],[Top Ten]])-6))</f>
        <v/>
      </c>
    </row>
    <row r="208" spans="1:11" x14ac:dyDescent="0.25">
      <c r="A208">
        <v>1395</v>
      </c>
      <c r="B208" t="s">
        <v>1439</v>
      </c>
      <c r="C208" t="s">
        <v>1440</v>
      </c>
      <c r="D208" t="s">
        <v>44</v>
      </c>
      <c r="E208" t="s">
        <v>17</v>
      </c>
      <c r="F208" t="str">
        <f>VLOOKUP(Ramen_Ratings[[#This Row],[Country]],Country_Region[#All],2,FALSE)</f>
        <v>North America</v>
      </c>
      <c r="G208">
        <v>4.25</v>
      </c>
      <c r="H208" t="str" cm="1">
        <f t="array" ref="H208">_xlfn.IFS(Ramen_Ratings[[#This Row],[Stars]] = "Unrated", "NA",Ramen_Ratings[[#This Row],[Stars]]&gt;=4, "Good", Ramen_Ratings[[#This Row],[Stars]]&gt;2.5, "Fair", Ramen_Ratings[[#This Row],[Stars]] &gt;= 0, "Bad")</f>
        <v>Good</v>
      </c>
      <c r="J208" t="str">
        <f>LEFT(Ramen_Ratings[[#This Row],[Top Ten]],4)</f>
        <v/>
      </c>
      <c r="K208" t="str">
        <f>IF(Ramen_Ratings[[#This Row],[Top Ten]]="", "",RIGHT(Ramen_Ratings[[#This Row],[Top Ten]],LEN(Ramen_Ratings[[#This Row],[Top Ten]])-6))</f>
        <v/>
      </c>
    </row>
    <row r="209" spans="1:11" x14ac:dyDescent="0.25">
      <c r="A209">
        <v>1392</v>
      </c>
      <c r="B209" t="s">
        <v>1444</v>
      </c>
      <c r="C209" t="s">
        <v>1445</v>
      </c>
      <c r="D209" t="s">
        <v>13</v>
      </c>
      <c r="E209" t="s">
        <v>17</v>
      </c>
      <c r="F209" t="str">
        <f>VLOOKUP(Ramen_Ratings[[#This Row],[Country]],Country_Region[#All],2,FALSE)</f>
        <v>North America</v>
      </c>
      <c r="G209">
        <v>4</v>
      </c>
      <c r="H209" t="str" cm="1">
        <f t="array" ref="H209">_xlfn.IFS(Ramen_Ratings[[#This Row],[Stars]] = "Unrated", "NA",Ramen_Ratings[[#This Row],[Stars]]&gt;=4, "Good", Ramen_Ratings[[#This Row],[Stars]]&gt;2.5, "Fair", Ramen_Ratings[[#This Row],[Stars]] &gt;= 0, "Bad")</f>
        <v>Good</v>
      </c>
      <c r="J209" t="str">
        <f>LEFT(Ramen_Ratings[[#This Row],[Top Ten]],4)</f>
        <v/>
      </c>
      <c r="K209" t="str">
        <f>IF(Ramen_Ratings[[#This Row],[Top Ten]]="", "",RIGHT(Ramen_Ratings[[#This Row],[Top Ten]],LEN(Ramen_Ratings[[#This Row],[Top Ten]])-6))</f>
        <v/>
      </c>
    </row>
    <row r="210" spans="1:11" x14ac:dyDescent="0.25">
      <c r="A210">
        <v>1366</v>
      </c>
      <c r="B210" t="s">
        <v>41</v>
      </c>
      <c r="C210" t="s">
        <v>1473</v>
      </c>
      <c r="D210" t="s">
        <v>9</v>
      </c>
      <c r="E210" t="s">
        <v>17</v>
      </c>
      <c r="F210" t="str">
        <f>VLOOKUP(Ramen_Ratings[[#This Row],[Country]],Country_Region[#All],2,FALSE)</f>
        <v>North America</v>
      </c>
      <c r="G210">
        <v>4.25</v>
      </c>
      <c r="H210" t="str" cm="1">
        <f t="array" ref="H210">_xlfn.IFS(Ramen_Ratings[[#This Row],[Stars]] = "Unrated", "NA",Ramen_Ratings[[#This Row],[Stars]]&gt;=4, "Good", Ramen_Ratings[[#This Row],[Stars]]&gt;2.5, "Fair", Ramen_Ratings[[#This Row],[Stars]] &gt;= 0, "Bad")</f>
        <v>Good</v>
      </c>
      <c r="J210" t="str">
        <f>LEFT(Ramen_Ratings[[#This Row],[Top Ten]],4)</f>
        <v/>
      </c>
      <c r="K210" t="str">
        <f>IF(Ramen_Ratings[[#This Row],[Top Ten]]="", "",RIGHT(Ramen_Ratings[[#This Row],[Top Ten]],LEN(Ramen_Ratings[[#This Row],[Top Ten]])-6))</f>
        <v/>
      </c>
    </row>
    <row r="211" spans="1:11" x14ac:dyDescent="0.25">
      <c r="A211">
        <v>1345</v>
      </c>
      <c r="B211" t="s">
        <v>1494</v>
      </c>
      <c r="C211" t="s">
        <v>1495</v>
      </c>
      <c r="D211" t="s">
        <v>13</v>
      </c>
      <c r="E211" t="s">
        <v>17</v>
      </c>
      <c r="F211" t="str">
        <f>VLOOKUP(Ramen_Ratings[[#This Row],[Country]],Country_Region[#All],2,FALSE)</f>
        <v>North America</v>
      </c>
      <c r="G211">
        <v>2.25</v>
      </c>
      <c r="H211" t="str" cm="1">
        <f t="array" ref="H211">_xlfn.IFS(Ramen_Ratings[[#This Row],[Stars]] = "Unrated", "NA",Ramen_Ratings[[#This Row],[Stars]]&gt;=4, "Good", Ramen_Ratings[[#This Row],[Stars]]&gt;2.5, "Fair", Ramen_Ratings[[#This Row],[Stars]] &gt;= 0, "Bad")</f>
        <v>Bad</v>
      </c>
      <c r="J211" t="str">
        <f>LEFT(Ramen_Ratings[[#This Row],[Top Ten]],4)</f>
        <v/>
      </c>
      <c r="K211" t="str">
        <f>IF(Ramen_Ratings[[#This Row],[Top Ten]]="", "",RIGHT(Ramen_Ratings[[#This Row],[Top Ten]],LEN(Ramen_Ratings[[#This Row],[Top Ten]])-6))</f>
        <v/>
      </c>
    </row>
    <row r="212" spans="1:11" x14ac:dyDescent="0.25">
      <c r="A212">
        <v>1344</v>
      </c>
      <c r="B212" t="s">
        <v>1494</v>
      </c>
      <c r="C212" t="s">
        <v>1496</v>
      </c>
      <c r="D212" t="s">
        <v>13</v>
      </c>
      <c r="E212" t="s">
        <v>17</v>
      </c>
      <c r="F212" t="str">
        <f>VLOOKUP(Ramen_Ratings[[#This Row],[Country]],Country_Region[#All],2,FALSE)</f>
        <v>North America</v>
      </c>
      <c r="G212">
        <v>4</v>
      </c>
      <c r="H212" t="str" cm="1">
        <f t="array" ref="H212">_xlfn.IFS(Ramen_Ratings[[#This Row],[Stars]] = "Unrated", "NA",Ramen_Ratings[[#This Row],[Stars]]&gt;=4, "Good", Ramen_Ratings[[#This Row],[Stars]]&gt;2.5, "Fair", Ramen_Ratings[[#This Row],[Stars]] &gt;= 0, "Bad")</f>
        <v>Good</v>
      </c>
      <c r="J212" t="str">
        <f>LEFT(Ramen_Ratings[[#This Row],[Top Ten]],4)</f>
        <v/>
      </c>
      <c r="K212" t="str">
        <f>IF(Ramen_Ratings[[#This Row],[Top Ten]]="", "",RIGHT(Ramen_Ratings[[#This Row],[Top Ten]],LEN(Ramen_Ratings[[#This Row],[Top Ten]])-6))</f>
        <v/>
      </c>
    </row>
    <row r="213" spans="1:11" x14ac:dyDescent="0.25">
      <c r="A213">
        <v>1343</v>
      </c>
      <c r="B213" t="s">
        <v>1494</v>
      </c>
      <c r="C213" t="s">
        <v>1497</v>
      </c>
      <c r="D213" t="s">
        <v>13</v>
      </c>
      <c r="E213" t="s">
        <v>17</v>
      </c>
      <c r="F213" t="str">
        <f>VLOOKUP(Ramen_Ratings[[#This Row],[Country]],Country_Region[#All],2,FALSE)</f>
        <v>North America</v>
      </c>
      <c r="G213">
        <v>3.25</v>
      </c>
      <c r="H213" t="str" cm="1">
        <f t="array" ref="H213">_xlfn.IFS(Ramen_Ratings[[#This Row],[Stars]] = "Unrated", "NA",Ramen_Ratings[[#This Row],[Stars]]&gt;=4, "Good", Ramen_Ratings[[#This Row],[Stars]]&gt;2.5, "Fair", Ramen_Ratings[[#This Row],[Stars]] &gt;= 0, "Bad")</f>
        <v>Fair</v>
      </c>
      <c r="J213" t="str">
        <f>LEFT(Ramen_Ratings[[#This Row],[Top Ten]],4)</f>
        <v/>
      </c>
      <c r="K213" t="str">
        <f>IF(Ramen_Ratings[[#This Row],[Top Ten]]="", "",RIGHT(Ramen_Ratings[[#This Row],[Top Ten]],LEN(Ramen_Ratings[[#This Row],[Top Ten]])-6))</f>
        <v/>
      </c>
    </row>
    <row r="214" spans="1:11" x14ac:dyDescent="0.25">
      <c r="A214">
        <v>1337</v>
      </c>
      <c r="B214" t="s">
        <v>1504</v>
      </c>
      <c r="C214" t="s">
        <v>1505</v>
      </c>
      <c r="D214" t="s">
        <v>13</v>
      </c>
      <c r="E214" t="s">
        <v>17</v>
      </c>
      <c r="F214" t="str">
        <f>VLOOKUP(Ramen_Ratings[[#This Row],[Country]],Country_Region[#All],2,FALSE)</f>
        <v>North America</v>
      </c>
      <c r="G214">
        <v>4.25</v>
      </c>
      <c r="H214" t="str" cm="1">
        <f t="array" ref="H214">_xlfn.IFS(Ramen_Ratings[[#This Row],[Stars]] = "Unrated", "NA",Ramen_Ratings[[#This Row],[Stars]]&gt;=4, "Good", Ramen_Ratings[[#This Row],[Stars]]&gt;2.5, "Fair", Ramen_Ratings[[#This Row],[Stars]] &gt;= 0, "Bad")</f>
        <v>Good</v>
      </c>
      <c r="J214" t="str">
        <f>LEFT(Ramen_Ratings[[#This Row],[Top Ten]],4)</f>
        <v/>
      </c>
      <c r="K214" t="str">
        <f>IF(Ramen_Ratings[[#This Row],[Top Ten]]="", "",RIGHT(Ramen_Ratings[[#This Row],[Top Ten]],LEN(Ramen_Ratings[[#This Row],[Top Ten]])-6))</f>
        <v/>
      </c>
    </row>
    <row r="215" spans="1:11" x14ac:dyDescent="0.25">
      <c r="A215">
        <v>1336</v>
      </c>
      <c r="B215" t="s">
        <v>258</v>
      </c>
      <c r="C215" t="s">
        <v>1506</v>
      </c>
      <c r="D215" t="s">
        <v>13</v>
      </c>
      <c r="E215" t="s">
        <v>17</v>
      </c>
      <c r="F215" t="str">
        <f>VLOOKUP(Ramen_Ratings[[#This Row],[Country]],Country_Region[#All],2,FALSE)</f>
        <v>North America</v>
      </c>
      <c r="G215">
        <v>3.75</v>
      </c>
      <c r="H215" t="str" cm="1">
        <f t="array" ref="H215">_xlfn.IFS(Ramen_Ratings[[#This Row],[Stars]] = "Unrated", "NA",Ramen_Ratings[[#This Row],[Stars]]&gt;=4, "Good", Ramen_Ratings[[#This Row],[Stars]]&gt;2.5, "Fair", Ramen_Ratings[[#This Row],[Stars]] &gt;= 0, "Bad")</f>
        <v>Fair</v>
      </c>
      <c r="J215" t="str">
        <f>LEFT(Ramen_Ratings[[#This Row],[Top Ten]],4)</f>
        <v/>
      </c>
      <c r="K215" t="str">
        <f>IF(Ramen_Ratings[[#This Row],[Top Ten]]="", "",RIGHT(Ramen_Ratings[[#This Row],[Top Ten]],LEN(Ramen_Ratings[[#This Row],[Top Ten]])-6))</f>
        <v/>
      </c>
    </row>
    <row r="216" spans="1:11" x14ac:dyDescent="0.25">
      <c r="A216">
        <v>1335</v>
      </c>
      <c r="B216" t="s">
        <v>1504</v>
      </c>
      <c r="C216" t="s">
        <v>1507</v>
      </c>
      <c r="D216" t="s">
        <v>13</v>
      </c>
      <c r="E216" t="s">
        <v>17</v>
      </c>
      <c r="F216" t="str">
        <f>VLOOKUP(Ramen_Ratings[[#This Row],[Country]],Country_Region[#All],2,FALSE)</f>
        <v>North America</v>
      </c>
      <c r="G216">
        <v>4</v>
      </c>
      <c r="H216" t="str" cm="1">
        <f t="array" ref="H216">_xlfn.IFS(Ramen_Ratings[[#This Row],[Stars]] = "Unrated", "NA",Ramen_Ratings[[#This Row],[Stars]]&gt;=4, "Good", Ramen_Ratings[[#This Row],[Stars]]&gt;2.5, "Fair", Ramen_Ratings[[#This Row],[Stars]] &gt;= 0, "Bad")</f>
        <v>Good</v>
      </c>
      <c r="J216" t="str">
        <f>LEFT(Ramen_Ratings[[#This Row],[Top Ten]],4)</f>
        <v/>
      </c>
      <c r="K216" t="str">
        <f>IF(Ramen_Ratings[[#This Row],[Top Ten]]="", "",RIGHT(Ramen_Ratings[[#This Row],[Top Ten]],LEN(Ramen_Ratings[[#This Row],[Top Ten]])-6))</f>
        <v/>
      </c>
    </row>
    <row r="217" spans="1:11" x14ac:dyDescent="0.25">
      <c r="A217">
        <v>1334</v>
      </c>
      <c r="B217" t="s">
        <v>1504</v>
      </c>
      <c r="C217" t="s">
        <v>1508</v>
      </c>
      <c r="D217" t="s">
        <v>13</v>
      </c>
      <c r="E217" t="s">
        <v>17</v>
      </c>
      <c r="F217" t="str">
        <f>VLOOKUP(Ramen_Ratings[[#This Row],[Country]],Country_Region[#All],2,FALSE)</f>
        <v>North America</v>
      </c>
      <c r="G217">
        <v>3.75</v>
      </c>
      <c r="H217" t="str" cm="1">
        <f t="array" ref="H217">_xlfn.IFS(Ramen_Ratings[[#This Row],[Stars]] = "Unrated", "NA",Ramen_Ratings[[#This Row],[Stars]]&gt;=4, "Good", Ramen_Ratings[[#This Row],[Stars]]&gt;2.5, "Fair", Ramen_Ratings[[#This Row],[Stars]] &gt;= 0, "Bad")</f>
        <v>Fair</v>
      </c>
      <c r="J217" t="str">
        <f>LEFT(Ramen_Ratings[[#This Row],[Top Ten]],4)</f>
        <v/>
      </c>
      <c r="K217" t="str">
        <f>IF(Ramen_Ratings[[#This Row],[Top Ten]]="", "",RIGHT(Ramen_Ratings[[#This Row],[Top Ten]],LEN(Ramen_Ratings[[#This Row],[Top Ten]])-6))</f>
        <v/>
      </c>
    </row>
    <row r="218" spans="1:11" x14ac:dyDescent="0.25">
      <c r="A218">
        <v>1333</v>
      </c>
      <c r="B218" t="s">
        <v>1504</v>
      </c>
      <c r="C218" t="s">
        <v>1509</v>
      </c>
      <c r="D218" t="s">
        <v>13</v>
      </c>
      <c r="E218" t="s">
        <v>17</v>
      </c>
      <c r="F218" t="str">
        <f>VLOOKUP(Ramen_Ratings[[#This Row],[Country]],Country_Region[#All],2,FALSE)</f>
        <v>North America</v>
      </c>
      <c r="G218">
        <v>3.75</v>
      </c>
      <c r="H218" t="str" cm="1">
        <f t="array" ref="H218">_xlfn.IFS(Ramen_Ratings[[#This Row],[Stars]] = "Unrated", "NA",Ramen_Ratings[[#This Row],[Stars]]&gt;=4, "Good", Ramen_Ratings[[#This Row],[Stars]]&gt;2.5, "Fair", Ramen_Ratings[[#This Row],[Stars]] &gt;= 0, "Bad")</f>
        <v>Fair</v>
      </c>
      <c r="J218" t="str">
        <f>LEFT(Ramen_Ratings[[#This Row],[Top Ten]],4)</f>
        <v/>
      </c>
      <c r="K218" t="str">
        <f>IF(Ramen_Ratings[[#This Row],[Top Ten]]="", "",RIGHT(Ramen_Ratings[[#This Row],[Top Ten]],LEN(Ramen_Ratings[[#This Row],[Top Ten]])-6))</f>
        <v/>
      </c>
    </row>
    <row r="219" spans="1:11" x14ac:dyDescent="0.25">
      <c r="A219">
        <v>1332</v>
      </c>
      <c r="B219" t="s">
        <v>1504</v>
      </c>
      <c r="C219" t="s">
        <v>1510</v>
      </c>
      <c r="D219" t="s">
        <v>13</v>
      </c>
      <c r="E219" t="s">
        <v>17</v>
      </c>
      <c r="F219" t="str">
        <f>VLOOKUP(Ramen_Ratings[[#This Row],[Country]],Country_Region[#All],2,FALSE)</f>
        <v>North America</v>
      </c>
      <c r="G219">
        <v>3.75</v>
      </c>
      <c r="H219" t="str" cm="1">
        <f t="array" ref="H219">_xlfn.IFS(Ramen_Ratings[[#This Row],[Stars]] = "Unrated", "NA",Ramen_Ratings[[#This Row],[Stars]]&gt;=4, "Good", Ramen_Ratings[[#This Row],[Stars]]&gt;2.5, "Fair", Ramen_Ratings[[#This Row],[Stars]] &gt;= 0, "Bad")</f>
        <v>Fair</v>
      </c>
      <c r="J219" t="str">
        <f>LEFT(Ramen_Ratings[[#This Row],[Top Ten]],4)</f>
        <v/>
      </c>
      <c r="K219" t="str">
        <f>IF(Ramen_Ratings[[#This Row],[Top Ten]]="", "",RIGHT(Ramen_Ratings[[#This Row],[Top Ten]],LEN(Ramen_Ratings[[#This Row],[Top Ten]])-6))</f>
        <v/>
      </c>
    </row>
    <row r="220" spans="1:11" x14ac:dyDescent="0.25">
      <c r="A220">
        <v>1310</v>
      </c>
      <c r="B220" t="s">
        <v>1533</v>
      </c>
      <c r="C220" t="s">
        <v>1534</v>
      </c>
      <c r="D220" t="s">
        <v>30</v>
      </c>
      <c r="E220" t="s">
        <v>17</v>
      </c>
      <c r="F220" t="str">
        <f>VLOOKUP(Ramen_Ratings[[#This Row],[Country]],Country_Region[#All],2,FALSE)</f>
        <v>North America</v>
      </c>
      <c r="G220">
        <v>3</v>
      </c>
      <c r="H220" t="str" cm="1">
        <f t="array" ref="H220">_xlfn.IFS(Ramen_Ratings[[#This Row],[Stars]] = "Unrated", "NA",Ramen_Ratings[[#This Row],[Stars]]&gt;=4, "Good", Ramen_Ratings[[#This Row],[Stars]]&gt;2.5, "Fair", Ramen_Ratings[[#This Row],[Stars]] &gt;= 0, "Bad")</f>
        <v>Fair</v>
      </c>
      <c r="J220" t="str">
        <f>LEFT(Ramen_Ratings[[#This Row],[Top Ten]],4)</f>
        <v/>
      </c>
      <c r="K220" t="str">
        <f>IF(Ramen_Ratings[[#This Row],[Top Ten]]="", "",RIGHT(Ramen_Ratings[[#This Row],[Top Ten]],LEN(Ramen_Ratings[[#This Row],[Top Ten]])-6))</f>
        <v/>
      </c>
    </row>
    <row r="221" spans="1:11" x14ac:dyDescent="0.25">
      <c r="A221">
        <v>1284</v>
      </c>
      <c r="B221" t="s">
        <v>1533</v>
      </c>
      <c r="C221" t="s">
        <v>1564</v>
      </c>
      <c r="D221" t="s">
        <v>30</v>
      </c>
      <c r="E221" t="s">
        <v>17</v>
      </c>
      <c r="F221" t="str">
        <f>VLOOKUP(Ramen_Ratings[[#This Row],[Country]],Country_Region[#All],2,FALSE)</f>
        <v>North America</v>
      </c>
      <c r="G221">
        <v>4.25</v>
      </c>
      <c r="H221" t="str" cm="1">
        <f t="array" ref="H221">_xlfn.IFS(Ramen_Ratings[[#This Row],[Stars]] = "Unrated", "NA",Ramen_Ratings[[#This Row],[Stars]]&gt;=4, "Good", Ramen_Ratings[[#This Row],[Stars]]&gt;2.5, "Fair", Ramen_Ratings[[#This Row],[Stars]] &gt;= 0, "Bad")</f>
        <v>Good</v>
      </c>
      <c r="J221" t="str">
        <f>LEFT(Ramen_Ratings[[#This Row],[Top Ten]],4)</f>
        <v/>
      </c>
      <c r="K221" t="str">
        <f>IF(Ramen_Ratings[[#This Row],[Top Ten]]="", "",RIGHT(Ramen_Ratings[[#This Row],[Top Ten]],LEN(Ramen_Ratings[[#This Row],[Top Ten]])-6))</f>
        <v/>
      </c>
    </row>
    <row r="222" spans="1:11" x14ac:dyDescent="0.25">
      <c r="A222">
        <v>1253</v>
      </c>
      <c r="B222" t="s">
        <v>15</v>
      </c>
      <c r="C222" t="s">
        <v>1599</v>
      </c>
      <c r="D222" t="s">
        <v>30</v>
      </c>
      <c r="E222" t="s">
        <v>17</v>
      </c>
      <c r="F222" t="str">
        <f>VLOOKUP(Ramen_Ratings[[#This Row],[Country]],Country_Region[#All],2,FALSE)</f>
        <v>North America</v>
      </c>
      <c r="G222">
        <v>3.75</v>
      </c>
      <c r="H222" t="str" cm="1">
        <f t="array" ref="H222">_xlfn.IFS(Ramen_Ratings[[#This Row],[Stars]] = "Unrated", "NA",Ramen_Ratings[[#This Row],[Stars]]&gt;=4, "Good", Ramen_Ratings[[#This Row],[Stars]]&gt;2.5, "Fair", Ramen_Ratings[[#This Row],[Stars]] &gt;= 0, "Bad")</f>
        <v>Fair</v>
      </c>
      <c r="J222" t="str">
        <f>LEFT(Ramen_Ratings[[#This Row],[Top Ten]],4)</f>
        <v/>
      </c>
      <c r="K222" t="str">
        <f>IF(Ramen_Ratings[[#This Row],[Top Ten]]="", "",RIGHT(Ramen_Ratings[[#This Row],[Top Ten]],LEN(Ramen_Ratings[[#This Row],[Top Ten]])-6))</f>
        <v/>
      </c>
    </row>
    <row r="223" spans="1:11" x14ac:dyDescent="0.25">
      <c r="A223">
        <v>1246</v>
      </c>
      <c r="B223" t="s">
        <v>1422</v>
      </c>
      <c r="C223" t="s">
        <v>1606</v>
      </c>
      <c r="D223" t="s">
        <v>13</v>
      </c>
      <c r="E223" t="s">
        <v>17</v>
      </c>
      <c r="F223" t="str">
        <f>VLOOKUP(Ramen_Ratings[[#This Row],[Country]],Country_Region[#All],2,FALSE)</f>
        <v>North America</v>
      </c>
      <c r="G223">
        <v>4</v>
      </c>
      <c r="H223" t="str" cm="1">
        <f t="array" ref="H223">_xlfn.IFS(Ramen_Ratings[[#This Row],[Stars]] = "Unrated", "NA",Ramen_Ratings[[#This Row],[Stars]]&gt;=4, "Good", Ramen_Ratings[[#This Row],[Stars]]&gt;2.5, "Fair", Ramen_Ratings[[#This Row],[Stars]] &gt;= 0, "Bad")</f>
        <v>Good</v>
      </c>
      <c r="J223" t="str">
        <f>LEFT(Ramen_Ratings[[#This Row],[Top Ten]],4)</f>
        <v/>
      </c>
      <c r="K223" t="str">
        <f>IF(Ramen_Ratings[[#This Row],[Top Ten]]="", "",RIGHT(Ramen_Ratings[[#This Row],[Top Ten]],LEN(Ramen_Ratings[[#This Row],[Top Ten]])-6))</f>
        <v/>
      </c>
    </row>
    <row r="224" spans="1:11" x14ac:dyDescent="0.25">
      <c r="A224">
        <v>1242</v>
      </c>
      <c r="B224" t="s">
        <v>1281</v>
      </c>
      <c r="C224" t="s">
        <v>1610</v>
      </c>
      <c r="D224" t="s">
        <v>30</v>
      </c>
      <c r="E224" t="s">
        <v>17</v>
      </c>
      <c r="F224" t="str">
        <f>VLOOKUP(Ramen_Ratings[[#This Row],[Country]],Country_Region[#All],2,FALSE)</f>
        <v>North America</v>
      </c>
      <c r="G224">
        <v>4</v>
      </c>
      <c r="H224" t="str" cm="1">
        <f t="array" ref="H224">_xlfn.IFS(Ramen_Ratings[[#This Row],[Stars]] = "Unrated", "NA",Ramen_Ratings[[#This Row],[Stars]]&gt;=4, "Good", Ramen_Ratings[[#This Row],[Stars]]&gt;2.5, "Fair", Ramen_Ratings[[#This Row],[Stars]] &gt;= 0, "Bad")</f>
        <v>Good</v>
      </c>
      <c r="J224" t="str">
        <f>LEFT(Ramen_Ratings[[#This Row],[Top Ten]],4)</f>
        <v/>
      </c>
      <c r="K224" t="str">
        <f>IF(Ramen_Ratings[[#This Row],[Top Ten]]="", "",RIGHT(Ramen_Ratings[[#This Row],[Top Ten]],LEN(Ramen_Ratings[[#This Row],[Top Ten]])-6))</f>
        <v/>
      </c>
    </row>
    <row r="225" spans="1:11" x14ac:dyDescent="0.25">
      <c r="A225">
        <v>1225</v>
      </c>
      <c r="B225" t="s">
        <v>15</v>
      </c>
      <c r="C225" t="s">
        <v>1629</v>
      </c>
      <c r="D225" t="s">
        <v>30</v>
      </c>
      <c r="E225" t="s">
        <v>17</v>
      </c>
      <c r="F225" t="str">
        <f>VLOOKUP(Ramen_Ratings[[#This Row],[Country]],Country_Region[#All],2,FALSE)</f>
        <v>North America</v>
      </c>
      <c r="G225">
        <v>3.75</v>
      </c>
      <c r="H225" t="str" cm="1">
        <f t="array" ref="H225">_xlfn.IFS(Ramen_Ratings[[#This Row],[Stars]] = "Unrated", "NA",Ramen_Ratings[[#This Row],[Stars]]&gt;=4, "Good", Ramen_Ratings[[#This Row],[Stars]]&gt;2.5, "Fair", Ramen_Ratings[[#This Row],[Stars]] &gt;= 0, "Bad")</f>
        <v>Fair</v>
      </c>
      <c r="J225" t="str">
        <f>LEFT(Ramen_Ratings[[#This Row],[Top Ten]],4)</f>
        <v/>
      </c>
      <c r="K225" t="str">
        <f>IF(Ramen_Ratings[[#This Row],[Top Ten]]="", "",RIGHT(Ramen_Ratings[[#This Row],[Top Ten]],LEN(Ramen_Ratings[[#This Row],[Top Ten]])-6))</f>
        <v/>
      </c>
    </row>
    <row r="226" spans="1:11" x14ac:dyDescent="0.25">
      <c r="A226">
        <v>1196</v>
      </c>
      <c r="B226" t="s">
        <v>15</v>
      </c>
      <c r="C226" t="s">
        <v>1661</v>
      </c>
      <c r="D226" t="s">
        <v>44</v>
      </c>
      <c r="E226" t="s">
        <v>17</v>
      </c>
      <c r="F226" t="str">
        <f>VLOOKUP(Ramen_Ratings[[#This Row],[Country]],Country_Region[#All],2,FALSE)</f>
        <v>North America</v>
      </c>
      <c r="G226">
        <v>3.5</v>
      </c>
      <c r="H226" t="str" cm="1">
        <f t="array" ref="H226">_xlfn.IFS(Ramen_Ratings[[#This Row],[Stars]] = "Unrated", "NA",Ramen_Ratings[[#This Row],[Stars]]&gt;=4, "Good", Ramen_Ratings[[#This Row],[Stars]]&gt;2.5, "Fair", Ramen_Ratings[[#This Row],[Stars]] &gt;= 0, "Bad")</f>
        <v>Fair</v>
      </c>
      <c r="J226" t="str">
        <f>LEFT(Ramen_Ratings[[#This Row],[Top Ten]],4)</f>
        <v/>
      </c>
      <c r="K226" t="str">
        <f>IF(Ramen_Ratings[[#This Row],[Top Ten]]="", "",RIGHT(Ramen_Ratings[[#This Row],[Top Ten]],LEN(Ramen_Ratings[[#This Row],[Top Ten]])-6))</f>
        <v/>
      </c>
    </row>
    <row r="227" spans="1:11" x14ac:dyDescent="0.25">
      <c r="A227">
        <v>1178</v>
      </c>
      <c r="B227" t="s">
        <v>41</v>
      </c>
      <c r="C227" t="s">
        <v>1681</v>
      </c>
      <c r="D227" t="s">
        <v>9</v>
      </c>
      <c r="E227" t="s">
        <v>17</v>
      </c>
      <c r="F227" t="str">
        <f>VLOOKUP(Ramen_Ratings[[#This Row],[Country]],Country_Region[#All],2,FALSE)</f>
        <v>North America</v>
      </c>
      <c r="G227">
        <v>5</v>
      </c>
      <c r="H227" t="str" cm="1">
        <f t="array" ref="H227">_xlfn.IFS(Ramen_Ratings[[#This Row],[Stars]] = "Unrated", "NA",Ramen_Ratings[[#This Row],[Stars]]&gt;=4, "Good", Ramen_Ratings[[#This Row],[Stars]]&gt;2.5, "Fair", Ramen_Ratings[[#This Row],[Stars]] &gt;= 0, "Bad")</f>
        <v>Good</v>
      </c>
      <c r="J227" t="str">
        <f>LEFT(Ramen_Ratings[[#This Row],[Top Ten]],4)</f>
        <v/>
      </c>
      <c r="K227" t="str">
        <f>IF(Ramen_Ratings[[#This Row],[Top Ten]]="", "",RIGHT(Ramen_Ratings[[#This Row],[Top Ten]],LEN(Ramen_Ratings[[#This Row],[Top Ten]])-6))</f>
        <v/>
      </c>
    </row>
    <row r="228" spans="1:11" x14ac:dyDescent="0.25">
      <c r="A228">
        <v>1172</v>
      </c>
      <c r="B228" t="s">
        <v>677</v>
      </c>
      <c r="C228" t="s">
        <v>1687</v>
      </c>
      <c r="D228" t="s">
        <v>13</v>
      </c>
      <c r="E228" t="s">
        <v>17</v>
      </c>
      <c r="F228" t="str">
        <f>VLOOKUP(Ramen_Ratings[[#This Row],[Country]],Country_Region[#All],2,FALSE)</f>
        <v>North America</v>
      </c>
      <c r="G228">
        <v>2.75</v>
      </c>
      <c r="H228" t="str" cm="1">
        <f t="array" ref="H228">_xlfn.IFS(Ramen_Ratings[[#This Row],[Stars]] = "Unrated", "NA",Ramen_Ratings[[#This Row],[Stars]]&gt;=4, "Good", Ramen_Ratings[[#This Row],[Stars]]&gt;2.5, "Fair", Ramen_Ratings[[#This Row],[Stars]] &gt;= 0, "Bad")</f>
        <v>Fair</v>
      </c>
      <c r="J228" t="str">
        <f>LEFT(Ramen_Ratings[[#This Row],[Top Ten]],4)</f>
        <v/>
      </c>
      <c r="K228" t="str">
        <f>IF(Ramen_Ratings[[#This Row],[Top Ten]]="", "",RIGHT(Ramen_Ratings[[#This Row],[Top Ten]],LEN(Ramen_Ratings[[#This Row],[Top Ten]])-6))</f>
        <v/>
      </c>
    </row>
    <row r="229" spans="1:11" x14ac:dyDescent="0.25">
      <c r="A229">
        <v>1165</v>
      </c>
      <c r="B229" t="s">
        <v>15</v>
      </c>
      <c r="C229" t="s">
        <v>1693</v>
      </c>
      <c r="D229" t="s">
        <v>30</v>
      </c>
      <c r="E229" t="s">
        <v>17</v>
      </c>
      <c r="F229" t="str">
        <f>VLOOKUP(Ramen_Ratings[[#This Row],[Country]],Country_Region[#All],2,FALSE)</f>
        <v>North America</v>
      </c>
      <c r="G229">
        <v>3.75</v>
      </c>
      <c r="H229" t="str" cm="1">
        <f t="array" ref="H229">_xlfn.IFS(Ramen_Ratings[[#This Row],[Stars]] = "Unrated", "NA",Ramen_Ratings[[#This Row],[Stars]]&gt;=4, "Good", Ramen_Ratings[[#This Row],[Stars]]&gt;2.5, "Fair", Ramen_Ratings[[#This Row],[Stars]] &gt;= 0, "Bad")</f>
        <v>Fair</v>
      </c>
      <c r="J229" t="str">
        <f>LEFT(Ramen_Ratings[[#This Row],[Top Ten]],4)</f>
        <v/>
      </c>
      <c r="K229" t="str">
        <f>IF(Ramen_Ratings[[#This Row],[Top Ten]]="", "",RIGHT(Ramen_Ratings[[#This Row],[Top Ten]],LEN(Ramen_Ratings[[#This Row],[Top Ten]])-6))</f>
        <v/>
      </c>
    </row>
    <row r="230" spans="1:11" x14ac:dyDescent="0.25">
      <c r="A230">
        <v>1155</v>
      </c>
      <c r="B230" t="s">
        <v>1704</v>
      </c>
      <c r="C230" t="s">
        <v>1705</v>
      </c>
      <c r="D230" t="s">
        <v>1706</v>
      </c>
      <c r="E230" t="s">
        <v>17</v>
      </c>
      <c r="F230" t="str">
        <f>VLOOKUP(Ramen_Ratings[[#This Row],[Country]],Country_Region[#All],2,FALSE)</f>
        <v>North America</v>
      </c>
      <c r="G230">
        <v>5</v>
      </c>
      <c r="H230" t="str" cm="1">
        <f t="array" ref="H230">_xlfn.IFS(Ramen_Ratings[[#This Row],[Stars]] = "Unrated", "NA",Ramen_Ratings[[#This Row],[Stars]]&gt;=4, "Good", Ramen_Ratings[[#This Row],[Stars]]&gt;2.5, "Fair", Ramen_Ratings[[#This Row],[Stars]] &gt;= 0, "Bad")</f>
        <v>Good</v>
      </c>
      <c r="J230" t="str">
        <f>LEFT(Ramen_Ratings[[#This Row],[Top Ten]],4)</f>
        <v/>
      </c>
      <c r="K230" t="str">
        <f>IF(Ramen_Ratings[[#This Row],[Top Ten]]="", "",RIGHT(Ramen_Ratings[[#This Row],[Top Ten]],LEN(Ramen_Ratings[[#This Row],[Top Ten]])-6))</f>
        <v/>
      </c>
    </row>
    <row r="231" spans="1:11" x14ac:dyDescent="0.25">
      <c r="A231">
        <v>1130</v>
      </c>
      <c r="B231" t="s">
        <v>15</v>
      </c>
      <c r="C231" t="s">
        <v>1730</v>
      </c>
      <c r="D231" t="s">
        <v>9</v>
      </c>
      <c r="E231" t="s">
        <v>17</v>
      </c>
      <c r="F231" t="str">
        <f>VLOOKUP(Ramen_Ratings[[#This Row],[Country]],Country_Region[#All],2,FALSE)</f>
        <v>North America</v>
      </c>
      <c r="G231">
        <v>3.5</v>
      </c>
      <c r="H231" t="str" cm="1">
        <f t="array" ref="H231">_xlfn.IFS(Ramen_Ratings[[#This Row],[Stars]] = "Unrated", "NA",Ramen_Ratings[[#This Row],[Stars]]&gt;=4, "Good", Ramen_Ratings[[#This Row],[Stars]]&gt;2.5, "Fair", Ramen_Ratings[[#This Row],[Stars]] &gt;= 0, "Bad")</f>
        <v>Fair</v>
      </c>
      <c r="J231" t="str">
        <f>LEFT(Ramen_Ratings[[#This Row],[Top Ten]],4)</f>
        <v/>
      </c>
      <c r="K231" t="str">
        <f>IF(Ramen_Ratings[[#This Row],[Top Ten]]="", "",RIGHT(Ramen_Ratings[[#This Row],[Top Ten]],LEN(Ramen_Ratings[[#This Row],[Top Ten]])-6))</f>
        <v/>
      </c>
    </row>
    <row r="232" spans="1:11" x14ac:dyDescent="0.25">
      <c r="A232">
        <v>1125</v>
      </c>
      <c r="B232" t="s">
        <v>183</v>
      </c>
      <c r="C232" t="s">
        <v>1735</v>
      </c>
      <c r="D232" t="s">
        <v>13</v>
      </c>
      <c r="E232" t="s">
        <v>17</v>
      </c>
      <c r="F232" t="str">
        <f>VLOOKUP(Ramen_Ratings[[#This Row],[Country]],Country_Region[#All],2,FALSE)</f>
        <v>North America</v>
      </c>
      <c r="G232">
        <v>5</v>
      </c>
      <c r="H232" t="str" cm="1">
        <f t="array" ref="H232">_xlfn.IFS(Ramen_Ratings[[#This Row],[Stars]] = "Unrated", "NA",Ramen_Ratings[[#This Row],[Stars]]&gt;=4, "Good", Ramen_Ratings[[#This Row],[Stars]]&gt;2.5, "Fair", Ramen_Ratings[[#This Row],[Stars]] &gt;= 0, "Bad")</f>
        <v>Good</v>
      </c>
      <c r="J232" t="str">
        <f>LEFT(Ramen_Ratings[[#This Row],[Top Ten]],4)</f>
        <v/>
      </c>
      <c r="K232" t="str">
        <f>IF(Ramen_Ratings[[#This Row],[Top Ten]]="", "",RIGHT(Ramen_Ratings[[#This Row],[Top Ten]],LEN(Ramen_Ratings[[#This Row],[Top Ten]])-6))</f>
        <v/>
      </c>
    </row>
    <row r="233" spans="1:11" x14ac:dyDescent="0.25">
      <c r="A233">
        <v>1117</v>
      </c>
      <c r="B233" t="s">
        <v>1281</v>
      </c>
      <c r="C233" t="s">
        <v>1744</v>
      </c>
      <c r="D233" t="s">
        <v>30</v>
      </c>
      <c r="E233" t="s">
        <v>17</v>
      </c>
      <c r="F233" t="str">
        <f>VLOOKUP(Ramen_Ratings[[#This Row],[Country]],Country_Region[#All],2,FALSE)</f>
        <v>North America</v>
      </c>
      <c r="G233">
        <v>4.25</v>
      </c>
      <c r="H233" t="str" cm="1">
        <f t="array" ref="H233">_xlfn.IFS(Ramen_Ratings[[#This Row],[Stars]] = "Unrated", "NA",Ramen_Ratings[[#This Row],[Stars]]&gt;=4, "Good", Ramen_Ratings[[#This Row],[Stars]]&gt;2.5, "Fair", Ramen_Ratings[[#This Row],[Stars]] &gt;= 0, "Bad")</f>
        <v>Good</v>
      </c>
      <c r="J233" t="str">
        <f>LEFT(Ramen_Ratings[[#This Row],[Top Ten]],4)</f>
        <v/>
      </c>
      <c r="K233" t="str">
        <f>IF(Ramen_Ratings[[#This Row],[Top Ten]]="", "",RIGHT(Ramen_Ratings[[#This Row],[Top Ten]],LEN(Ramen_Ratings[[#This Row],[Top Ten]])-6))</f>
        <v/>
      </c>
    </row>
    <row r="234" spans="1:11" x14ac:dyDescent="0.25">
      <c r="A234">
        <v>1115</v>
      </c>
      <c r="B234" t="s">
        <v>15</v>
      </c>
      <c r="C234" t="s">
        <v>1746</v>
      </c>
      <c r="D234" t="s">
        <v>30</v>
      </c>
      <c r="E234" t="s">
        <v>17</v>
      </c>
      <c r="F234" t="str">
        <f>VLOOKUP(Ramen_Ratings[[#This Row],[Country]],Country_Region[#All],2,FALSE)</f>
        <v>North America</v>
      </c>
      <c r="G234">
        <v>3.75</v>
      </c>
      <c r="H234" t="str" cm="1">
        <f t="array" ref="H234">_xlfn.IFS(Ramen_Ratings[[#This Row],[Stars]] = "Unrated", "NA",Ramen_Ratings[[#This Row],[Stars]]&gt;=4, "Good", Ramen_Ratings[[#This Row],[Stars]]&gt;2.5, "Fair", Ramen_Ratings[[#This Row],[Stars]] &gt;= 0, "Bad")</f>
        <v>Fair</v>
      </c>
      <c r="J234" t="str">
        <f>LEFT(Ramen_Ratings[[#This Row],[Top Ten]],4)</f>
        <v/>
      </c>
      <c r="K234" t="str">
        <f>IF(Ramen_Ratings[[#This Row],[Top Ten]]="", "",RIGHT(Ramen_Ratings[[#This Row],[Top Ten]],LEN(Ramen_Ratings[[#This Row],[Top Ten]])-6))</f>
        <v/>
      </c>
    </row>
    <row r="235" spans="1:11" x14ac:dyDescent="0.25">
      <c r="A235">
        <v>1066</v>
      </c>
      <c r="B235" t="s">
        <v>1798</v>
      </c>
      <c r="C235" t="s">
        <v>1799</v>
      </c>
      <c r="D235" t="s">
        <v>13</v>
      </c>
      <c r="E235" t="s">
        <v>17</v>
      </c>
      <c r="F235" t="str">
        <f>VLOOKUP(Ramen_Ratings[[#This Row],[Country]],Country_Region[#All],2,FALSE)</f>
        <v>North America</v>
      </c>
      <c r="G235">
        <v>3.5</v>
      </c>
      <c r="H235" t="str" cm="1">
        <f t="array" ref="H235">_xlfn.IFS(Ramen_Ratings[[#This Row],[Stars]] = "Unrated", "NA",Ramen_Ratings[[#This Row],[Stars]]&gt;=4, "Good", Ramen_Ratings[[#This Row],[Stars]]&gt;2.5, "Fair", Ramen_Ratings[[#This Row],[Stars]] &gt;= 0, "Bad")</f>
        <v>Fair</v>
      </c>
      <c r="J235" t="str">
        <f>LEFT(Ramen_Ratings[[#This Row],[Top Ten]],4)</f>
        <v/>
      </c>
      <c r="K235" t="str">
        <f>IF(Ramen_Ratings[[#This Row],[Top Ten]]="", "",RIGHT(Ramen_Ratings[[#This Row],[Top Ten]],LEN(Ramen_Ratings[[#This Row],[Top Ten]])-6))</f>
        <v/>
      </c>
    </row>
    <row r="236" spans="1:11" x14ac:dyDescent="0.25">
      <c r="A236">
        <v>1065</v>
      </c>
      <c r="B236" t="s">
        <v>1798</v>
      </c>
      <c r="C236" t="s">
        <v>1800</v>
      </c>
      <c r="D236" t="s">
        <v>13</v>
      </c>
      <c r="E236" t="s">
        <v>17</v>
      </c>
      <c r="F236" t="str">
        <f>VLOOKUP(Ramen_Ratings[[#This Row],[Country]],Country_Region[#All],2,FALSE)</f>
        <v>North America</v>
      </c>
      <c r="G236">
        <v>4.25</v>
      </c>
      <c r="H236" t="str" cm="1">
        <f t="array" ref="H236">_xlfn.IFS(Ramen_Ratings[[#This Row],[Stars]] = "Unrated", "NA",Ramen_Ratings[[#This Row],[Stars]]&gt;=4, "Good", Ramen_Ratings[[#This Row],[Stars]]&gt;2.5, "Fair", Ramen_Ratings[[#This Row],[Stars]] &gt;= 0, "Bad")</f>
        <v>Good</v>
      </c>
      <c r="J236" t="str">
        <f>LEFT(Ramen_Ratings[[#This Row],[Top Ten]],4)</f>
        <v/>
      </c>
      <c r="K236" t="str">
        <f>IF(Ramen_Ratings[[#This Row],[Top Ten]]="", "",RIGHT(Ramen_Ratings[[#This Row],[Top Ten]],LEN(Ramen_Ratings[[#This Row],[Top Ten]])-6))</f>
        <v/>
      </c>
    </row>
    <row r="237" spans="1:11" x14ac:dyDescent="0.25">
      <c r="A237">
        <v>1064</v>
      </c>
      <c r="B237" t="s">
        <v>1798</v>
      </c>
      <c r="C237" t="s">
        <v>1801</v>
      </c>
      <c r="D237" t="s">
        <v>13</v>
      </c>
      <c r="E237" t="s">
        <v>17</v>
      </c>
      <c r="F237" t="str">
        <f>VLOOKUP(Ramen_Ratings[[#This Row],[Country]],Country_Region[#All],2,FALSE)</f>
        <v>North America</v>
      </c>
      <c r="G237">
        <v>4</v>
      </c>
      <c r="H237" t="str" cm="1">
        <f t="array" ref="H237">_xlfn.IFS(Ramen_Ratings[[#This Row],[Stars]] = "Unrated", "NA",Ramen_Ratings[[#This Row],[Stars]]&gt;=4, "Good", Ramen_Ratings[[#This Row],[Stars]]&gt;2.5, "Fair", Ramen_Ratings[[#This Row],[Stars]] &gt;= 0, "Bad")</f>
        <v>Good</v>
      </c>
      <c r="J237" t="str">
        <f>LEFT(Ramen_Ratings[[#This Row],[Top Ten]],4)</f>
        <v/>
      </c>
      <c r="K237" t="str">
        <f>IF(Ramen_Ratings[[#This Row],[Top Ten]]="", "",RIGHT(Ramen_Ratings[[#This Row],[Top Ten]],LEN(Ramen_Ratings[[#This Row],[Top Ten]])-6))</f>
        <v/>
      </c>
    </row>
    <row r="238" spans="1:11" x14ac:dyDescent="0.25">
      <c r="A238">
        <v>1063</v>
      </c>
      <c r="B238" t="s">
        <v>1798</v>
      </c>
      <c r="C238" t="s">
        <v>1802</v>
      </c>
      <c r="D238" t="s">
        <v>13</v>
      </c>
      <c r="E238" t="s">
        <v>17</v>
      </c>
      <c r="F238" t="str">
        <f>VLOOKUP(Ramen_Ratings[[#This Row],[Country]],Country_Region[#All],2,FALSE)</f>
        <v>North America</v>
      </c>
      <c r="G238">
        <v>3.75</v>
      </c>
      <c r="H238" t="str" cm="1">
        <f t="array" ref="H238">_xlfn.IFS(Ramen_Ratings[[#This Row],[Stars]] = "Unrated", "NA",Ramen_Ratings[[#This Row],[Stars]]&gt;=4, "Good", Ramen_Ratings[[#This Row],[Stars]]&gt;2.5, "Fair", Ramen_Ratings[[#This Row],[Stars]] &gt;= 0, "Bad")</f>
        <v>Fair</v>
      </c>
      <c r="J238" t="str">
        <f>LEFT(Ramen_Ratings[[#This Row],[Top Ten]],4)</f>
        <v/>
      </c>
      <c r="K238" t="str">
        <f>IF(Ramen_Ratings[[#This Row],[Top Ten]]="", "",RIGHT(Ramen_Ratings[[#This Row],[Top Ten]],LEN(Ramen_Ratings[[#This Row],[Top Ten]])-6))</f>
        <v/>
      </c>
    </row>
    <row r="239" spans="1:11" x14ac:dyDescent="0.25">
      <c r="A239">
        <v>1062</v>
      </c>
      <c r="B239" t="s">
        <v>1798</v>
      </c>
      <c r="C239" t="s">
        <v>1803</v>
      </c>
      <c r="D239" t="s">
        <v>13</v>
      </c>
      <c r="E239" t="s">
        <v>17</v>
      </c>
      <c r="F239" t="str">
        <f>VLOOKUP(Ramen_Ratings[[#This Row],[Country]],Country_Region[#All],2,FALSE)</f>
        <v>North America</v>
      </c>
      <c r="G239">
        <v>3.75</v>
      </c>
      <c r="H239" t="str" cm="1">
        <f t="array" ref="H239">_xlfn.IFS(Ramen_Ratings[[#This Row],[Stars]] = "Unrated", "NA",Ramen_Ratings[[#This Row],[Stars]]&gt;=4, "Good", Ramen_Ratings[[#This Row],[Stars]]&gt;2.5, "Fair", Ramen_Ratings[[#This Row],[Stars]] &gt;= 0, "Bad")</f>
        <v>Fair</v>
      </c>
      <c r="J239" t="str">
        <f>LEFT(Ramen_Ratings[[#This Row],[Top Ten]],4)</f>
        <v/>
      </c>
      <c r="K239" t="str">
        <f>IF(Ramen_Ratings[[#This Row],[Top Ten]]="", "",RIGHT(Ramen_Ratings[[#This Row],[Top Ten]],LEN(Ramen_Ratings[[#This Row],[Top Ten]])-6))</f>
        <v/>
      </c>
    </row>
    <row r="240" spans="1:11" x14ac:dyDescent="0.25">
      <c r="A240">
        <v>1061</v>
      </c>
      <c r="B240" t="s">
        <v>1798</v>
      </c>
      <c r="C240" t="s">
        <v>1804</v>
      </c>
      <c r="D240" t="s">
        <v>13</v>
      </c>
      <c r="E240" t="s">
        <v>17</v>
      </c>
      <c r="F240" t="str">
        <f>VLOOKUP(Ramen_Ratings[[#This Row],[Country]],Country_Region[#All],2,FALSE)</f>
        <v>North America</v>
      </c>
      <c r="G240">
        <v>4</v>
      </c>
      <c r="H240" t="str" cm="1">
        <f t="array" ref="H240">_xlfn.IFS(Ramen_Ratings[[#This Row],[Stars]] = "Unrated", "NA",Ramen_Ratings[[#This Row],[Stars]]&gt;=4, "Good", Ramen_Ratings[[#This Row],[Stars]]&gt;2.5, "Fair", Ramen_Ratings[[#This Row],[Stars]] &gt;= 0, "Bad")</f>
        <v>Good</v>
      </c>
      <c r="J240" t="str">
        <f>LEFT(Ramen_Ratings[[#This Row],[Top Ten]],4)</f>
        <v/>
      </c>
      <c r="K240" t="str">
        <f>IF(Ramen_Ratings[[#This Row],[Top Ten]]="", "",RIGHT(Ramen_Ratings[[#This Row],[Top Ten]],LEN(Ramen_Ratings[[#This Row],[Top Ten]])-6))</f>
        <v/>
      </c>
    </row>
    <row r="241" spans="1:11" x14ac:dyDescent="0.25">
      <c r="A241">
        <v>1060</v>
      </c>
      <c r="B241" t="s">
        <v>1805</v>
      </c>
      <c r="C241" t="s">
        <v>1806</v>
      </c>
      <c r="D241" t="s">
        <v>13</v>
      </c>
      <c r="E241" t="s">
        <v>17</v>
      </c>
      <c r="F241" t="str">
        <f>VLOOKUP(Ramen_Ratings[[#This Row],[Country]],Country_Region[#All],2,FALSE)</f>
        <v>North America</v>
      </c>
      <c r="G241">
        <v>3.75</v>
      </c>
      <c r="H241" t="str" cm="1">
        <f t="array" ref="H241">_xlfn.IFS(Ramen_Ratings[[#This Row],[Stars]] = "Unrated", "NA",Ramen_Ratings[[#This Row],[Stars]]&gt;=4, "Good", Ramen_Ratings[[#This Row],[Stars]]&gt;2.5, "Fair", Ramen_Ratings[[#This Row],[Stars]] &gt;= 0, "Bad")</f>
        <v>Fair</v>
      </c>
      <c r="J241" t="str">
        <f>LEFT(Ramen_Ratings[[#This Row],[Top Ten]],4)</f>
        <v/>
      </c>
      <c r="K241" t="str">
        <f>IF(Ramen_Ratings[[#This Row],[Top Ten]]="", "",RIGHT(Ramen_Ratings[[#This Row],[Top Ten]],LEN(Ramen_Ratings[[#This Row],[Top Ten]])-6))</f>
        <v/>
      </c>
    </row>
    <row r="242" spans="1:11" x14ac:dyDescent="0.25">
      <c r="A242">
        <v>1046</v>
      </c>
      <c r="B242" t="s">
        <v>183</v>
      </c>
      <c r="C242" t="s">
        <v>1819</v>
      </c>
      <c r="D242" t="s">
        <v>13</v>
      </c>
      <c r="E242" t="s">
        <v>17</v>
      </c>
      <c r="F242" t="str">
        <f>VLOOKUP(Ramen_Ratings[[#This Row],[Country]],Country_Region[#All],2,FALSE)</f>
        <v>North America</v>
      </c>
      <c r="G242">
        <v>4</v>
      </c>
      <c r="H242" t="str" cm="1">
        <f t="array" ref="H242">_xlfn.IFS(Ramen_Ratings[[#This Row],[Stars]] = "Unrated", "NA",Ramen_Ratings[[#This Row],[Stars]]&gt;=4, "Good", Ramen_Ratings[[#This Row],[Stars]]&gt;2.5, "Fair", Ramen_Ratings[[#This Row],[Stars]] &gt;= 0, "Bad")</f>
        <v>Good</v>
      </c>
      <c r="J242" t="str">
        <f>LEFT(Ramen_Ratings[[#This Row],[Top Ten]],4)</f>
        <v/>
      </c>
      <c r="K242" t="str">
        <f>IF(Ramen_Ratings[[#This Row],[Top Ten]]="", "",RIGHT(Ramen_Ratings[[#This Row],[Top Ten]],LEN(Ramen_Ratings[[#This Row],[Top Ten]])-6))</f>
        <v/>
      </c>
    </row>
    <row r="243" spans="1:11" x14ac:dyDescent="0.25">
      <c r="A243">
        <v>1045</v>
      </c>
      <c r="B243" t="s">
        <v>15</v>
      </c>
      <c r="C243" t="s">
        <v>1820</v>
      </c>
      <c r="D243" t="s">
        <v>30</v>
      </c>
      <c r="E243" t="s">
        <v>17</v>
      </c>
      <c r="F243" t="str">
        <f>VLOOKUP(Ramen_Ratings[[#This Row],[Country]],Country_Region[#All],2,FALSE)</f>
        <v>North America</v>
      </c>
      <c r="G243">
        <v>3.5</v>
      </c>
      <c r="H243" t="str" cm="1">
        <f t="array" ref="H243">_xlfn.IFS(Ramen_Ratings[[#This Row],[Stars]] = "Unrated", "NA",Ramen_Ratings[[#This Row],[Stars]]&gt;=4, "Good", Ramen_Ratings[[#This Row],[Stars]]&gt;2.5, "Fair", Ramen_Ratings[[#This Row],[Stars]] &gt;= 0, "Bad")</f>
        <v>Fair</v>
      </c>
      <c r="J243" t="str">
        <f>LEFT(Ramen_Ratings[[#This Row],[Top Ten]],4)</f>
        <v/>
      </c>
      <c r="K243" t="str">
        <f>IF(Ramen_Ratings[[#This Row],[Top Ten]]="", "",RIGHT(Ramen_Ratings[[#This Row],[Top Ten]],LEN(Ramen_Ratings[[#This Row],[Top Ten]])-6))</f>
        <v/>
      </c>
    </row>
    <row r="244" spans="1:11" x14ac:dyDescent="0.25">
      <c r="A244">
        <v>1039</v>
      </c>
      <c r="B244" t="s">
        <v>102</v>
      </c>
      <c r="C244" t="s">
        <v>1825</v>
      </c>
      <c r="D244" t="s">
        <v>44</v>
      </c>
      <c r="E244" t="s">
        <v>17</v>
      </c>
      <c r="F244" t="str">
        <f>VLOOKUP(Ramen_Ratings[[#This Row],[Country]],Country_Region[#All],2,FALSE)</f>
        <v>North America</v>
      </c>
      <c r="G244">
        <v>4.25</v>
      </c>
      <c r="H244" t="str" cm="1">
        <f t="array" ref="H244">_xlfn.IFS(Ramen_Ratings[[#This Row],[Stars]] = "Unrated", "NA",Ramen_Ratings[[#This Row],[Stars]]&gt;=4, "Good", Ramen_Ratings[[#This Row],[Stars]]&gt;2.5, "Fair", Ramen_Ratings[[#This Row],[Stars]] &gt;= 0, "Bad")</f>
        <v>Good</v>
      </c>
      <c r="J244" t="str">
        <f>LEFT(Ramen_Ratings[[#This Row],[Top Ten]],4)</f>
        <v/>
      </c>
      <c r="K244" t="str">
        <f>IF(Ramen_Ratings[[#This Row],[Top Ten]]="", "",RIGHT(Ramen_Ratings[[#This Row],[Top Ten]],LEN(Ramen_Ratings[[#This Row],[Top Ten]])-6))</f>
        <v/>
      </c>
    </row>
    <row r="245" spans="1:11" x14ac:dyDescent="0.25">
      <c r="A245">
        <v>1016</v>
      </c>
      <c r="B245" t="s">
        <v>15</v>
      </c>
      <c r="C245" t="s">
        <v>1847</v>
      </c>
      <c r="D245" t="s">
        <v>9</v>
      </c>
      <c r="E245" t="s">
        <v>17</v>
      </c>
      <c r="F245" t="str">
        <f>VLOOKUP(Ramen_Ratings[[#This Row],[Country]],Country_Region[#All],2,FALSE)</f>
        <v>North America</v>
      </c>
      <c r="G245">
        <v>3.5</v>
      </c>
      <c r="H245" t="str" cm="1">
        <f t="array" ref="H245">_xlfn.IFS(Ramen_Ratings[[#This Row],[Stars]] = "Unrated", "NA",Ramen_Ratings[[#This Row],[Stars]]&gt;=4, "Good", Ramen_Ratings[[#This Row],[Stars]]&gt;2.5, "Fair", Ramen_Ratings[[#This Row],[Stars]] &gt;= 0, "Bad")</f>
        <v>Fair</v>
      </c>
      <c r="J245" t="str">
        <f>LEFT(Ramen_Ratings[[#This Row],[Top Ten]],4)</f>
        <v/>
      </c>
      <c r="K245" t="str">
        <f>IF(Ramen_Ratings[[#This Row],[Top Ten]]="", "",RIGHT(Ramen_Ratings[[#This Row],[Top Ten]],LEN(Ramen_Ratings[[#This Row],[Top Ten]])-6))</f>
        <v/>
      </c>
    </row>
    <row r="246" spans="1:11" x14ac:dyDescent="0.25">
      <c r="A246">
        <v>1015</v>
      </c>
      <c r="B246" t="s">
        <v>1848</v>
      </c>
      <c r="C246" t="s">
        <v>1849</v>
      </c>
      <c r="D246" t="s">
        <v>13</v>
      </c>
      <c r="E246" t="s">
        <v>17</v>
      </c>
      <c r="F246" t="str">
        <f>VLOOKUP(Ramen_Ratings[[#This Row],[Country]],Country_Region[#All],2,FALSE)</f>
        <v>North America</v>
      </c>
      <c r="G246">
        <v>2.75</v>
      </c>
      <c r="H246" t="str" cm="1">
        <f t="array" ref="H246">_xlfn.IFS(Ramen_Ratings[[#This Row],[Stars]] = "Unrated", "NA",Ramen_Ratings[[#This Row],[Stars]]&gt;=4, "Good", Ramen_Ratings[[#This Row],[Stars]]&gt;2.5, "Fair", Ramen_Ratings[[#This Row],[Stars]] &gt;= 0, "Bad")</f>
        <v>Fair</v>
      </c>
      <c r="J246" t="str">
        <f>LEFT(Ramen_Ratings[[#This Row],[Top Ten]],4)</f>
        <v/>
      </c>
      <c r="K246" t="str">
        <f>IF(Ramen_Ratings[[#This Row],[Top Ten]]="", "",RIGHT(Ramen_Ratings[[#This Row],[Top Ten]],LEN(Ramen_Ratings[[#This Row],[Top Ten]])-6))</f>
        <v/>
      </c>
    </row>
    <row r="247" spans="1:11" x14ac:dyDescent="0.25">
      <c r="A247">
        <v>1011</v>
      </c>
      <c r="B247" t="s">
        <v>102</v>
      </c>
      <c r="C247" t="s">
        <v>1854</v>
      </c>
      <c r="D247" t="s">
        <v>44</v>
      </c>
      <c r="E247" t="s">
        <v>17</v>
      </c>
      <c r="F247" t="str">
        <f>VLOOKUP(Ramen_Ratings[[#This Row],[Country]],Country_Region[#All],2,FALSE)</f>
        <v>North America</v>
      </c>
      <c r="G247">
        <v>4</v>
      </c>
      <c r="H247" t="str" cm="1">
        <f t="array" ref="H247">_xlfn.IFS(Ramen_Ratings[[#This Row],[Stars]] = "Unrated", "NA",Ramen_Ratings[[#This Row],[Stars]]&gt;=4, "Good", Ramen_Ratings[[#This Row],[Stars]]&gt;2.5, "Fair", Ramen_Ratings[[#This Row],[Stars]] &gt;= 0, "Bad")</f>
        <v>Good</v>
      </c>
      <c r="J247" t="str">
        <f>LEFT(Ramen_Ratings[[#This Row],[Top Ten]],4)</f>
        <v/>
      </c>
      <c r="K247" t="str">
        <f>IF(Ramen_Ratings[[#This Row],[Top Ten]]="", "",RIGHT(Ramen_Ratings[[#This Row],[Top Ten]],LEN(Ramen_Ratings[[#This Row],[Top Ten]])-6))</f>
        <v/>
      </c>
    </row>
    <row r="248" spans="1:11" x14ac:dyDescent="0.25">
      <c r="A248">
        <v>1003</v>
      </c>
      <c r="B248" t="s">
        <v>15</v>
      </c>
      <c r="C248" t="s">
        <v>1862</v>
      </c>
      <c r="D248" t="s">
        <v>30</v>
      </c>
      <c r="E248" t="s">
        <v>17</v>
      </c>
      <c r="F248" t="str">
        <f>VLOOKUP(Ramen_Ratings[[#This Row],[Country]],Country_Region[#All],2,FALSE)</f>
        <v>North America</v>
      </c>
      <c r="G248">
        <v>4.5</v>
      </c>
      <c r="H248" t="str" cm="1">
        <f t="array" ref="H248">_xlfn.IFS(Ramen_Ratings[[#This Row],[Stars]] = "Unrated", "NA",Ramen_Ratings[[#This Row],[Stars]]&gt;=4, "Good", Ramen_Ratings[[#This Row],[Stars]]&gt;2.5, "Fair", Ramen_Ratings[[#This Row],[Stars]] &gt;= 0, "Bad")</f>
        <v>Good</v>
      </c>
      <c r="J248" t="str">
        <f>LEFT(Ramen_Ratings[[#This Row],[Top Ten]],4)</f>
        <v/>
      </c>
      <c r="K248" t="str">
        <f>IF(Ramen_Ratings[[#This Row],[Top Ten]]="", "",RIGHT(Ramen_Ratings[[#This Row],[Top Ten]],LEN(Ramen_Ratings[[#This Row],[Top Ten]])-6))</f>
        <v/>
      </c>
    </row>
    <row r="249" spans="1:11" x14ac:dyDescent="0.25">
      <c r="A249">
        <v>1000</v>
      </c>
      <c r="B249" t="s">
        <v>102</v>
      </c>
      <c r="C249" t="s">
        <v>1865</v>
      </c>
      <c r="D249" t="s">
        <v>30</v>
      </c>
      <c r="E249" t="s">
        <v>17</v>
      </c>
      <c r="F249" t="str">
        <f>VLOOKUP(Ramen_Ratings[[#This Row],[Country]],Country_Region[#All],2,FALSE)</f>
        <v>North America</v>
      </c>
      <c r="G249">
        <v>4.25</v>
      </c>
      <c r="H249" t="str" cm="1">
        <f t="array" ref="H249">_xlfn.IFS(Ramen_Ratings[[#This Row],[Stars]] = "Unrated", "NA",Ramen_Ratings[[#This Row],[Stars]]&gt;=4, "Good", Ramen_Ratings[[#This Row],[Stars]]&gt;2.5, "Fair", Ramen_Ratings[[#This Row],[Stars]] &gt;= 0, "Bad")</f>
        <v>Good</v>
      </c>
      <c r="J249" t="str">
        <f>LEFT(Ramen_Ratings[[#This Row],[Top Ten]],4)</f>
        <v/>
      </c>
      <c r="K249" t="str">
        <f>IF(Ramen_Ratings[[#This Row],[Top Ten]]="", "",RIGHT(Ramen_Ratings[[#This Row],[Top Ten]],LEN(Ramen_Ratings[[#This Row],[Top Ten]])-6))</f>
        <v/>
      </c>
    </row>
    <row r="250" spans="1:11" x14ac:dyDescent="0.25">
      <c r="A250">
        <v>996</v>
      </c>
      <c r="B250" t="s">
        <v>102</v>
      </c>
      <c r="C250" t="s">
        <v>1870</v>
      </c>
      <c r="D250" t="s">
        <v>44</v>
      </c>
      <c r="E250" t="s">
        <v>17</v>
      </c>
      <c r="F250" t="str">
        <f>VLOOKUP(Ramen_Ratings[[#This Row],[Country]],Country_Region[#All],2,FALSE)</f>
        <v>North America</v>
      </c>
      <c r="G250">
        <v>4</v>
      </c>
      <c r="H250" t="str" cm="1">
        <f t="array" ref="H250">_xlfn.IFS(Ramen_Ratings[[#This Row],[Stars]] = "Unrated", "NA",Ramen_Ratings[[#This Row],[Stars]]&gt;=4, "Good", Ramen_Ratings[[#This Row],[Stars]]&gt;2.5, "Fair", Ramen_Ratings[[#This Row],[Stars]] &gt;= 0, "Bad")</f>
        <v>Good</v>
      </c>
      <c r="J250" t="str">
        <f>LEFT(Ramen_Ratings[[#This Row],[Top Ten]],4)</f>
        <v/>
      </c>
      <c r="K250" t="str">
        <f>IF(Ramen_Ratings[[#This Row],[Top Ten]]="", "",RIGHT(Ramen_Ratings[[#This Row],[Top Ten]],LEN(Ramen_Ratings[[#This Row],[Top Ten]])-6))</f>
        <v/>
      </c>
    </row>
    <row r="251" spans="1:11" x14ac:dyDescent="0.25">
      <c r="A251">
        <v>990</v>
      </c>
      <c r="B251" t="s">
        <v>15</v>
      </c>
      <c r="C251" t="s">
        <v>1877</v>
      </c>
      <c r="D251" t="s">
        <v>30</v>
      </c>
      <c r="E251" t="s">
        <v>17</v>
      </c>
      <c r="F251" t="str">
        <f>VLOOKUP(Ramen_Ratings[[#This Row],[Country]],Country_Region[#All],2,FALSE)</f>
        <v>North America</v>
      </c>
      <c r="G251">
        <v>2.75</v>
      </c>
      <c r="H251" t="str" cm="1">
        <f t="array" ref="H251">_xlfn.IFS(Ramen_Ratings[[#This Row],[Stars]] = "Unrated", "NA",Ramen_Ratings[[#This Row],[Stars]]&gt;=4, "Good", Ramen_Ratings[[#This Row],[Stars]]&gt;2.5, "Fair", Ramen_Ratings[[#This Row],[Stars]] &gt;= 0, "Bad")</f>
        <v>Fair</v>
      </c>
      <c r="J251" t="str">
        <f>LEFT(Ramen_Ratings[[#This Row],[Top Ten]],4)</f>
        <v/>
      </c>
      <c r="K251" t="str">
        <f>IF(Ramen_Ratings[[#This Row],[Top Ten]]="", "",RIGHT(Ramen_Ratings[[#This Row],[Top Ten]],LEN(Ramen_Ratings[[#This Row],[Top Ten]])-6))</f>
        <v/>
      </c>
    </row>
    <row r="252" spans="1:11" x14ac:dyDescent="0.25">
      <c r="A252">
        <v>984</v>
      </c>
      <c r="B252" t="s">
        <v>1883</v>
      </c>
      <c r="C252" t="s">
        <v>1884</v>
      </c>
      <c r="D252" t="s">
        <v>30</v>
      </c>
      <c r="E252" t="s">
        <v>17</v>
      </c>
      <c r="F252" t="str">
        <f>VLOOKUP(Ramen_Ratings[[#This Row],[Country]],Country_Region[#All],2,FALSE)</f>
        <v>North America</v>
      </c>
      <c r="G252">
        <v>5</v>
      </c>
      <c r="H252" t="str" cm="1">
        <f t="array" ref="H252">_xlfn.IFS(Ramen_Ratings[[#This Row],[Stars]] = "Unrated", "NA",Ramen_Ratings[[#This Row],[Stars]]&gt;=4, "Good", Ramen_Ratings[[#This Row],[Stars]]&gt;2.5, "Fair", Ramen_Ratings[[#This Row],[Stars]] &gt;= 0, "Bad")</f>
        <v>Good</v>
      </c>
      <c r="J252" t="str">
        <f>LEFT(Ramen_Ratings[[#This Row],[Top Ten]],4)</f>
        <v/>
      </c>
      <c r="K252" t="str">
        <f>IF(Ramen_Ratings[[#This Row],[Top Ten]]="", "",RIGHT(Ramen_Ratings[[#This Row],[Top Ten]],LEN(Ramen_Ratings[[#This Row],[Top Ten]])-6))</f>
        <v/>
      </c>
    </row>
    <row r="253" spans="1:11" x14ac:dyDescent="0.25">
      <c r="A253">
        <v>983</v>
      </c>
      <c r="B253" t="s">
        <v>1883</v>
      </c>
      <c r="C253" t="s">
        <v>1885</v>
      </c>
      <c r="D253" t="s">
        <v>30</v>
      </c>
      <c r="E253" t="s">
        <v>17</v>
      </c>
      <c r="F253" t="str">
        <f>VLOOKUP(Ramen_Ratings[[#This Row],[Country]],Country_Region[#All],2,FALSE)</f>
        <v>North America</v>
      </c>
      <c r="G253">
        <v>3.75</v>
      </c>
      <c r="H253" t="str" cm="1">
        <f t="array" ref="H253">_xlfn.IFS(Ramen_Ratings[[#This Row],[Stars]] = "Unrated", "NA",Ramen_Ratings[[#This Row],[Stars]]&gt;=4, "Good", Ramen_Ratings[[#This Row],[Stars]]&gt;2.5, "Fair", Ramen_Ratings[[#This Row],[Stars]] &gt;= 0, "Bad")</f>
        <v>Fair</v>
      </c>
      <c r="J253" t="str">
        <f>LEFT(Ramen_Ratings[[#This Row],[Top Ten]],4)</f>
        <v/>
      </c>
      <c r="K253" t="str">
        <f>IF(Ramen_Ratings[[#This Row],[Top Ten]]="", "",RIGHT(Ramen_Ratings[[#This Row],[Top Ten]],LEN(Ramen_Ratings[[#This Row],[Top Ten]])-6))</f>
        <v/>
      </c>
    </row>
    <row r="254" spans="1:11" x14ac:dyDescent="0.25">
      <c r="A254">
        <v>982</v>
      </c>
      <c r="B254" t="s">
        <v>1883</v>
      </c>
      <c r="C254" t="s">
        <v>1886</v>
      </c>
      <c r="D254" t="s">
        <v>30</v>
      </c>
      <c r="E254" t="s">
        <v>17</v>
      </c>
      <c r="F254" t="str">
        <f>VLOOKUP(Ramen_Ratings[[#This Row],[Country]],Country_Region[#All],2,FALSE)</f>
        <v>North America</v>
      </c>
      <c r="G254">
        <v>5</v>
      </c>
      <c r="H254" t="str" cm="1">
        <f t="array" ref="H254">_xlfn.IFS(Ramen_Ratings[[#This Row],[Stars]] = "Unrated", "NA",Ramen_Ratings[[#This Row],[Stars]]&gt;=4, "Good", Ramen_Ratings[[#This Row],[Stars]]&gt;2.5, "Fair", Ramen_Ratings[[#This Row],[Stars]] &gt;= 0, "Bad")</f>
        <v>Good</v>
      </c>
      <c r="J254" t="str">
        <f>LEFT(Ramen_Ratings[[#This Row],[Top Ten]],4)</f>
        <v/>
      </c>
      <c r="K254" t="str">
        <f>IF(Ramen_Ratings[[#This Row],[Top Ten]]="", "",RIGHT(Ramen_Ratings[[#This Row],[Top Ten]],LEN(Ramen_Ratings[[#This Row],[Top Ten]])-6))</f>
        <v/>
      </c>
    </row>
    <row r="255" spans="1:11" x14ac:dyDescent="0.25">
      <c r="A255">
        <v>981</v>
      </c>
      <c r="B255" t="s">
        <v>1887</v>
      </c>
      <c r="C255" t="s">
        <v>1888</v>
      </c>
      <c r="D255" t="s">
        <v>13</v>
      </c>
      <c r="E255" t="s">
        <v>17</v>
      </c>
      <c r="F255" t="str">
        <f>VLOOKUP(Ramen_Ratings[[#This Row],[Country]],Country_Region[#All],2,FALSE)</f>
        <v>North America</v>
      </c>
      <c r="G255">
        <v>4</v>
      </c>
      <c r="H255" t="str" cm="1">
        <f t="array" ref="H255">_xlfn.IFS(Ramen_Ratings[[#This Row],[Stars]] = "Unrated", "NA",Ramen_Ratings[[#This Row],[Stars]]&gt;=4, "Good", Ramen_Ratings[[#This Row],[Stars]]&gt;2.5, "Fair", Ramen_Ratings[[#This Row],[Stars]] &gt;= 0, "Bad")</f>
        <v>Good</v>
      </c>
      <c r="J255" t="str">
        <f>LEFT(Ramen_Ratings[[#This Row],[Top Ten]],4)</f>
        <v/>
      </c>
      <c r="K255" t="str">
        <f>IF(Ramen_Ratings[[#This Row],[Top Ten]]="", "",RIGHT(Ramen_Ratings[[#This Row],[Top Ten]],LEN(Ramen_Ratings[[#This Row],[Top Ten]])-6))</f>
        <v/>
      </c>
    </row>
    <row r="256" spans="1:11" x14ac:dyDescent="0.25">
      <c r="A256">
        <v>980</v>
      </c>
      <c r="B256" t="s">
        <v>1883</v>
      </c>
      <c r="C256" t="s">
        <v>1889</v>
      </c>
      <c r="D256" t="s">
        <v>30</v>
      </c>
      <c r="E256" t="s">
        <v>17</v>
      </c>
      <c r="F256" t="str">
        <f>VLOOKUP(Ramen_Ratings[[#This Row],[Country]],Country_Region[#All],2,FALSE)</f>
        <v>North America</v>
      </c>
      <c r="G256">
        <v>4</v>
      </c>
      <c r="H256" t="str" cm="1">
        <f t="array" ref="H256">_xlfn.IFS(Ramen_Ratings[[#This Row],[Stars]] = "Unrated", "NA",Ramen_Ratings[[#This Row],[Stars]]&gt;=4, "Good", Ramen_Ratings[[#This Row],[Stars]]&gt;2.5, "Fair", Ramen_Ratings[[#This Row],[Stars]] &gt;= 0, "Bad")</f>
        <v>Good</v>
      </c>
      <c r="J256" t="str">
        <f>LEFT(Ramen_Ratings[[#This Row],[Top Ten]],4)</f>
        <v/>
      </c>
      <c r="K256" t="str">
        <f>IF(Ramen_Ratings[[#This Row],[Top Ten]]="", "",RIGHT(Ramen_Ratings[[#This Row],[Top Ten]],LEN(Ramen_Ratings[[#This Row],[Top Ten]])-6))</f>
        <v/>
      </c>
    </row>
    <row r="257" spans="1:11" x14ac:dyDescent="0.25">
      <c r="A257">
        <v>979</v>
      </c>
      <c r="B257" t="s">
        <v>1883</v>
      </c>
      <c r="C257" t="s">
        <v>1890</v>
      </c>
      <c r="D257" t="s">
        <v>30</v>
      </c>
      <c r="E257" t="s">
        <v>17</v>
      </c>
      <c r="F257" t="str">
        <f>VLOOKUP(Ramen_Ratings[[#This Row],[Country]],Country_Region[#All],2,FALSE)</f>
        <v>North America</v>
      </c>
      <c r="G257">
        <v>4</v>
      </c>
      <c r="H257" t="str" cm="1">
        <f t="array" ref="H257">_xlfn.IFS(Ramen_Ratings[[#This Row],[Stars]] = "Unrated", "NA",Ramen_Ratings[[#This Row],[Stars]]&gt;=4, "Good", Ramen_Ratings[[#This Row],[Stars]]&gt;2.5, "Fair", Ramen_Ratings[[#This Row],[Stars]] &gt;= 0, "Bad")</f>
        <v>Good</v>
      </c>
      <c r="J257" t="str">
        <f>LEFT(Ramen_Ratings[[#This Row],[Top Ten]],4)</f>
        <v/>
      </c>
      <c r="K257" t="str">
        <f>IF(Ramen_Ratings[[#This Row],[Top Ten]]="", "",RIGHT(Ramen_Ratings[[#This Row],[Top Ten]],LEN(Ramen_Ratings[[#This Row],[Top Ten]])-6))</f>
        <v/>
      </c>
    </row>
    <row r="258" spans="1:11" x14ac:dyDescent="0.25">
      <c r="A258">
        <v>978</v>
      </c>
      <c r="B258" t="s">
        <v>1883</v>
      </c>
      <c r="C258" t="s">
        <v>1891</v>
      </c>
      <c r="D258" t="s">
        <v>30</v>
      </c>
      <c r="E258" t="s">
        <v>17</v>
      </c>
      <c r="F258" t="str">
        <f>VLOOKUP(Ramen_Ratings[[#This Row],[Country]],Country_Region[#All],2,FALSE)</f>
        <v>North America</v>
      </c>
      <c r="G258">
        <v>5</v>
      </c>
      <c r="H258" t="str" cm="1">
        <f t="array" ref="H258">_xlfn.IFS(Ramen_Ratings[[#This Row],[Stars]] = "Unrated", "NA",Ramen_Ratings[[#This Row],[Stars]]&gt;=4, "Good", Ramen_Ratings[[#This Row],[Stars]]&gt;2.5, "Fair", Ramen_Ratings[[#This Row],[Stars]] &gt;= 0, "Bad")</f>
        <v>Good</v>
      </c>
      <c r="J258" t="str">
        <f>LEFT(Ramen_Ratings[[#This Row],[Top Ten]],4)</f>
        <v/>
      </c>
      <c r="K258" t="str">
        <f>IF(Ramen_Ratings[[#This Row],[Top Ten]]="", "",RIGHT(Ramen_Ratings[[#This Row],[Top Ten]],LEN(Ramen_Ratings[[#This Row],[Top Ten]])-6))</f>
        <v/>
      </c>
    </row>
    <row r="259" spans="1:11" x14ac:dyDescent="0.25">
      <c r="A259">
        <v>977</v>
      </c>
      <c r="B259" t="s">
        <v>1883</v>
      </c>
      <c r="C259" t="s">
        <v>397</v>
      </c>
      <c r="D259" t="s">
        <v>13</v>
      </c>
      <c r="E259" t="s">
        <v>17</v>
      </c>
      <c r="F259" t="str">
        <f>VLOOKUP(Ramen_Ratings[[#This Row],[Country]],Country_Region[#All],2,FALSE)</f>
        <v>North America</v>
      </c>
      <c r="G259">
        <v>4.5</v>
      </c>
      <c r="H259" t="str" cm="1">
        <f t="array" ref="H259">_xlfn.IFS(Ramen_Ratings[[#This Row],[Stars]] = "Unrated", "NA",Ramen_Ratings[[#This Row],[Stars]]&gt;=4, "Good", Ramen_Ratings[[#This Row],[Stars]]&gt;2.5, "Fair", Ramen_Ratings[[#This Row],[Stars]] &gt;= 0, "Bad")</f>
        <v>Good</v>
      </c>
      <c r="J259" t="str">
        <f>LEFT(Ramen_Ratings[[#This Row],[Top Ten]],4)</f>
        <v/>
      </c>
      <c r="K259" t="str">
        <f>IF(Ramen_Ratings[[#This Row],[Top Ten]]="", "",RIGHT(Ramen_Ratings[[#This Row],[Top Ten]],LEN(Ramen_Ratings[[#This Row],[Top Ten]])-6))</f>
        <v/>
      </c>
    </row>
    <row r="260" spans="1:11" x14ac:dyDescent="0.25">
      <c r="A260">
        <v>973</v>
      </c>
      <c r="B260" t="s">
        <v>1422</v>
      </c>
      <c r="C260" t="s">
        <v>1895</v>
      </c>
      <c r="D260" t="s">
        <v>13</v>
      </c>
      <c r="E260" t="s">
        <v>17</v>
      </c>
      <c r="F260" t="str">
        <f>VLOOKUP(Ramen_Ratings[[#This Row],[Country]],Country_Region[#All],2,FALSE)</f>
        <v>North America</v>
      </c>
      <c r="G260">
        <v>4</v>
      </c>
      <c r="H260" t="str" cm="1">
        <f t="array" ref="H260">_xlfn.IFS(Ramen_Ratings[[#This Row],[Stars]] = "Unrated", "NA",Ramen_Ratings[[#This Row],[Stars]]&gt;=4, "Good", Ramen_Ratings[[#This Row],[Stars]]&gt;2.5, "Fair", Ramen_Ratings[[#This Row],[Stars]] &gt;= 0, "Bad")</f>
        <v>Good</v>
      </c>
      <c r="J260" t="str">
        <f>LEFT(Ramen_Ratings[[#This Row],[Top Ten]],4)</f>
        <v/>
      </c>
      <c r="K260" t="str">
        <f>IF(Ramen_Ratings[[#This Row],[Top Ten]]="", "",RIGHT(Ramen_Ratings[[#This Row],[Top Ten]],LEN(Ramen_Ratings[[#This Row],[Top Ten]])-6))</f>
        <v/>
      </c>
    </row>
    <row r="261" spans="1:11" x14ac:dyDescent="0.25">
      <c r="A261">
        <v>971</v>
      </c>
      <c r="B261" t="s">
        <v>1422</v>
      </c>
      <c r="C261" t="s">
        <v>1898</v>
      </c>
      <c r="D261" t="s">
        <v>44</v>
      </c>
      <c r="E261" t="s">
        <v>17</v>
      </c>
      <c r="F261" t="str">
        <f>VLOOKUP(Ramen_Ratings[[#This Row],[Country]],Country_Region[#All],2,FALSE)</f>
        <v>North America</v>
      </c>
      <c r="G261">
        <v>4.25</v>
      </c>
      <c r="H261" t="str" cm="1">
        <f t="array" ref="H261">_xlfn.IFS(Ramen_Ratings[[#This Row],[Stars]] = "Unrated", "NA",Ramen_Ratings[[#This Row],[Stars]]&gt;=4, "Good", Ramen_Ratings[[#This Row],[Stars]]&gt;2.5, "Fair", Ramen_Ratings[[#This Row],[Stars]] &gt;= 0, "Bad")</f>
        <v>Good</v>
      </c>
      <c r="J261" t="str">
        <f>LEFT(Ramen_Ratings[[#This Row],[Top Ten]],4)</f>
        <v/>
      </c>
      <c r="K261" t="str">
        <f>IF(Ramen_Ratings[[#This Row],[Top Ten]]="", "",RIGHT(Ramen_Ratings[[#This Row],[Top Ten]],LEN(Ramen_Ratings[[#This Row],[Top Ten]])-6))</f>
        <v/>
      </c>
    </row>
    <row r="262" spans="1:11" x14ac:dyDescent="0.25">
      <c r="A262">
        <v>970</v>
      </c>
      <c r="B262" t="s">
        <v>1422</v>
      </c>
      <c r="C262" t="s">
        <v>1899</v>
      </c>
      <c r="D262" t="s">
        <v>30</v>
      </c>
      <c r="E262" t="s">
        <v>17</v>
      </c>
      <c r="F262" t="str">
        <f>VLOOKUP(Ramen_Ratings[[#This Row],[Country]],Country_Region[#All],2,FALSE)</f>
        <v>North America</v>
      </c>
      <c r="G262">
        <v>2</v>
      </c>
      <c r="H262" t="str" cm="1">
        <f t="array" ref="H262">_xlfn.IFS(Ramen_Ratings[[#This Row],[Stars]] = "Unrated", "NA",Ramen_Ratings[[#This Row],[Stars]]&gt;=4, "Good", Ramen_Ratings[[#This Row],[Stars]]&gt;2.5, "Fair", Ramen_Ratings[[#This Row],[Stars]] &gt;= 0, "Bad")</f>
        <v>Bad</v>
      </c>
      <c r="J262" t="str">
        <f>LEFT(Ramen_Ratings[[#This Row],[Top Ten]],4)</f>
        <v/>
      </c>
      <c r="K262" t="str">
        <f>IF(Ramen_Ratings[[#This Row],[Top Ten]]="", "",RIGHT(Ramen_Ratings[[#This Row],[Top Ten]],LEN(Ramen_Ratings[[#This Row],[Top Ten]])-6))</f>
        <v/>
      </c>
    </row>
    <row r="263" spans="1:11" x14ac:dyDescent="0.25">
      <c r="A263">
        <v>969</v>
      </c>
      <c r="B263" t="s">
        <v>1422</v>
      </c>
      <c r="C263" t="s">
        <v>1900</v>
      </c>
      <c r="D263" t="s">
        <v>44</v>
      </c>
      <c r="E263" t="s">
        <v>17</v>
      </c>
      <c r="F263" t="str">
        <f>VLOOKUP(Ramen_Ratings[[#This Row],[Country]],Country_Region[#All],2,FALSE)</f>
        <v>North America</v>
      </c>
      <c r="G263">
        <v>4</v>
      </c>
      <c r="H263" t="str" cm="1">
        <f t="array" ref="H263">_xlfn.IFS(Ramen_Ratings[[#This Row],[Stars]] = "Unrated", "NA",Ramen_Ratings[[#This Row],[Stars]]&gt;=4, "Good", Ramen_Ratings[[#This Row],[Stars]]&gt;2.5, "Fair", Ramen_Ratings[[#This Row],[Stars]] &gt;= 0, "Bad")</f>
        <v>Good</v>
      </c>
      <c r="J263" t="str">
        <f>LEFT(Ramen_Ratings[[#This Row],[Top Ten]],4)</f>
        <v/>
      </c>
      <c r="K263" t="str">
        <f>IF(Ramen_Ratings[[#This Row],[Top Ten]]="", "",RIGHT(Ramen_Ratings[[#This Row],[Top Ten]],LEN(Ramen_Ratings[[#This Row],[Top Ten]])-6))</f>
        <v/>
      </c>
    </row>
    <row r="264" spans="1:11" x14ac:dyDescent="0.25">
      <c r="A264">
        <v>968</v>
      </c>
      <c r="B264" t="s">
        <v>1422</v>
      </c>
      <c r="C264" t="s">
        <v>1901</v>
      </c>
      <c r="D264" t="s">
        <v>30</v>
      </c>
      <c r="E264" t="s">
        <v>17</v>
      </c>
      <c r="F264" t="str">
        <f>VLOOKUP(Ramen_Ratings[[#This Row],[Country]],Country_Region[#All],2,FALSE)</f>
        <v>North America</v>
      </c>
      <c r="G264">
        <v>3</v>
      </c>
      <c r="H264" t="str" cm="1">
        <f t="array" ref="H264">_xlfn.IFS(Ramen_Ratings[[#This Row],[Stars]] = "Unrated", "NA",Ramen_Ratings[[#This Row],[Stars]]&gt;=4, "Good", Ramen_Ratings[[#This Row],[Stars]]&gt;2.5, "Fair", Ramen_Ratings[[#This Row],[Stars]] &gt;= 0, "Bad")</f>
        <v>Fair</v>
      </c>
      <c r="J264" t="str">
        <f>LEFT(Ramen_Ratings[[#This Row],[Top Ten]],4)</f>
        <v/>
      </c>
      <c r="K264" t="str">
        <f>IF(Ramen_Ratings[[#This Row],[Top Ten]]="", "",RIGHT(Ramen_Ratings[[#This Row],[Top Ten]],LEN(Ramen_Ratings[[#This Row],[Top Ten]])-6))</f>
        <v/>
      </c>
    </row>
    <row r="265" spans="1:11" x14ac:dyDescent="0.25">
      <c r="A265">
        <v>967</v>
      </c>
      <c r="B265" t="s">
        <v>1422</v>
      </c>
      <c r="C265" t="s">
        <v>1902</v>
      </c>
      <c r="D265" t="s">
        <v>44</v>
      </c>
      <c r="E265" t="s">
        <v>17</v>
      </c>
      <c r="F265" t="str">
        <f>VLOOKUP(Ramen_Ratings[[#This Row],[Country]],Country_Region[#All],2,FALSE)</f>
        <v>North America</v>
      </c>
      <c r="G265">
        <v>4.5</v>
      </c>
      <c r="H265" t="str" cm="1">
        <f t="array" ref="H265">_xlfn.IFS(Ramen_Ratings[[#This Row],[Stars]] = "Unrated", "NA",Ramen_Ratings[[#This Row],[Stars]]&gt;=4, "Good", Ramen_Ratings[[#This Row],[Stars]]&gt;2.5, "Fair", Ramen_Ratings[[#This Row],[Stars]] &gt;= 0, "Bad")</f>
        <v>Good</v>
      </c>
      <c r="J265" t="str">
        <f>LEFT(Ramen_Ratings[[#This Row],[Top Ten]],4)</f>
        <v/>
      </c>
      <c r="K265" t="str">
        <f>IF(Ramen_Ratings[[#This Row],[Top Ten]]="", "",RIGHT(Ramen_Ratings[[#This Row],[Top Ten]],LEN(Ramen_Ratings[[#This Row],[Top Ten]])-6))</f>
        <v/>
      </c>
    </row>
    <row r="266" spans="1:11" x14ac:dyDescent="0.25">
      <c r="A266">
        <v>966</v>
      </c>
      <c r="B266" t="s">
        <v>1422</v>
      </c>
      <c r="C266" t="s">
        <v>1903</v>
      </c>
      <c r="D266" t="s">
        <v>13</v>
      </c>
      <c r="E266" t="s">
        <v>17</v>
      </c>
      <c r="F266" t="str">
        <f>VLOOKUP(Ramen_Ratings[[#This Row],[Country]],Country_Region[#All],2,FALSE)</f>
        <v>North America</v>
      </c>
      <c r="G266">
        <v>4</v>
      </c>
      <c r="H266" t="str" cm="1">
        <f t="array" ref="H266">_xlfn.IFS(Ramen_Ratings[[#This Row],[Stars]] = "Unrated", "NA",Ramen_Ratings[[#This Row],[Stars]]&gt;=4, "Good", Ramen_Ratings[[#This Row],[Stars]]&gt;2.5, "Fair", Ramen_Ratings[[#This Row],[Stars]] &gt;= 0, "Bad")</f>
        <v>Good</v>
      </c>
      <c r="J266" t="str">
        <f>LEFT(Ramen_Ratings[[#This Row],[Top Ten]],4)</f>
        <v/>
      </c>
      <c r="K266" t="str">
        <f>IF(Ramen_Ratings[[#This Row],[Top Ten]]="", "",RIGHT(Ramen_Ratings[[#This Row],[Top Ten]],LEN(Ramen_Ratings[[#This Row],[Top Ten]])-6))</f>
        <v/>
      </c>
    </row>
    <row r="267" spans="1:11" x14ac:dyDescent="0.25">
      <c r="A267">
        <v>965</v>
      </c>
      <c r="B267" t="s">
        <v>1422</v>
      </c>
      <c r="C267" t="s">
        <v>1904</v>
      </c>
      <c r="D267" t="s">
        <v>30</v>
      </c>
      <c r="E267" t="s">
        <v>17</v>
      </c>
      <c r="F267" t="str">
        <f>VLOOKUP(Ramen_Ratings[[#This Row],[Country]],Country_Region[#All],2,FALSE)</f>
        <v>North America</v>
      </c>
      <c r="G267">
        <v>3.75</v>
      </c>
      <c r="H267" t="str" cm="1">
        <f t="array" ref="H267">_xlfn.IFS(Ramen_Ratings[[#This Row],[Stars]] = "Unrated", "NA",Ramen_Ratings[[#This Row],[Stars]]&gt;=4, "Good", Ramen_Ratings[[#This Row],[Stars]]&gt;2.5, "Fair", Ramen_Ratings[[#This Row],[Stars]] &gt;= 0, "Bad")</f>
        <v>Fair</v>
      </c>
      <c r="J267" t="str">
        <f>LEFT(Ramen_Ratings[[#This Row],[Top Ten]],4)</f>
        <v/>
      </c>
      <c r="K267" t="str">
        <f>IF(Ramen_Ratings[[#This Row],[Top Ten]]="", "",RIGHT(Ramen_Ratings[[#This Row],[Top Ten]],LEN(Ramen_Ratings[[#This Row],[Top Ten]])-6))</f>
        <v/>
      </c>
    </row>
    <row r="268" spans="1:11" x14ac:dyDescent="0.25">
      <c r="A268">
        <v>962</v>
      </c>
      <c r="B268" t="s">
        <v>41</v>
      </c>
      <c r="C268" t="s">
        <v>1907</v>
      </c>
      <c r="D268" t="s">
        <v>44</v>
      </c>
      <c r="E268" t="s">
        <v>17</v>
      </c>
      <c r="F268" t="str">
        <f>VLOOKUP(Ramen_Ratings[[#This Row],[Country]],Country_Region[#All],2,FALSE)</f>
        <v>North America</v>
      </c>
      <c r="G268">
        <v>4.25</v>
      </c>
      <c r="H268" t="str" cm="1">
        <f t="array" ref="H268">_xlfn.IFS(Ramen_Ratings[[#This Row],[Stars]] = "Unrated", "NA",Ramen_Ratings[[#This Row],[Stars]]&gt;=4, "Good", Ramen_Ratings[[#This Row],[Stars]]&gt;2.5, "Fair", Ramen_Ratings[[#This Row],[Stars]] &gt;= 0, "Bad")</f>
        <v>Good</v>
      </c>
      <c r="J268" t="str">
        <f>LEFT(Ramen_Ratings[[#This Row],[Top Ten]],4)</f>
        <v/>
      </c>
      <c r="K268" t="str">
        <f>IF(Ramen_Ratings[[#This Row],[Top Ten]]="", "",RIGHT(Ramen_Ratings[[#This Row],[Top Ten]],LEN(Ramen_Ratings[[#This Row],[Top Ten]])-6))</f>
        <v/>
      </c>
    </row>
    <row r="269" spans="1:11" x14ac:dyDescent="0.25">
      <c r="A269">
        <v>960</v>
      </c>
      <c r="B269" t="s">
        <v>15</v>
      </c>
      <c r="C269" t="s">
        <v>1909</v>
      </c>
      <c r="D269" t="s">
        <v>44</v>
      </c>
      <c r="E269" t="s">
        <v>17</v>
      </c>
      <c r="F269" t="str">
        <f>VLOOKUP(Ramen_Ratings[[#This Row],[Country]],Country_Region[#All],2,FALSE)</f>
        <v>North America</v>
      </c>
      <c r="G269">
        <v>3.25</v>
      </c>
      <c r="H269" t="str" cm="1">
        <f t="array" ref="H269">_xlfn.IFS(Ramen_Ratings[[#This Row],[Stars]] = "Unrated", "NA",Ramen_Ratings[[#This Row],[Stars]]&gt;=4, "Good", Ramen_Ratings[[#This Row],[Stars]]&gt;2.5, "Fair", Ramen_Ratings[[#This Row],[Stars]] &gt;= 0, "Bad")</f>
        <v>Fair</v>
      </c>
      <c r="J269" t="str">
        <f>LEFT(Ramen_Ratings[[#This Row],[Top Ten]],4)</f>
        <v/>
      </c>
      <c r="K269" t="str">
        <f>IF(Ramen_Ratings[[#This Row],[Top Ten]]="", "",RIGHT(Ramen_Ratings[[#This Row],[Top Ten]],LEN(Ramen_Ratings[[#This Row],[Top Ten]])-6))</f>
        <v/>
      </c>
    </row>
    <row r="270" spans="1:11" x14ac:dyDescent="0.25">
      <c r="A270">
        <v>947</v>
      </c>
      <c r="B270" t="s">
        <v>102</v>
      </c>
      <c r="C270" t="s">
        <v>1920</v>
      </c>
      <c r="D270" t="s">
        <v>30</v>
      </c>
      <c r="E270" t="s">
        <v>17</v>
      </c>
      <c r="F270" t="str">
        <f>VLOOKUP(Ramen_Ratings[[#This Row],[Country]],Country_Region[#All],2,FALSE)</f>
        <v>North America</v>
      </c>
      <c r="G270">
        <v>4</v>
      </c>
      <c r="H270" t="str" cm="1">
        <f t="array" ref="H270">_xlfn.IFS(Ramen_Ratings[[#This Row],[Stars]] = "Unrated", "NA",Ramen_Ratings[[#This Row],[Stars]]&gt;=4, "Good", Ramen_Ratings[[#This Row],[Stars]]&gt;2.5, "Fair", Ramen_Ratings[[#This Row],[Stars]] &gt;= 0, "Bad")</f>
        <v>Good</v>
      </c>
      <c r="J270" t="str">
        <f>LEFT(Ramen_Ratings[[#This Row],[Top Ten]],4)</f>
        <v/>
      </c>
      <c r="K270" t="str">
        <f>IF(Ramen_Ratings[[#This Row],[Top Ten]]="", "",RIGHT(Ramen_Ratings[[#This Row],[Top Ten]],LEN(Ramen_Ratings[[#This Row],[Top Ten]])-6))</f>
        <v/>
      </c>
    </row>
    <row r="271" spans="1:11" x14ac:dyDescent="0.25">
      <c r="A271">
        <v>946</v>
      </c>
      <c r="B271" t="s">
        <v>1921</v>
      </c>
      <c r="C271" t="s">
        <v>1922</v>
      </c>
      <c r="D271" t="s">
        <v>9</v>
      </c>
      <c r="E271" t="s">
        <v>17</v>
      </c>
      <c r="F271" t="str">
        <f>VLOOKUP(Ramen_Ratings[[#This Row],[Country]],Country_Region[#All],2,FALSE)</f>
        <v>North America</v>
      </c>
      <c r="G271">
        <v>1.75</v>
      </c>
      <c r="H271" t="str" cm="1">
        <f t="array" ref="H271">_xlfn.IFS(Ramen_Ratings[[#This Row],[Stars]] = "Unrated", "NA",Ramen_Ratings[[#This Row],[Stars]]&gt;=4, "Good", Ramen_Ratings[[#This Row],[Stars]]&gt;2.5, "Fair", Ramen_Ratings[[#This Row],[Stars]] &gt;= 0, "Bad")</f>
        <v>Bad</v>
      </c>
      <c r="J271" t="str">
        <f>LEFT(Ramen_Ratings[[#This Row],[Top Ten]],4)</f>
        <v/>
      </c>
      <c r="K271" t="str">
        <f>IF(Ramen_Ratings[[#This Row],[Top Ten]]="", "",RIGHT(Ramen_Ratings[[#This Row],[Top Ten]],LEN(Ramen_Ratings[[#This Row],[Top Ten]])-6))</f>
        <v/>
      </c>
    </row>
    <row r="272" spans="1:11" x14ac:dyDescent="0.25">
      <c r="A272">
        <v>938</v>
      </c>
      <c r="B272" t="s">
        <v>102</v>
      </c>
      <c r="C272" t="s">
        <v>1930</v>
      </c>
      <c r="D272" t="s">
        <v>30</v>
      </c>
      <c r="E272" t="s">
        <v>17</v>
      </c>
      <c r="F272" t="str">
        <f>VLOOKUP(Ramen_Ratings[[#This Row],[Country]],Country_Region[#All],2,FALSE)</f>
        <v>North America</v>
      </c>
      <c r="G272">
        <v>3.75</v>
      </c>
      <c r="H272" t="str" cm="1">
        <f t="array" ref="H272">_xlfn.IFS(Ramen_Ratings[[#This Row],[Stars]] = "Unrated", "NA",Ramen_Ratings[[#This Row],[Stars]]&gt;=4, "Good", Ramen_Ratings[[#This Row],[Stars]]&gt;2.5, "Fair", Ramen_Ratings[[#This Row],[Stars]] &gt;= 0, "Bad")</f>
        <v>Fair</v>
      </c>
      <c r="J272" t="str">
        <f>LEFT(Ramen_Ratings[[#This Row],[Top Ten]],4)</f>
        <v/>
      </c>
      <c r="K272" t="str">
        <f>IF(Ramen_Ratings[[#This Row],[Top Ten]]="", "",RIGHT(Ramen_Ratings[[#This Row],[Top Ten]],LEN(Ramen_Ratings[[#This Row],[Top Ten]])-6))</f>
        <v/>
      </c>
    </row>
    <row r="273" spans="1:11" x14ac:dyDescent="0.25">
      <c r="A273">
        <v>936</v>
      </c>
      <c r="B273" t="s">
        <v>39</v>
      </c>
      <c r="C273" t="s">
        <v>1932</v>
      </c>
      <c r="D273" t="s">
        <v>13</v>
      </c>
      <c r="E273" t="s">
        <v>17</v>
      </c>
      <c r="F273" t="str">
        <f>VLOOKUP(Ramen_Ratings[[#This Row],[Country]],Country_Region[#All],2,FALSE)</f>
        <v>North America</v>
      </c>
      <c r="G273">
        <v>5</v>
      </c>
      <c r="H273" t="str" cm="1">
        <f t="array" ref="H273">_xlfn.IFS(Ramen_Ratings[[#This Row],[Stars]] = "Unrated", "NA",Ramen_Ratings[[#This Row],[Stars]]&gt;=4, "Good", Ramen_Ratings[[#This Row],[Stars]]&gt;2.5, "Fair", Ramen_Ratings[[#This Row],[Stars]] &gt;= 0, "Bad")</f>
        <v>Good</v>
      </c>
      <c r="J273" t="str">
        <f>LEFT(Ramen_Ratings[[#This Row],[Top Ten]],4)</f>
        <v/>
      </c>
      <c r="K273" t="str">
        <f>IF(Ramen_Ratings[[#This Row],[Top Ten]]="", "",RIGHT(Ramen_Ratings[[#This Row],[Top Ten]],LEN(Ramen_Ratings[[#This Row],[Top Ten]])-6))</f>
        <v/>
      </c>
    </row>
    <row r="274" spans="1:11" x14ac:dyDescent="0.25">
      <c r="A274">
        <v>935</v>
      </c>
      <c r="B274" t="s">
        <v>102</v>
      </c>
      <c r="C274" t="s">
        <v>1933</v>
      </c>
      <c r="D274" t="s">
        <v>9</v>
      </c>
      <c r="E274" t="s">
        <v>17</v>
      </c>
      <c r="F274" t="str">
        <f>VLOOKUP(Ramen_Ratings[[#This Row],[Country]],Country_Region[#All],2,FALSE)</f>
        <v>North America</v>
      </c>
      <c r="G274">
        <v>3.5</v>
      </c>
      <c r="H274" t="str" cm="1">
        <f t="array" ref="H274">_xlfn.IFS(Ramen_Ratings[[#This Row],[Stars]] = "Unrated", "NA",Ramen_Ratings[[#This Row],[Stars]]&gt;=4, "Good", Ramen_Ratings[[#This Row],[Stars]]&gt;2.5, "Fair", Ramen_Ratings[[#This Row],[Stars]] &gt;= 0, "Bad")</f>
        <v>Fair</v>
      </c>
      <c r="J274" t="str">
        <f>LEFT(Ramen_Ratings[[#This Row],[Top Ten]],4)</f>
        <v/>
      </c>
      <c r="K274" t="str">
        <f>IF(Ramen_Ratings[[#This Row],[Top Ten]]="", "",RIGHT(Ramen_Ratings[[#This Row],[Top Ten]],LEN(Ramen_Ratings[[#This Row],[Top Ten]])-6))</f>
        <v/>
      </c>
    </row>
    <row r="275" spans="1:11" x14ac:dyDescent="0.25">
      <c r="A275">
        <v>930</v>
      </c>
      <c r="B275" t="s">
        <v>102</v>
      </c>
      <c r="C275" t="s">
        <v>1939</v>
      </c>
      <c r="D275" t="s">
        <v>9</v>
      </c>
      <c r="E275" t="s">
        <v>17</v>
      </c>
      <c r="F275" t="str">
        <f>VLOOKUP(Ramen_Ratings[[#This Row],[Country]],Country_Region[#All],2,FALSE)</f>
        <v>North America</v>
      </c>
      <c r="G275">
        <v>3.5</v>
      </c>
      <c r="H275" t="str" cm="1">
        <f t="array" ref="H275">_xlfn.IFS(Ramen_Ratings[[#This Row],[Stars]] = "Unrated", "NA",Ramen_Ratings[[#This Row],[Stars]]&gt;=4, "Good", Ramen_Ratings[[#This Row],[Stars]]&gt;2.5, "Fair", Ramen_Ratings[[#This Row],[Stars]] &gt;= 0, "Bad")</f>
        <v>Fair</v>
      </c>
      <c r="J275" t="str">
        <f>LEFT(Ramen_Ratings[[#This Row],[Top Ten]],4)</f>
        <v/>
      </c>
      <c r="K275" t="str">
        <f>IF(Ramen_Ratings[[#This Row],[Top Ten]]="", "",RIGHT(Ramen_Ratings[[#This Row],[Top Ten]],LEN(Ramen_Ratings[[#This Row],[Top Ten]])-6))</f>
        <v/>
      </c>
    </row>
    <row r="276" spans="1:11" x14ac:dyDescent="0.25">
      <c r="A276">
        <v>924</v>
      </c>
      <c r="B276" t="s">
        <v>102</v>
      </c>
      <c r="C276" t="s">
        <v>1944</v>
      </c>
      <c r="D276" t="s">
        <v>13</v>
      </c>
      <c r="E276" t="s">
        <v>17</v>
      </c>
      <c r="F276" t="str">
        <f>VLOOKUP(Ramen_Ratings[[#This Row],[Country]],Country_Region[#All],2,FALSE)</f>
        <v>North America</v>
      </c>
      <c r="G276">
        <v>3.75</v>
      </c>
      <c r="H276" t="str" cm="1">
        <f t="array" ref="H276">_xlfn.IFS(Ramen_Ratings[[#This Row],[Stars]] = "Unrated", "NA",Ramen_Ratings[[#This Row],[Stars]]&gt;=4, "Good", Ramen_Ratings[[#This Row],[Stars]]&gt;2.5, "Fair", Ramen_Ratings[[#This Row],[Stars]] &gt;= 0, "Bad")</f>
        <v>Fair</v>
      </c>
      <c r="J276" t="str">
        <f>LEFT(Ramen_Ratings[[#This Row],[Top Ten]],4)</f>
        <v/>
      </c>
      <c r="K276" t="str">
        <f>IF(Ramen_Ratings[[#This Row],[Top Ten]]="", "",RIGHT(Ramen_Ratings[[#This Row],[Top Ten]],LEN(Ramen_Ratings[[#This Row],[Top Ten]])-6))</f>
        <v/>
      </c>
    </row>
    <row r="277" spans="1:11" x14ac:dyDescent="0.25">
      <c r="A277">
        <v>920</v>
      </c>
      <c r="B277" t="s">
        <v>258</v>
      </c>
      <c r="C277" t="s">
        <v>1949</v>
      </c>
      <c r="D277" t="s">
        <v>13</v>
      </c>
      <c r="E277" t="s">
        <v>17</v>
      </c>
      <c r="F277" t="str">
        <f>VLOOKUP(Ramen_Ratings[[#This Row],[Country]],Country_Region[#All],2,FALSE)</f>
        <v>North America</v>
      </c>
      <c r="G277">
        <v>3</v>
      </c>
      <c r="H277" t="str" cm="1">
        <f t="array" ref="H277">_xlfn.IFS(Ramen_Ratings[[#This Row],[Stars]] = "Unrated", "NA",Ramen_Ratings[[#This Row],[Stars]]&gt;=4, "Good", Ramen_Ratings[[#This Row],[Stars]]&gt;2.5, "Fair", Ramen_Ratings[[#This Row],[Stars]] &gt;= 0, "Bad")</f>
        <v>Fair</v>
      </c>
      <c r="J277" t="str">
        <f>LEFT(Ramen_Ratings[[#This Row],[Top Ten]],4)</f>
        <v/>
      </c>
      <c r="K277" t="str">
        <f>IF(Ramen_Ratings[[#This Row],[Top Ten]]="", "",RIGHT(Ramen_Ratings[[#This Row],[Top Ten]],LEN(Ramen_Ratings[[#This Row],[Top Ten]])-6))</f>
        <v/>
      </c>
    </row>
    <row r="278" spans="1:11" x14ac:dyDescent="0.25">
      <c r="A278">
        <v>919</v>
      </c>
      <c r="B278" t="s">
        <v>102</v>
      </c>
      <c r="C278" t="s">
        <v>1939</v>
      </c>
      <c r="D278" t="s">
        <v>13</v>
      </c>
      <c r="E278" t="s">
        <v>17</v>
      </c>
      <c r="F278" t="str">
        <f>VLOOKUP(Ramen_Ratings[[#This Row],[Country]],Country_Region[#All],2,FALSE)</f>
        <v>North America</v>
      </c>
      <c r="G278">
        <v>3.5</v>
      </c>
      <c r="H278" t="str" cm="1">
        <f t="array" ref="H278">_xlfn.IFS(Ramen_Ratings[[#This Row],[Stars]] = "Unrated", "NA",Ramen_Ratings[[#This Row],[Stars]]&gt;=4, "Good", Ramen_Ratings[[#This Row],[Stars]]&gt;2.5, "Fair", Ramen_Ratings[[#This Row],[Stars]] &gt;= 0, "Bad")</f>
        <v>Fair</v>
      </c>
      <c r="J278" t="str">
        <f>LEFT(Ramen_Ratings[[#This Row],[Top Ten]],4)</f>
        <v/>
      </c>
      <c r="K278" t="str">
        <f>IF(Ramen_Ratings[[#This Row],[Top Ten]]="", "",RIGHT(Ramen_Ratings[[#This Row],[Top Ten]],LEN(Ramen_Ratings[[#This Row],[Top Ten]])-6))</f>
        <v/>
      </c>
    </row>
    <row r="279" spans="1:11" x14ac:dyDescent="0.25">
      <c r="A279">
        <v>912</v>
      </c>
      <c r="B279" t="s">
        <v>102</v>
      </c>
      <c r="C279" t="s">
        <v>1957</v>
      </c>
      <c r="D279" t="s">
        <v>9</v>
      </c>
      <c r="E279" t="s">
        <v>17</v>
      </c>
      <c r="F279" t="str">
        <f>VLOOKUP(Ramen_Ratings[[#This Row],[Country]],Country_Region[#All],2,FALSE)</f>
        <v>North America</v>
      </c>
      <c r="G279">
        <v>3.75</v>
      </c>
      <c r="H279" t="str" cm="1">
        <f t="array" ref="H279">_xlfn.IFS(Ramen_Ratings[[#This Row],[Stars]] = "Unrated", "NA",Ramen_Ratings[[#This Row],[Stars]]&gt;=4, "Good", Ramen_Ratings[[#This Row],[Stars]]&gt;2.5, "Fair", Ramen_Ratings[[#This Row],[Stars]] &gt;= 0, "Bad")</f>
        <v>Fair</v>
      </c>
      <c r="J279" t="str">
        <f>LEFT(Ramen_Ratings[[#This Row],[Top Ten]],4)</f>
        <v/>
      </c>
      <c r="K279" t="str">
        <f>IF(Ramen_Ratings[[#This Row],[Top Ten]]="", "",RIGHT(Ramen_Ratings[[#This Row],[Top Ten]],LEN(Ramen_Ratings[[#This Row],[Top Ten]])-6))</f>
        <v/>
      </c>
    </row>
    <row r="280" spans="1:11" x14ac:dyDescent="0.25">
      <c r="A280">
        <v>911</v>
      </c>
      <c r="B280" t="s">
        <v>15</v>
      </c>
      <c r="C280" t="s">
        <v>1958</v>
      </c>
      <c r="D280" t="s">
        <v>13</v>
      </c>
      <c r="E280" t="s">
        <v>17</v>
      </c>
      <c r="F280" t="str">
        <f>VLOOKUP(Ramen_Ratings[[#This Row],[Country]],Country_Region[#All],2,FALSE)</f>
        <v>North America</v>
      </c>
      <c r="G280">
        <v>3.75</v>
      </c>
      <c r="H280" t="str" cm="1">
        <f t="array" ref="H280">_xlfn.IFS(Ramen_Ratings[[#This Row],[Stars]] = "Unrated", "NA",Ramen_Ratings[[#This Row],[Stars]]&gt;=4, "Good", Ramen_Ratings[[#This Row],[Stars]]&gt;2.5, "Fair", Ramen_Ratings[[#This Row],[Stars]] &gt;= 0, "Bad")</f>
        <v>Fair</v>
      </c>
      <c r="J280" t="str">
        <f>LEFT(Ramen_Ratings[[#This Row],[Top Ten]],4)</f>
        <v/>
      </c>
      <c r="K280" t="str">
        <f>IF(Ramen_Ratings[[#This Row],[Top Ten]]="", "",RIGHT(Ramen_Ratings[[#This Row],[Top Ten]],LEN(Ramen_Ratings[[#This Row],[Top Ten]])-6))</f>
        <v/>
      </c>
    </row>
    <row r="281" spans="1:11" x14ac:dyDescent="0.25">
      <c r="A281">
        <v>908</v>
      </c>
      <c r="B281" t="s">
        <v>374</v>
      </c>
      <c r="C281" t="s">
        <v>1962</v>
      </c>
      <c r="D281" t="s">
        <v>9</v>
      </c>
      <c r="E281" t="s">
        <v>17</v>
      </c>
      <c r="F281" t="str">
        <f>VLOOKUP(Ramen_Ratings[[#This Row],[Country]],Country_Region[#All],2,FALSE)</f>
        <v>North America</v>
      </c>
      <c r="G281">
        <v>3.5</v>
      </c>
      <c r="H281" t="str" cm="1">
        <f t="array" ref="H281">_xlfn.IFS(Ramen_Ratings[[#This Row],[Stars]] = "Unrated", "NA",Ramen_Ratings[[#This Row],[Stars]]&gt;=4, "Good", Ramen_Ratings[[#This Row],[Stars]]&gt;2.5, "Fair", Ramen_Ratings[[#This Row],[Stars]] &gt;= 0, "Bad")</f>
        <v>Fair</v>
      </c>
      <c r="J281" t="str">
        <f>LEFT(Ramen_Ratings[[#This Row],[Top Ten]],4)</f>
        <v/>
      </c>
      <c r="K281" t="str">
        <f>IF(Ramen_Ratings[[#This Row],[Top Ten]]="", "",RIGHT(Ramen_Ratings[[#This Row],[Top Ten]],LEN(Ramen_Ratings[[#This Row],[Top Ten]])-6))</f>
        <v/>
      </c>
    </row>
    <row r="282" spans="1:11" x14ac:dyDescent="0.25">
      <c r="A282">
        <v>905</v>
      </c>
      <c r="B282" t="s">
        <v>1848</v>
      </c>
      <c r="C282" t="s">
        <v>1966</v>
      </c>
      <c r="D282" t="s">
        <v>9</v>
      </c>
      <c r="E282" t="s">
        <v>17</v>
      </c>
      <c r="F282" t="str">
        <f>VLOOKUP(Ramen_Ratings[[#This Row],[Country]],Country_Region[#All],2,FALSE)</f>
        <v>North America</v>
      </c>
      <c r="G282">
        <v>3.25</v>
      </c>
      <c r="H282" t="str" cm="1">
        <f t="array" ref="H282">_xlfn.IFS(Ramen_Ratings[[#This Row],[Stars]] = "Unrated", "NA",Ramen_Ratings[[#This Row],[Stars]]&gt;=4, "Good", Ramen_Ratings[[#This Row],[Stars]]&gt;2.5, "Fair", Ramen_Ratings[[#This Row],[Stars]] &gt;= 0, "Bad")</f>
        <v>Fair</v>
      </c>
      <c r="J282" t="str">
        <f>LEFT(Ramen_Ratings[[#This Row],[Top Ten]],4)</f>
        <v/>
      </c>
      <c r="K282" t="str">
        <f>IF(Ramen_Ratings[[#This Row],[Top Ten]]="", "",RIGHT(Ramen_Ratings[[#This Row],[Top Ten]],LEN(Ramen_Ratings[[#This Row],[Top Ten]])-6))</f>
        <v/>
      </c>
    </row>
    <row r="283" spans="1:11" x14ac:dyDescent="0.25">
      <c r="A283">
        <v>900</v>
      </c>
      <c r="B283" t="s">
        <v>102</v>
      </c>
      <c r="C283" t="s">
        <v>1973</v>
      </c>
      <c r="D283" t="s">
        <v>9</v>
      </c>
      <c r="E283" t="s">
        <v>17</v>
      </c>
      <c r="F283" t="str">
        <f>VLOOKUP(Ramen_Ratings[[#This Row],[Country]],Country_Region[#All],2,FALSE)</f>
        <v>North America</v>
      </c>
      <c r="G283">
        <v>3.5</v>
      </c>
      <c r="H283" t="str" cm="1">
        <f t="array" ref="H283">_xlfn.IFS(Ramen_Ratings[[#This Row],[Stars]] = "Unrated", "NA",Ramen_Ratings[[#This Row],[Stars]]&gt;=4, "Good", Ramen_Ratings[[#This Row],[Stars]]&gt;2.5, "Fair", Ramen_Ratings[[#This Row],[Stars]] &gt;= 0, "Bad")</f>
        <v>Fair</v>
      </c>
      <c r="J283" t="str">
        <f>LEFT(Ramen_Ratings[[#This Row],[Top Ten]],4)</f>
        <v/>
      </c>
      <c r="K283" t="str">
        <f>IF(Ramen_Ratings[[#This Row],[Top Ten]]="", "",RIGHT(Ramen_Ratings[[#This Row],[Top Ten]],LEN(Ramen_Ratings[[#This Row],[Top Ten]])-6))</f>
        <v/>
      </c>
    </row>
    <row r="284" spans="1:11" x14ac:dyDescent="0.25">
      <c r="A284">
        <v>889</v>
      </c>
      <c r="B284" t="s">
        <v>39</v>
      </c>
      <c r="C284" t="s">
        <v>1987</v>
      </c>
      <c r="D284" t="s">
        <v>13</v>
      </c>
      <c r="E284" t="s">
        <v>17</v>
      </c>
      <c r="F284" t="str">
        <f>VLOOKUP(Ramen_Ratings[[#This Row],[Country]],Country_Region[#All],2,FALSE)</f>
        <v>North America</v>
      </c>
      <c r="G284">
        <v>4</v>
      </c>
      <c r="H284" t="str" cm="1">
        <f t="array" ref="H284">_xlfn.IFS(Ramen_Ratings[[#This Row],[Stars]] = "Unrated", "NA",Ramen_Ratings[[#This Row],[Stars]]&gt;=4, "Good", Ramen_Ratings[[#This Row],[Stars]]&gt;2.5, "Fair", Ramen_Ratings[[#This Row],[Stars]] &gt;= 0, "Bad")</f>
        <v>Good</v>
      </c>
      <c r="J284" t="str">
        <f>LEFT(Ramen_Ratings[[#This Row],[Top Ten]],4)</f>
        <v/>
      </c>
      <c r="K284" t="str">
        <f>IF(Ramen_Ratings[[#This Row],[Top Ten]]="", "",RIGHT(Ramen_Ratings[[#This Row],[Top Ten]],LEN(Ramen_Ratings[[#This Row],[Top Ten]])-6))</f>
        <v/>
      </c>
    </row>
    <row r="285" spans="1:11" x14ac:dyDescent="0.25">
      <c r="A285">
        <v>888</v>
      </c>
      <c r="B285" t="s">
        <v>39</v>
      </c>
      <c r="C285" t="s">
        <v>1988</v>
      </c>
      <c r="D285" t="s">
        <v>13</v>
      </c>
      <c r="E285" t="s">
        <v>17</v>
      </c>
      <c r="F285" t="str">
        <f>VLOOKUP(Ramen_Ratings[[#This Row],[Country]],Country_Region[#All],2,FALSE)</f>
        <v>North America</v>
      </c>
      <c r="G285">
        <v>4.25</v>
      </c>
      <c r="H285" t="str" cm="1">
        <f t="array" ref="H285">_xlfn.IFS(Ramen_Ratings[[#This Row],[Stars]] = "Unrated", "NA",Ramen_Ratings[[#This Row],[Stars]]&gt;=4, "Good", Ramen_Ratings[[#This Row],[Stars]]&gt;2.5, "Fair", Ramen_Ratings[[#This Row],[Stars]] &gt;= 0, "Bad")</f>
        <v>Good</v>
      </c>
      <c r="J285" t="str">
        <f>LEFT(Ramen_Ratings[[#This Row],[Top Ten]],4)</f>
        <v/>
      </c>
      <c r="K285" t="str">
        <f>IF(Ramen_Ratings[[#This Row],[Top Ten]]="", "",RIGHT(Ramen_Ratings[[#This Row],[Top Ten]],LEN(Ramen_Ratings[[#This Row],[Top Ten]])-6))</f>
        <v/>
      </c>
    </row>
    <row r="286" spans="1:11" x14ac:dyDescent="0.25">
      <c r="A286">
        <v>887</v>
      </c>
      <c r="B286" t="s">
        <v>39</v>
      </c>
      <c r="C286" t="s">
        <v>1989</v>
      </c>
      <c r="D286" t="s">
        <v>13</v>
      </c>
      <c r="E286" t="s">
        <v>17</v>
      </c>
      <c r="F286" t="str">
        <f>VLOOKUP(Ramen_Ratings[[#This Row],[Country]],Country_Region[#All],2,FALSE)</f>
        <v>North America</v>
      </c>
      <c r="G286">
        <v>4</v>
      </c>
      <c r="H286" t="str" cm="1">
        <f t="array" ref="H286">_xlfn.IFS(Ramen_Ratings[[#This Row],[Stars]] = "Unrated", "NA",Ramen_Ratings[[#This Row],[Stars]]&gt;=4, "Good", Ramen_Ratings[[#This Row],[Stars]]&gt;2.5, "Fair", Ramen_Ratings[[#This Row],[Stars]] &gt;= 0, "Bad")</f>
        <v>Good</v>
      </c>
      <c r="J286" t="str">
        <f>LEFT(Ramen_Ratings[[#This Row],[Top Ten]],4)</f>
        <v/>
      </c>
      <c r="K286" t="str">
        <f>IF(Ramen_Ratings[[#This Row],[Top Ten]]="", "",RIGHT(Ramen_Ratings[[#This Row],[Top Ten]],LEN(Ramen_Ratings[[#This Row],[Top Ten]])-6))</f>
        <v/>
      </c>
    </row>
    <row r="287" spans="1:11" x14ac:dyDescent="0.25">
      <c r="A287">
        <v>886</v>
      </c>
      <c r="B287" t="s">
        <v>39</v>
      </c>
      <c r="C287" t="s">
        <v>1990</v>
      </c>
      <c r="D287" t="s">
        <v>13</v>
      </c>
      <c r="E287" t="s">
        <v>17</v>
      </c>
      <c r="F287" t="str">
        <f>VLOOKUP(Ramen_Ratings[[#This Row],[Country]],Country_Region[#All],2,FALSE)</f>
        <v>North America</v>
      </c>
      <c r="G287">
        <v>4.75</v>
      </c>
      <c r="H287" t="str" cm="1">
        <f t="array" ref="H287">_xlfn.IFS(Ramen_Ratings[[#This Row],[Stars]] = "Unrated", "NA",Ramen_Ratings[[#This Row],[Stars]]&gt;=4, "Good", Ramen_Ratings[[#This Row],[Stars]]&gt;2.5, "Fair", Ramen_Ratings[[#This Row],[Stars]] &gt;= 0, "Bad")</f>
        <v>Good</v>
      </c>
      <c r="J287" t="str">
        <f>LEFT(Ramen_Ratings[[#This Row],[Top Ten]],4)</f>
        <v/>
      </c>
      <c r="K287" t="str">
        <f>IF(Ramen_Ratings[[#This Row],[Top Ten]]="", "",RIGHT(Ramen_Ratings[[#This Row],[Top Ten]],LEN(Ramen_Ratings[[#This Row],[Top Ten]])-6))</f>
        <v/>
      </c>
    </row>
    <row r="288" spans="1:11" x14ac:dyDescent="0.25">
      <c r="A288">
        <v>885</v>
      </c>
      <c r="B288" t="s">
        <v>39</v>
      </c>
      <c r="C288" t="s">
        <v>1991</v>
      </c>
      <c r="D288" t="s">
        <v>13</v>
      </c>
      <c r="E288" t="s">
        <v>17</v>
      </c>
      <c r="F288" t="str">
        <f>VLOOKUP(Ramen_Ratings[[#This Row],[Country]],Country_Region[#All],2,FALSE)</f>
        <v>North America</v>
      </c>
      <c r="G288">
        <v>5</v>
      </c>
      <c r="H288" t="str" cm="1">
        <f t="array" ref="H288">_xlfn.IFS(Ramen_Ratings[[#This Row],[Stars]] = "Unrated", "NA",Ramen_Ratings[[#This Row],[Stars]]&gt;=4, "Good", Ramen_Ratings[[#This Row],[Stars]]&gt;2.5, "Fair", Ramen_Ratings[[#This Row],[Stars]] &gt;= 0, "Bad")</f>
        <v>Good</v>
      </c>
      <c r="J288" t="str">
        <f>LEFT(Ramen_Ratings[[#This Row],[Top Ten]],4)</f>
        <v/>
      </c>
      <c r="K288" t="str">
        <f>IF(Ramen_Ratings[[#This Row],[Top Ten]]="", "",RIGHT(Ramen_Ratings[[#This Row],[Top Ten]],LEN(Ramen_Ratings[[#This Row],[Top Ten]])-6))</f>
        <v/>
      </c>
    </row>
    <row r="289" spans="1:11" x14ac:dyDescent="0.25">
      <c r="A289">
        <v>884</v>
      </c>
      <c r="B289" t="s">
        <v>39</v>
      </c>
      <c r="C289" t="s">
        <v>1992</v>
      </c>
      <c r="D289" t="s">
        <v>13</v>
      </c>
      <c r="E289" t="s">
        <v>17</v>
      </c>
      <c r="F289" t="str">
        <f>VLOOKUP(Ramen_Ratings[[#This Row],[Country]],Country_Region[#All],2,FALSE)</f>
        <v>North America</v>
      </c>
      <c r="G289">
        <v>4</v>
      </c>
      <c r="H289" t="str" cm="1">
        <f t="array" ref="H289">_xlfn.IFS(Ramen_Ratings[[#This Row],[Stars]] = "Unrated", "NA",Ramen_Ratings[[#This Row],[Stars]]&gt;=4, "Good", Ramen_Ratings[[#This Row],[Stars]]&gt;2.5, "Fair", Ramen_Ratings[[#This Row],[Stars]] &gt;= 0, "Bad")</f>
        <v>Good</v>
      </c>
      <c r="J289" t="str">
        <f>LEFT(Ramen_Ratings[[#This Row],[Top Ten]],4)</f>
        <v/>
      </c>
      <c r="K289" t="str">
        <f>IF(Ramen_Ratings[[#This Row],[Top Ten]]="", "",RIGHT(Ramen_Ratings[[#This Row],[Top Ten]],LEN(Ramen_Ratings[[#This Row],[Top Ten]])-6))</f>
        <v/>
      </c>
    </row>
    <row r="290" spans="1:11" x14ac:dyDescent="0.25">
      <c r="A290">
        <v>883</v>
      </c>
      <c r="B290" t="s">
        <v>39</v>
      </c>
      <c r="C290" t="s">
        <v>1993</v>
      </c>
      <c r="D290" t="s">
        <v>13</v>
      </c>
      <c r="E290" t="s">
        <v>17</v>
      </c>
      <c r="F290" t="str">
        <f>VLOOKUP(Ramen_Ratings[[#This Row],[Country]],Country_Region[#All],2,FALSE)</f>
        <v>North America</v>
      </c>
      <c r="G290">
        <v>4.5</v>
      </c>
      <c r="H290" t="str" cm="1">
        <f t="array" ref="H290">_xlfn.IFS(Ramen_Ratings[[#This Row],[Stars]] = "Unrated", "NA",Ramen_Ratings[[#This Row],[Stars]]&gt;=4, "Good", Ramen_Ratings[[#This Row],[Stars]]&gt;2.5, "Fair", Ramen_Ratings[[#This Row],[Stars]] &gt;= 0, "Bad")</f>
        <v>Good</v>
      </c>
      <c r="J290" t="str">
        <f>LEFT(Ramen_Ratings[[#This Row],[Top Ten]],4)</f>
        <v/>
      </c>
      <c r="K290" t="str">
        <f>IF(Ramen_Ratings[[#This Row],[Top Ten]]="", "",RIGHT(Ramen_Ratings[[#This Row],[Top Ten]],LEN(Ramen_Ratings[[#This Row],[Top Ten]])-6))</f>
        <v/>
      </c>
    </row>
    <row r="291" spans="1:11" x14ac:dyDescent="0.25">
      <c r="A291">
        <v>878</v>
      </c>
      <c r="B291" t="s">
        <v>15</v>
      </c>
      <c r="C291" t="s">
        <v>1999</v>
      </c>
      <c r="D291" t="s">
        <v>13</v>
      </c>
      <c r="E291" t="s">
        <v>17</v>
      </c>
      <c r="F291" t="str">
        <f>VLOOKUP(Ramen_Ratings[[#This Row],[Country]],Country_Region[#All],2,FALSE)</f>
        <v>North America</v>
      </c>
      <c r="G291">
        <v>3.75</v>
      </c>
      <c r="H291" t="str" cm="1">
        <f t="array" ref="H291">_xlfn.IFS(Ramen_Ratings[[#This Row],[Stars]] = "Unrated", "NA",Ramen_Ratings[[#This Row],[Stars]]&gt;=4, "Good", Ramen_Ratings[[#This Row],[Stars]]&gt;2.5, "Fair", Ramen_Ratings[[#This Row],[Stars]] &gt;= 0, "Bad")</f>
        <v>Fair</v>
      </c>
      <c r="J291" t="str">
        <f>LEFT(Ramen_Ratings[[#This Row],[Top Ten]],4)</f>
        <v/>
      </c>
      <c r="K291" t="str">
        <f>IF(Ramen_Ratings[[#This Row],[Top Ten]]="", "",RIGHT(Ramen_Ratings[[#This Row],[Top Ten]],LEN(Ramen_Ratings[[#This Row],[Top Ten]])-6))</f>
        <v/>
      </c>
    </row>
    <row r="292" spans="1:11" x14ac:dyDescent="0.25">
      <c r="A292">
        <v>877</v>
      </c>
      <c r="B292" t="s">
        <v>41</v>
      </c>
      <c r="C292" t="s">
        <v>2000</v>
      </c>
      <c r="D292" t="s">
        <v>44</v>
      </c>
      <c r="E292" t="s">
        <v>17</v>
      </c>
      <c r="F292" t="str">
        <f>VLOOKUP(Ramen_Ratings[[#This Row],[Country]],Country_Region[#All],2,FALSE)</f>
        <v>North America</v>
      </c>
      <c r="G292">
        <v>4.25</v>
      </c>
      <c r="H292" t="str" cm="1">
        <f t="array" ref="H292">_xlfn.IFS(Ramen_Ratings[[#This Row],[Stars]] = "Unrated", "NA",Ramen_Ratings[[#This Row],[Stars]]&gt;=4, "Good", Ramen_Ratings[[#This Row],[Stars]]&gt;2.5, "Fair", Ramen_Ratings[[#This Row],[Stars]] &gt;= 0, "Bad")</f>
        <v>Good</v>
      </c>
      <c r="J292" t="str">
        <f>LEFT(Ramen_Ratings[[#This Row],[Top Ten]],4)</f>
        <v/>
      </c>
      <c r="K292" t="str">
        <f>IF(Ramen_Ratings[[#This Row],[Top Ten]]="", "",RIGHT(Ramen_Ratings[[#This Row],[Top Ten]],LEN(Ramen_Ratings[[#This Row],[Top Ten]])-6))</f>
        <v/>
      </c>
    </row>
    <row r="293" spans="1:11" x14ac:dyDescent="0.25">
      <c r="A293">
        <v>872</v>
      </c>
      <c r="B293" t="s">
        <v>41</v>
      </c>
      <c r="C293" t="s">
        <v>2006</v>
      </c>
      <c r="D293" t="s">
        <v>44</v>
      </c>
      <c r="E293" t="s">
        <v>17</v>
      </c>
      <c r="F293" t="str">
        <f>VLOOKUP(Ramen_Ratings[[#This Row],[Country]],Country_Region[#All],2,FALSE)</f>
        <v>North America</v>
      </c>
      <c r="G293">
        <v>5</v>
      </c>
      <c r="H293" t="str" cm="1">
        <f t="array" ref="H293">_xlfn.IFS(Ramen_Ratings[[#This Row],[Stars]] = "Unrated", "NA",Ramen_Ratings[[#This Row],[Stars]]&gt;=4, "Good", Ramen_Ratings[[#This Row],[Stars]]&gt;2.5, "Fair", Ramen_Ratings[[#This Row],[Stars]] &gt;= 0, "Bad")</f>
        <v>Good</v>
      </c>
      <c r="J293" t="str">
        <f>LEFT(Ramen_Ratings[[#This Row],[Top Ten]],4)</f>
        <v/>
      </c>
      <c r="K293" t="str">
        <f>IF(Ramen_Ratings[[#This Row],[Top Ten]]="", "",RIGHT(Ramen_Ratings[[#This Row],[Top Ten]],LEN(Ramen_Ratings[[#This Row],[Top Ten]])-6))</f>
        <v/>
      </c>
    </row>
    <row r="294" spans="1:11" x14ac:dyDescent="0.25">
      <c r="A294">
        <v>862</v>
      </c>
      <c r="B294" t="s">
        <v>15</v>
      </c>
      <c r="C294" t="s">
        <v>2018</v>
      </c>
      <c r="D294" t="s">
        <v>13</v>
      </c>
      <c r="E294" t="s">
        <v>17</v>
      </c>
      <c r="F294" t="str">
        <f>VLOOKUP(Ramen_Ratings[[#This Row],[Country]],Country_Region[#All],2,FALSE)</f>
        <v>North America</v>
      </c>
      <c r="G294">
        <v>4.25</v>
      </c>
      <c r="H294" t="str" cm="1">
        <f t="array" ref="H294">_xlfn.IFS(Ramen_Ratings[[#This Row],[Stars]] = "Unrated", "NA",Ramen_Ratings[[#This Row],[Stars]]&gt;=4, "Good", Ramen_Ratings[[#This Row],[Stars]]&gt;2.5, "Fair", Ramen_Ratings[[#This Row],[Stars]] &gt;= 0, "Bad")</f>
        <v>Good</v>
      </c>
      <c r="J294" t="str">
        <f>LEFT(Ramen_Ratings[[#This Row],[Top Ten]],4)</f>
        <v/>
      </c>
      <c r="K294" t="str">
        <f>IF(Ramen_Ratings[[#This Row],[Top Ten]]="", "",RIGHT(Ramen_Ratings[[#This Row],[Top Ten]],LEN(Ramen_Ratings[[#This Row],[Top Ten]])-6))</f>
        <v/>
      </c>
    </row>
    <row r="295" spans="1:11" x14ac:dyDescent="0.25">
      <c r="A295">
        <v>859</v>
      </c>
      <c r="B295" t="s">
        <v>1848</v>
      </c>
      <c r="C295" t="s">
        <v>2021</v>
      </c>
      <c r="D295" t="s">
        <v>9</v>
      </c>
      <c r="E295" t="s">
        <v>17</v>
      </c>
      <c r="F295" t="str">
        <f>VLOOKUP(Ramen_Ratings[[#This Row],[Country]],Country_Region[#All],2,FALSE)</f>
        <v>North America</v>
      </c>
      <c r="G295">
        <v>3.75</v>
      </c>
      <c r="H295" t="str" cm="1">
        <f t="array" ref="H295">_xlfn.IFS(Ramen_Ratings[[#This Row],[Stars]] = "Unrated", "NA",Ramen_Ratings[[#This Row],[Stars]]&gt;=4, "Good", Ramen_Ratings[[#This Row],[Stars]]&gt;2.5, "Fair", Ramen_Ratings[[#This Row],[Stars]] &gt;= 0, "Bad")</f>
        <v>Fair</v>
      </c>
      <c r="J295" t="str">
        <f>LEFT(Ramen_Ratings[[#This Row],[Top Ten]],4)</f>
        <v/>
      </c>
      <c r="K295" t="str">
        <f>IF(Ramen_Ratings[[#This Row],[Top Ten]]="", "",RIGHT(Ramen_Ratings[[#This Row],[Top Ten]],LEN(Ramen_Ratings[[#This Row],[Top Ten]])-6))</f>
        <v/>
      </c>
    </row>
    <row r="296" spans="1:11" x14ac:dyDescent="0.25">
      <c r="A296">
        <v>850</v>
      </c>
      <c r="B296" t="s">
        <v>15</v>
      </c>
      <c r="C296" t="s">
        <v>2031</v>
      </c>
      <c r="D296" t="s">
        <v>13</v>
      </c>
      <c r="E296" t="s">
        <v>17</v>
      </c>
      <c r="F296" t="str">
        <f>VLOOKUP(Ramen_Ratings[[#This Row],[Country]],Country_Region[#All],2,FALSE)</f>
        <v>North America</v>
      </c>
      <c r="G296">
        <v>4</v>
      </c>
      <c r="H296" t="str" cm="1">
        <f t="array" ref="H296">_xlfn.IFS(Ramen_Ratings[[#This Row],[Stars]] = "Unrated", "NA",Ramen_Ratings[[#This Row],[Stars]]&gt;=4, "Good", Ramen_Ratings[[#This Row],[Stars]]&gt;2.5, "Fair", Ramen_Ratings[[#This Row],[Stars]] &gt;= 0, "Bad")</f>
        <v>Good</v>
      </c>
      <c r="J296" t="str">
        <f>LEFT(Ramen_Ratings[[#This Row],[Top Ten]],4)</f>
        <v/>
      </c>
      <c r="K296" t="str">
        <f>IF(Ramen_Ratings[[#This Row],[Top Ten]]="", "",RIGHT(Ramen_Ratings[[#This Row],[Top Ten]],LEN(Ramen_Ratings[[#This Row],[Top Ten]])-6))</f>
        <v/>
      </c>
    </row>
    <row r="297" spans="1:11" x14ac:dyDescent="0.25">
      <c r="A297">
        <v>849</v>
      </c>
      <c r="B297" t="s">
        <v>15</v>
      </c>
      <c r="C297" t="s">
        <v>2032</v>
      </c>
      <c r="D297" t="s">
        <v>13</v>
      </c>
      <c r="E297" t="s">
        <v>17</v>
      </c>
      <c r="F297" t="str">
        <f>VLOOKUP(Ramen_Ratings[[#This Row],[Country]],Country_Region[#All],2,FALSE)</f>
        <v>North America</v>
      </c>
      <c r="G297">
        <v>3.5</v>
      </c>
      <c r="H297" t="str" cm="1">
        <f t="array" ref="H297">_xlfn.IFS(Ramen_Ratings[[#This Row],[Stars]] = "Unrated", "NA",Ramen_Ratings[[#This Row],[Stars]]&gt;=4, "Good", Ramen_Ratings[[#This Row],[Stars]]&gt;2.5, "Fair", Ramen_Ratings[[#This Row],[Stars]] &gt;= 0, "Bad")</f>
        <v>Fair</v>
      </c>
      <c r="J297" t="str">
        <f>LEFT(Ramen_Ratings[[#This Row],[Top Ten]],4)</f>
        <v/>
      </c>
      <c r="K297" t="str">
        <f>IF(Ramen_Ratings[[#This Row],[Top Ten]]="", "",RIGHT(Ramen_Ratings[[#This Row],[Top Ten]],LEN(Ramen_Ratings[[#This Row],[Top Ten]])-6))</f>
        <v/>
      </c>
    </row>
    <row r="298" spans="1:11" x14ac:dyDescent="0.25">
      <c r="A298">
        <v>843</v>
      </c>
      <c r="B298" t="s">
        <v>15</v>
      </c>
      <c r="C298" t="s">
        <v>2038</v>
      </c>
      <c r="D298" t="s">
        <v>13</v>
      </c>
      <c r="E298" t="s">
        <v>17</v>
      </c>
      <c r="F298" t="str">
        <f>VLOOKUP(Ramen_Ratings[[#This Row],[Country]],Country_Region[#All],2,FALSE)</f>
        <v>North America</v>
      </c>
      <c r="G298">
        <v>3.5</v>
      </c>
      <c r="H298" t="str" cm="1">
        <f t="array" ref="H298">_xlfn.IFS(Ramen_Ratings[[#This Row],[Stars]] = "Unrated", "NA",Ramen_Ratings[[#This Row],[Stars]]&gt;=4, "Good", Ramen_Ratings[[#This Row],[Stars]]&gt;2.5, "Fair", Ramen_Ratings[[#This Row],[Stars]] &gt;= 0, "Bad")</f>
        <v>Fair</v>
      </c>
      <c r="J298" t="str">
        <f>LEFT(Ramen_Ratings[[#This Row],[Top Ten]],4)</f>
        <v/>
      </c>
      <c r="K298" t="str">
        <f>IF(Ramen_Ratings[[#This Row],[Top Ten]]="", "",RIGHT(Ramen_Ratings[[#This Row],[Top Ten]],LEN(Ramen_Ratings[[#This Row],[Top Ten]])-6))</f>
        <v/>
      </c>
    </row>
    <row r="299" spans="1:11" x14ac:dyDescent="0.25">
      <c r="A299">
        <v>837</v>
      </c>
      <c r="B299" t="s">
        <v>15</v>
      </c>
      <c r="C299" t="s">
        <v>2044</v>
      </c>
      <c r="D299" t="s">
        <v>13</v>
      </c>
      <c r="E299" t="s">
        <v>17</v>
      </c>
      <c r="F299" t="str">
        <f>VLOOKUP(Ramen_Ratings[[#This Row],[Country]],Country_Region[#All],2,FALSE)</f>
        <v>North America</v>
      </c>
      <c r="G299">
        <v>4.5</v>
      </c>
      <c r="H299" t="str" cm="1">
        <f t="array" ref="H299">_xlfn.IFS(Ramen_Ratings[[#This Row],[Stars]] = "Unrated", "NA",Ramen_Ratings[[#This Row],[Stars]]&gt;=4, "Good", Ramen_Ratings[[#This Row],[Stars]]&gt;2.5, "Fair", Ramen_Ratings[[#This Row],[Stars]] &gt;= 0, "Bad")</f>
        <v>Good</v>
      </c>
      <c r="J299" t="str">
        <f>LEFT(Ramen_Ratings[[#This Row],[Top Ten]],4)</f>
        <v/>
      </c>
      <c r="K299" t="str">
        <f>IF(Ramen_Ratings[[#This Row],[Top Ten]]="", "",RIGHT(Ramen_Ratings[[#This Row],[Top Ten]],LEN(Ramen_Ratings[[#This Row],[Top Ten]])-6))</f>
        <v/>
      </c>
    </row>
    <row r="300" spans="1:11" x14ac:dyDescent="0.25">
      <c r="A300">
        <v>799</v>
      </c>
      <c r="B300" t="s">
        <v>41</v>
      </c>
      <c r="C300" t="s">
        <v>2085</v>
      </c>
      <c r="D300" t="s">
        <v>44</v>
      </c>
      <c r="E300" t="s">
        <v>17</v>
      </c>
      <c r="F300" t="str">
        <f>VLOOKUP(Ramen_Ratings[[#This Row],[Country]],Country_Region[#All],2,FALSE)</f>
        <v>North America</v>
      </c>
      <c r="G300">
        <v>4.25</v>
      </c>
      <c r="H300" t="str" cm="1">
        <f t="array" ref="H300">_xlfn.IFS(Ramen_Ratings[[#This Row],[Stars]] = "Unrated", "NA",Ramen_Ratings[[#This Row],[Stars]]&gt;=4, "Good", Ramen_Ratings[[#This Row],[Stars]]&gt;2.5, "Fair", Ramen_Ratings[[#This Row],[Stars]] &gt;= 0, "Bad")</f>
        <v>Good</v>
      </c>
      <c r="J300" t="str">
        <f>LEFT(Ramen_Ratings[[#This Row],[Top Ten]],4)</f>
        <v/>
      </c>
      <c r="K300" t="str">
        <f>IF(Ramen_Ratings[[#This Row],[Top Ten]]="", "",RIGHT(Ramen_Ratings[[#This Row],[Top Ten]],LEN(Ramen_Ratings[[#This Row],[Top Ten]])-6))</f>
        <v/>
      </c>
    </row>
    <row r="301" spans="1:11" x14ac:dyDescent="0.25">
      <c r="A301">
        <v>792</v>
      </c>
      <c r="B301" t="s">
        <v>41</v>
      </c>
      <c r="C301" t="s">
        <v>2092</v>
      </c>
      <c r="D301" t="s">
        <v>44</v>
      </c>
      <c r="E301" t="s">
        <v>17</v>
      </c>
      <c r="F301" t="str">
        <f>VLOOKUP(Ramen_Ratings[[#This Row],[Country]],Country_Region[#All],2,FALSE)</f>
        <v>North America</v>
      </c>
      <c r="G301">
        <v>4.5</v>
      </c>
      <c r="H301" t="str" cm="1">
        <f t="array" ref="H301">_xlfn.IFS(Ramen_Ratings[[#This Row],[Stars]] = "Unrated", "NA",Ramen_Ratings[[#This Row],[Stars]]&gt;=4, "Good", Ramen_Ratings[[#This Row],[Stars]]&gt;2.5, "Fair", Ramen_Ratings[[#This Row],[Stars]] &gt;= 0, "Bad")</f>
        <v>Good</v>
      </c>
      <c r="J301" t="str">
        <f>LEFT(Ramen_Ratings[[#This Row],[Top Ten]],4)</f>
        <v/>
      </c>
      <c r="K301" t="str">
        <f>IF(Ramen_Ratings[[#This Row],[Top Ten]]="", "",RIGHT(Ramen_Ratings[[#This Row],[Top Ten]],LEN(Ramen_Ratings[[#This Row],[Top Ten]])-6))</f>
        <v/>
      </c>
    </row>
    <row r="302" spans="1:11" x14ac:dyDescent="0.25">
      <c r="A302">
        <v>783</v>
      </c>
      <c r="B302" t="s">
        <v>15</v>
      </c>
      <c r="C302" t="s">
        <v>2101</v>
      </c>
      <c r="D302" t="s">
        <v>9</v>
      </c>
      <c r="E302" t="s">
        <v>17</v>
      </c>
      <c r="F302" t="str">
        <f>VLOOKUP(Ramen_Ratings[[#This Row],[Country]],Country_Region[#All],2,FALSE)</f>
        <v>North America</v>
      </c>
      <c r="G302">
        <v>3</v>
      </c>
      <c r="H302" t="str" cm="1">
        <f t="array" ref="H302">_xlfn.IFS(Ramen_Ratings[[#This Row],[Stars]] = "Unrated", "NA",Ramen_Ratings[[#This Row],[Stars]]&gt;=4, "Good", Ramen_Ratings[[#This Row],[Stars]]&gt;2.5, "Fair", Ramen_Ratings[[#This Row],[Stars]] &gt;= 0, "Bad")</f>
        <v>Fair</v>
      </c>
      <c r="J302" t="str">
        <f>LEFT(Ramen_Ratings[[#This Row],[Top Ten]],4)</f>
        <v/>
      </c>
      <c r="K302" t="str">
        <f>IF(Ramen_Ratings[[#This Row],[Top Ten]]="", "",RIGHT(Ramen_Ratings[[#This Row],[Top Ten]],LEN(Ramen_Ratings[[#This Row],[Top Ten]])-6))</f>
        <v/>
      </c>
    </row>
    <row r="303" spans="1:11" x14ac:dyDescent="0.25">
      <c r="A303">
        <v>782</v>
      </c>
      <c r="B303" t="s">
        <v>41</v>
      </c>
      <c r="C303" t="s">
        <v>2102</v>
      </c>
      <c r="D303" t="s">
        <v>44</v>
      </c>
      <c r="E303" t="s">
        <v>17</v>
      </c>
      <c r="F303" t="str">
        <f>VLOOKUP(Ramen_Ratings[[#This Row],[Country]],Country_Region[#All],2,FALSE)</f>
        <v>North America</v>
      </c>
      <c r="G303">
        <v>3.25</v>
      </c>
      <c r="H303" t="str" cm="1">
        <f t="array" ref="H303">_xlfn.IFS(Ramen_Ratings[[#This Row],[Stars]] = "Unrated", "NA",Ramen_Ratings[[#This Row],[Stars]]&gt;=4, "Good", Ramen_Ratings[[#This Row],[Stars]]&gt;2.5, "Fair", Ramen_Ratings[[#This Row],[Stars]] &gt;= 0, "Bad")</f>
        <v>Fair</v>
      </c>
      <c r="J303" t="str">
        <f>LEFT(Ramen_Ratings[[#This Row],[Top Ten]],4)</f>
        <v/>
      </c>
      <c r="K303" t="str">
        <f>IF(Ramen_Ratings[[#This Row],[Top Ten]]="", "",RIGHT(Ramen_Ratings[[#This Row],[Top Ten]],LEN(Ramen_Ratings[[#This Row],[Top Ten]])-6))</f>
        <v/>
      </c>
    </row>
    <row r="304" spans="1:11" x14ac:dyDescent="0.25">
      <c r="A304">
        <v>772</v>
      </c>
      <c r="B304" t="s">
        <v>41</v>
      </c>
      <c r="C304" t="s">
        <v>2112</v>
      </c>
      <c r="D304" t="s">
        <v>13</v>
      </c>
      <c r="E304" t="s">
        <v>17</v>
      </c>
      <c r="F304" t="str">
        <f>VLOOKUP(Ramen_Ratings[[#This Row],[Country]],Country_Region[#All],2,FALSE)</f>
        <v>North America</v>
      </c>
      <c r="G304">
        <v>3.5</v>
      </c>
      <c r="H304" t="str" cm="1">
        <f t="array" ref="H304">_xlfn.IFS(Ramen_Ratings[[#This Row],[Stars]] = "Unrated", "NA",Ramen_Ratings[[#This Row],[Stars]]&gt;=4, "Good", Ramen_Ratings[[#This Row],[Stars]]&gt;2.5, "Fair", Ramen_Ratings[[#This Row],[Stars]] &gt;= 0, "Bad")</f>
        <v>Fair</v>
      </c>
      <c r="J304" t="str">
        <f>LEFT(Ramen_Ratings[[#This Row],[Top Ten]],4)</f>
        <v/>
      </c>
      <c r="K304" t="str">
        <f>IF(Ramen_Ratings[[#This Row],[Top Ten]]="", "",RIGHT(Ramen_Ratings[[#This Row],[Top Ten]],LEN(Ramen_Ratings[[#This Row],[Top Ten]])-6))</f>
        <v/>
      </c>
    </row>
    <row r="305" spans="1:11" x14ac:dyDescent="0.25">
      <c r="A305">
        <v>769</v>
      </c>
      <c r="B305" t="s">
        <v>15</v>
      </c>
      <c r="C305" t="s">
        <v>2115</v>
      </c>
      <c r="D305" t="s">
        <v>9</v>
      </c>
      <c r="E305" t="s">
        <v>17</v>
      </c>
      <c r="F305" t="str">
        <f>VLOOKUP(Ramen_Ratings[[#This Row],[Country]],Country_Region[#All],2,FALSE)</f>
        <v>North America</v>
      </c>
      <c r="G305">
        <v>3.25</v>
      </c>
      <c r="H305" t="str" cm="1">
        <f t="array" ref="H305">_xlfn.IFS(Ramen_Ratings[[#This Row],[Stars]] = "Unrated", "NA",Ramen_Ratings[[#This Row],[Stars]]&gt;=4, "Good", Ramen_Ratings[[#This Row],[Stars]]&gt;2.5, "Fair", Ramen_Ratings[[#This Row],[Stars]] &gt;= 0, "Bad")</f>
        <v>Fair</v>
      </c>
      <c r="J305" t="str">
        <f>LEFT(Ramen_Ratings[[#This Row],[Top Ten]],4)</f>
        <v/>
      </c>
      <c r="K305" t="str">
        <f>IF(Ramen_Ratings[[#This Row],[Top Ten]]="", "",RIGHT(Ramen_Ratings[[#This Row],[Top Ten]],LEN(Ramen_Ratings[[#This Row],[Top Ten]])-6))</f>
        <v/>
      </c>
    </row>
    <row r="306" spans="1:11" x14ac:dyDescent="0.25">
      <c r="A306">
        <v>761</v>
      </c>
      <c r="B306" t="s">
        <v>1533</v>
      </c>
      <c r="C306" t="s">
        <v>2122</v>
      </c>
      <c r="D306" t="s">
        <v>13</v>
      </c>
      <c r="E306" t="s">
        <v>17</v>
      </c>
      <c r="F306" t="str">
        <f>VLOOKUP(Ramen_Ratings[[#This Row],[Country]],Country_Region[#All],2,FALSE)</f>
        <v>North America</v>
      </c>
      <c r="G306">
        <v>3.5</v>
      </c>
      <c r="H306" t="str" cm="1">
        <f t="array" ref="H306">_xlfn.IFS(Ramen_Ratings[[#This Row],[Stars]] = "Unrated", "NA",Ramen_Ratings[[#This Row],[Stars]]&gt;=4, "Good", Ramen_Ratings[[#This Row],[Stars]]&gt;2.5, "Fair", Ramen_Ratings[[#This Row],[Stars]] &gt;= 0, "Bad")</f>
        <v>Fair</v>
      </c>
      <c r="J306" t="str">
        <f>LEFT(Ramen_Ratings[[#This Row],[Top Ten]],4)</f>
        <v/>
      </c>
      <c r="K306" t="str">
        <f>IF(Ramen_Ratings[[#This Row],[Top Ten]]="", "",RIGHT(Ramen_Ratings[[#This Row],[Top Ten]],LEN(Ramen_Ratings[[#This Row],[Top Ten]])-6))</f>
        <v/>
      </c>
    </row>
    <row r="307" spans="1:11" x14ac:dyDescent="0.25">
      <c r="A307">
        <v>760</v>
      </c>
      <c r="B307" t="s">
        <v>15</v>
      </c>
      <c r="C307" t="s">
        <v>2123</v>
      </c>
      <c r="D307" t="s">
        <v>9</v>
      </c>
      <c r="E307" t="s">
        <v>17</v>
      </c>
      <c r="F307" t="str">
        <f>VLOOKUP(Ramen_Ratings[[#This Row],[Country]],Country_Region[#All],2,FALSE)</f>
        <v>North America</v>
      </c>
      <c r="G307">
        <v>3.25</v>
      </c>
      <c r="H307" t="str" cm="1">
        <f t="array" ref="H307">_xlfn.IFS(Ramen_Ratings[[#This Row],[Stars]] = "Unrated", "NA",Ramen_Ratings[[#This Row],[Stars]]&gt;=4, "Good", Ramen_Ratings[[#This Row],[Stars]]&gt;2.5, "Fair", Ramen_Ratings[[#This Row],[Stars]] &gt;= 0, "Bad")</f>
        <v>Fair</v>
      </c>
      <c r="J307" t="str">
        <f>LEFT(Ramen_Ratings[[#This Row],[Top Ten]],4)</f>
        <v/>
      </c>
      <c r="K307" t="str">
        <f>IF(Ramen_Ratings[[#This Row],[Top Ten]]="", "",RIGHT(Ramen_Ratings[[#This Row],[Top Ten]],LEN(Ramen_Ratings[[#This Row],[Top Ten]])-6))</f>
        <v/>
      </c>
    </row>
    <row r="308" spans="1:11" x14ac:dyDescent="0.25">
      <c r="A308">
        <v>759</v>
      </c>
      <c r="B308" t="s">
        <v>41</v>
      </c>
      <c r="C308" t="s">
        <v>2124</v>
      </c>
      <c r="D308" t="s">
        <v>44</v>
      </c>
      <c r="E308" t="s">
        <v>17</v>
      </c>
      <c r="F308" t="str">
        <f>VLOOKUP(Ramen_Ratings[[#This Row],[Country]],Country_Region[#All],2,FALSE)</f>
        <v>North America</v>
      </c>
      <c r="G308">
        <v>3.75</v>
      </c>
      <c r="H308" t="str" cm="1">
        <f t="array" ref="H308">_xlfn.IFS(Ramen_Ratings[[#This Row],[Stars]] = "Unrated", "NA",Ramen_Ratings[[#This Row],[Stars]]&gt;=4, "Good", Ramen_Ratings[[#This Row],[Stars]]&gt;2.5, "Fair", Ramen_Ratings[[#This Row],[Stars]] &gt;= 0, "Bad")</f>
        <v>Fair</v>
      </c>
      <c r="J308" t="str">
        <f>LEFT(Ramen_Ratings[[#This Row],[Top Ten]],4)</f>
        <v/>
      </c>
      <c r="K308" t="str">
        <f>IF(Ramen_Ratings[[#This Row],[Top Ten]]="", "",RIGHT(Ramen_Ratings[[#This Row],[Top Ten]],LEN(Ramen_Ratings[[#This Row],[Top Ten]])-6))</f>
        <v/>
      </c>
    </row>
    <row r="309" spans="1:11" x14ac:dyDescent="0.25">
      <c r="A309">
        <v>754</v>
      </c>
      <c r="B309" t="s">
        <v>41</v>
      </c>
      <c r="C309" t="s">
        <v>2129</v>
      </c>
      <c r="D309" t="s">
        <v>13</v>
      </c>
      <c r="E309" t="s">
        <v>17</v>
      </c>
      <c r="F309" t="str">
        <f>VLOOKUP(Ramen_Ratings[[#This Row],[Country]],Country_Region[#All],2,FALSE)</f>
        <v>North America</v>
      </c>
      <c r="G309">
        <v>3.75</v>
      </c>
      <c r="H309" t="str" cm="1">
        <f t="array" ref="H309">_xlfn.IFS(Ramen_Ratings[[#This Row],[Stars]] = "Unrated", "NA",Ramen_Ratings[[#This Row],[Stars]]&gt;=4, "Good", Ramen_Ratings[[#This Row],[Stars]]&gt;2.5, "Fair", Ramen_Ratings[[#This Row],[Stars]] &gt;= 0, "Bad")</f>
        <v>Fair</v>
      </c>
      <c r="J309" t="str">
        <f>LEFT(Ramen_Ratings[[#This Row],[Top Ten]],4)</f>
        <v/>
      </c>
      <c r="K309" t="str">
        <f>IF(Ramen_Ratings[[#This Row],[Top Ten]]="", "",RIGHT(Ramen_Ratings[[#This Row],[Top Ten]],LEN(Ramen_Ratings[[#This Row],[Top Ten]])-6))</f>
        <v/>
      </c>
    </row>
    <row r="310" spans="1:11" x14ac:dyDescent="0.25">
      <c r="A310">
        <v>752</v>
      </c>
      <c r="B310" t="s">
        <v>41</v>
      </c>
      <c r="C310" t="s">
        <v>2131</v>
      </c>
      <c r="D310" t="s">
        <v>44</v>
      </c>
      <c r="E310" t="s">
        <v>17</v>
      </c>
      <c r="F310" t="str">
        <f>VLOOKUP(Ramen_Ratings[[#This Row],[Country]],Country_Region[#All],2,FALSE)</f>
        <v>North America</v>
      </c>
      <c r="G310">
        <v>3.5</v>
      </c>
      <c r="H310" t="str" cm="1">
        <f t="array" ref="H310">_xlfn.IFS(Ramen_Ratings[[#This Row],[Stars]] = "Unrated", "NA",Ramen_Ratings[[#This Row],[Stars]]&gt;=4, "Good", Ramen_Ratings[[#This Row],[Stars]]&gt;2.5, "Fair", Ramen_Ratings[[#This Row],[Stars]] &gt;= 0, "Bad")</f>
        <v>Fair</v>
      </c>
      <c r="J310" t="str">
        <f>LEFT(Ramen_Ratings[[#This Row],[Top Ten]],4)</f>
        <v/>
      </c>
      <c r="K310" t="str">
        <f>IF(Ramen_Ratings[[#This Row],[Top Ten]]="", "",RIGHT(Ramen_Ratings[[#This Row],[Top Ten]],LEN(Ramen_Ratings[[#This Row],[Top Ten]])-6))</f>
        <v/>
      </c>
    </row>
    <row r="311" spans="1:11" x14ac:dyDescent="0.25">
      <c r="A311">
        <v>750</v>
      </c>
      <c r="B311" t="s">
        <v>41</v>
      </c>
      <c r="C311" t="s">
        <v>2133</v>
      </c>
      <c r="D311" t="s">
        <v>44</v>
      </c>
      <c r="E311" t="s">
        <v>17</v>
      </c>
      <c r="F311" t="str">
        <f>VLOOKUP(Ramen_Ratings[[#This Row],[Country]],Country_Region[#All],2,FALSE)</f>
        <v>North America</v>
      </c>
      <c r="G311">
        <v>3.75</v>
      </c>
      <c r="H311" t="str" cm="1">
        <f t="array" ref="H311">_xlfn.IFS(Ramen_Ratings[[#This Row],[Stars]] = "Unrated", "NA",Ramen_Ratings[[#This Row],[Stars]]&gt;=4, "Good", Ramen_Ratings[[#This Row],[Stars]]&gt;2.5, "Fair", Ramen_Ratings[[#This Row],[Stars]] &gt;= 0, "Bad")</f>
        <v>Fair</v>
      </c>
      <c r="J311" t="str">
        <f>LEFT(Ramen_Ratings[[#This Row],[Top Ten]],4)</f>
        <v/>
      </c>
      <c r="K311" t="str">
        <f>IF(Ramen_Ratings[[#This Row],[Top Ten]]="", "",RIGHT(Ramen_Ratings[[#This Row],[Top Ten]],LEN(Ramen_Ratings[[#This Row],[Top Ten]])-6))</f>
        <v/>
      </c>
    </row>
    <row r="312" spans="1:11" x14ac:dyDescent="0.25">
      <c r="A312">
        <v>749</v>
      </c>
      <c r="B312" t="s">
        <v>374</v>
      </c>
      <c r="C312" t="s">
        <v>2134</v>
      </c>
      <c r="D312" t="s">
        <v>13</v>
      </c>
      <c r="E312" t="s">
        <v>17</v>
      </c>
      <c r="F312" t="str">
        <f>VLOOKUP(Ramen_Ratings[[#This Row],[Country]],Country_Region[#All],2,FALSE)</f>
        <v>North America</v>
      </c>
      <c r="G312">
        <v>5</v>
      </c>
      <c r="H312" t="str" cm="1">
        <f t="array" ref="H312">_xlfn.IFS(Ramen_Ratings[[#This Row],[Stars]] = "Unrated", "NA",Ramen_Ratings[[#This Row],[Stars]]&gt;=4, "Good", Ramen_Ratings[[#This Row],[Stars]]&gt;2.5, "Fair", Ramen_Ratings[[#This Row],[Stars]] &gt;= 0, "Bad")</f>
        <v>Good</v>
      </c>
      <c r="J312" t="str">
        <f>LEFT(Ramen_Ratings[[#This Row],[Top Ten]],4)</f>
        <v/>
      </c>
      <c r="K312" t="str">
        <f>IF(Ramen_Ratings[[#This Row],[Top Ten]]="", "",RIGHT(Ramen_Ratings[[#This Row],[Top Ten]],LEN(Ramen_Ratings[[#This Row],[Top Ten]])-6))</f>
        <v/>
      </c>
    </row>
    <row r="313" spans="1:11" x14ac:dyDescent="0.25">
      <c r="A313">
        <v>748</v>
      </c>
      <c r="B313" t="s">
        <v>2135</v>
      </c>
      <c r="C313" t="s">
        <v>2136</v>
      </c>
      <c r="D313" t="s">
        <v>44</v>
      </c>
      <c r="E313" t="s">
        <v>17</v>
      </c>
      <c r="F313" t="str">
        <f>VLOOKUP(Ramen_Ratings[[#This Row],[Country]],Country_Region[#All],2,FALSE)</f>
        <v>North America</v>
      </c>
      <c r="G313">
        <v>3.75</v>
      </c>
      <c r="H313" t="str" cm="1">
        <f t="array" ref="H313">_xlfn.IFS(Ramen_Ratings[[#This Row],[Stars]] = "Unrated", "NA",Ramen_Ratings[[#This Row],[Stars]]&gt;=4, "Good", Ramen_Ratings[[#This Row],[Stars]]&gt;2.5, "Fair", Ramen_Ratings[[#This Row],[Stars]] &gt;= 0, "Bad")</f>
        <v>Fair</v>
      </c>
      <c r="J313" t="str">
        <f>LEFT(Ramen_Ratings[[#This Row],[Top Ten]],4)</f>
        <v/>
      </c>
      <c r="K313" t="str">
        <f>IF(Ramen_Ratings[[#This Row],[Top Ten]]="", "",RIGHT(Ramen_Ratings[[#This Row],[Top Ten]],LEN(Ramen_Ratings[[#This Row],[Top Ten]])-6))</f>
        <v/>
      </c>
    </row>
    <row r="314" spans="1:11" x14ac:dyDescent="0.25">
      <c r="A314">
        <v>747</v>
      </c>
      <c r="B314" t="s">
        <v>15</v>
      </c>
      <c r="C314" t="s">
        <v>2137</v>
      </c>
      <c r="D314" t="s">
        <v>13</v>
      </c>
      <c r="E314" t="s">
        <v>17</v>
      </c>
      <c r="F314" t="str">
        <f>VLOOKUP(Ramen_Ratings[[#This Row],[Country]],Country_Region[#All],2,FALSE)</f>
        <v>North America</v>
      </c>
      <c r="G314">
        <v>3.5</v>
      </c>
      <c r="H314" t="str" cm="1">
        <f t="array" ref="H314">_xlfn.IFS(Ramen_Ratings[[#This Row],[Stars]] = "Unrated", "NA",Ramen_Ratings[[#This Row],[Stars]]&gt;=4, "Good", Ramen_Ratings[[#This Row],[Stars]]&gt;2.5, "Fair", Ramen_Ratings[[#This Row],[Stars]] &gt;= 0, "Bad")</f>
        <v>Fair</v>
      </c>
      <c r="J314" t="str">
        <f>LEFT(Ramen_Ratings[[#This Row],[Top Ten]],4)</f>
        <v/>
      </c>
      <c r="K314" t="str">
        <f>IF(Ramen_Ratings[[#This Row],[Top Ten]]="", "",RIGHT(Ramen_Ratings[[#This Row],[Top Ten]],LEN(Ramen_Ratings[[#This Row],[Top Ten]])-6))</f>
        <v/>
      </c>
    </row>
    <row r="315" spans="1:11" x14ac:dyDescent="0.25">
      <c r="A315">
        <v>736</v>
      </c>
      <c r="B315" t="s">
        <v>102</v>
      </c>
      <c r="C315" t="s">
        <v>2149</v>
      </c>
      <c r="D315" t="s">
        <v>30</v>
      </c>
      <c r="E315" t="s">
        <v>17</v>
      </c>
      <c r="F315" t="str">
        <f>VLOOKUP(Ramen_Ratings[[#This Row],[Country]],Country_Region[#All],2,FALSE)</f>
        <v>North America</v>
      </c>
      <c r="G315">
        <v>3.25</v>
      </c>
      <c r="H315" t="str" cm="1">
        <f t="array" ref="H315">_xlfn.IFS(Ramen_Ratings[[#This Row],[Stars]] = "Unrated", "NA",Ramen_Ratings[[#This Row],[Stars]]&gt;=4, "Good", Ramen_Ratings[[#This Row],[Stars]]&gt;2.5, "Fair", Ramen_Ratings[[#This Row],[Stars]] &gt;= 0, "Bad")</f>
        <v>Fair</v>
      </c>
      <c r="J315" t="str">
        <f>LEFT(Ramen_Ratings[[#This Row],[Top Ten]],4)</f>
        <v/>
      </c>
      <c r="K315" t="str">
        <f>IF(Ramen_Ratings[[#This Row],[Top Ten]]="", "",RIGHT(Ramen_Ratings[[#This Row],[Top Ten]],LEN(Ramen_Ratings[[#This Row],[Top Ten]])-6))</f>
        <v/>
      </c>
    </row>
    <row r="316" spans="1:11" x14ac:dyDescent="0.25">
      <c r="A316">
        <v>721</v>
      </c>
      <c r="B316" t="s">
        <v>41</v>
      </c>
      <c r="C316" t="s">
        <v>2165</v>
      </c>
      <c r="D316" t="s">
        <v>44</v>
      </c>
      <c r="E316" t="s">
        <v>17</v>
      </c>
      <c r="F316" t="str">
        <f>VLOOKUP(Ramen_Ratings[[#This Row],[Country]],Country_Region[#All],2,FALSE)</f>
        <v>North America</v>
      </c>
      <c r="G316">
        <v>4</v>
      </c>
      <c r="H316" t="str" cm="1">
        <f t="array" ref="H316">_xlfn.IFS(Ramen_Ratings[[#This Row],[Stars]] = "Unrated", "NA",Ramen_Ratings[[#This Row],[Stars]]&gt;=4, "Good", Ramen_Ratings[[#This Row],[Stars]]&gt;2.5, "Fair", Ramen_Ratings[[#This Row],[Stars]] &gt;= 0, "Bad")</f>
        <v>Good</v>
      </c>
      <c r="J316" t="str">
        <f>LEFT(Ramen_Ratings[[#This Row],[Top Ten]],4)</f>
        <v/>
      </c>
      <c r="K316" t="str">
        <f>IF(Ramen_Ratings[[#This Row],[Top Ten]]="", "",RIGHT(Ramen_Ratings[[#This Row],[Top Ten]],LEN(Ramen_Ratings[[#This Row],[Top Ten]])-6))</f>
        <v/>
      </c>
    </row>
    <row r="317" spans="1:11" x14ac:dyDescent="0.25">
      <c r="A317">
        <v>719</v>
      </c>
      <c r="B317" t="s">
        <v>15</v>
      </c>
      <c r="C317" t="s">
        <v>2167</v>
      </c>
      <c r="D317" t="s">
        <v>13</v>
      </c>
      <c r="E317" t="s">
        <v>17</v>
      </c>
      <c r="F317" t="str">
        <f>VLOOKUP(Ramen_Ratings[[#This Row],[Country]],Country_Region[#All],2,FALSE)</f>
        <v>North America</v>
      </c>
      <c r="G317">
        <v>3.25</v>
      </c>
      <c r="H317" t="str" cm="1">
        <f t="array" ref="H317">_xlfn.IFS(Ramen_Ratings[[#This Row],[Stars]] = "Unrated", "NA",Ramen_Ratings[[#This Row],[Stars]]&gt;=4, "Good", Ramen_Ratings[[#This Row],[Stars]]&gt;2.5, "Fair", Ramen_Ratings[[#This Row],[Stars]] &gt;= 0, "Bad")</f>
        <v>Fair</v>
      </c>
      <c r="J317" t="str">
        <f>LEFT(Ramen_Ratings[[#This Row],[Top Ten]],4)</f>
        <v/>
      </c>
      <c r="K317" t="str">
        <f>IF(Ramen_Ratings[[#This Row],[Top Ten]]="", "",RIGHT(Ramen_Ratings[[#This Row],[Top Ten]],LEN(Ramen_Ratings[[#This Row],[Top Ten]])-6))</f>
        <v/>
      </c>
    </row>
    <row r="318" spans="1:11" x14ac:dyDescent="0.25">
      <c r="A318">
        <v>717</v>
      </c>
      <c r="B318" t="s">
        <v>15</v>
      </c>
      <c r="C318" t="s">
        <v>2168</v>
      </c>
      <c r="D318" t="s">
        <v>44</v>
      </c>
      <c r="E318" t="s">
        <v>17</v>
      </c>
      <c r="F318" t="str">
        <f>VLOOKUP(Ramen_Ratings[[#This Row],[Country]],Country_Region[#All],2,FALSE)</f>
        <v>North America</v>
      </c>
      <c r="G318">
        <v>3.25</v>
      </c>
      <c r="H318" t="str" cm="1">
        <f t="array" ref="H318">_xlfn.IFS(Ramen_Ratings[[#This Row],[Stars]] = "Unrated", "NA",Ramen_Ratings[[#This Row],[Stars]]&gt;=4, "Good", Ramen_Ratings[[#This Row],[Stars]]&gt;2.5, "Fair", Ramen_Ratings[[#This Row],[Stars]] &gt;= 0, "Bad")</f>
        <v>Fair</v>
      </c>
      <c r="J318" t="str">
        <f>LEFT(Ramen_Ratings[[#This Row],[Top Ten]],4)</f>
        <v/>
      </c>
      <c r="K318" t="str">
        <f>IF(Ramen_Ratings[[#This Row],[Top Ten]]="", "",RIGHT(Ramen_Ratings[[#This Row],[Top Ten]],LEN(Ramen_Ratings[[#This Row],[Top Ten]])-6))</f>
        <v/>
      </c>
    </row>
    <row r="319" spans="1:11" x14ac:dyDescent="0.25">
      <c r="A319">
        <v>713</v>
      </c>
      <c r="B319" t="s">
        <v>15</v>
      </c>
      <c r="C319" t="s">
        <v>2173</v>
      </c>
      <c r="D319" t="s">
        <v>13</v>
      </c>
      <c r="E319" t="s">
        <v>17</v>
      </c>
      <c r="F319" t="str">
        <f>VLOOKUP(Ramen_Ratings[[#This Row],[Country]],Country_Region[#All],2,FALSE)</f>
        <v>North America</v>
      </c>
      <c r="G319">
        <v>4</v>
      </c>
      <c r="H319" t="str" cm="1">
        <f t="array" ref="H319">_xlfn.IFS(Ramen_Ratings[[#This Row],[Stars]] = "Unrated", "NA",Ramen_Ratings[[#This Row],[Stars]]&gt;=4, "Good", Ramen_Ratings[[#This Row],[Stars]]&gt;2.5, "Fair", Ramen_Ratings[[#This Row],[Stars]] &gt;= 0, "Bad")</f>
        <v>Good</v>
      </c>
      <c r="J319" t="str">
        <f>LEFT(Ramen_Ratings[[#This Row],[Top Ten]],4)</f>
        <v/>
      </c>
      <c r="K319" t="str">
        <f>IF(Ramen_Ratings[[#This Row],[Top Ten]]="", "",RIGHT(Ramen_Ratings[[#This Row],[Top Ten]],LEN(Ramen_Ratings[[#This Row],[Top Ten]])-6))</f>
        <v/>
      </c>
    </row>
    <row r="320" spans="1:11" x14ac:dyDescent="0.25">
      <c r="A320">
        <v>709</v>
      </c>
      <c r="B320" t="s">
        <v>15</v>
      </c>
      <c r="C320" t="s">
        <v>2178</v>
      </c>
      <c r="D320" t="s">
        <v>30</v>
      </c>
      <c r="E320" t="s">
        <v>17</v>
      </c>
      <c r="F320" t="str">
        <f>VLOOKUP(Ramen_Ratings[[#This Row],[Country]],Country_Region[#All],2,FALSE)</f>
        <v>North America</v>
      </c>
      <c r="G320">
        <v>3.25</v>
      </c>
      <c r="H320" t="str" cm="1">
        <f t="array" ref="H320">_xlfn.IFS(Ramen_Ratings[[#This Row],[Stars]] = "Unrated", "NA",Ramen_Ratings[[#This Row],[Stars]]&gt;=4, "Good", Ramen_Ratings[[#This Row],[Stars]]&gt;2.5, "Fair", Ramen_Ratings[[#This Row],[Stars]] &gt;= 0, "Bad")</f>
        <v>Fair</v>
      </c>
      <c r="J320" t="str">
        <f>LEFT(Ramen_Ratings[[#This Row],[Top Ten]],4)</f>
        <v/>
      </c>
      <c r="K320" t="str">
        <f>IF(Ramen_Ratings[[#This Row],[Top Ten]]="", "",RIGHT(Ramen_Ratings[[#This Row],[Top Ten]],LEN(Ramen_Ratings[[#This Row],[Top Ten]])-6))</f>
        <v/>
      </c>
    </row>
    <row r="321" spans="1:11" x14ac:dyDescent="0.25">
      <c r="A321">
        <v>704</v>
      </c>
      <c r="B321" t="s">
        <v>15</v>
      </c>
      <c r="C321" t="s">
        <v>2185</v>
      </c>
      <c r="D321" t="s">
        <v>30</v>
      </c>
      <c r="E321" t="s">
        <v>17</v>
      </c>
      <c r="F321" t="str">
        <f>VLOOKUP(Ramen_Ratings[[#This Row],[Country]],Country_Region[#All],2,FALSE)</f>
        <v>North America</v>
      </c>
      <c r="G321">
        <v>4</v>
      </c>
      <c r="H321" t="str" cm="1">
        <f t="array" ref="H321">_xlfn.IFS(Ramen_Ratings[[#This Row],[Stars]] = "Unrated", "NA",Ramen_Ratings[[#This Row],[Stars]]&gt;=4, "Good", Ramen_Ratings[[#This Row],[Stars]]&gt;2.5, "Fair", Ramen_Ratings[[#This Row],[Stars]] &gt;= 0, "Bad")</f>
        <v>Good</v>
      </c>
      <c r="J321" t="str">
        <f>LEFT(Ramen_Ratings[[#This Row],[Top Ten]],4)</f>
        <v/>
      </c>
      <c r="K321" t="str">
        <f>IF(Ramen_Ratings[[#This Row],[Top Ten]]="", "",RIGHT(Ramen_Ratings[[#This Row],[Top Ten]],LEN(Ramen_Ratings[[#This Row],[Top Ten]])-6))</f>
        <v/>
      </c>
    </row>
    <row r="322" spans="1:11" x14ac:dyDescent="0.25">
      <c r="A322">
        <v>703</v>
      </c>
      <c r="B322" t="s">
        <v>15</v>
      </c>
      <c r="C322" t="s">
        <v>2186</v>
      </c>
      <c r="D322" t="s">
        <v>13</v>
      </c>
      <c r="E322" t="s">
        <v>17</v>
      </c>
      <c r="F322" t="str">
        <f>VLOOKUP(Ramen_Ratings[[#This Row],[Country]],Country_Region[#All],2,FALSE)</f>
        <v>North America</v>
      </c>
      <c r="G322">
        <v>3.5</v>
      </c>
      <c r="H322" t="str" cm="1">
        <f t="array" ref="H322">_xlfn.IFS(Ramen_Ratings[[#This Row],[Stars]] = "Unrated", "NA",Ramen_Ratings[[#This Row],[Stars]]&gt;=4, "Good", Ramen_Ratings[[#This Row],[Stars]]&gt;2.5, "Fair", Ramen_Ratings[[#This Row],[Stars]] &gt;= 0, "Bad")</f>
        <v>Fair</v>
      </c>
      <c r="J322" t="str">
        <f>LEFT(Ramen_Ratings[[#This Row],[Top Ten]],4)</f>
        <v/>
      </c>
      <c r="K322" t="str">
        <f>IF(Ramen_Ratings[[#This Row],[Top Ten]]="", "",RIGHT(Ramen_Ratings[[#This Row],[Top Ten]],LEN(Ramen_Ratings[[#This Row],[Top Ten]])-6))</f>
        <v/>
      </c>
    </row>
    <row r="323" spans="1:11" x14ac:dyDescent="0.25">
      <c r="A323">
        <v>701</v>
      </c>
      <c r="B323" t="s">
        <v>15</v>
      </c>
      <c r="C323" t="s">
        <v>2188</v>
      </c>
      <c r="D323" t="s">
        <v>9</v>
      </c>
      <c r="E323" t="s">
        <v>17</v>
      </c>
      <c r="F323" t="str">
        <f>VLOOKUP(Ramen_Ratings[[#This Row],[Country]],Country_Region[#All],2,FALSE)</f>
        <v>North America</v>
      </c>
      <c r="G323">
        <v>4</v>
      </c>
      <c r="H323" t="str" cm="1">
        <f t="array" ref="H323">_xlfn.IFS(Ramen_Ratings[[#This Row],[Stars]] = "Unrated", "NA",Ramen_Ratings[[#This Row],[Stars]]&gt;=4, "Good", Ramen_Ratings[[#This Row],[Stars]]&gt;2.5, "Fair", Ramen_Ratings[[#This Row],[Stars]] &gt;= 0, "Bad")</f>
        <v>Good</v>
      </c>
      <c r="J323" t="str">
        <f>LEFT(Ramen_Ratings[[#This Row],[Top Ten]],4)</f>
        <v/>
      </c>
      <c r="K323" t="str">
        <f>IF(Ramen_Ratings[[#This Row],[Top Ten]]="", "",RIGHT(Ramen_Ratings[[#This Row],[Top Ten]],LEN(Ramen_Ratings[[#This Row],[Top Ten]])-6))</f>
        <v/>
      </c>
    </row>
    <row r="324" spans="1:11" x14ac:dyDescent="0.25">
      <c r="A324">
        <v>699</v>
      </c>
      <c r="B324" t="s">
        <v>15</v>
      </c>
      <c r="C324" t="s">
        <v>2190</v>
      </c>
      <c r="D324" t="s">
        <v>9</v>
      </c>
      <c r="E324" t="s">
        <v>17</v>
      </c>
      <c r="F324" t="str">
        <f>VLOOKUP(Ramen_Ratings[[#This Row],[Country]],Country_Region[#All],2,FALSE)</f>
        <v>North America</v>
      </c>
      <c r="G324">
        <v>3.5</v>
      </c>
      <c r="H324" t="str" cm="1">
        <f t="array" ref="H324">_xlfn.IFS(Ramen_Ratings[[#This Row],[Stars]] = "Unrated", "NA",Ramen_Ratings[[#This Row],[Stars]]&gt;=4, "Good", Ramen_Ratings[[#This Row],[Stars]]&gt;2.5, "Fair", Ramen_Ratings[[#This Row],[Stars]] &gt;= 0, "Bad")</f>
        <v>Fair</v>
      </c>
      <c r="J324" t="str">
        <f>LEFT(Ramen_Ratings[[#This Row],[Top Ten]],4)</f>
        <v/>
      </c>
      <c r="K324" t="str">
        <f>IF(Ramen_Ratings[[#This Row],[Top Ten]]="", "",RIGHT(Ramen_Ratings[[#This Row],[Top Ten]],LEN(Ramen_Ratings[[#This Row],[Top Ten]])-6))</f>
        <v/>
      </c>
    </row>
    <row r="325" spans="1:11" x14ac:dyDescent="0.25">
      <c r="A325">
        <v>698</v>
      </c>
      <c r="B325" t="s">
        <v>15</v>
      </c>
      <c r="C325" t="s">
        <v>2191</v>
      </c>
      <c r="D325" t="s">
        <v>30</v>
      </c>
      <c r="E325" t="s">
        <v>17</v>
      </c>
      <c r="F325" t="str">
        <f>VLOOKUP(Ramen_Ratings[[#This Row],[Country]],Country_Region[#All],2,FALSE)</f>
        <v>North America</v>
      </c>
      <c r="G325">
        <v>4</v>
      </c>
      <c r="H325" t="str" cm="1">
        <f t="array" ref="H325">_xlfn.IFS(Ramen_Ratings[[#This Row],[Stars]] = "Unrated", "NA",Ramen_Ratings[[#This Row],[Stars]]&gt;=4, "Good", Ramen_Ratings[[#This Row],[Stars]]&gt;2.5, "Fair", Ramen_Ratings[[#This Row],[Stars]] &gt;= 0, "Bad")</f>
        <v>Good</v>
      </c>
      <c r="J325" t="str">
        <f>LEFT(Ramen_Ratings[[#This Row],[Top Ten]],4)</f>
        <v/>
      </c>
      <c r="K325" t="str">
        <f>IF(Ramen_Ratings[[#This Row],[Top Ten]]="", "",RIGHT(Ramen_Ratings[[#This Row],[Top Ten]],LEN(Ramen_Ratings[[#This Row],[Top Ten]])-6))</f>
        <v/>
      </c>
    </row>
    <row r="326" spans="1:11" x14ac:dyDescent="0.25">
      <c r="A326">
        <v>697</v>
      </c>
      <c r="B326" t="s">
        <v>15</v>
      </c>
      <c r="C326" t="s">
        <v>2192</v>
      </c>
      <c r="D326" t="s">
        <v>13</v>
      </c>
      <c r="E326" t="s">
        <v>17</v>
      </c>
      <c r="F326" t="str">
        <f>VLOOKUP(Ramen_Ratings[[#This Row],[Country]],Country_Region[#All],2,FALSE)</f>
        <v>North America</v>
      </c>
      <c r="G326">
        <v>3.25</v>
      </c>
      <c r="H326" t="str" cm="1">
        <f t="array" ref="H326">_xlfn.IFS(Ramen_Ratings[[#This Row],[Stars]] = "Unrated", "NA",Ramen_Ratings[[#This Row],[Stars]]&gt;=4, "Good", Ramen_Ratings[[#This Row],[Stars]]&gt;2.5, "Fair", Ramen_Ratings[[#This Row],[Stars]] &gt;= 0, "Bad")</f>
        <v>Fair</v>
      </c>
      <c r="J326" t="str">
        <f>LEFT(Ramen_Ratings[[#This Row],[Top Ten]],4)</f>
        <v/>
      </c>
      <c r="K326" t="str">
        <f>IF(Ramen_Ratings[[#This Row],[Top Ten]]="", "",RIGHT(Ramen_Ratings[[#This Row],[Top Ten]],LEN(Ramen_Ratings[[#This Row],[Top Ten]])-6))</f>
        <v/>
      </c>
    </row>
    <row r="327" spans="1:11" x14ac:dyDescent="0.25">
      <c r="A327">
        <v>696</v>
      </c>
      <c r="B327" t="s">
        <v>15</v>
      </c>
      <c r="C327" t="s">
        <v>2193</v>
      </c>
      <c r="D327" t="s">
        <v>9</v>
      </c>
      <c r="E327" t="s">
        <v>17</v>
      </c>
      <c r="F327" t="str">
        <f>VLOOKUP(Ramen_Ratings[[#This Row],[Country]],Country_Region[#All],2,FALSE)</f>
        <v>North America</v>
      </c>
      <c r="G327">
        <v>3.5</v>
      </c>
      <c r="H327" t="str" cm="1">
        <f t="array" ref="H327">_xlfn.IFS(Ramen_Ratings[[#This Row],[Stars]] = "Unrated", "NA",Ramen_Ratings[[#This Row],[Stars]]&gt;=4, "Good", Ramen_Ratings[[#This Row],[Stars]]&gt;2.5, "Fair", Ramen_Ratings[[#This Row],[Stars]] &gt;= 0, "Bad")</f>
        <v>Fair</v>
      </c>
      <c r="J327" t="str">
        <f>LEFT(Ramen_Ratings[[#This Row],[Top Ten]],4)</f>
        <v/>
      </c>
      <c r="K327" t="str">
        <f>IF(Ramen_Ratings[[#This Row],[Top Ten]]="", "",RIGHT(Ramen_Ratings[[#This Row],[Top Ten]],LEN(Ramen_Ratings[[#This Row],[Top Ten]])-6))</f>
        <v/>
      </c>
    </row>
    <row r="328" spans="1:11" x14ac:dyDescent="0.25">
      <c r="A328">
        <v>690</v>
      </c>
      <c r="B328" t="s">
        <v>102</v>
      </c>
      <c r="C328" t="s">
        <v>2201</v>
      </c>
      <c r="D328" t="s">
        <v>30</v>
      </c>
      <c r="E328" t="s">
        <v>17</v>
      </c>
      <c r="F328" t="str">
        <f>VLOOKUP(Ramen_Ratings[[#This Row],[Country]],Country_Region[#All],2,FALSE)</f>
        <v>North America</v>
      </c>
      <c r="G328">
        <v>3.75</v>
      </c>
      <c r="H328" t="str" cm="1">
        <f t="array" ref="H328">_xlfn.IFS(Ramen_Ratings[[#This Row],[Stars]] = "Unrated", "NA",Ramen_Ratings[[#This Row],[Stars]]&gt;=4, "Good", Ramen_Ratings[[#This Row],[Stars]]&gt;2.5, "Fair", Ramen_Ratings[[#This Row],[Stars]] &gt;= 0, "Bad")</f>
        <v>Fair</v>
      </c>
      <c r="J328" t="str">
        <f>LEFT(Ramen_Ratings[[#This Row],[Top Ten]],4)</f>
        <v/>
      </c>
      <c r="K328" t="str">
        <f>IF(Ramen_Ratings[[#This Row],[Top Ten]]="", "",RIGHT(Ramen_Ratings[[#This Row],[Top Ten]],LEN(Ramen_Ratings[[#This Row],[Top Ten]])-6))</f>
        <v/>
      </c>
    </row>
    <row r="329" spans="1:11" x14ac:dyDescent="0.25">
      <c r="A329">
        <v>667</v>
      </c>
      <c r="B329" t="s">
        <v>15</v>
      </c>
      <c r="C329" t="s">
        <v>2222</v>
      </c>
      <c r="D329" t="s">
        <v>44</v>
      </c>
      <c r="E329" t="s">
        <v>17</v>
      </c>
      <c r="F329" t="str">
        <f>VLOOKUP(Ramen_Ratings[[#This Row],[Country]],Country_Region[#All],2,FALSE)</f>
        <v>North America</v>
      </c>
      <c r="G329">
        <v>3</v>
      </c>
      <c r="H329" t="str" cm="1">
        <f t="array" ref="H329">_xlfn.IFS(Ramen_Ratings[[#This Row],[Stars]] = "Unrated", "NA",Ramen_Ratings[[#This Row],[Stars]]&gt;=4, "Good", Ramen_Ratings[[#This Row],[Stars]]&gt;2.5, "Fair", Ramen_Ratings[[#This Row],[Stars]] &gt;= 0, "Bad")</f>
        <v>Fair</v>
      </c>
      <c r="J329" t="str">
        <f>LEFT(Ramen_Ratings[[#This Row],[Top Ten]],4)</f>
        <v/>
      </c>
      <c r="K329" t="str">
        <f>IF(Ramen_Ratings[[#This Row],[Top Ten]]="", "",RIGHT(Ramen_Ratings[[#This Row],[Top Ten]],LEN(Ramen_Ratings[[#This Row],[Top Ten]])-6))</f>
        <v/>
      </c>
    </row>
    <row r="330" spans="1:11" x14ac:dyDescent="0.25">
      <c r="A330">
        <v>664</v>
      </c>
      <c r="B330" t="s">
        <v>1533</v>
      </c>
      <c r="C330" t="s">
        <v>2226</v>
      </c>
      <c r="D330" t="s">
        <v>13</v>
      </c>
      <c r="E330" t="s">
        <v>17</v>
      </c>
      <c r="F330" t="str">
        <f>VLOOKUP(Ramen_Ratings[[#This Row],[Country]],Country_Region[#All],2,FALSE)</f>
        <v>North America</v>
      </c>
      <c r="G330">
        <v>2.75</v>
      </c>
      <c r="H330" t="str" cm="1">
        <f t="array" ref="H330">_xlfn.IFS(Ramen_Ratings[[#This Row],[Stars]] = "Unrated", "NA",Ramen_Ratings[[#This Row],[Stars]]&gt;=4, "Good", Ramen_Ratings[[#This Row],[Stars]]&gt;2.5, "Fair", Ramen_Ratings[[#This Row],[Stars]] &gt;= 0, "Bad")</f>
        <v>Fair</v>
      </c>
      <c r="J330" t="str">
        <f>LEFT(Ramen_Ratings[[#This Row],[Top Ten]],4)</f>
        <v/>
      </c>
      <c r="K330" t="str">
        <f>IF(Ramen_Ratings[[#This Row],[Top Ten]]="", "",RIGHT(Ramen_Ratings[[#This Row],[Top Ten]],LEN(Ramen_Ratings[[#This Row],[Top Ten]])-6))</f>
        <v/>
      </c>
    </row>
    <row r="331" spans="1:11" x14ac:dyDescent="0.25">
      <c r="A331">
        <v>659</v>
      </c>
      <c r="B331" t="s">
        <v>15</v>
      </c>
      <c r="C331" t="s">
        <v>2231</v>
      </c>
      <c r="D331" t="s">
        <v>44</v>
      </c>
      <c r="E331" t="s">
        <v>17</v>
      </c>
      <c r="F331" t="str">
        <f>VLOOKUP(Ramen_Ratings[[#This Row],[Country]],Country_Region[#All],2,FALSE)</f>
        <v>North America</v>
      </c>
      <c r="G331">
        <v>3</v>
      </c>
      <c r="H331" t="str" cm="1">
        <f t="array" ref="H331">_xlfn.IFS(Ramen_Ratings[[#This Row],[Stars]] = "Unrated", "NA",Ramen_Ratings[[#This Row],[Stars]]&gt;=4, "Good", Ramen_Ratings[[#This Row],[Stars]]&gt;2.5, "Fair", Ramen_Ratings[[#This Row],[Stars]] &gt;= 0, "Bad")</f>
        <v>Fair</v>
      </c>
      <c r="J331" t="str">
        <f>LEFT(Ramen_Ratings[[#This Row],[Top Ten]],4)</f>
        <v/>
      </c>
      <c r="K331" t="str">
        <f>IF(Ramen_Ratings[[#This Row],[Top Ten]]="", "",RIGHT(Ramen_Ratings[[#This Row],[Top Ten]],LEN(Ramen_Ratings[[#This Row],[Top Ten]])-6))</f>
        <v/>
      </c>
    </row>
    <row r="332" spans="1:11" x14ac:dyDescent="0.25">
      <c r="A332">
        <v>656</v>
      </c>
      <c r="B332" t="s">
        <v>15</v>
      </c>
      <c r="C332" t="s">
        <v>2234</v>
      </c>
      <c r="D332" t="s">
        <v>44</v>
      </c>
      <c r="E332" t="s">
        <v>17</v>
      </c>
      <c r="F332" t="str">
        <f>VLOOKUP(Ramen_Ratings[[#This Row],[Country]],Country_Region[#All],2,FALSE)</f>
        <v>North America</v>
      </c>
      <c r="G332">
        <v>3.75</v>
      </c>
      <c r="H332" t="str" cm="1">
        <f t="array" ref="H332">_xlfn.IFS(Ramen_Ratings[[#This Row],[Stars]] = "Unrated", "NA",Ramen_Ratings[[#This Row],[Stars]]&gt;=4, "Good", Ramen_Ratings[[#This Row],[Stars]]&gt;2.5, "Fair", Ramen_Ratings[[#This Row],[Stars]] &gt;= 0, "Bad")</f>
        <v>Fair</v>
      </c>
      <c r="J332" t="str">
        <f>LEFT(Ramen_Ratings[[#This Row],[Top Ten]],4)</f>
        <v/>
      </c>
      <c r="K332" t="str">
        <f>IF(Ramen_Ratings[[#This Row],[Top Ten]]="", "",RIGHT(Ramen_Ratings[[#This Row],[Top Ten]],LEN(Ramen_Ratings[[#This Row],[Top Ten]])-6))</f>
        <v/>
      </c>
    </row>
    <row r="333" spans="1:11" x14ac:dyDescent="0.25">
      <c r="A333">
        <v>612</v>
      </c>
      <c r="B333" t="s">
        <v>102</v>
      </c>
      <c r="C333" t="s">
        <v>2280</v>
      </c>
      <c r="D333" t="s">
        <v>30</v>
      </c>
      <c r="E333" t="s">
        <v>17</v>
      </c>
      <c r="F333" t="str">
        <f>VLOOKUP(Ramen_Ratings[[#This Row],[Country]],Country_Region[#All],2,FALSE)</f>
        <v>North America</v>
      </c>
      <c r="G333">
        <v>1.75</v>
      </c>
      <c r="H333" t="str" cm="1">
        <f t="array" ref="H333">_xlfn.IFS(Ramen_Ratings[[#This Row],[Stars]] = "Unrated", "NA",Ramen_Ratings[[#This Row],[Stars]]&gt;=4, "Good", Ramen_Ratings[[#This Row],[Stars]]&gt;2.5, "Fair", Ramen_Ratings[[#This Row],[Stars]] &gt;= 0, "Bad")</f>
        <v>Bad</v>
      </c>
      <c r="J333" t="str">
        <f>LEFT(Ramen_Ratings[[#This Row],[Top Ten]],4)</f>
        <v/>
      </c>
      <c r="K333" t="str">
        <f>IF(Ramen_Ratings[[#This Row],[Top Ten]]="", "",RIGHT(Ramen_Ratings[[#This Row],[Top Ten]],LEN(Ramen_Ratings[[#This Row],[Top Ten]])-6))</f>
        <v/>
      </c>
    </row>
    <row r="334" spans="1:11" x14ac:dyDescent="0.25">
      <c r="A334">
        <v>600</v>
      </c>
      <c r="B334" t="s">
        <v>102</v>
      </c>
      <c r="C334" t="s">
        <v>2294</v>
      </c>
      <c r="D334" t="s">
        <v>13</v>
      </c>
      <c r="E334" t="s">
        <v>17</v>
      </c>
      <c r="F334" t="str">
        <f>VLOOKUP(Ramen_Ratings[[#This Row],[Country]],Country_Region[#All],2,FALSE)</f>
        <v>North America</v>
      </c>
      <c r="G334">
        <v>3.25</v>
      </c>
      <c r="H334" t="str" cm="1">
        <f t="array" ref="H334">_xlfn.IFS(Ramen_Ratings[[#This Row],[Stars]] = "Unrated", "NA",Ramen_Ratings[[#This Row],[Stars]]&gt;=4, "Good", Ramen_Ratings[[#This Row],[Stars]]&gt;2.5, "Fair", Ramen_Ratings[[#This Row],[Stars]] &gt;= 0, "Bad")</f>
        <v>Fair</v>
      </c>
      <c r="J334" t="str">
        <f>LEFT(Ramen_Ratings[[#This Row],[Top Ten]],4)</f>
        <v/>
      </c>
      <c r="K334" t="str">
        <f>IF(Ramen_Ratings[[#This Row],[Top Ten]]="", "",RIGHT(Ramen_Ratings[[#This Row],[Top Ten]],LEN(Ramen_Ratings[[#This Row],[Top Ten]])-6))</f>
        <v/>
      </c>
    </row>
    <row r="335" spans="1:11" x14ac:dyDescent="0.25">
      <c r="A335">
        <v>596</v>
      </c>
      <c r="B335" t="s">
        <v>1533</v>
      </c>
      <c r="C335" t="s">
        <v>2297</v>
      </c>
      <c r="D335" t="s">
        <v>13</v>
      </c>
      <c r="E335" t="s">
        <v>17</v>
      </c>
      <c r="F335" t="str">
        <f>VLOOKUP(Ramen_Ratings[[#This Row],[Country]],Country_Region[#All],2,FALSE)</f>
        <v>North America</v>
      </c>
      <c r="G335">
        <v>1.5</v>
      </c>
      <c r="H335" t="str" cm="1">
        <f t="array" ref="H335">_xlfn.IFS(Ramen_Ratings[[#This Row],[Stars]] = "Unrated", "NA",Ramen_Ratings[[#This Row],[Stars]]&gt;=4, "Good", Ramen_Ratings[[#This Row],[Stars]]&gt;2.5, "Fair", Ramen_Ratings[[#This Row],[Stars]] &gt;= 0, "Bad")</f>
        <v>Bad</v>
      </c>
      <c r="J335" t="str">
        <f>LEFT(Ramen_Ratings[[#This Row],[Top Ten]],4)</f>
        <v/>
      </c>
      <c r="K335" t="str">
        <f>IF(Ramen_Ratings[[#This Row],[Top Ten]]="", "",RIGHT(Ramen_Ratings[[#This Row],[Top Ten]],LEN(Ramen_Ratings[[#This Row],[Top Ten]])-6))</f>
        <v/>
      </c>
    </row>
    <row r="336" spans="1:11" x14ac:dyDescent="0.25">
      <c r="A336">
        <v>595</v>
      </c>
      <c r="B336" t="s">
        <v>1533</v>
      </c>
      <c r="C336" t="s">
        <v>2298</v>
      </c>
      <c r="D336" t="s">
        <v>13</v>
      </c>
      <c r="E336" t="s">
        <v>17</v>
      </c>
      <c r="F336" t="str">
        <f>VLOOKUP(Ramen_Ratings[[#This Row],[Country]],Country_Region[#All],2,FALSE)</f>
        <v>North America</v>
      </c>
      <c r="G336">
        <v>3.75</v>
      </c>
      <c r="H336" t="str" cm="1">
        <f t="array" ref="H336">_xlfn.IFS(Ramen_Ratings[[#This Row],[Stars]] = "Unrated", "NA",Ramen_Ratings[[#This Row],[Stars]]&gt;=4, "Good", Ramen_Ratings[[#This Row],[Stars]]&gt;2.5, "Fair", Ramen_Ratings[[#This Row],[Stars]] &gt;= 0, "Bad")</f>
        <v>Fair</v>
      </c>
      <c r="J336" t="str">
        <f>LEFT(Ramen_Ratings[[#This Row],[Top Ten]],4)</f>
        <v/>
      </c>
      <c r="K336" t="str">
        <f>IF(Ramen_Ratings[[#This Row],[Top Ten]]="", "",RIGHT(Ramen_Ratings[[#This Row],[Top Ten]],LEN(Ramen_Ratings[[#This Row],[Top Ten]])-6))</f>
        <v/>
      </c>
    </row>
    <row r="337" spans="1:11" x14ac:dyDescent="0.25">
      <c r="A337">
        <v>582</v>
      </c>
      <c r="B337" t="s">
        <v>677</v>
      </c>
      <c r="C337" t="s">
        <v>2313</v>
      </c>
      <c r="D337" t="s">
        <v>13</v>
      </c>
      <c r="E337" t="s">
        <v>17</v>
      </c>
      <c r="F337" t="str">
        <f>VLOOKUP(Ramen_Ratings[[#This Row],[Country]],Country_Region[#All],2,FALSE)</f>
        <v>North America</v>
      </c>
      <c r="G337">
        <v>2.5</v>
      </c>
      <c r="H337" t="str" cm="1">
        <f t="array" ref="H337">_xlfn.IFS(Ramen_Ratings[[#This Row],[Stars]] = "Unrated", "NA",Ramen_Ratings[[#This Row],[Stars]]&gt;=4, "Good", Ramen_Ratings[[#This Row],[Stars]]&gt;2.5, "Fair", Ramen_Ratings[[#This Row],[Stars]] &gt;= 0, "Bad")</f>
        <v>Bad</v>
      </c>
      <c r="J337" t="str">
        <f>LEFT(Ramen_Ratings[[#This Row],[Top Ten]],4)</f>
        <v/>
      </c>
      <c r="K337" t="str">
        <f>IF(Ramen_Ratings[[#This Row],[Top Ten]]="", "",RIGHT(Ramen_Ratings[[#This Row],[Top Ten]],LEN(Ramen_Ratings[[#This Row],[Top Ten]])-6))</f>
        <v/>
      </c>
    </row>
    <row r="338" spans="1:11" x14ac:dyDescent="0.25">
      <c r="A338">
        <v>581</v>
      </c>
      <c r="B338" t="s">
        <v>677</v>
      </c>
      <c r="C338" t="s">
        <v>2314</v>
      </c>
      <c r="D338" t="s">
        <v>13</v>
      </c>
      <c r="E338" t="s">
        <v>17</v>
      </c>
      <c r="F338" t="str">
        <f>VLOOKUP(Ramen_Ratings[[#This Row],[Country]],Country_Region[#All],2,FALSE)</f>
        <v>North America</v>
      </c>
      <c r="G338">
        <v>2.75</v>
      </c>
      <c r="H338" t="str" cm="1">
        <f t="array" ref="H338">_xlfn.IFS(Ramen_Ratings[[#This Row],[Stars]] = "Unrated", "NA",Ramen_Ratings[[#This Row],[Stars]]&gt;=4, "Good", Ramen_Ratings[[#This Row],[Stars]]&gt;2.5, "Fair", Ramen_Ratings[[#This Row],[Stars]] &gt;= 0, "Bad")</f>
        <v>Fair</v>
      </c>
      <c r="J338" t="str">
        <f>LEFT(Ramen_Ratings[[#This Row],[Top Ten]],4)</f>
        <v/>
      </c>
      <c r="K338" t="str">
        <f>IF(Ramen_Ratings[[#This Row],[Top Ten]]="", "",RIGHT(Ramen_Ratings[[#This Row],[Top Ten]],LEN(Ramen_Ratings[[#This Row],[Top Ten]])-6))</f>
        <v/>
      </c>
    </row>
    <row r="339" spans="1:11" x14ac:dyDescent="0.25">
      <c r="A339">
        <v>572</v>
      </c>
      <c r="B339" t="s">
        <v>102</v>
      </c>
      <c r="C339" t="s">
        <v>2322</v>
      </c>
      <c r="D339" t="s">
        <v>30</v>
      </c>
      <c r="E339" t="s">
        <v>17</v>
      </c>
      <c r="F339" t="str">
        <f>VLOOKUP(Ramen_Ratings[[#This Row],[Country]],Country_Region[#All],2,FALSE)</f>
        <v>North America</v>
      </c>
      <c r="G339">
        <v>3</v>
      </c>
      <c r="H339" t="str" cm="1">
        <f t="array" ref="H339">_xlfn.IFS(Ramen_Ratings[[#This Row],[Stars]] = "Unrated", "NA",Ramen_Ratings[[#This Row],[Stars]]&gt;=4, "Good", Ramen_Ratings[[#This Row],[Stars]]&gt;2.5, "Fair", Ramen_Ratings[[#This Row],[Stars]] &gt;= 0, "Bad")</f>
        <v>Fair</v>
      </c>
      <c r="J339" t="str">
        <f>LEFT(Ramen_Ratings[[#This Row],[Top Ten]],4)</f>
        <v/>
      </c>
      <c r="K339" t="str">
        <f>IF(Ramen_Ratings[[#This Row],[Top Ten]]="", "",RIGHT(Ramen_Ratings[[#This Row],[Top Ten]],LEN(Ramen_Ratings[[#This Row],[Top Ten]])-6))</f>
        <v/>
      </c>
    </row>
    <row r="340" spans="1:11" x14ac:dyDescent="0.25">
      <c r="A340">
        <v>540</v>
      </c>
      <c r="B340" t="s">
        <v>15</v>
      </c>
      <c r="C340" t="s">
        <v>2352</v>
      </c>
      <c r="D340" t="s">
        <v>13</v>
      </c>
      <c r="E340" t="s">
        <v>17</v>
      </c>
      <c r="F340" t="str">
        <f>VLOOKUP(Ramen_Ratings[[#This Row],[Country]],Country_Region[#All],2,FALSE)</f>
        <v>North America</v>
      </c>
      <c r="G340">
        <v>3.25</v>
      </c>
      <c r="H340" t="str" cm="1">
        <f t="array" ref="H340">_xlfn.IFS(Ramen_Ratings[[#This Row],[Stars]] = "Unrated", "NA",Ramen_Ratings[[#This Row],[Stars]]&gt;=4, "Good", Ramen_Ratings[[#This Row],[Stars]]&gt;2.5, "Fair", Ramen_Ratings[[#This Row],[Stars]] &gt;= 0, "Bad")</f>
        <v>Fair</v>
      </c>
      <c r="J340" t="str">
        <f>LEFT(Ramen_Ratings[[#This Row],[Top Ten]],4)</f>
        <v/>
      </c>
      <c r="K340" t="str">
        <f>IF(Ramen_Ratings[[#This Row],[Top Ten]]="", "",RIGHT(Ramen_Ratings[[#This Row],[Top Ten]],LEN(Ramen_Ratings[[#This Row],[Top Ten]])-6))</f>
        <v/>
      </c>
    </row>
    <row r="341" spans="1:11" x14ac:dyDescent="0.25">
      <c r="A341">
        <v>529</v>
      </c>
      <c r="B341" t="s">
        <v>374</v>
      </c>
      <c r="C341" t="s">
        <v>2361</v>
      </c>
      <c r="D341" t="s">
        <v>13</v>
      </c>
      <c r="E341" t="s">
        <v>17</v>
      </c>
      <c r="F341" t="str">
        <f>VLOOKUP(Ramen_Ratings[[#This Row],[Country]],Country_Region[#All],2,FALSE)</f>
        <v>North America</v>
      </c>
      <c r="G341">
        <v>2</v>
      </c>
      <c r="H341" t="str" cm="1">
        <f t="array" ref="H341">_xlfn.IFS(Ramen_Ratings[[#This Row],[Stars]] = "Unrated", "NA",Ramen_Ratings[[#This Row],[Stars]]&gt;=4, "Good", Ramen_Ratings[[#This Row],[Stars]]&gt;2.5, "Fair", Ramen_Ratings[[#This Row],[Stars]] &gt;= 0, "Bad")</f>
        <v>Bad</v>
      </c>
      <c r="J341" t="str">
        <f>LEFT(Ramen_Ratings[[#This Row],[Top Ten]],4)</f>
        <v/>
      </c>
      <c r="K341" t="str">
        <f>IF(Ramen_Ratings[[#This Row],[Top Ten]]="", "",RIGHT(Ramen_Ratings[[#This Row],[Top Ten]],LEN(Ramen_Ratings[[#This Row],[Top Ten]])-6))</f>
        <v/>
      </c>
    </row>
    <row r="342" spans="1:11" x14ac:dyDescent="0.25">
      <c r="A342">
        <v>526</v>
      </c>
      <c r="B342" t="s">
        <v>1422</v>
      </c>
      <c r="C342" t="s">
        <v>2364</v>
      </c>
      <c r="D342" t="s">
        <v>13</v>
      </c>
      <c r="E342" t="s">
        <v>17</v>
      </c>
      <c r="F342" t="str">
        <f>VLOOKUP(Ramen_Ratings[[#This Row],[Country]],Country_Region[#All],2,FALSE)</f>
        <v>North America</v>
      </c>
      <c r="G342">
        <v>1.5</v>
      </c>
      <c r="H342" t="str" cm="1">
        <f t="array" ref="H342">_xlfn.IFS(Ramen_Ratings[[#This Row],[Stars]] = "Unrated", "NA",Ramen_Ratings[[#This Row],[Stars]]&gt;=4, "Good", Ramen_Ratings[[#This Row],[Stars]]&gt;2.5, "Fair", Ramen_Ratings[[#This Row],[Stars]] &gt;= 0, "Bad")</f>
        <v>Bad</v>
      </c>
      <c r="J342" t="str">
        <f>LEFT(Ramen_Ratings[[#This Row],[Top Ten]],4)</f>
        <v/>
      </c>
      <c r="K342" t="str">
        <f>IF(Ramen_Ratings[[#This Row],[Top Ten]]="", "",RIGHT(Ramen_Ratings[[#This Row],[Top Ten]],LEN(Ramen_Ratings[[#This Row],[Top Ten]])-6))</f>
        <v/>
      </c>
    </row>
    <row r="343" spans="1:11" x14ac:dyDescent="0.25">
      <c r="A343">
        <v>517</v>
      </c>
      <c r="B343" t="s">
        <v>1533</v>
      </c>
      <c r="C343" t="s">
        <v>2371</v>
      </c>
      <c r="D343" t="s">
        <v>13</v>
      </c>
      <c r="E343" t="s">
        <v>17</v>
      </c>
      <c r="F343" t="str">
        <f>VLOOKUP(Ramen_Ratings[[#This Row],[Country]],Country_Region[#All],2,FALSE)</f>
        <v>North America</v>
      </c>
      <c r="G343">
        <v>4.25</v>
      </c>
      <c r="H343" t="str" cm="1">
        <f t="array" ref="H343">_xlfn.IFS(Ramen_Ratings[[#This Row],[Stars]] = "Unrated", "NA",Ramen_Ratings[[#This Row],[Stars]]&gt;=4, "Good", Ramen_Ratings[[#This Row],[Stars]]&gt;2.5, "Fair", Ramen_Ratings[[#This Row],[Stars]] &gt;= 0, "Bad")</f>
        <v>Good</v>
      </c>
      <c r="J343" t="str">
        <f>LEFT(Ramen_Ratings[[#This Row],[Top Ten]],4)</f>
        <v/>
      </c>
      <c r="K343" t="str">
        <f>IF(Ramen_Ratings[[#This Row],[Top Ten]]="", "",RIGHT(Ramen_Ratings[[#This Row],[Top Ten]],LEN(Ramen_Ratings[[#This Row],[Top Ten]])-6))</f>
        <v/>
      </c>
    </row>
    <row r="344" spans="1:11" x14ac:dyDescent="0.25">
      <c r="A344">
        <v>515</v>
      </c>
      <c r="B344" t="s">
        <v>1848</v>
      </c>
      <c r="C344" t="s">
        <v>2373</v>
      </c>
      <c r="D344" t="s">
        <v>9</v>
      </c>
      <c r="E344" t="s">
        <v>17</v>
      </c>
      <c r="F344" t="str">
        <f>VLOOKUP(Ramen_Ratings[[#This Row],[Country]],Country_Region[#All],2,FALSE)</f>
        <v>North America</v>
      </c>
      <c r="G344">
        <v>2.5</v>
      </c>
      <c r="H344" t="str" cm="1">
        <f t="array" ref="H344">_xlfn.IFS(Ramen_Ratings[[#This Row],[Stars]] = "Unrated", "NA",Ramen_Ratings[[#This Row],[Stars]]&gt;=4, "Good", Ramen_Ratings[[#This Row],[Stars]]&gt;2.5, "Fair", Ramen_Ratings[[#This Row],[Stars]] &gt;= 0, "Bad")</f>
        <v>Bad</v>
      </c>
      <c r="J344" t="str">
        <f>LEFT(Ramen_Ratings[[#This Row],[Top Ten]],4)</f>
        <v/>
      </c>
      <c r="K344" t="str">
        <f>IF(Ramen_Ratings[[#This Row],[Top Ten]]="", "",RIGHT(Ramen_Ratings[[#This Row],[Top Ten]],LEN(Ramen_Ratings[[#This Row],[Top Ten]])-6))</f>
        <v/>
      </c>
    </row>
    <row r="345" spans="1:11" x14ac:dyDescent="0.25">
      <c r="A345">
        <v>500</v>
      </c>
      <c r="B345" t="s">
        <v>2383</v>
      </c>
      <c r="C345" t="s">
        <v>2384</v>
      </c>
      <c r="D345" t="s">
        <v>13</v>
      </c>
      <c r="E345" t="s">
        <v>17</v>
      </c>
      <c r="F345" t="str">
        <f>VLOOKUP(Ramen_Ratings[[#This Row],[Country]],Country_Region[#All],2,FALSE)</f>
        <v>North America</v>
      </c>
      <c r="G345">
        <v>2.5</v>
      </c>
      <c r="H345" t="str" cm="1">
        <f t="array" ref="H345">_xlfn.IFS(Ramen_Ratings[[#This Row],[Stars]] = "Unrated", "NA",Ramen_Ratings[[#This Row],[Stars]]&gt;=4, "Good", Ramen_Ratings[[#This Row],[Stars]]&gt;2.5, "Fair", Ramen_Ratings[[#This Row],[Stars]] &gt;= 0, "Bad")</f>
        <v>Bad</v>
      </c>
      <c r="J345" t="str">
        <f>LEFT(Ramen_Ratings[[#This Row],[Top Ten]],4)</f>
        <v/>
      </c>
      <c r="K345" t="str">
        <f>IF(Ramen_Ratings[[#This Row],[Top Ten]]="", "",RIGHT(Ramen_Ratings[[#This Row],[Top Ten]],LEN(Ramen_Ratings[[#This Row],[Top Ten]])-6))</f>
        <v/>
      </c>
    </row>
    <row r="346" spans="1:11" x14ac:dyDescent="0.25">
      <c r="A346">
        <v>496</v>
      </c>
      <c r="B346" t="s">
        <v>102</v>
      </c>
      <c r="C346" t="s">
        <v>2389</v>
      </c>
      <c r="D346" t="s">
        <v>30</v>
      </c>
      <c r="E346" t="s">
        <v>17</v>
      </c>
      <c r="F346" t="str">
        <f>VLOOKUP(Ramen_Ratings[[#This Row],[Country]],Country_Region[#All],2,FALSE)</f>
        <v>North America</v>
      </c>
      <c r="G346">
        <v>2.75</v>
      </c>
      <c r="H346" t="str" cm="1">
        <f t="array" ref="H346">_xlfn.IFS(Ramen_Ratings[[#This Row],[Stars]] = "Unrated", "NA",Ramen_Ratings[[#This Row],[Stars]]&gt;=4, "Good", Ramen_Ratings[[#This Row],[Stars]]&gt;2.5, "Fair", Ramen_Ratings[[#This Row],[Stars]] &gt;= 0, "Bad")</f>
        <v>Fair</v>
      </c>
      <c r="J346" t="str">
        <f>LEFT(Ramen_Ratings[[#This Row],[Top Ten]],4)</f>
        <v/>
      </c>
      <c r="K346" t="str">
        <f>IF(Ramen_Ratings[[#This Row],[Top Ten]]="", "",RIGHT(Ramen_Ratings[[#This Row],[Top Ten]],LEN(Ramen_Ratings[[#This Row],[Top Ten]])-6))</f>
        <v/>
      </c>
    </row>
    <row r="347" spans="1:11" x14ac:dyDescent="0.25">
      <c r="A347">
        <v>481</v>
      </c>
      <c r="B347" t="s">
        <v>1533</v>
      </c>
      <c r="C347" t="s">
        <v>2402</v>
      </c>
      <c r="D347" t="s">
        <v>44</v>
      </c>
      <c r="E347" t="s">
        <v>17</v>
      </c>
      <c r="F347" t="str">
        <f>VLOOKUP(Ramen_Ratings[[#This Row],[Country]],Country_Region[#All],2,FALSE)</f>
        <v>North America</v>
      </c>
      <c r="G347">
        <v>3.75</v>
      </c>
      <c r="H347" t="str" cm="1">
        <f t="array" ref="H347">_xlfn.IFS(Ramen_Ratings[[#This Row],[Stars]] = "Unrated", "NA",Ramen_Ratings[[#This Row],[Stars]]&gt;=4, "Good", Ramen_Ratings[[#This Row],[Stars]]&gt;2.5, "Fair", Ramen_Ratings[[#This Row],[Stars]] &gt;= 0, "Bad")</f>
        <v>Fair</v>
      </c>
      <c r="J347" t="str">
        <f>LEFT(Ramen_Ratings[[#This Row],[Top Ten]],4)</f>
        <v/>
      </c>
      <c r="K347" t="str">
        <f>IF(Ramen_Ratings[[#This Row],[Top Ten]]="", "",RIGHT(Ramen_Ratings[[#This Row],[Top Ten]],LEN(Ramen_Ratings[[#This Row],[Top Ten]])-6))</f>
        <v/>
      </c>
    </row>
    <row r="348" spans="1:11" x14ac:dyDescent="0.25">
      <c r="A348">
        <v>480</v>
      </c>
      <c r="B348" t="s">
        <v>1533</v>
      </c>
      <c r="C348" t="s">
        <v>2403</v>
      </c>
      <c r="D348" t="s">
        <v>44</v>
      </c>
      <c r="E348" t="s">
        <v>17</v>
      </c>
      <c r="F348" t="str">
        <f>VLOOKUP(Ramen_Ratings[[#This Row],[Country]],Country_Region[#All],2,FALSE)</f>
        <v>North America</v>
      </c>
      <c r="G348">
        <v>3.25</v>
      </c>
      <c r="H348" t="str" cm="1">
        <f t="array" ref="H348">_xlfn.IFS(Ramen_Ratings[[#This Row],[Stars]] = "Unrated", "NA",Ramen_Ratings[[#This Row],[Stars]]&gt;=4, "Good", Ramen_Ratings[[#This Row],[Stars]]&gt;2.5, "Fair", Ramen_Ratings[[#This Row],[Stars]] &gt;= 0, "Bad")</f>
        <v>Fair</v>
      </c>
      <c r="J348" t="str">
        <f>LEFT(Ramen_Ratings[[#This Row],[Top Ten]],4)</f>
        <v/>
      </c>
      <c r="K348" t="str">
        <f>IF(Ramen_Ratings[[#This Row],[Top Ten]]="", "",RIGHT(Ramen_Ratings[[#This Row],[Top Ten]],LEN(Ramen_Ratings[[#This Row],[Top Ten]])-6))</f>
        <v/>
      </c>
    </row>
    <row r="349" spans="1:11" x14ac:dyDescent="0.25">
      <c r="A349">
        <v>476</v>
      </c>
      <c r="B349" t="s">
        <v>1422</v>
      </c>
      <c r="C349" t="s">
        <v>2407</v>
      </c>
      <c r="D349" t="s">
        <v>44</v>
      </c>
      <c r="E349" t="s">
        <v>17</v>
      </c>
      <c r="F349" t="str">
        <f>VLOOKUP(Ramen_Ratings[[#This Row],[Country]],Country_Region[#All],2,FALSE)</f>
        <v>North America</v>
      </c>
      <c r="G349">
        <v>1.75</v>
      </c>
      <c r="H349" t="str" cm="1">
        <f t="array" ref="H349">_xlfn.IFS(Ramen_Ratings[[#This Row],[Stars]] = "Unrated", "NA",Ramen_Ratings[[#This Row],[Stars]]&gt;=4, "Good", Ramen_Ratings[[#This Row],[Stars]]&gt;2.5, "Fair", Ramen_Ratings[[#This Row],[Stars]] &gt;= 0, "Bad")</f>
        <v>Bad</v>
      </c>
      <c r="J349" t="str">
        <f>LEFT(Ramen_Ratings[[#This Row],[Top Ten]],4)</f>
        <v/>
      </c>
      <c r="K349" t="str">
        <f>IF(Ramen_Ratings[[#This Row],[Top Ten]]="", "",RIGHT(Ramen_Ratings[[#This Row],[Top Ten]],LEN(Ramen_Ratings[[#This Row],[Top Ten]])-6))</f>
        <v/>
      </c>
    </row>
    <row r="350" spans="1:11" x14ac:dyDescent="0.25">
      <c r="A350">
        <v>475</v>
      </c>
      <c r="B350" t="s">
        <v>287</v>
      </c>
      <c r="C350" t="s">
        <v>2070</v>
      </c>
      <c r="D350" t="s">
        <v>13</v>
      </c>
      <c r="E350" t="s">
        <v>17</v>
      </c>
      <c r="F350" t="str">
        <f>VLOOKUP(Ramen_Ratings[[#This Row],[Country]],Country_Region[#All],2,FALSE)</f>
        <v>North America</v>
      </c>
      <c r="G350">
        <v>3.25</v>
      </c>
      <c r="H350" t="str" cm="1">
        <f t="array" ref="H350">_xlfn.IFS(Ramen_Ratings[[#This Row],[Stars]] = "Unrated", "NA",Ramen_Ratings[[#This Row],[Stars]]&gt;=4, "Good", Ramen_Ratings[[#This Row],[Stars]]&gt;2.5, "Fair", Ramen_Ratings[[#This Row],[Stars]] &gt;= 0, "Bad")</f>
        <v>Fair</v>
      </c>
      <c r="J350" t="str">
        <f>LEFT(Ramen_Ratings[[#This Row],[Top Ten]],4)</f>
        <v/>
      </c>
      <c r="K350" t="str">
        <f>IF(Ramen_Ratings[[#This Row],[Top Ten]]="", "",RIGHT(Ramen_Ratings[[#This Row],[Top Ten]],LEN(Ramen_Ratings[[#This Row],[Top Ten]])-6))</f>
        <v/>
      </c>
    </row>
    <row r="351" spans="1:11" x14ac:dyDescent="0.25">
      <c r="A351">
        <v>472</v>
      </c>
      <c r="B351" t="s">
        <v>1533</v>
      </c>
      <c r="C351" t="s">
        <v>2298</v>
      </c>
      <c r="D351" t="s">
        <v>44</v>
      </c>
      <c r="E351" t="s">
        <v>17</v>
      </c>
      <c r="F351" t="str">
        <f>VLOOKUP(Ramen_Ratings[[#This Row],[Country]],Country_Region[#All],2,FALSE)</f>
        <v>North America</v>
      </c>
      <c r="G351">
        <v>3.75</v>
      </c>
      <c r="H351" t="str" cm="1">
        <f t="array" ref="H351">_xlfn.IFS(Ramen_Ratings[[#This Row],[Stars]] = "Unrated", "NA",Ramen_Ratings[[#This Row],[Stars]]&gt;=4, "Good", Ramen_Ratings[[#This Row],[Stars]]&gt;2.5, "Fair", Ramen_Ratings[[#This Row],[Stars]] &gt;= 0, "Bad")</f>
        <v>Fair</v>
      </c>
      <c r="J351" t="str">
        <f>LEFT(Ramen_Ratings[[#This Row],[Top Ten]],4)</f>
        <v/>
      </c>
      <c r="K351" t="str">
        <f>IF(Ramen_Ratings[[#This Row],[Top Ten]]="", "",RIGHT(Ramen_Ratings[[#This Row],[Top Ten]],LEN(Ramen_Ratings[[#This Row],[Top Ten]])-6))</f>
        <v/>
      </c>
    </row>
    <row r="352" spans="1:11" x14ac:dyDescent="0.25">
      <c r="A352">
        <v>471</v>
      </c>
      <c r="B352" t="s">
        <v>677</v>
      </c>
      <c r="C352" t="s">
        <v>2410</v>
      </c>
      <c r="D352" t="s">
        <v>13</v>
      </c>
      <c r="E352" t="s">
        <v>17</v>
      </c>
      <c r="F352" t="str">
        <f>VLOOKUP(Ramen_Ratings[[#This Row],[Country]],Country_Region[#All],2,FALSE)</f>
        <v>North America</v>
      </c>
      <c r="G352">
        <v>1.5</v>
      </c>
      <c r="H352" t="str" cm="1">
        <f t="array" ref="H352">_xlfn.IFS(Ramen_Ratings[[#This Row],[Stars]] = "Unrated", "NA",Ramen_Ratings[[#This Row],[Stars]]&gt;=4, "Good", Ramen_Ratings[[#This Row],[Stars]]&gt;2.5, "Fair", Ramen_Ratings[[#This Row],[Stars]] &gt;= 0, "Bad")</f>
        <v>Bad</v>
      </c>
      <c r="J352" t="str">
        <f>LEFT(Ramen_Ratings[[#This Row],[Top Ten]],4)</f>
        <v/>
      </c>
      <c r="K352" t="str">
        <f>IF(Ramen_Ratings[[#This Row],[Top Ten]]="", "",RIGHT(Ramen_Ratings[[#This Row],[Top Ten]],LEN(Ramen_Ratings[[#This Row],[Top Ten]])-6))</f>
        <v/>
      </c>
    </row>
    <row r="353" spans="1:11" x14ac:dyDescent="0.25">
      <c r="A353">
        <v>470</v>
      </c>
      <c r="B353" t="s">
        <v>102</v>
      </c>
      <c r="C353" t="s">
        <v>2411</v>
      </c>
      <c r="D353" t="s">
        <v>13</v>
      </c>
      <c r="E353" t="s">
        <v>17</v>
      </c>
      <c r="F353" t="str">
        <f>VLOOKUP(Ramen_Ratings[[#This Row],[Country]],Country_Region[#All],2,FALSE)</f>
        <v>North America</v>
      </c>
      <c r="G353">
        <v>3.25</v>
      </c>
      <c r="H353" t="str" cm="1">
        <f t="array" ref="H353">_xlfn.IFS(Ramen_Ratings[[#This Row],[Stars]] = "Unrated", "NA",Ramen_Ratings[[#This Row],[Stars]]&gt;=4, "Good", Ramen_Ratings[[#This Row],[Stars]]&gt;2.5, "Fair", Ramen_Ratings[[#This Row],[Stars]] &gt;= 0, "Bad")</f>
        <v>Fair</v>
      </c>
      <c r="J353" t="str">
        <f>LEFT(Ramen_Ratings[[#This Row],[Top Ten]],4)</f>
        <v/>
      </c>
      <c r="K353" t="str">
        <f>IF(Ramen_Ratings[[#This Row],[Top Ten]]="", "",RIGHT(Ramen_Ratings[[#This Row],[Top Ten]],LEN(Ramen_Ratings[[#This Row],[Top Ten]])-6))</f>
        <v/>
      </c>
    </row>
    <row r="354" spans="1:11" x14ac:dyDescent="0.25">
      <c r="A354">
        <v>469</v>
      </c>
      <c r="B354" t="s">
        <v>287</v>
      </c>
      <c r="C354" t="s">
        <v>2084</v>
      </c>
      <c r="D354" t="s">
        <v>13</v>
      </c>
      <c r="E354" t="s">
        <v>17</v>
      </c>
      <c r="F354" t="str">
        <f>VLOOKUP(Ramen_Ratings[[#This Row],[Country]],Country_Region[#All],2,FALSE)</f>
        <v>North America</v>
      </c>
      <c r="G354">
        <v>3.5</v>
      </c>
      <c r="H354" t="str" cm="1">
        <f t="array" ref="H354">_xlfn.IFS(Ramen_Ratings[[#This Row],[Stars]] = "Unrated", "NA",Ramen_Ratings[[#This Row],[Stars]]&gt;=4, "Good", Ramen_Ratings[[#This Row],[Stars]]&gt;2.5, "Fair", Ramen_Ratings[[#This Row],[Stars]] &gt;= 0, "Bad")</f>
        <v>Fair</v>
      </c>
      <c r="J354" t="str">
        <f>LEFT(Ramen_Ratings[[#This Row],[Top Ten]],4)</f>
        <v/>
      </c>
      <c r="K354" t="str">
        <f>IF(Ramen_Ratings[[#This Row],[Top Ten]]="", "",RIGHT(Ramen_Ratings[[#This Row],[Top Ten]],LEN(Ramen_Ratings[[#This Row],[Top Ten]])-6))</f>
        <v/>
      </c>
    </row>
    <row r="355" spans="1:11" x14ac:dyDescent="0.25">
      <c r="A355">
        <v>465</v>
      </c>
      <c r="B355" t="s">
        <v>15</v>
      </c>
      <c r="C355" t="s">
        <v>2415</v>
      </c>
      <c r="D355" t="s">
        <v>44</v>
      </c>
      <c r="E355" t="s">
        <v>17</v>
      </c>
      <c r="F355" t="str">
        <f>VLOOKUP(Ramen_Ratings[[#This Row],[Country]],Country_Region[#All],2,FALSE)</f>
        <v>North America</v>
      </c>
      <c r="G355">
        <v>2.75</v>
      </c>
      <c r="H355" t="str" cm="1">
        <f t="array" ref="H355">_xlfn.IFS(Ramen_Ratings[[#This Row],[Stars]] = "Unrated", "NA",Ramen_Ratings[[#This Row],[Stars]]&gt;=4, "Good", Ramen_Ratings[[#This Row],[Stars]]&gt;2.5, "Fair", Ramen_Ratings[[#This Row],[Stars]] &gt;= 0, "Bad")</f>
        <v>Fair</v>
      </c>
      <c r="J355" t="str">
        <f>LEFT(Ramen_Ratings[[#This Row],[Top Ten]],4)</f>
        <v/>
      </c>
      <c r="K355" t="str">
        <f>IF(Ramen_Ratings[[#This Row],[Top Ten]]="", "",RIGHT(Ramen_Ratings[[#This Row],[Top Ten]],LEN(Ramen_Ratings[[#This Row],[Top Ten]])-6))</f>
        <v/>
      </c>
    </row>
    <row r="356" spans="1:11" x14ac:dyDescent="0.25">
      <c r="A356">
        <v>462</v>
      </c>
      <c r="B356" t="s">
        <v>15</v>
      </c>
      <c r="C356" t="s">
        <v>2417</v>
      </c>
      <c r="D356" t="s">
        <v>13</v>
      </c>
      <c r="E356" t="s">
        <v>17</v>
      </c>
      <c r="F356" t="str">
        <f>VLOOKUP(Ramen_Ratings[[#This Row],[Country]],Country_Region[#All],2,FALSE)</f>
        <v>North America</v>
      </c>
      <c r="G356">
        <v>3.5</v>
      </c>
      <c r="H356" t="str" cm="1">
        <f t="array" ref="H356">_xlfn.IFS(Ramen_Ratings[[#This Row],[Stars]] = "Unrated", "NA",Ramen_Ratings[[#This Row],[Stars]]&gt;=4, "Good", Ramen_Ratings[[#This Row],[Stars]]&gt;2.5, "Fair", Ramen_Ratings[[#This Row],[Stars]] &gt;= 0, "Bad")</f>
        <v>Fair</v>
      </c>
      <c r="J356" t="str">
        <f>LEFT(Ramen_Ratings[[#This Row],[Top Ten]],4)</f>
        <v/>
      </c>
      <c r="K356" t="str">
        <f>IF(Ramen_Ratings[[#This Row],[Top Ten]]="", "",RIGHT(Ramen_Ratings[[#This Row],[Top Ten]],LEN(Ramen_Ratings[[#This Row],[Top Ten]])-6))</f>
        <v/>
      </c>
    </row>
    <row r="357" spans="1:11" x14ac:dyDescent="0.25">
      <c r="A357">
        <v>459</v>
      </c>
      <c r="B357" t="s">
        <v>287</v>
      </c>
      <c r="C357" t="s">
        <v>2021</v>
      </c>
      <c r="D357" t="s">
        <v>13</v>
      </c>
      <c r="E357" t="s">
        <v>17</v>
      </c>
      <c r="F357" t="str">
        <f>VLOOKUP(Ramen_Ratings[[#This Row],[Country]],Country_Region[#All],2,FALSE)</f>
        <v>North America</v>
      </c>
      <c r="G357">
        <v>3</v>
      </c>
      <c r="H357" t="str" cm="1">
        <f t="array" ref="H357">_xlfn.IFS(Ramen_Ratings[[#This Row],[Stars]] = "Unrated", "NA",Ramen_Ratings[[#This Row],[Stars]]&gt;=4, "Good", Ramen_Ratings[[#This Row],[Stars]]&gt;2.5, "Fair", Ramen_Ratings[[#This Row],[Stars]] &gt;= 0, "Bad")</f>
        <v>Fair</v>
      </c>
      <c r="J357" t="str">
        <f>LEFT(Ramen_Ratings[[#This Row],[Top Ten]],4)</f>
        <v/>
      </c>
      <c r="K357" t="str">
        <f>IF(Ramen_Ratings[[#This Row],[Top Ten]]="", "",RIGHT(Ramen_Ratings[[#This Row],[Top Ten]],LEN(Ramen_Ratings[[#This Row],[Top Ten]])-6))</f>
        <v/>
      </c>
    </row>
    <row r="358" spans="1:11" x14ac:dyDescent="0.25">
      <c r="A358">
        <v>454</v>
      </c>
      <c r="B358" t="s">
        <v>677</v>
      </c>
      <c r="C358" t="s">
        <v>2424</v>
      </c>
      <c r="D358" t="s">
        <v>13</v>
      </c>
      <c r="E358" t="s">
        <v>17</v>
      </c>
      <c r="F358" t="str">
        <f>VLOOKUP(Ramen_Ratings[[#This Row],[Country]],Country_Region[#All],2,FALSE)</f>
        <v>North America</v>
      </c>
      <c r="G358">
        <v>1.5</v>
      </c>
      <c r="H358" t="str" cm="1">
        <f t="array" ref="H358">_xlfn.IFS(Ramen_Ratings[[#This Row],[Stars]] = "Unrated", "NA",Ramen_Ratings[[#This Row],[Stars]]&gt;=4, "Good", Ramen_Ratings[[#This Row],[Stars]]&gt;2.5, "Fair", Ramen_Ratings[[#This Row],[Stars]] &gt;= 0, "Bad")</f>
        <v>Bad</v>
      </c>
      <c r="J358" t="str">
        <f>LEFT(Ramen_Ratings[[#This Row],[Top Ten]],4)</f>
        <v/>
      </c>
      <c r="K358" t="str">
        <f>IF(Ramen_Ratings[[#This Row],[Top Ten]]="", "",RIGHT(Ramen_Ratings[[#This Row],[Top Ten]],LEN(Ramen_Ratings[[#This Row],[Top Ten]])-6))</f>
        <v/>
      </c>
    </row>
    <row r="359" spans="1:11" x14ac:dyDescent="0.25">
      <c r="A359">
        <v>453</v>
      </c>
      <c r="B359" t="s">
        <v>41</v>
      </c>
      <c r="C359" t="s">
        <v>2425</v>
      </c>
      <c r="D359" t="s">
        <v>44</v>
      </c>
      <c r="E359" t="s">
        <v>17</v>
      </c>
      <c r="F359" t="str">
        <f>VLOOKUP(Ramen_Ratings[[#This Row],[Country]],Country_Region[#All],2,FALSE)</f>
        <v>North America</v>
      </c>
      <c r="G359">
        <v>3.25</v>
      </c>
      <c r="H359" t="str" cm="1">
        <f t="array" ref="H359">_xlfn.IFS(Ramen_Ratings[[#This Row],[Stars]] = "Unrated", "NA",Ramen_Ratings[[#This Row],[Stars]]&gt;=4, "Good", Ramen_Ratings[[#This Row],[Stars]]&gt;2.5, "Fair", Ramen_Ratings[[#This Row],[Stars]] &gt;= 0, "Bad")</f>
        <v>Fair</v>
      </c>
      <c r="J359" t="str">
        <f>LEFT(Ramen_Ratings[[#This Row],[Top Ten]],4)</f>
        <v/>
      </c>
      <c r="K359" t="str">
        <f>IF(Ramen_Ratings[[#This Row],[Top Ten]]="", "",RIGHT(Ramen_Ratings[[#This Row],[Top Ten]],LEN(Ramen_Ratings[[#This Row],[Top Ten]])-6))</f>
        <v/>
      </c>
    </row>
    <row r="360" spans="1:11" x14ac:dyDescent="0.25">
      <c r="A360">
        <v>440</v>
      </c>
      <c r="B360" t="s">
        <v>102</v>
      </c>
      <c r="C360" t="s">
        <v>2439</v>
      </c>
      <c r="D360" t="s">
        <v>9</v>
      </c>
      <c r="E360" t="s">
        <v>17</v>
      </c>
      <c r="F360" t="str">
        <f>VLOOKUP(Ramen_Ratings[[#This Row],[Country]],Country_Region[#All],2,FALSE)</f>
        <v>North America</v>
      </c>
      <c r="G360">
        <v>2.75</v>
      </c>
      <c r="H360" t="str" cm="1">
        <f t="array" ref="H360">_xlfn.IFS(Ramen_Ratings[[#This Row],[Stars]] = "Unrated", "NA",Ramen_Ratings[[#This Row],[Stars]]&gt;=4, "Good", Ramen_Ratings[[#This Row],[Stars]]&gt;2.5, "Fair", Ramen_Ratings[[#This Row],[Stars]] &gt;= 0, "Bad")</f>
        <v>Fair</v>
      </c>
      <c r="J360" t="str">
        <f>LEFT(Ramen_Ratings[[#This Row],[Top Ten]],4)</f>
        <v/>
      </c>
      <c r="K360" t="str">
        <f>IF(Ramen_Ratings[[#This Row],[Top Ten]]="", "",RIGHT(Ramen_Ratings[[#This Row],[Top Ten]],LEN(Ramen_Ratings[[#This Row],[Top Ten]])-6))</f>
        <v/>
      </c>
    </row>
    <row r="361" spans="1:11" x14ac:dyDescent="0.25">
      <c r="A361">
        <v>425</v>
      </c>
      <c r="B361" t="s">
        <v>2455</v>
      </c>
      <c r="C361" t="s">
        <v>2456</v>
      </c>
      <c r="D361" t="s">
        <v>13</v>
      </c>
      <c r="E361" t="s">
        <v>17</v>
      </c>
      <c r="F361" t="str">
        <f>VLOOKUP(Ramen_Ratings[[#This Row],[Country]],Country_Region[#All],2,FALSE)</f>
        <v>North America</v>
      </c>
      <c r="G361">
        <v>4.5</v>
      </c>
      <c r="H361" t="str" cm="1">
        <f t="array" ref="H361">_xlfn.IFS(Ramen_Ratings[[#This Row],[Stars]] = "Unrated", "NA",Ramen_Ratings[[#This Row],[Stars]]&gt;=4, "Good", Ramen_Ratings[[#This Row],[Stars]]&gt;2.5, "Fair", Ramen_Ratings[[#This Row],[Stars]] &gt;= 0, "Bad")</f>
        <v>Good</v>
      </c>
      <c r="J361" t="str">
        <f>LEFT(Ramen_Ratings[[#This Row],[Top Ten]],4)</f>
        <v/>
      </c>
      <c r="K361" t="str">
        <f>IF(Ramen_Ratings[[#This Row],[Top Ten]]="", "",RIGHT(Ramen_Ratings[[#This Row],[Top Ten]],LEN(Ramen_Ratings[[#This Row],[Top Ten]])-6))</f>
        <v/>
      </c>
    </row>
    <row r="362" spans="1:11" x14ac:dyDescent="0.25">
      <c r="A362">
        <v>420</v>
      </c>
      <c r="B362" t="s">
        <v>374</v>
      </c>
      <c r="C362" t="s">
        <v>2463</v>
      </c>
      <c r="D362" t="s">
        <v>9</v>
      </c>
      <c r="E362" t="s">
        <v>17</v>
      </c>
      <c r="F362" t="str">
        <f>VLOOKUP(Ramen_Ratings[[#This Row],[Country]],Country_Region[#All],2,FALSE)</f>
        <v>North America</v>
      </c>
      <c r="G362">
        <v>3.5</v>
      </c>
      <c r="H362" t="str" cm="1">
        <f t="array" ref="H362">_xlfn.IFS(Ramen_Ratings[[#This Row],[Stars]] = "Unrated", "NA",Ramen_Ratings[[#This Row],[Stars]]&gt;=4, "Good", Ramen_Ratings[[#This Row],[Stars]]&gt;2.5, "Fair", Ramen_Ratings[[#This Row],[Stars]] &gt;= 0, "Bad")</f>
        <v>Fair</v>
      </c>
      <c r="J362" t="str">
        <f>LEFT(Ramen_Ratings[[#This Row],[Top Ten]],4)</f>
        <v/>
      </c>
      <c r="K362" t="str">
        <f>IF(Ramen_Ratings[[#This Row],[Top Ten]]="", "",RIGHT(Ramen_Ratings[[#This Row],[Top Ten]],LEN(Ramen_Ratings[[#This Row],[Top Ten]])-6))</f>
        <v/>
      </c>
    </row>
    <row r="363" spans="1:11" x14ac:dyDescent="0.25">
      <c r="A363">
        <v>416</v>
      </c>
      <c r="B363" t="s">
        <v>374</v>
      </c>
      <c r="C363" t="s">
        <v>2357</v>
      </c>
      <c r="D363" t="s">
        <v>9</v>
      </c>
      <c r="E363" t="s">
        <v>17</v>
      </c>
      <c r="F363" t="str">
        <f>VLOOKUP(Ramen_Ratings[[#This Row],[Country]],Country_Region[#All],2,FALSE)</f>
        <v>North America</v>
      </c>
      <c r="G363">
        <v>3.75</v>
      </c>
      <c r="H363" t="str" cm="1">
        <f t="array" ref="H363">_xlfn.IFS(Ramen_Ratings[[#This Row],[Stars]] = "Unrated", "NA",Ramen_Ratings[[#This Row],[Stars]]&gt;=4, "Good", Ramen_Ratings[[#This Row],[Stars]]&gt;2.5, "Fair", Ramen_Ratings[[#This Row],[Stars]] &gt;= 0, "Bad")</f>
        <v>Fair</v>
      </c>
      <c r="J363" t="str">
        <f>LEFT(Ramen_Ratings[[#This Row],[Top Ten]],4)</f>
        <v/>
      </c>
      <c r="K363" t="str">
        <f>IF(Ramen_Ratings[[#This Row],[Top Ten]]="", "",RIGHT(Ramen_Ratings[[#This Row],[Top Ten]],LEN(Ramen_Ratings[[#This Row],[Top Ten]])-6))</f>
        <v/>
      </c>
    </row>
    <row r="364" spans="1:11" x14ac:dyDescent="0.25">
      <c r="A364">
        <v>403</v>
      </c>
      <c r="B364" t="s">
        <v>102</v>
      </c>
      <c r="C364" t="s">
        <v>2480</v>
      </c>
      <c r="D364" t="s">
        <v>9</v>
      </c>
      <c r="E364" t="s">
        <v>17</v>
      </c>
      <c r="F364" t="str">
        <f>VLOOKUP(Ramen_Ratings[[#This Row],[Country]],Country_Region[#All],2,FALSE)</f>
        <v>North America</v>
      </c>
      <c r="G364">
        <v>2.25</v>
      </c>
      <c r="H364" t="str" cm="1">
        <f t="array" ref="H364">_xlfn.IFS(Ramen_Ratings[[#This Row],[Stars]] = "Unrated", "NA",Ramen_Ratings[[#This Row],[Stars]]&gt;=4, "Good", Ramen_Ratings[[#This Row],[Stars]]&gt;2.5, "Fair", Ramen_Ratings[[#This Row],[Stars]] &gt;= 0, "Bad")</f>
        <v>Bad</v>
      </c>
      <c r="J364" t="str">
        <f>LEFT(Ramen_Ratings[[#This Row],[Top Ten]],4)</f>
        <v/>
      </c>
      <c r="K364" t="str">
        <f>IF(Ramen_Ratings[[#This Row],[Top Ten]]="", "",RIGHT(Ramen_Ratings[[#This Row],[Top Ten]],LEN(Ramen_Ratings[[#This Row],[Top Ten]])-6))</f>
        <v/>
      </c>
    </row>
    <row r="365" spans="1:11" x14ac:dyDescent="0.25">
      <c r="A365">
        <v>388</v>
      </c>
      <c r="B365" t="s">
        <v>102</v>
      </c>
      <c r="C365" t="s">
        <v>2495</v>
      </c>
      <c r="D365" t="s">
        <v>9</v>
      </c>
      <c r="E365" t="s">
        <v>17</v>
      </c>
      <c r="F365" t="str">
        <f>VLOOKUP(Ramen_Ratings[[#This Row],[Country]],Country_Region[#All],2,FALSE)</f>
        <v>North America</v>
      </c>
      <c r="G365">
        <v>2.75</v>
      </c>
      <c r="H365" t="str" cm="1">
        <f t="array" ref="H365">_xlfn.IFS(Ramen_Ratings[[#This Row],[Stars]] = "Unrated", "NA",Ramen_Ratings[[#This Row],[Stars]]&gt;=4, "Good", Ramen_Ratings[[#This Row],[Stars]]&gt;2.5, "Fair", Ramen_Ratings[[#This Row],[Stars]] &gt;= 0, "Bad")</f>
        <v>Fair</v>
      </c>
      <c r="J365" t="str">
        <f>LEFT(Ramen_Ratings[[#This Row],[Top Ten]],4)</f>
        <v/>
      </c>
      <c r="K365" t="str">
        <f>IF(Ramen_Ratings[[#This Row],[Top Ten]]="", "",RIGHT(Ramen_Ratings[[#This Row],[Top Ten]],LEN(Ramen_Ratings[[#This Row],[Top Ten]])-6))</f>
        <v/>
      </c>
    </row>
    <row r="366" spans="1:11" x14ac:dyDescent="0.25">
      <c r="A366">
        <v>387</v>
      </c>
      <c r="B366" t="s">
        <v>15</v>
      </c>
      <c r="C366" t="s">
        <v>2496</v>
      </c>
      <c r="D366" t="s">
        <v>44</v>
      </c>
      <c r="E366" t="s">
        <v>17</v>
      </c>
      <c r="F366" t="str">
        <f>VLOOKUP(Ramen_Ratings[[#This Row],[Country]],Country_Region[#All],2,FALSE)</f>
        <v>North America</v>
      </c>
      <c r="G366">
        <v>3.75</v>
      </c>
      <c r="H366" t="str" cm="1">
        <f t="array" ref="H366">_xlfn.IFS(Ramen_Ratings[[#This Row],[Stars]] = "Unrated", "NA",Ramen_Ratings[[#This Row],[Stars]]&gt;=4, "Good", Ramen_Ratings[[#This Row],[Stars]]&gt;2.5, "Fair", Ramen_Ratings[[#This Row],[Stars]] &gt;= 0, "Bad")</f>
        <v>Fair</v>
      </c>
      <c r="J366" t="str">
        <f>LEFT(Ramen_Ratings[[#This Row],[Top Ten]],4)</f>
        <v/>
      </c>
      <c r="K366" t="str">
        <f>IF(Ramen_Ratings[[#This Row],[Top Ten]]="", "",RIGHT(Ramen_Ratings[[#This Row],[Top Ten]],LEN(Ramen_Ratings[[#This Row],[Top Ten]])-6))</f>
        <v/>
      </c>
    </row>
    <row r="367" spans="1:11" x14ac:dyDescent="0.25">
      <c r="A367">
        <v>386</v>
      </c>
      <c r="B367" t="s">
        <v>2497</v>
      </c>
      <c r="C367" t="s">
        <v>2498</v>
      </c>
      <c r="D367" t="s">
        <v>30</v>
      </c>
      <c r="E367" t="s">
        <v>17</v>
      </c>
      <c r="F367" t="str">
        <f>VLOOKUP(Ramen_Ratings[[#This Row],[Country]],Country_Region[#All],2,FALSE)</f>
        <v>North America</v>
      </c>
      <c r="G367">
        <v>0</v>
      </c>
      <c r="H367" t="str" cm="1">
        <f t="array" ref="H367">_xlfn.IFS(Ramen_Ratings[[#This Row],[Stars]] = "Unrated", "NA",Ramen_Ratings[[#This Row],[Stars]]&gt;=4, "Good", Ramen_Ratings[[#This Row],[Stars]]&gt;2.5, "Fair", Ramen_Ratings[[#This Row],[Stars]] &gt;= 0, "Bad")</f>
        <v>Bad</v>
      </c>
      <c r="J367" t="str">
        <f>LEFT(Ramen_Ratings[[#This Row],[Top Ten]],4)</f>
        <v/>
      </c>
      <c r="K367" t="str">
        <f>IF(Ramen_Ratings[[#This Row],[Top Ten]]="", "",RIGHT(Ramen_Ratings[[#This Row],[Top Ten]],LEN(Ramen_Ratings[[#This Row],[Top Ten]])-6))</f>
        <v/>
      </c>
    </row>
    <row r="368" spans="1:11" x14ac:dyDescent="0.25">
      <c r="A368">
        <v>379</v>
      </c>
      <c r="B368" t="s">
        <v>15</v>
      </c>
      <c r="C368" t="s">
        <v>2505</v>
      </c>
      <c r="D368" t="s">
        <v>30</v>
      </c>
      <c r="E368" t="s">
        <v>17</v>
      </c>
      <c r="F368" t="str">
        <f>VLOOKUP(Ramen_Ratings[[#This Row],[Country]],Country_Region[#All],2,FALSE)</f>
        <v>North America</v>
      </c>
      <c r="G368">
        <v>2.5</v>
      </c>
      <c r="H368" t="str" cm="1">
        <f t="array" ref="H368">_xlfn.IFS(Ramen_Ratings[[#This Row],[Stars]] = "Unrated", "NA",Ramen_Ratings[[#This Row],[Stars]]&gt;=4, "Good", Ramen_Ratings[[#This Row],[Stars]]&gt;2.5, "Fair", Ramen_Ratings[[#This Row],[Stars]] &gt;= 0, "Bad")</f>
        <v>Bad</v>
      </c>
      <c r="J368" t="str">
        <f>LEFT(Ramen_Ratings[[#This Row],[Top Ten]],4)</f>
        <v/>
      </c>
      <c r="K368" t="str">
        <f>IF(Ramen_Ratings[[#This Row],[Top Ten]]="", "",RIGHT(Ramen_Ratings[[#This Row],[Top Ten]],LEN(Ramen_Ratings[[#This Row],[Top Ten]])-6))</f>
        <v/>
      </c>
    </row>
    <row r="369" spans="1:11" x14ac:dyDescent="0.25">
      <c r="A369">
        <v>373</v>
      </c>
      <c r="B369" t="s">
        <v>15</v>
      </c>
      <c r="C369" t="s">
        <v>16</v>
      </c>
      <c r="D369" t="s">
        <v>9</v>
      </c>
      <c r="E369" t="s">
        <v>17</v>
      </c>
      <c r="F369" t="str">
        <f>VLOOKUP(Ramen_Ratings[[#This Row],[Country]],Country_Region[#All],2,FALSE)</f>
        <v>North America</v>
      </c>
      <c r="G369">
        <v>2.75</v>
      </c>
      <c r="H369" t="str" cm="1">
        <f t="array" ref="H369">_xlfn.IFS(Ramen_Ratings[[#This Row],[Stars]] = "Unrated", "NA",Ramen_Ratings[[#This Row],[Stars]]&gt;=4, "Good", Ramen_Ratings[[#This Row],[Stars]]&gt;2.5, "Fair", Ramen_Ratings[[#This Row],[Stars]] &gt;= 0, "Bad")</f>
        <v>Fair</v>
      </c>
      <c r="J369" t="str">
        <f>LEFT(Ramen_Ratings[[#This Row],[Top Ten]],4)</f>
        <v/>
      </c>
      <c r="K369" t="str">
        <f>IF(Ramen_Ratings[[#This Row],[Top Ten]]="", "",RIGHT(Ramen_Ratings[[#This Row],[Top Ten]],LEN(Ramen_Ratings[[#This Row],[Top Ten]])-6))</f>
        <v/>
      </c>
    </row>
    <row r="370" spans="1:11" x14ac:dyDescent="0.25">
      <c r="A370">
        <v>371</v>
      </c>
      <c r="B370" t="s">
        <v>15</v>
      </c>
      <c r="C370" t="s">
        <v>2512</v>
      </c>
      <c r="D370" t="s">
        <v>30</v>
      </c>
      <c r="E370" t="s">
        <v>17</v>
      </c>
      <c r="F370" t="str">
        <f>VLOOKUP(Ramen_Ratings[[#This Row],[Country]],Country_Region[#All],2,FALSE)</f>
        <v>North America</v>
      </c>
      <c r="G370">
        <v>3.75</v>
      </c>
      <c r="H370" t="str" cm="1">
        <f t="array" ref="H370">_xlfn.IFS(Ramen_Ratings[[#This Row],[Stars]] = "Unrated", "NA",Ramen_Ratings[[#This Row],[Stars]]&gt;=4, "Good", Ramen_Ratings[[#This Row],[Stars]]&gt;2.5, "Fair", Ramen_Ratings[[#This Row],[Stars]] &gt;= 0, "Bad")</f>
        <v>Fair</v>
      </c>
      <c r="J370" t="str">
        <f>LEFT(Ramen_Ratings[[#This Row],[Top Ten]],4)</f>
        <v/>
      </c>
      <c r="K370" t="str">
        <f>IF(Ramen_Ratings[[#This Row],[Top Ten]]="", "",RIGHT(Ramen_Ratings[[#This Row],[Top Ten]],LEN(Ramen_Ratings[[#This Row],[Top Ten]])-6))</f>
        <v/>
      </c>
    </row>
    <row r="371" spans="1:11" x14ac:dyDescent="0.25">
      <c r="A371">
        <v>361</v>
      </c>
      <c r="B371" t="s">
        <v>2523</v>
      </c>
      <c r="C371" t="s">
        <v>2524</v>
      </c>
      <c r="D371" t="s">
        <v>44</v>
      </c>
      <c r="E371" t="s">
        <v>17</v>
      </c>
      <c r="F371" t="str">
        <f>VLOOKUP(Ramen_Ratings[[#This Row],[Country]],Country_Region[#All],2,FALSE)</f>
        <v>North America</v>
      </c>
      <c r="G371">
        <v>1.25</v>
      </c>
      <c r="H371" t="str" cm="1">
        <f t="array" ref="H371">_xlfn.IFS(Ramen_Ratings[[#This Row],[Stars]] = "Unrated", "NA",Ramen_Ratings[[#This Row],[Stars]]&gt;=4, "Good", Ramen_Ratings[[#This Row],[Stars]]&gt;2.5, "Fair", Ramen_Ratings[[#This Row],[Stars]] &gt;= 0, "Bad")</f>
        <v>Bad</v>
      </c>
      <c r="J371" t="str">
        <f>LEFT(Ramen_Ratings[[#This Row],[Top Ten]],4)</f>
        <v/>
      </c>
      <c r="K371" t="str">
        <f>IF(Ramen_Ratings[[#This Row],[Top Ten]]="", "",RIGHT(Ramen_Ratings[[#This Row],[Top Ten]],LEN(Ramen_Ratings[[#This Row],[Top Ten]])-6))</f>
        <v/>
      </c>
    </row>
    <row r="372" spans="1:11" x14ac:dyDescent="0.25">
      <c r="A372">
        <v>360</v>
      </c>
      <c r="B372" t="s">
        <v>15</v>
      </c>
      <c r="C372" t="s">
        <v>2525</v>
      </c>
      <c r="D372" t="s">
        <v>9</v>
      </c>
      <c r="E372" t="s">
        <v>17</v>
      </c>
      <c r="F372" t="str">
        <f>VLOOKUP(Ramen_Ratings[[#This Row],[Country]],Country_Region[#All],2,FALSE)</f>
        <v>North America</v>
      </c>
      <c r="G372">
        <v>2.5</v>
      </c>
      <c r="H372" t="str" cm="1">
        <f t="array" ref="H372">_xlfn.IFS(Ramen_Ratings[[#This Row],[Stars]] = "Unrated", "NA",Ramen_Ratings[[#This Row],[Stars]]&gt;=4, "Good", Ramen_Ratings[[#This Row],[Stars]]&gt;2.5, "Fair", Ramen_Ratings[[#This Row],[Stars]] &gt;= 0, "Bad")</f>
        <v>Bad</v>
      </c>
      <c r="J372" t="str">
        <f>LEFT(Ramen_Ratings[[#This Row],[Top Ten]],4)</f>
        <v/>
      </c>
      <c r="K372" t="str">
        <f>IF(Ramen_Ratings[[#This Row],[Top Ten]]="", "",RIGHT(Ramen_Ratings[[#This Row],[Top Ten]],LEN(Ramen_Ratings[[#This Row],[Top Ten]])-6))</f>
        <v/>
      </c>
    </row>
    <row r="373" spans="1:11" x14ac:dyDescent="0.25">
      <c r="A373">
        <v>359</v>
      </c>
      <c r="B373" t="s">
        <v>15</v>
      </c>
      <c r="C373" t="s">
        <v>2526</v>
      </c>
      <c r="D373" t="s">
        <v>44</v>
      </c>
      <c r="E373" t="s">
        <v>17</v>
      </c>
      <c r="F373" t="str">
        <f>VLOOKUP(Ramen_Ratings[[#This Row],[Country]],Country_Region[#All],2,FALSE)</f>
        <v>North America</v>
      </c>
      <c r="G373">
        <v>3.75</v>
      </c>
      <c r="H373" t="str" cm="1">
        <f t="array" ref="H373">_xlfn.IFS(Ramen_Ratings[[#This Row],[Stars]] = "Unrated", "NA",Ramen_Ratings[[#This Row],[Stars]]&gt;=4, "Good", Ramen_Ratings[[#This Row],[Stars]]&gt;2.5, "Fair", Ramen_Ratings[[#This Row],[Stars]] &gt;= 0, "Bad")</f>
        <v>Fair</v>
      </c>
      <c r="J373" t="str">
        <f>LEFT(Ramen_Ratings[[#This Row],[Top Ten]],4)</f>
        <v/>
      </c>
      <c r="K373" t="str">
        <f>IF(Ramen_Ratings[[#This Row],[Top Ten]]="", "",RIGHT(Ramen_Ratings[[#This Row],[Top Ten]],LEN(Ramen_Ratings[[#This Row],[Top Ten]])-6))</f>
        <v/>
      </c>
    </row>
    <row r="374" spans="1:11" x14ac:dyDescent="0.25">
      <c r="A374">
        <v>356</v>
      </c>
      <c r="B374" t="s">
        <v>102</v>
      </c>
      <c r="C374" t="s">
        <v>2529</v>
      </c>
      <c r="D374" t="s">
        <v>13</v>
      </c>
      <c r="E374" t="s">
        <v>17</v>
      </c>
      <c r="F374" t="str">
        <f>VLOOKUP(Ramen_Ratings[[#This Row],[Country]],Country_Region[#All],2,FALSE)</f>
        <v>North America</v>
      </c>
      <c r="G374">
        <v>2.75</v>
      </c>
      <c r="H374" t="str" cm="1">
        <f t="array" ref="H374">_xlfn.IFS(Ramen_Ratings[[#This Row],[Stars]] = "Unrated", "NA",Ramen_Ratings[[#This Row],[Stars]]&gt;=4, "Good", Ramen_Ratings[[#This Row],[Stars]]&gt;2.5, "Fair", Ramen_Ratings[[#This Row],[Stars]] &gt;= 0, "Bad")</f>
        <v>Fair</v>
      </c>
      <c r="J374" t="str">
        <f>LEFT(Ramen_Ratings[[#This Row],[Top Ten]],4)</f>
        <v/>
      </c>
      <c r="K374" t="str">
        <f>IF(Ramen_Ratings[[#This Row],[Top Ten]]="", "",RIGHT(Ramen_Ratings[[#This Row],[Top Ten]],LEN(Ramen_Ratings[[#This Row],[Top Ten]])-6))</f>
        <v/>
      </c>
    </row>
    <row r="375" spans="1:11" x14ac:dyDescent="0.25">
      <c r="A375">
        <v>354</v>
      </c>
      <c r="B375" t="s">
        <v>102</v>
      </c>
      <c r="C375" t="s">
        <v>2531</v>
      </c>
      <c r="D375" t="s">
        <v>9</v>
      </c>
      <c r="E375" t="s">
        <v>17</v>
      </c>
      <c r="F375" t="str">
        <f>VLOOKUP(Ramen_Ratings[[#This Row],[Country]],Country_Region[#All],2,FALSE)</f>
        <v>North America</v>
      </c>
      <c r="G375">
        <v>3</v>
      </c>
      <c r="H375" t="str" cm="1">
        <f t="array" ref="H375">_xlfn.IFS(Ramen_Ratings[[#This Row],[Stars]] = "Unrated", "NA",Ramen_Ratings[[#This Row],[Stars]]&gt;=4, "Good", Ramen_Ratings[[#This Row],[Stars]]&gt;2.5, "Fair", Ramen_Ratings[[#This Row],[Stars]] &gt;= 0, "Bad")</f>
        <v>Fair</v>
      </c>
      <c r="J375" t="str">
        <f>LEFT(Ramen_Ratings[[#This Row],[Top Ten]],4)</f>
        <v/>
      </c>
      <c r="K375" t="str">
        <f>IF(Ramen_Ratings[[#This Row],[Top Ten]]="", "",RIGHT(Ramen_Ratings[[#This Row],[Top Ten]],LEN(Ramen_Ratings[[#This Row],[Top Ten]])-6))</f>
        <v/>
      </c>
    </row>
    <row r="376" spans="1:11" x14ac:dyDescent="0.25">
      <c r="A376">
        <v>353</v>
      </c>
      <c r="B376" t="s">
        <v>15</v>
      </c>
      <c r="C376" t="s">
        <v>2532</v>
      </c>
      <c r="D376" t="s">
        <v>13</v>
      </c>
      <c r="E376" t="s">
        <v>17</v>
      </c>
      <c r="F376" t="str">
        <f>VLOOKUP(Ramen_Ratings[[#This Row],[Country]],Country_Region[#All],2,FALSE)</f>
        <v>North America</v>
      </c>
      <c r="G376">
        <v>3.25</v>
      </c>
      <c r="H376" t="str" cm="1">
        <f t="array" ref="H376">_xlfn.IFS(Ramen_Ratings[[#This Row],[Stars]] = "Unrated", "NA",Ramen_Ratings[[#This Row],[Stars]]&gt;=4, "Good", Ramen_Ratings[[#This Row],[Stars]]&gt;2.5, "Fair", Ramen_Ratings[[#This Row],[Stars]] &gt;= 0, "Bad")</f>
        <v>Fair</v>
      </c>
      <c r="J376" t="str">
        <f>LEFT(Ramen_Ratings[[#This Row],[Top Ten]],4)</f>
        <v/>
      </c>
      <c r="K376" t="str">
        <f>IF(Ramen_Ratings[[#This Row],[Top Ten]]="", "",RIGHT(Ramen_Ratings[[#This Row],[Top Ten]],LEN(Ramen_Ratings[[#This Row],[Top Ten]])-6))</f>
        <v/>
      </c>
    </row>
    <row r="377" spans="1:11" x14ac:dyDescent="0.25">
      <c r="A377">
        <v>352</v>
      </c>
      <c r="B377" t="s">
        <v>102</v>
      </c>
      <c r="C377" t="s">
        <v>2533</v>
      </c>
      <c r="D377" t="s">
        <v>13</v>
      </c>
      <c r="E377" t="s">
        <v>17</v>
      </c>
      <c r="F377" t="str">
        <f>VLOOKUP(Ramen_Ratings[[#This Row],[Country]],Country_Region[#All],2,FALSE)</f>
        <v>North America</v>
      </c>
      <c r="G377">
        <v>2.75</v>
      </c>
      <c r="H377" t="str" cm="1">
        <f t="array" ref="H377">_xlfn.IFS(Ramen_Ratings[[#This Row],[Stars]] = "Unrated", "NA",Ramen_Ratings[[#This Row],[Stars]]&gt;=4, "Good", Ramen_Ratings[[#This Row],[Stars]]&gt;2.5, "Fair", Ramen_Ratings[[#This Row],[Stars]] &gt;= 0, "Bad")</f>
        <v>Fair</v>
      </c>
      <c r="J377" t="str">
        <f>LEFT(Ramen_Ratings[[#This Row],[Top Ten]],4)</f>
        <v/>
      </c>
      <c r="K377" t="str">
        <f>IF(Ramen_Ratings[[#This Row],[Top Ten]]="", "",RIGHT(Ramen_Ratings[[#This Row],[Top Ten]],LEN(Ramen_Ratings[[#This Row],[Top Ten]])-6))</f>
        <v/>
      </c>
    </row>
    <row r="378" spans="1:11" x14ac:dyDescent="0.25">
      <c r="A378">
        <v>351</v>
      </c>
      <c r="B378" t="s">
        <v>15</v>
      </c>
      <c r="C378" t="s">
        <v>2534</v>
      </c>
      <c r="D378" t="s">
        <v>13</v>
      </c>
      <c r="E378" t="s">
        <v>17</v>
      </c>
      <c r="F378" t="str">
        <f>VLOOKUP(Ramen_Ratings[[#This Row],[Country]],Country_Region[#All],2,FALSE)</f>
        <v>North America</v>
      </c>
      <c r="G378">
        <v>3</v>
      </c>
      <c r="H378" t="str" cm="1">
        <f t="array" ref="H378">_xlfn.IFS(Ramen_Ratings[[#This Row],[Stars]] = "Unrated", "NA",Ramen_Ratings[[#This Row],[Stars]]&gt;=4, "Good", Ramen_Ratings[[#This Row],[Stars]]&gt;2.5, "Fair", Ramen_Ratings[[#This Row],[Stars]] &gt;= 0, "Bad")</f>
        <v>Fair</v>
      </c>
      <c r="J378" t="str">
        <f>LEFT(Ramen_Ratings[[#This Row],[Top Ten]],4)</f>
        <v/>
      </c>
      <c r="K378" t="str">
        <f>IF(Ramen_Ratings[[#This Row],[Top Ten]]="", "",RIGHT(Ramen_Ratings[[#This Row],[Top Ten]],LEN(Ramen_Ratings[[#This Row],[Top Ten]])-6))</f>
        <v/>
      </c>
    </row>
    <row r="379" spans="1:11" x14ac:dyDescent="0.25">
      <c r="A379">
        <v>350</v>
      </c>
      <c r="B379" t="s">
        <v>15</v>
      </c>
      <c r="C379" t="s">
        <v>2535</v>
      </c>
      <c r="D379" t="s">
        <v>44</v>
      </c>
      <c r="E379" t="s">
        <v>17</v>
      </c>
      <c r="F379" t="str">
        <f>VLOOKUP(Ramen_Ratings[[#This Row],[Country]],Country_Region[#All],2,FALSE)</f>
        <v>North America</v>
      </c>
      <c r="G379">
        <v>3.5</v>
      </c>
      <c r="H379" t="str" cm="1">
        <f t="array" ref="H379">_xlfn.IFS(Ramen_Ratings[[#This Row],[Stars]] = "Unrated", "NA",Ramen_Ratings[[#This Row],[Stars]]&gt;=4, "Good", Ramen_Ratings[[#This Row],[Stars]]&gt;2.5, "Fair", Ramen_Ratings[[#This Row],[Stars]] &gt;= 0, "Bad")</f>
        <v>Fair</v>
      </c>
      <c r="J379" t="str">
        <f>LEFT(Ramen_Ratings[[#This Row],[Top Ten]],4)</f>
        <v/>
      </c>
      <c r="K379" t="str">
        <f>IF(Ramen_Ratings[[#This Row],[Top Ten]]="", "",RIGHT(Ramen_Ratings[[#This Row],[Top Ten]],LEN(Ramen_Ratings[[#This Row],[Top Ten]])-6))</f>
        <v/>
      </c>
    </row>
    <row r="380" spans="1:11" x14ac:dyDescent="0.25">
      <c r="A380">
        <v>338</v>
      </c>
      <c r="B380" t="s">
        <v>15</v>
      </c>
      <c r="C380" t="s">
        <v>2547</v>
      </c>
      <c r="D380" t="s">
        <v>9</v>
      </c>
      <c r="E380" t="s">
        <v>17</v>
      </c>
      <c r="F380" t="str">
        <f>VLOOKUP(Ramen_Ratings[[#This Row],[Country]],Country_Region[#All],2,FALSE)</f>
        <v>North America</v>
      </c>
      <c r="G380">
        <v>2.25</v>
      </c>
      <c r="H380" t="str" cm="1">
        <f t="array" ref="H380">_xlfn.IFS(Ramen_Ratings[[#This Row],[Stars]] = "Unrated", "NA",Ramen_Ratings[[#This Row],[Stars]]&gt;=4, "Good", Ramen_Ratings[[#This Row],[Stars]]&gt;2.5, "Fair", Ramen_Ratings[[#This Row],[Stars]] &gt;= 0, "Bad")</f>
        <v>Bad</v>
      </c>
      <c r="J380" t="str">
        <f>LEFT(Ramen_Ratings[[#This Row],[Top Ten]],4)</f>
        <v/>
      </c>
      <c r="K380" t="str">
        <f>IF(Ramen_Ratings[[#This Row],[Top Ten]]="", "",RIGHT(Ramen_Ratings[[#This Row],[Top Ten]],LEN(Ramen_Ratings[[#This Row],[Top Ten]])-6))</f>
        <v/>
      </c>
    </row>
    <row r="381" spans="1:11" x14ac:dyDescent="0.25">
      <c r="A381">
        <v>337</v>
      </c>
      <c r="B381" t="s">
        <v>102</v>
      </c>
      <c r="C381" t="s">
        <v>2548</v>
      </c>
      <c r="D381" t="s">
        <v>13</v>
      </c>
      <c r="E381" t="s">
        <v>17</v>
      </c>
      <c r="F381" t="str">
        <f>VLOOKUP(Ramen_Ratings[[#This Row],[Country]],Country_Region[#All],2,FALSE)</f>
        <v>North America</v>
      </c>
      <c r="G381">
        <v>5</v>
      </c>
      <c r="H381" t="str" cm="1">
        <f t="array" ref="H381">_xlfn.IFS(Ramen_Ratings[[#This Row],[Stars]] = "Unrated", "NA",Ramen_Ratings[[#This Row],[Stars]]&gt;=4, "Good", Ramen_Ratings[[#This Row],[Stars]]&gt;2.5, "Fair", Ramen_Ratings[[#This Row],[Stars]] &gt;= 0, "Bad")</f>
        <v>Good</v>
      </c>
      <c r="J381" t="str">
        <f>LEFT(Ramen_Ratings[[#This Row],[Top Ten]],4)</f>
        <v/>
      </c>
      <c r="K381" t="str">
        <f>IF(Ramen_Ratings[[#This Row],[Top Ten]]="", "",RIGHT(Ramen_Ratings[[#This Row],[Top Ten]],LEN(Ramen_Ratings[[#This Row],[Top Ten]])-6))</f>
        <v/>
      </c>
    </row>
    <row r="382" spans="1:11" x14ac:dyDescent="0.25">
      <c r="A382">
        <v>334</v>
      </c>
      <c r="B382" t="s">
        <v>15</v>
      </c>
      <c r="C382" t="s">
        <v>2551</v>
      </c>
      <c r="D382" t="s">
        <v>9</v>
      </c>
      <c r="E382" t="s">
        <v>17</v>
      </c>
      <c r="F382" t="str">
        <f>VLOOKUP(Ramen_Ratings[[#This Row],[Country]],Country_Region[#All],2,FALSE)</f>
        <v>North America</v>
      </c>
      <c r="G382">
        <v>2.125</v>
      </c>
      <c r="H382" t="str" cm="1">
        <f t="array" ref="H382">_xlfn.IFS(Ramen_Ratings[[#This Row],[Stars]] = "Unrated", "NA",Ramen_Ratings[[#This Row],[Stars]]&gt;=4, "Good", Ramen_Ratings[[#This Row],[Stars]]&gt;2.5, "Fair", Ramen_Ratings[[#This Row],[Stars]] &gt;= 0, "Bad")</f>
        <v>Bad</v>
      </c>
      <c r="J382" t="str">
        <f>LEFT(Ramen_Ratings[[#This Row],[Top Ten]],4)</f>
        <v/>
      </c>
      <c r="K382" t="str">
        <f>IF(Ramen_Ratings[[#This Row],[Top Ten]]="", "",RIGHT(Ramen_Ratings[[#This Row],[Top Ten]],LEN(Ramen_Ratings[[#This Row],[Top Ten]])-6))</f>
        <v/>
      </c>
    </row>
    <row r="383" spans="1:11" x14ac:dyDescent="0.25">
      <c r="A383">
        <v>333</v>
      </c>
      <c r="B383" t="s">
        <v>15</v>
      </c>
      <c r="C383" t="s">
        <v>2552</v>
      </c>
      <c r="D383" t="s">
        <v>9</v>
      </c>
      <c r="E383" t="s">
        <v>17</v>
      </c>
      <c r="F383" t="str">
        <f>VLOOKUP(Ramen_Ratings[[#This Row],[Country]],Country_Region[#All],2,FALSE)</f>
        <v>North America</v>
      </c>
      <c r="G383">
        <v>2.25</v>
      </c>
      <c r="H383" t="str" cm="1">
        <f t="array" ref="H383">_xlfn.IFS(Ramen_Ratings[[#This Row],[Stars]] = "Unrated", "NA",Ramen_Ratings[[#This Row],[Stars]]&gt;=4, "Good", Ramen_Ratings[[#This Row],[Stars]]&gt;2.5, "Fair", Ramen_Ratings[[#This Row],[Stars]] &gt;= 0, "Bad")</f>
        <v>Bad</v>
      </c>
      <c r="J383" t="str">
        <f>LEFT(Ramen_Ratings[[#This Row],[Top Ten]],4)</f>
        <v/>
      </c>
      <c r="K383" t="str">
        <f>IF(Ramen_Ratings[[#This Row],[Top Ten]]="", "",RIGHT(Ramen_Ratings[[#This Row],[Top Ten]],LEN(Ramen_Ratings[[#This Row],[Top Ten]])-6))</f>
        <v/>
      </c>
    </row>
    <row r="384" spans="1:11" x14ac:dyDescent="0.25">
      <c r="A384">
        <v>320</v>
      </c>
      <c r="B384" t="s">
        <v>102</v>
      </c>
      <c r="C384" t="s">
        <v>2563</v>
      </c>
      <c r="D384" t="s">
        <v>13</v>
      </c>
      <c r="E384" t="s">
        <v>17</v>
      </c>
      <c r="F384" t="str">
        <f>VLOOKUP(Ramen_Ratings[[#This Row],[Country]],Country_Region[#All],2,FALSE)</f>
        <v>North America</v>
      </c>
      <c r="G384">
        <v>4</v>
      </c>
      <c r="H384" t="str" cm="1">
        <f t="array" ref="H384">_xlfn.IFS(Ramen_Ratings[[#This Row],[Stars]] = "Unrated", "NA",Ramen_Ratings[[#This Row],[Stars]]&gt;=4, "Good", Ramen_Ratings[[#This Row],[Stars]]&gt;2.5, "Fair", Ramen_Ratings[[#This Row],[Stars]] &gt;= 0, "Bad")</f>
        <v>Good</v>
      </c>
      <c r="J384" t="str">
        <f>LEFT(Ramen_Ratings[[#This Row],[Top Ten]],4)</f>
        <v/>
      </c>
      <c r="K384" t="str">
        <f>IF(Ramen_Ratings[[#This Row],[Top Ten]]="", "",RIGHT(Ramen_Ratings[[#This Row],[Top Ten]],LEN(Ramen_Ratings[[#This Row],[Top Ten]])-6))</f>
        <v/>
      </c>
    </row>
    <row r="385" spans="1:11" x14ac:dyDescent="0.25">
      <c r="A385">
        <v>319</v>
      </c>
      <c r="B385" t="s">
        <v>102</v>
      </c>
      <c r="C385" t="s">
        <v>2564</v>
      </c>
      <c r="D385" t="s">
        <v>13</v>
      </c>
      <c r="E385" t="s">
        <v>17</v>
      </c>
      <c r="F385" t="str">
        <f>VLOOKUP(Ramen_Ratings[[#This Row],[Country]],Country_Region[#All],2,FALSE)</f>
        <v>North America</v>
      </c>
      <c r="G385">
        <v>3.75</v>
      </c>
      <c r="H385" t="str" cm="1">
        <f t="array" ref="H385">_xlfn.IFS(Ramen_Ratings[[#This Row],[Stars]] = "Unrated", "NA",Ramen_Ratings[[#This Row],[Stars]]&gt;=4, "Good", Ramen_Ratings[[#This Row],[Stars]]&gt;2.5, "Fair", Ramen_Ratings[[#This Row],[Stars]] &gt;= 0, "Bad")</f>
        <v>Fair</v>
      </c>
      <c r="J385" t="str">
        <f>LEFT(Ramen_Ratings[[#This Row],[Top Ten]],4)</f>
        <v/>
      </c>
      <c r="K385" t="str">
        <f>IF(Ramen_Ratings[[#This Row],[Top Ten]]="", "",RIGHT(Ramen_Ratings[[#This Row],[Top Ten]],LEN(Ramen_Ratings[[#This Row],[Top Ten]])-6))</f>
        <v/>
      </c>
    </row>
    <row r="386" spans="1:11" x14ac:dyDescent="0.25">
      <c r="A386">
        <v>317</v>
      </c>
      <c r="B386" t="s">
        <v>102</v>
      </c>
      <c r="C386" t="s">
        <v>2566</v>
      </c>
      <c r="D386" t="s">
        <v>30</v>
      </c>
      <c r="E386" t="s">
        <v>17</v>
      </c>
      <c r="F386" t="str">
        <f>VLOOKUP(Ramen_Ratings[[#This Row],[Country]],Country_Region[#All],2,FALSE)</f>
        <v>North America</v>
      </c>
      <c r="G386">
        <v>4</v>
      </c>
      <c r="H386" t="str" cm="1">
        <f t="array" ref="H386">_xlfn.IFS(Ramen_Ratings[[#This Row],[Stars]] = "Unrated", "NA",Ramen_Ratings[[#This Row],[Stars]]&gt;=4, "Good", Ramen_Ratings[[#This Row],[Stars]]&gt;2.5, "Fair", Ramen_Ratings[[#This Row],[Stars]] &gt;= 0, "Bad")</f>
        <v>Good</v>
      </c>
      <c r="J386" t="str">
        <f>LEFT(Ramen_Ratings[[#This Row],[Top Ten]],4)</f>
        <v/>
      </c>
      <c r="K386" t="str">
        <f>IF(Ramen_Ratings[[#This Row],[Top Ten]]="", "",RIGHT(Ramen_Ratings[[#This Row],[Top Ten]],LEN(Ramen_Ratings[[#This Row],[Top Ten]])-6))</f>
        <v/>
      </c>
    </row>
    <row r="387" spans="1:11" x14ac:dyDescent="0.25">
      <c r="A387">
        <v>308</v>
      </c>
      <c r="B387" t="s">
        <v>1848</v>
      </c>
      <c r="C387" t="s">
        <v>2021</v>
      </c>
      <c r="D387" t="s">
        <v>13</v>
      </c>
      <c r="E387" t="s">
        <v>17</v>
      </c>
      <c r="F387" t="str">
        <f>VLOOKUP(Ramen_Ratings[[#This Row],[Country]],Country_Region[#All],2,FALSE)</f>
        <v>North America</v>
      </c>
      <c r="G387">
        <v>3.75</v>
      </c>
      <c r="H387" t="str" cm="1">
        <f t="array" ref="H387">_xlfn.IFS(Ramen_Ratings[[#This Row],[Stars]] = "Unrated", "NA",Ramen_Ratings[[#This Row],[Stars]]&gt;=4, "Good", Ramen_Ratings[[#This Row],[Stars]]&gt;2.5, "Fair", Ramen_Ratings[[#This Row],[Stars]] &gt;= 0, "Bad")</f>
        <v>Fair</v>
      </c>
      <c r="J387" t="str">
        <f>LEFT(Ramen_Ratings[[#This Row],[Top Ten]],4)</f>
        <v/>
      </c>
      <c r="K387" t="str">
        <f>IF(Ramen_Ratings[[#This Row],[Top Ten]]="", "",RIGHT(Ramen_Ratings[[#This Row],[Top Ten]],LEN(Ramen_Ratings[[#This Row],[Top Ten]])-6))</f>
        <v/>
      </c>
    </row>
    <row r="388" spans="1:11" x14ac:dyDescent="0.25">
      <c r="A388">
        <v>278</v>
      </c>
      <c r="B388" t="s">
        <v>817</v>
      </c>
      <c r="C388" t="s">
        <v>2602</v>
      </c>
      <c r="D388" t="s">
        <v>13</v>
      </c>
      <c r="E388" t="s">
        <v>17</v>
      </c>
      <c r="F388" t="str">
        <f>VLOOKUP(Ramen_Ratings[[#This Row],[Country]],Country_Region[#All],2,FALSE)</f>
        <v>North America</v>
      </c>
      <c r="G388">
        <v>3</v>
      </c>
      <c r="H388" t="str" cm="1">
        <f t="array" ref="H388">_xlfn.IFS(Ramen_Ratings[[#This Row],[Stars]] = "Unrated", "NA",Ramen_Ratings[[#This Row],[Stars]]&gt;=4, "Good", Ramen_Ratings[[#This Row],[Stars]]&gt;2.5, "Fair", Ramen_Ratings[[#This Row],[Stars]] &gt;= 0, "Bad")</f>
        <v>Fair</v>
      </c>
      <c r="J388" t="str">
        <f>LEFT(Ramen_Ratings[[#This Row],[Top Ten]],4)</f>
        <v/>
      </c>
      <c r="K388" t="str">
        <f>IF(Ramen_Ratings[[#This Row],[Top Ten]]="", "",RIGHT(Ramen_Ratings[[#This Row],[Top Ten]],LEN(Ramen_Ratings[[#This Row],[Top Ten]])-6))</f>
        <v/>
      </c>
    </row>
    <row r="389" spans="1:11" x14ac:dyDescent="0.25">
      <c r="A389">
        <v>268</v>
      </c>
      <c r="B389" t="s">
        <v>15</v>
      </c>
      <c r="C389" t="s">
        <v>2612</v>
      </c>
      <c r="D389" t="s">
        <v>9</v>
      </c>
      <c r="E389" t="s">
        <v>17</v>
      </c>
      <c r="F389" t="str">
        <f>VLOOKUP(Ramen_Ratings[[#This Row],[Country]],Country_Region[#All],2,FALSE)</f>
        <v>North America</v>
      </c>
      <c r="G389">
        <v>3.5</v>
      </c>
      <c r="H389" t="str" cm="1">
        <f t="array" ref="H389">_xlfn.IFS(Ramen_Ratings[[#This Row],[Stars]] = "Unrated", "NA",Ramen_Ratings[[#This Row],[Stars]]&gt;=4, "Good", Ramen_Ratings[[#This Row],[Stars]]&gt;2.5, "Fair", Ramen_Ratings[[#This Row],[Stars]] &gt;= 0, "Bad")</f>
        <v>Fair</v>
      </c>
      <c r="J389" t="str">
        <f>LEFT(Ramen_Ratings[[#This Row],[Top Ten]],4)</f>
        <v/>
      </c>
      <c r="K389" t="str">
        <f>IF(Ramen_Ratings[[#This Row],[Top Ten]]="", "",RIGHT(Ramen_Ratings[[#This Row],[Top Ten]],LEN(Ramen_Ratings[[#This Row],[Top Ten]])-6))</f>
        <v/>
      </c>
    </row>
    <row r="390" spans="1:11" x14ac:dyDescent="0.25">
      <c r="A390">
        <v>265</v>
      </c>
      <c r="B390" t="s">
        <v>15</v>
      </c>
      <c r="C390" t="s">
        <v>2615</v>
      </c>
      <c r="D390" t="s">
        <v>9</v>
      </c>
      <c r="E390" t="s">
        <v>17</v>
      </c>
      <c r="F390" t="str">
        <f>VLOOKUP(Ramen_Ratings[[#This Row],[Country]],Country_Region[#All],2,FALSE)</f>
        <v>North America</v>
      </c>
      <c r="G390">
        <v>3.5</v>
      </c>
      <c r="H390" t="str" cm="1">
        <f t="array" ref="H390">_xlfn.IFS(Ramen_Ratings[[#This Row],[Stars]] = "Unrated", "NA",Ramen_Ratings[[#This Row],[Stars]]&gt;=4, "Good", Ramen_Ratings[[#This Row],[Stars]]&gt;2.5, "Fair", Ramen_Ratings[[#This Row],[Stars]] &gt;= 0, "Bad")</f>
        <v>Fair</v>
      </c>
      <c r="J390" t="str">
        <f>LEFT(Ramen_Ratings[[#This Row],[Top Ten]],4)</f>
        <v/>
      </c>
      <c r="K390" t="str">
        <f>IF(Ramen_Ratings[[#This Row],[Top Ten]]="", "",RIGHT(Ramen_Ratings[[#This Row],[Top Ten]],LEN(Ramen_Ratings[[#This Row],[Top Ten]])-6))</f>
        <v/>
      </c>
    </row>
    <row r="391" spans="1:11" x14ac:dyDescent="0.25">
      <c r="A391">
        <v>263</v>
      </c>
      <c r="B391" t="s">
        <v>15</v>
      </c>
      <c r="C391" t="s">
        <v>2617</v>
      </c>
      <c r="D391" t="s">
        <v>30</v>
      </c>
      <c r="E391" t="s">
        <v>17</v>
      </c>
      <c r="F391" t="str">
        <f>VLOOKUP(Ramen_Ratings[[#This Row],[Country]],Country_Region[#All],2,FALSE)</f>
        <v>North America</v>
      </c>
      <c r="G391">
        <v>1.5</v>
      </c>
      <c r="H391" t="str" cm="1">
        <f t="array" ref="H391">_xlfn.IFS(Ramen_Ratings[[#This Row],[Stars]] = "Unrated", "NA",Ramen_Ratings[[#This Row],[Stars]]&gt;=4, "Good", Ramen_Ratings[[#This Row],[Stars]]&gt;2.5, "Fair", Ramen_Ratings[[#This Row],[Stars]] &gt;= 0, "Bad")</f>
        <v>Bad</v>
      </c>
      <c r="J391" t="str">
        <f>LEFT(Ramen_Ratings[[#This Row],[Top Ten]],4)</f>
        <v/>
      </c>
      <c r="K391" t="str">
        <f>IF(Ramen_Ratings[[#This Row],[Top Ten]]="", "",RIGHT(Ramen_Ratings[[#This Row],[Top Ten]],LEN(Ramen_Ratings[[#This Row],[Top Ten]])-6))</f>
        <v/>
      </c>
    </row>
    <row r="392" spans="1:11" x14ac:dyDescent="0.25">
      <c r="A392">
        <v>260</v>
      </c>
      <c r="B392" t="s">
        <v>15</v>
      </c>
      <c r="C392" t="s">
        <v>2620</v>
      </c>
      <c r="D392" t="s">
        <v>44</v>
      </c>
      <c r="E392" t="s">
        <v>17</v>
      </c>
      <c r="F392" t="str">
        <f>VLOOKUP(Ramen_Ratings[[#This Row],[Country]],Country_Region[#All],2,FALSE)</f>
        <v>North America</v>
      </c>
      <c r="G392">
        <v>3.5</v>
      </c>
      <c r="H392" t="str" cm="1">
        <f t="array" ref="H392">_xlfn.IFS(Ramen_Ratings[[#This Row],[Stars]] = "Unrated", "NA",Ramen_Ratings[[#This Row],[Stars]]&gt;=4, "Good", Ramen_Ratings[[#This Row],[Stars]]&gt;2.5, "Fair", Ramen_Ratings[[#This Row],[Stars]] &gt;= 0, "Bad")</f>
        <v>Fair</v>
      </c>
      <c r="J392" t="str">
        <f>LEFT(Ramen_Ratings[[#This Row],[Top Ten]],4)</f>
        <v/>
      </c>
      <c r="K392" t="str">
        <f>IF(Ramen_Ratings[[#This Row],[Top Ten]]="", "",RIGHT(Ramen_Ratings[[#This Row],[Top Ten]],LEN(Ramen_Ratings[[#This Row],[Top Ten]])-6))</f>
        <v/>
      </c>
    </row>
    <row r="393" spans="1:11" x14ac:dyDescent="0.25">
      <c r="A393">
        <v>257</v>
      </c>
      <c r="B393" t="s">
        <v>15</v>
      </c>
      <c r="C393" t="s">
        <v>2623</v>
      </c>
      <c r="D393" t="s">
        <v>9</v>
      </c>
      <c r="E393" t="s">
        <v>17</v>
      </c>
      <c r="F393" t="str">
        <f>VLOOKUP(Ramen_Ratings[[#This Row],[Country]],Country_Region[#All],2,FALSE)</f>
        <v>North America</v>
      </c>
      <c r="G393">
        <v>3.5</v>
      </c>
      <c r="H393" t="str" cm="1">
        <f t="array" ref="H393">_xlfn.IFS(Ramen_Ratings[[#This Row],[Stars]] = "Unrated", "NA",Ramen_Ratings[[#This Row],[Stars]]&gt;=4, "Good", Ramen_Ratings[[#This Row],[Stars]]&gt;2.5, "Fair", Ramen_Ratings[[#This Row],[Stars]] &gt;= 0, "Bad")</f>
        <v>Fair</v>
      </c>
      <c r="J393" t="str">
        <f>LEFT(Ramen_Ratings[[#This Row],[Top Ten]],4)</f>
        <v/>
      </c>
      <c r="K393" t="str">
        <f>IF(Ramen_Ratings[[#This Row],[Top Ten]]="", "",RIGHT(Ramen_Ratings[[#This Row],[Top Ten]],LEN(Ramen_Ratings[[#This Row],[Top Ten]])-6))</f>
        <v/>
      </c>
    </row>
    <row r="394" spans="1:11" x14ac:dyDescent="0.25">
      <c r="A394">
        <v>256</v>
      </c>
      <c r="B394" t="s">
        <v>15</v>
      </c>
      <c r="C394" t="s">
        <v>2624</v>
      </c>
      <c r="D394" t="s">
        <v>9</v>
      </c>
      <c r="E394" t="s">
        <v>17</v>
      </c>
      <c r="F394" t="str">
        <f>VLOOKUP(Ramen_Ratings[[#This Row],[Country]],Country_Region[#All],2,FALSE)</f>
        <v>North America</v>
      </c>
      <c r="G394">
        <v>3.5</v>
      </c>
      <c r="H394" t="str" cm="1">
        <f t="array" ref="H394">_xlfn.IFS(Ramen_Ratings[[#This Row],[Stars]] = "Unrated", "NA",Ramen_Ratings[[#This Row],[Stars]]&gt;=4, "Good", Ramen_Ratings[[#This Row],[Stars]]&gt;2.5, "Fair", Ramen_Ratings[[#This Row],[Stars]] &gt;= 0, "Bad")</f>
        <v>Fair</v>
      </c>
      <c r="J394" t="str">
        <f>LEFT(Ramen_Ratings[[#This Row],[Top Ten]],4)</f>
        <v/>
      </c>
      <c r="K394" t="str">
        <f>IF(Ramen_Ratings[[#This Row],[Top Ten]]="", "",RIGHT(Ramen_Ratings[[#This Row],[Top Ten]],LEN(Ramen_Ratings[[#This Row],[Top Ten]])-6))</f>
        <v/>
      </c>
    </row>
    <row r="395" spans="1:11" x14ac:dyDescent="0.25">
      <c r="A395">
        <v>253</v>
      </c>
      <c r="B395" t="s">
        <v>41</v>
      </c>
      <c r="C395" t="s">
        <v>2627</v>
      </c>
      <c r="D395" t="s">
        <v>44</v>
      </c>
      <c r="E395" t="s">
        <v>17</v>
      </c>
      <c r="F395" t="str">
        <f>VLOOKUP(Ramen_Ratings[[#This Row],[Country]],Country_Region[#All],2,FALSE)</f>
        <v>North America</v>
      </c>
      <c r="G395">
        <v>4.25</v>
      </c>
      <c r="H395" t="str" cm="1">
        <f t="array" ref="H395">_xlfn.IFS(Ramen_Ratings[[#This Row],[Stars]] = "Unrated", "NA",Ramen_Ratings[[#This Row],[Stars]]&gt;=4, "Good", Ramen_Ratings[[#This Row],[Stars]]&gt;2.5, "Fair", Ramen_Ratings[[#This Row],[Stars]] &gt;= 0, "Bad")</f>
        <v>Good</v>
      </c>
      <c r="J395" t="str">
        <f>LEFT(Ramen_Ratings[[#This Row],[Top Ten]],4)</f>
        <v/>
      </c>
      <c r="K395" t="str">
        <f>IF(Ramen_Ratings[[#This Row],[Top Ten]]="", "",RIGHT(Ramen_Ratings[[#This Row],[Top Ten]],LEN(Ramen_Ratings[[#This Row],[Top Ten]])-6))</f>
        <v/>
      </c>
    </row>
    <row r="396" spans="1:11" x14ac:dyDescent="0.25">
      <c r="A396">
        <v>252</v>
      </c>
      <c r="B396" t="s">
        <v>817</v>
      </c>
      <c r="C396" t="s">
        <v>2628</v>
      </c>
      <c r="D396" t="s">
        <v>13</v>
      </c>
      <c r="E396" t="s">
        <v>17</v>
      </c>
      <c r="F396" t="str">
        <f>VLOOKUP(Ramen_Ratings[[#This Row],[Country]],Country_Region[#All],2,FALSE)</f>
        <v>North America</v>
      </c>
      <c r="G396">
        <v>3.25</v>
      </c>
      <c r="H396" t="str" cm="1">
        <f t="array" ref="H396">_xlfn.IFS(Ramen_Ratings[[#This Row],[Stars]] = "Unrated", "NA",Ramen_Ratings[[#This Row],[Stars]]&gt;=4, "Good", Ramen_Ratings[[#This Row],[Stars]]&gt;2.5, "Fair", Ramen_Ratings[[#This Row],[Stars]] &gt;= 0, "Bad")</f>
        <v>Fair</v>
      </c>
      <c r="J396" t="str">
        <f>LEFT(Ramen_Ratings[[#This Row],[Top Ten]],4)</f>
        <v/>
      </c>
      <c r="K396" t="str">
        <f>IF(Ramen_Ratings[[#This Row],[Top Ten]]="", "",RIGHT(Ramen_Ratings[[#This Row],[Top Ten]],LEN(Ramen_Ratings[[#This Row],[Top Ten]])-6))</f>
        <v/>
      </c>
    </row>
    <row r="397" spans="1:11" x14ac:dyDescent="0.25">
      <c r="A397">
        <v>251</v>
      </c>
      <c r="B397" t="s">
        <v>817</v>
      </c>
      <c r="C397" t="s">
        <v>2629</v>
      </c>
      <c r="D397" t="s">
        <v>13</v>
      </c>
      <c r="E397" t="s">
        <v>17</v>
      </c>
      <c r="F397" t="str">
        <f>VLOOKUP(Ramen_Ratings[[#This Row],[Country]],Country_Region[#All],2,FALSE)</f>
        <v>North America</v>
      </c>
      <c r="G397">
        <v>3.5</v>
      </c>
      <c r="H397" t="str" cm="1">
        <f t="array" ref="H397">_xlfn.IFS(Ramen_Ratings[[#This Row],[Stars]] = "Unrated", "NA",Ramen_Ratings[[#This Row],[Stars]]&gt;=4, "Good", Ramen_Ratings[[#This Row],[Stars]]&gt;2.5, "Fair", Ramen_Ratings[[#This Row],[Stars]] &gt;= 0, "Bad")</f>
        <v>Fair</v>
      </c>
      <c r="J397" t="str">
        <f>LEFT(Ramen_Ratings[[#This Row],[Top Ten]],4)</f>
        <v/>
      </c>
      <c r="K397" t="str">
        <f>IF(Ramen_Ratings[[#This Row],[Top Ten]]="", "",RIGHT(Ramen_Ratings[[#This Row],[Top Ten]],LEN(Ramen_Ratings[[#This Row],[Top Ten]])-6))</f>
        <v/>
      </c>
    </row>
    <row r="398" spans="1:11" x14ac:dyDescent="0.25">
      <c r="A398">
        <v>241</v>
      </c>
      <c r="B398" t="s">
        <v>2638</v>
      </c>
      <c r="C398" t="s">
        <v>2550</v>
      </c>
      <c r="D398" t="s">
        <v>30</v>
      </c>
      <c r="E398" t="s">
        <v>17</v>
      </c>
      <c r="F398" t="str">
        <f>VLOOKUP(Ramen_Ratings[[#This Row],[Country]],Country_Region[#All],2,FALSE)</f>
        <v>North America</v>
      </c>
      <c r="G398">
        <v>4</v>
      </c>
      <c r="H398" t="str" cm="1">
        <f t="array" ref="H398">_xlfn.IFS(Ramen_Ratings[[#This Row],[Stars]] = "Unrated", "NA",Ramen_Ratings[[#This Row],[Stars]]&gt;=4, "Good", Ramen_Ratings[[#This Row],[Stars]]&gt;2.5, "Fair", Ramen_Ratings[[#This Row],[Stars]] &gt;= 0, "Bad")</f>
        <v>Good</v>
      </c>
      <c r="J398" t="str">
        <f>LEFT(Ramen_Ratings[[#This Row],[Top Ten]],4)</f>
        <v/>
      </c>
      <c r="K398" t="str">
        <f>IF(Ramen_Ratings[[#This Row],[Top Ten]]="", "",RIGHT(Ramen_Ratings[[#This Row],[Top Ten]],LEN(Ramen_Ratings[[#This Row],[Top Ten]])-6))</f>
        <v/>
      </c>
    </row>
    <row r="399" spans="1:11" x14ac:dyDescent="0.25">
      <c r="A399">
        <v>238</v>
      </c>
      <c r="B399" t="s">
        <v>15</v>
      </c>
      <c r="C399" t="s">
        <v>2642</v>
      </c>
      <c r="D399" t="s">
        <v>44</v>
      </c>
      <c r="E399" t="s">
        <v>17</v>
      </c>
      <c r="F399" t="str">
        <f>VLOOKUP(Ramen_Ratings[[#This Row],[Country]],Country_Region[#All],2,FALSE)</f>
        <v>North America</v>
      </c>
      <c r="G399">
        <v>4</v>
      </c>
      <c r="H399" t="str" cm="1">
        <f t="array" ref="H399">_xlfn.IFS(Ramen_Ratings[[#This Row],[Stars]] = "Unrated", "NA",Ramen_Ratings[[#This Row],[Stars]]&gt;=4, "Good", Ramen_Ratings[[#This Row],[Stars]]&gt;2.5, "Fair", Ramen_Ratings[[#This Row],[Stars]] &gt;= 0, "Bad")</f>
        <v>Good</v>
      </c>
      <c r="J399" t="str">
        <f>LEFT(Ramen_Ratings[[#This Row],[Top Ten]],4)</f>
        <v/>
      </c>
      <c r="K399" t="str">
        <f>IF(Ramen_Ratings[[#This Row],[Top Ten]]="", "",RIGHT(Ramen_Ratings[[#This Row],[Top Ten]],LEN(Ramen_Ratings[[#This Row],[Top Ten]])-6))</f>
        <v/>
      </c>
    </row>
    <row r="400" spans="1:11" x14ac:dyDescent="0.25">
      <c r="A400">
        <v>226</v>
      </c>
      <c r="B400" t="s">
        <v>15</v>
      </c>
      <c r="C400" t="s">
        <v>2652</v>
      </c>
      <c r="D400" t="s">
        <v>30</v>
      </c>
      <c r="E400" t="s">
        <v>17</v>
      </c>
      <c r="F400" t="str">
        <f>VLOOKUP(Ramen_Ratings[[#This Row],[Country]],Country_Region[#All],2,FALSE)</f>
        <v>North America</v>
      </c>
      <c r="G400">
        <v>4</v>
      </c>
      <c r="H400" t="str" cm="1">
        <f t="array" ref="H400">_xlfn.IFS(Ramen_Ratings[[#This Row],[Stars]] = "Unrated", "NA",Ramen_Ratings[[#This Row],[Stars]]&gt;=4, "Good", Ramen_Ratings[[#This Row],[Stars]]&gt;2.5, "Fair", Ramen_Ratings[[#This Row],[Stars]] &gt;= 0, "Bad")</f>
        <v>Good</v>
      </c>
      <c r="J400" t="str">
        <f>LEFT(Ramen_Ratings[[#This Row],[Top Ten]],4)</f>
        <v/>
      </c>
      <c r="K400" t="str">
        <f>IF(Ramen_Ratings[[#This Row],[Top Ten]]="", "",RIGHT(Ramen_Ratings[[#This Row],[Top Ten]],LEN(Ramen_Ratings[[#This Row],[Top Ten]])-6))</f>
        <v/>
      </c>
    </row>
    <row r="401" spans="1:11" x14ac:dyDescent="0.25">
      <c r="A401">
        <v>221</v>
      </c>
      <c r="B401" t="s">
        <v>15</v>
      </c>
      <c r="C401" t="s">
        <v>2655</v>
      </c>
      <c r="D401" t="s">
        <v>13</v>
      </c>
      <c r="E401" t="s">
        <v>17</v>
      </c>
      <c r="F401" t="str">
        <f>VLOOKUP(Ramen_Ratings[[#This Row],[Country]],Country_Region[#All],2,FALSE)</f>
        <v>North America</v>
      </c>
      <c r="G401">
        <v>3.75</v>
      </c>
      <c r="H401" t="str" cm="1">
        <f t="array" ref="H401">_xlfn.IFS(Ramen_Ratings[[#This Row],[Stars]] = "Unrated", "NA",Ramen_Ratings[[#This Row],[Stars]]&gt;=4, "Good", Ramen_Ratings[[#This Row],[Stars]]&gt;2.5, "Fair", Ramen_Ratings[[#This Row],[Stars]] &gt;= 0, "Bad")</f>
        <v>Fair</v>
      </c>
      <c r="J401" t="str">
        <f>LEFT(Ramen_Ratings[[#This Row],[Top Ten]],4)</f>
        <v/>
      </c>
      <c r="K401" t="str">
        <f>IF(Ramen_Ratings[[#This Row],[Top Ten]]="", "",RIGHT(Ramen_Ratings[[#This Row],[Top Ten]],LEN(Ramen_Ratings[[#This Row],[Top Ten]])-6))</f>
        <v/>
      </c>
    </row>
    <row r="402" spans="1:11" x14ac:dyDescent="0.25">
      <c r="A402">
        <v>218</v>
      </c>
      <c r="B402" t="s">
        <v>102</v>
      </c>
      <c r="C402" t="s">
        <v>2658</v>
      </c>
      <c r="D402" t="s">
        <v>30</v>
      </c>
      <c r="E402" t="s">
        <v>17</v>
      </c>
      <c r="F402" t="str">
        <f>VLOOKUP(Ramen_Ratings[[#This Row],[Country]],Country_Region[#All],2,FALSE)</f>
        <v>North America</v>
      </c>
      <c r="G402">
        <v>3</v>
      </c>
      <c r="H402" t="str" cm="1">
        <f t="array" ref="H402">_xlfn.IFS(Ramen_Ratings[[#This Row],[Stars]] = "Unrated", "NA",Ramen_Ratings[[#This Row],[Stars]]&gt;=4, "Good", Ramen_Ratings[[#This Row],[Stars]]&gt;2.5, "Fair", Ramen_Ratings[[#This Row],[Stars]] &gt;= 0, "Bad")</f>
        <v>Fair</v>
      </c>
      <c r="J402" t="str">
        <f>LEFT(Ramen_Ratings[[#This Row],[Top Ten]],4)</f>
        <v/>
      </c>
      <c r="K402" t="str">
        <f>IF(Ramen_Ratings[[#This Row],[Top Ten]]="", "",RIGHT(Ramen_Ratings[[#This Row],[Top Ten]],LEN(Ramen_Ratings[[#This Row],[Top Ten]])-6))</f>
        <v/>
      </c>
    </row>
    <row r="403" spans="1:11" x14ac:dyDescent="0.25">
      <c r="A403">
        <v>216</v>
      </c>
      <c r="B403" t="s">
        <v>102</v>
      </c>
      <c r="C403" t="s">
        <v>2659</v>
      </c>
      <c r="D403" t="s">
        <v>9</v>
      </c>
      <c r="E403" t="s">
        <v>17</v>
      </c>
      <c r="F403" t="str">
        <f>VLOOKUP(Ramen_Ratings[[#This Row],[Country]],Country_Region[#All],2,FALSE)</f>
        <v>North America</v>
      </c>
      <c r="G403">
        <v>2.75</v>
      </c>
      <c r="H403" t="str" cm="1">
        <f t="array" ref="H403">_xlfn.IFS(Ramen_Ratings[[#This Row],[Stars]] = "Unrated", "NA",Ramen_Ratings[[#This Row],[Stars]]&gt;=4, "Good", Ramen_Ratings[[#This Row],[Stars]]&gt;2.5, "Fair", Ramen_Ratings[[#This Row],[Stars]] &gt;= 0, "Bad")</f>
        <v>Fair</v>
      </c>
      <c r="J403" t="str">
        <f>LEFT(Ramen_Ratings[[#This Row],[Top Ten]],4)</f>
        <v/>
      </c>
      <c r="K403" t="str">
        <f>IF(Ramen_Ratings[[#This Row],[Top Ten]]="", "",RIGHT(Ramen_Ratings[[#This Row],[Top Ten]],LEN(Ramen_Ratings[[#This Row],[Top Ten]])-6))</f>
        <v/>
      </c>
    </row>
    <row r="404" spans="1:11" x14ac:dyDescent="0.25">
      <c r="A404">
        <v>215</v>
      </c>
      <c r="B404" t="s">
        <v>102</v>
      </c>
      <c r="C404" t="s">
        <v>2660</v>
      </c>
      <c r="D404" t="s">
        <v>30</v>
      </c>
      <c r="E404" t="s">
        <v>17</v>
      </c>
      <c r="F404" t="str">
        <f>VLOOKUP(Ramen_Ratings[[#This Row],[Country]],Country_Region[#All],2,FALSE)</f>
        <v>North America</v>
      </c>
      <c r="G404">
        <v>2</v>
      </c>
      <c r="H404" t="str" cm="1">
        <f t="array" ref="H404">_xlfn.IFS(Ramen_Ratings[[#This Row],[Stars]] = "Unrated", "NA",Ramen_Ratings[[#This Row],[Stars]]&gt;=4, "Good", Ramen_Ratings[[#This Row],[Stars]]&gt;2.5, "Fair", Ramen_Ratings[[#This Row],[Stars]] &gt;= 0, "Bad")</f>
        <v>Bad</v>
      </c>
      <c r="J404" t="str">
        <f>LEFT(Ramen_Ratings[[#This Row],[Top Ten]],4)</f>
        <v/>
      </c>
      <c r="K404" t="str">
        <f>IF(Ramen_Ratings[[#This Row],[Top Ten]]="", "",RIGHT(Ramen_Ratings[[#This Row],[Top Ten]],LEN(Ramen_Ratings[[#This Row],[Top Ten]])-6))</f>
        <v/>
      </c>
    </row>
    <row r="405" spans="1:11" x14ac:dyDescent="0.25">
      <c r="A405">
        <v>214</v>
      </c>
      <c r="B405" t="s">
        <v>102</v>
      </c>
      <c r="C405" t="s">
        <v>2661</v>
      </c>
      <c r="D405" t="s">
        <v>30</v>
      </c>
      <c r="E405" t="s">
        <v>17</v>
      </c>
      <c r="F405" t="str">
        <f>VLOOKUP(Ramen_Ratings[[#This Row],[Country]],Country_Region[#All],2,FALSE)</f>
        <v>North America</v>
      </c>
      <c r="G405">
        <v>2</v>
      </c>
      <c r="H405" t="str" cm="1">
        <f t="array" ref="H405">_xlfn.IFS(Ramen_Ratings[[#This Row],[Stars]] = "Unrated", "NA",Ramen_Ratings[[#This Row],[Stars]]&gt;=4, "Good", Ramen_Ratings[[#This Row],[Stars]]&gt;2.5, "Fair", Ramen_Ratings[[#This Row],[Stars]] &gt;= 0, "Bad")</f>
        <v>Bad</v>
      </c>
      <c r="J405" t="str">
        <f>LEFT(Ramen_Ratings[[#This Row],[Top Ten]],4)</f>
        <v/>
      </c>
      <c r="K405" t="str">
        <f>IF(Ramen_Ratings[[#This Row],[Top Ten]]="", "",RIGHT(Ramen_Ratings[[#This Row],[Top Ten]],LEN(Ramen_Ratings[[#This Row],[Top Ten]])-6))</f>
        <v/>
      </c>
    </row>
    <row r="406" spans="1:11" x14ac:dyDescent="0.25">
      <c r="A406">
        <v>213</v>
      </c>
      <c r="B406" t="s">
        <v>41</v>
      </c>
      <c r="C406" t="s">
        <v>2662</v>
      </c>
      <c r="D406" t="s">
        <v>44</v>
      </c>
      <c r="E406" t="s">
        <v>17</v>
      </c>
      <c r="F406" t="str">
        <f>VLOOKUP(Ramen_Ratings[[#This Row],[Country]],Country_Region[#All],2,FALSE)</f>
        <v>North America</v>
      </c>
      <c r="G406">
        <v>4</v>
      </c>
      <c r="H406" t="str" cm="1">
        <f t="array" ref="H406">_xlfn.IFS(Ramen_Ratings[[#This Row],[Stars]] = "Unrated", "NA",Ramen_Ratings[[#This Row],[Stars]]&gt;=4, "Good", Ramen_Ratings[[#This Row],[Stars]]&gt;2.5, "Fair", Ramen_Ratings[[#This Row],[Stars]] &gt;= 0, "Bad")</f>
        <v>Good</v>
      </c>
      <c r="J406" t="str">
        <f>LEFT(Ramen_Ratings[[#This Row],[Top Ten]],4)</f>
        <v/>
      </c>
      <c r="K406" t="str">
        <f>IF(Ramen_Ratings[[#This Row],[Top Ten]]="", "",RIGHT(Ramen_Ratings[[#This Row],[Top Ten]],LEN(Ramen_Ratings[[#This Row],[Top Ten]])-6))</f>
        <v/>
      </c>
    </row>
    <row r="407" spans="1:11" x14ac:dyDescent="0.25">
      <c r="A407">
        <v>212</v>
      </c>
      <c r="B407" t="s">
        <v>102</v>
      </c>
      <c r="C407" t="s">
        <v>2663</v>
      </c>
      <c r="D407" t="s">
        <v>30</v>
      </c>
      <c r="E407" t="s">
        <v>17</v>
      </c>
      <c r="F407" t="str">
        <f>VLOOKUP(Ramen_Ratings[[#This Row],[Country]],Country_Region[#All],2,FALSE)</f>
        <v>North America</v>
      </c>
      <c r="G407">
        <v>3.75</v>
      </c>
      <c r="H407" t="str" cm="1">
        <f t="array" ref="H407">_xlfn.IFS(Ramen_Ratings[[#This Row],[Stars]] = "Unrated", "NA",Ramen_Ratings[[#This Row],[Stars]]&gt;=4, "Good", Ramen_Ratings[[#This Row],[Stars]]&gt;2.5, "Fair", Ramen_Ratings[[#This Row],[Stars]] &gt;= 0, "Bad")</f>
        <v>Fair</v>
      </c>
      <c r="J407" t="str">
        <f>LEFT(Ramen_Ratings[[#This Row],[Top Ten]],4)</f>
        <v/>
      </c>
      <c r="K407" t="str">
        <f>IF(Ramen_Ratings[[#This Row],[Top Ten]]="", "",RIGHT(Ramen_Ratings[[#This Row],[Top Ten]],LEN(Ramen_Ratings[[#This Row],[Top Ten]])-6))</f>
        <v/>
      </c>
    </row>
    <row r="408" spans="1:11" x14ac:dyDescent="0.25">
      <c r="A408">
        <v>209</v>
      </c>
      <c r="B408" t="s">
        <v>15</v>
      </c>
      <c r="C408" t="s">
        <v>2667</v>
      </c>
      <c r="D408" t="s">
        <v>44</v>
      </c>
      <c r="E408" t="s">
        <v>17</v>
      </c>
      <c r="F408" t="str">
        <f>VLOOKUP(Ramen_Ratings[[#This Row],[Country]],Country_Region[#All],2,FALSE)</f>
        <v>North America</v>
      </c>
      <c r="G408">
        <v>3</v>
      </c>
      <c r="H408" t="str" cm="1">
        <f t="array" ref="H408">_xlfn.IFS(Ramen_Ratings[[#This Row],[Stars]] = "Unrated", "NA",Ramen_Ratings[[#This Row],[Stars]]&gt;=4, "Good", Ramen_Ratings[[#This Row],[Stars]]&gt;2.5, "Fair", Ramen_Ratings[[#This Row],[Stars]] &gt;= 0, "Bad")</f>
        <v>Fair</v>
      </c>
      <c r="J408" t="str">
        <f>LEFT(Ramen_Ratings[[#This Row],[Top Ten]],4)</f>
        <v/>
      </c>
      <c r="K408" t="str">
        <f>IF(Ramen_Ratings[[#This Row],[Top Ten]]="", "",RIGHT(Ramen_Ratings[[#This Row],[Top Ten]],LEN(Ramen_Ratings[[#This Row],[Top Ten]])-6))</f>
        <v/>
      </c>
    </row>
    <row r="409" spans="1:11" x14ac:dyDescent="0.25">
      <c r="A409">
        <v>207</v>
      </c>
      <c r="B409" t="s">
        <v>374</v>
      </c>
      <c r="C409" t="s">
        <v>1962</v>
      </c>
      <c r="D409" t="s">
        <v>13</v>
      </c>
      <c r="E409" t="s">
        <v>17</v>
      </c>
      <c r="F409" t="str">
        <f>VLOOKUP(Ramen_Ratings[[#This Row],[Country]],Country_Region[#All],2,FALSE)</f>
        <v>North America</v>
      </c>
      <c r="G409">
        <v>3.5</v>
      </c>
      <c r="H409" t="str" cm="1">
        <f t="array" ref="H409">_xlfn.IFS(Ramen_Ratings[[#This Row],[Stars]] = "Unrated", "NA",Ramen_Ratings[[#This Row],[Stars]]&gt;=4, "Good", Ramen_Ratings[[#This Row],[Stars]]&gt;2.5, "Fair", Ramen_Ratings[[#This Row],[Stars]] &gt;= 0, "Bad")</f>
        <v>Fair</v>
      </c>
      <c r="J409" t="str">
        <f>LEFT(Ramen_Ratings[[#This Row],[Top Ten]],4)</f>
        <v/>
      </c>
      <c r="K409" t="str">
        <f>IF(Ramen_Ratings[[#This Row],[Top Ten]]="", "",RIGHT(Ramen_Ratings[[#This Row],[Top Ten]],LEN(Ramen_Ratings[[#This Row],[Top Ten]])-6))</f>
        <v/>
      </c>
    </row>
    <row r="410" spans="1:11" x14ac:dyDescent="0.25">
      <c r="A410">
        <v>205</v>
      </c>
      <c r="B410" t="s">
        <v>374</v>
      </c>
      <c r="C410" t="s">
        <v>2670</v>
      </c>
      <c r="D410" t="s">
        <v>13</v>
      </c>
      <c r="E410" t="s">
        <v>17</v>
      </c>
      <c r="F410" t="str">
        <f>VLOOKUP(Ramen_Ratings[[#This Row],[Country]],Country_Region[#All],2,FALSE)</f>
        <v>North America</v>
      </c>
      <c r="G410">
        <v>4.5</v>
      </c>
      <c r="H410" t="str" cm="1">
        <f t="array" ref="H410">_xlfn.IFS(Ramen_Ratings[[#This Row],[Stars]] = "Unrated", "NA",Ramen_Ratings[[#This Row],[Stars]]&gt;=4, "Good", Ramen_Ratings[[#This Row],[Stars]]&gt;2.5, "Fair", Ramen_Ratings[[#This Row],[Stars]] &gt;= 0, "Bad")</f>
        <v>Good</v>
      </c>
      <c r="J410" t="str">
        <f>LEFT(Ramen_Ratings[[#This Row],[Top Ten]],4)</f>
        <v/>
      </c>
      <c r="K410" t="str">
        <f>IF(Ramen_Ratings[[#This Row],[Top Ten]]="", "",RIGHT(Ramen_Ratings[[#This Row],[Top Ten]],LEN(Ramen_Ratings[[#This Row],[Top Ten]])-6))</f>
        <v/>
      </c>
    </row>
    <row r="411" spans="1:11" x14ac:dyDescent="0.25">
      <c r="A411">
        <v>204</v>
      </c>
      <c r="B411" t="s">
        <v>41</v>
      </c>
      <c r="C411" t="s">
        <v>2671</v>
      </c>
      <c r="D411" t="s">
        <v>44</v>
      </c>
      <c r="E411" t="s">
        <v>17</v>
      </c>
      <c r="F411" t="str">
        <f>VLOOKUP(Ramen_Ratings[[#This Row],[Country]],Country_Region[#All],2,FALSE)</f>
        <v>North America</v>
      </c>
      <c r="G411">
        <v>2.5</v>
      </c>
      <c r="H411" t="str" cm="1">
        <f t="array" ref="H411">_xlfn.IFS(Ramen_Ratings[[#This Row],[Stars]] = "Unrated", "NA",Ramen_Ratings[[#This Row],[Stars]]&gt;=4, "Good", Ramen_Ratings[[#This Row],[Stars]]&gt;2.5, "Fair", Ramen_Ratings[[#This Row],[Stars]] &gt;= 0, "Bad")</f>
        <v>Bad</v>
      </c>
      <c r="J411" t="str">
        <f>LEFT(Ramen_Ratings[[#This Row],[Top Ten]],4)</f>
        <v/>
      </c>
      <c r="K411" t="str">
        <f>IF(Ramen_Ratings[[#This Row],[Top Ten]]="", "",RIGHT(Ramen_Ratings[[#This Row],[Top Ten]],LEN(Ramen_Ratings[[#This Row],[Top Ten]])-6))</f>
        <v/>
      </c>
    </row>
    <row r="412" spans="1:11" x14ac:dyDescent="0.25">
      <c r="A412">
        <v>203</v>
      </c>
      <c r="B412" t="s">
        <v>41</v>
      </c>
      <c r="C412" t="s">
        <v>2672</v>
      </c>
      <c r="D412" t="s">
        <v>44</v>
      </c>
      <c r="E412" t="s">
        <v>17</v>
      </c>
      <c r="F412" t="str">
        <f>VLOOKUP(Ramen_Ratings[[#This Row],[Country]],Country_Region[#All],2,FALSE)</f>
        <v>North America</v>
      </c>
      <c r="G412">
        <v>2</v>
      </c>
      <c r="H412" t="str" cm="1">
        <f t="array" ref="H412">_xlfn.IFS(Ramen_Ratings[[#This Row],[Stars]] = "Unrated", "NA",Ramen_Ratings[[#This Row],[Stars]]&gt;=4, "Good", Ramen_Ratings[[#This Row],[Stars]]&gt;2.5, "Fair", Ramen_Ratings[[#This Row],[Stars]] &gt;= 0, "Bad")</f>
        <v>Bad</v>
      </c>
      <c r="J412" t="str">
        <f>LEFT(Ramen_Ratings[[#This Row],[Top Ten]],4)</f>
        <v/>
      </c>
      <c r="K412" t="str">
        <f>IF(Ramen_Ratings[[#This Row],[Top Ten]]="", "",RIGHT(Ramen_Ratings[[#This Row],[Top Ten]],LEN(Ramen_Ratings[[#This Row],[Top Ten]])-6))</f>
        <v/>
      </c>
    </row>
    <row r="413" spans="1:11" x14ac:dyDescent="0.25">
      <c r="A413">
        <v>202</v>
      </c>
      <c r="B413" t="s">
        <v>41</v>
      </c>
      <c r="C413" t="s">
        <v>2673</v>
      </c>
      <c r="D413" t="s">
        <v>44</v>
      </c>
      <c r="E413" t="s">
        <v>17</v>
      </c>
      <c r="F413" t="str">
        <f>VLOOKUP(Ramen_Ratings[[#This Row],[Country]],Country_Region[#All],2,FALSE)</f>
        <v>North America</v>
      </c>
      <c r="G413">
        <v>3.25</v>
      </c>
      <c r="H413" t="str" cm="1">
        <f t="array" ref="H413">_xlfn.IFS(Ramen_Ratings[[#This Row],[Stars]] = "Unrated", "NA",Ramen_Ratings[[#This Row],[Stars]]&gt;=4, "Good", Ramen_Ratings[[#This Row],[Stars]]&gt;2.5, "Fair", Ramen_Ratings[[#This Row],[Stars]] &gt;= 0, "Bad")</f>
        <v>Fair</v>
      </c>
      <c r="J413" t="str">
        <f>LEFT(Ramen_Ratings[[#This Row],[Top Ten]],4)</f>
        <v/>
      </c>
      <c r="K413" t="str">
        <f>IF(Ramen_Ratings[[#This Row],[Top Ten]]="", "",RIGHT(Ramen_Ratings[[#This Row],[Top Ten]],LEN(Ramen_Ratings[[#This Row],[Top Ten]])-6))</f>
        <v/>
      </c>
    </row>
    <row r="414" spans="1:11" x14ac:dyDescent="0.25">
      <c r="A414">
        <v>201</v>
      </c>
      <c r="B414" t="s">
        <v>41</v>
      </c>
      <c r="C414" t="s">
        <v>2674</v>
      </c>
      <c r="D414" t="s">
        <v>44</v>
      </c>
      <c r="E414" t="s">
        <v>17</v>
      </c>
      <c r="F414" t="str">
        <f>VLOOKUP(Ramen_Ratings[[#This Row],[Country]],Country_Region[#All],2,FALSE)</f>
        <v>North America</v>
      </c>
      <c r="G414">
        <v>3.5</v>
      </c>
      <c r="H414" t="str" cm="1">
        <f t="array" ref="H414">_xlfn.IFS(Ramen_Ratings[[#This Row],[Stars]] = "Unrated", "NA",Ramen_Ratings[[#This Row],[Stars]]&gt;=4, "Good", Ramen_Ratings[[#This Row],[Stars]]&gt;2.5, "Fair", Ramen_Ratings[[#This Row],[Stars]] &gt;= 0, "Bad")</f>
        <v>Fair</v>
      </c>
      <c r="J414" t="str">
        <f>LEFT(Ramen_Ratings[[#This Row],[Top Ten]],4)</f>
        <v/>
      </c>
      <c r="K414" t="str">
        <f>IF(Ramen_Ratings[[#This Row],[Top Ten]]="", "",RIGHT(Ramen_Ratings[[#This Row],[Top Ten]],LEN(Ramen_Ratings[[#This Row],[Top Ten]])-6))</f>
        <v/>
      </c>
    </row>
    <row r="415" spans="1:11" x14ac:dyDescent="0.25">
      <c r="A415">
        <v>200</v>
      </c>
      <c r="B415" t="s">
        <v>41</v>
      </c>
      <c r="C415" t="s">
        <v>2675</v>
      </c>
      <c r="D415" t="s">
        <v>44</v>
      </c>
      <c r="E415" t="s">
        <v>17</v>
      </c>
      <c r="F415" t="str">
        <f>VLOOKUP(Ramen_Ratings[[#This Row],[Country]],Country_Region[#All],2,FALSE)</f>
        <v>North America</v>
      </c>
      <c r="G415">
        <v>4.5</v>
      </c>
      <c r="H415" t="str" cm="1">
        <f t="array" ref="H415">_xlfn.IFS(Ramen_Ratings[[#This Row],[Stars]] = "Unrated", "NA",Ramen_Ratings[[#This Row],[Stars]]&gt;=4, "Good", Ramen_Ratings[[#This Row],[Stars]]&gt;2.5, "Fair", Ramen_Ratings[[#This Row],[Stars]] &gt;= 0, "Bad")</f>
        <v>Good</v>
      </c>
      <c r="J415" t="str">
        <f>LEFT(Ramen_Ratings[[#This Row],[Top Ten]],4)</f>
        <v/>
      </c>
      <c r="K415" t="str">
        <f>IF(Ramen_Ratings[[#This Row],[Top Ten]]="", "",RIGHT(Ramen_Ratings[[#This Row],[Top Ten]],LEN(Ramen_Ratings[[#This Row],[Top Ten]])-6))</f>
        <v/>
      </c>
    </row>
    <row r="416" spans="1:11" x14ac:dyDescent="0.25">
      <c r="A416">
        <v>183</v>
      </c>
      <c r="B416" t="s">
        <v>15</v>
      </c>
      <c r="C416" t="s">
        <v>2692</v>
      </c>
      <c r="D416" t="s">
        <v>44</v>
      </c>
      <c r="E416" t="s">
        <v>17</v>
      </c>
      <c r="F416" t="str">
        <f>VLOOKUP(Ramen_Ratings[[#This Row],[Country]],Country_Region[#All],2,FALSE)</f>
        <v>North America</v>
      </c>
      <c r="G416">
        <v>2</v>
      </c>
      <c r="H416" t="str" cm="1">
        <f t="array" ref="H416">_xlfn.IFS(Ramen_Ratings[[#This Row],[Stars]] = "Unrated", "NA",Ramen_Ratings[[#This Row],[Stars]]&gt;=4, "Good", Ramen_Ratings[[#This Row],[Stars]]&gt;2.5, "Fair", Ramen_Ratings[[#This Row],[Stars]] &gt;= 0, "Bad")</f>
        <v>Bad</v>
      </c>
      <c r="J416" t="str">
        <f>LEFT(Ramen_Ratings[[#This Row],[Top Ten]],4)</f>
        <v/>
      </c>
      <c r="K416" t="str">
        <f>IF(Ramen_Ratings[[#This Row],[Top Ten]]="", "",RIGHT(Ramen_Ratings[[#This Row],[Top Ten]],LEN(Ramen_Ratings[[#This Row],[Top Ten]])-6))</f>
        <v/>
      </c>
    </row>
    <row r="417" spans="1:11" x14ac:dyDescent="0.25">
      <c r="A417">
        <v>166</v>
      </c>
      <c r="B417" t="s">
        <v>677</v>
      </c>
      <c r="C417" t="s">
        <v>2708</v>
      </c>
      <c r="D417" t="s">
        <v>13</v>
      </c>
      <c r="E417" t="s">
        <v>17</v>
      </c>
      <c r="F417" t="str">
        <f>VLOOKUP(Ramen_Ratings[[#This Row],[Country]],Country_Region[#All],2,FALSE)</f>
        <v>North America</v>
      </c>
      <c r="G417">
        <v>3.25</v>
      </c>
      <c r="H417" t="str" cm="1">
        <f t="array" ref="H417">_xlfn.IFS(Ramen_Ratings[[#This Row],[Stars]] = "Unrated", "NA",Ramen_Ratings[[#This Row],[Stars]]&gt;=4, "Good", Ramen_Ratings[[#This Row],[Stars]]&gt;2.5, "Fair", Ramen_Ratings[[#This Row],[Stars]] &gt;= 0, "Bad")</f>
        <v>Fair</v>
      </c>
      <c r="J417" t="str">
        <f>LEFT(Ramen_Ratings[[#This Row],[Top Ten]],4)</f>
        <v/>
      </c>
      <c r="K417" t="str">
        <f>IF(Ramen_Ratings[[#This Row],[Top Ten]]="", "",RIGHT(Ramen_Ratings[[#This Row],[Top Ten]],LEN(Ramen_Ratings[[#This Row],[Top Ten]])-6))</f>
        <v/>
      </c>
    </row>
    <row r="418" spans="1:11" x14ac:dyDescent="0.25">
      <c r="A418">
        <v>156</v>
      </c>
      <c r="B418" t="s">
        <v>102</v>
      </c>
      <c r="C418" t="s">
        <v>2717</v>
      </c>
      <c r="D418" t="s">
        <v>9</v>
      </c>
      <c r="E418" t="s">
        <v>17</v>
      </c>
      <c r="F418" t="str">
        <f>VLOOKUP(Ramen_Ratings[[#This Row],[Country]],Country_Region[#All],2,FALSE)</f>
        <v>North America</v>
      </c>
      <c r="G418">
        <v>3</v>
      </c>
      <c r="H418" t="str" cm="1">
        <f t="array" ref="H418">_xlfn.IFS(Ramen_Ratings[[#This Row],[Stars]] = "Unrated", "NA",Ramen_Ratings[[#This Row],[Stars]]&gt;=4, "Good", Ramen_Ratings[[#This Row],[Stars]]&gt;2.5, "Fair", Ramen_Ratings[[#This Row],[Stars]] &gt;= 0, "Bad")</f>
        <v>Fair</v>
      </c>
      <c r="J418" t="str">
        <f>LEFT(Ramen_Ratings[[#This Row],[Top Ten]],4)</f>
        <v/>
      </c>
      <c r="K418" t="str">
        <f>IF(Ramen_Ratings[[#This Row],[Top Ten]]="", "",RIGHT(Ramen_Ratings[[#This Row],[Top Ten]],LEN(Ramen_Ratings[[#This Row],[Top Ten]])-6))</f>
        <v/>
      </c>
    </row>
    <row r="419" spans="1:11" x14ac:dyDescent="0.25">
      <c r="A419">
        <v>154</v>
      </c>
      <c r="B419" t="s">
        <v>15</v>
      </c>
      <c r="C419" t="s">
        <v>2719</v>
      </c>
      <c r="D419" t="s">
        <v>9</v>
      </c>
      <c r="E419" t="s">
        <v>17</v>
      </c>
      <c r="F419" t="str">
        <f>VLOOKUP(Ramen_Ratings[[#This Row],[Country]],Country_Region[#All],2,FALSE)</f>
        <v>North America</v>
      </c>
      <c r="G419">
        <v>1.75</v>
      </c>
      <c r="H419" t="str" cm="1">
        <f t="array" ref="H419">_xlfn.IFS(Ramen_Ratings[[#This Row],[Stars]] = "Unrated", "NA",Ramen_Ratings[[#This Row],[Stars]]&gt;=4, "Good", Ramen_Ratings[[#This Row],[Stars]]&gt;2.5, "Fair", Ramen_Ratings[[#This Row],[Stars]] &gt;= 0, "Bad")</f>
        <v>Bad</v>
      </c>
      <c r="J419" t="str">
        <f>LEFT(Ramen_Ratings[[#This Row],[Top Ten]],4)</f>
        <v/>
      </c>
      <c r="K419" t="str">
        <f>IF(Ramen_Ratings[[#This Row],[Top Ten]]="", "",RIGHT(Ramen_Ratings[[#This Row],[Top Ten]],LEN(Ramen_Ratings[[#This Row],[Top Ten]])-6))</f>
        <v/>
      </c>
    </row>
    <row r="420" spans="1:11" x14ac:dyDescent="0.25">
      <c r="A420">
        <v>153</v>
      </c>
      <c r="B420" t="s">
        <v>374</v>
      </c>
      <c r="C420" t="s">
        <v>2720</v>
      </c>
      <c r="D420" t="s">
        <v>9</v>
      </c>
      <c r="E420" t="s">
        <v>17</v>
      </c>
      <c r="F420" t="str">
        <f>VLOOKUP(Ramen_Ratings[[#This Row],[Country]],Country_Region[#All],2,FALSE)</f>
        <v>North America</v>
      </c>
      <c r="G420">
        <v>1.75</v>
      </c>
      <c r="H420" t="str" cm="1">
        <f t="array" ref="H420">_xlfn.IFS(Ramen_Ratings[[#This Row],[Stars]] = "Unrated", "NA",Ramen_Ratings[[#This Row],[Stars]]&gt;=4, "Good", Ramen_Ratings[[#This Row],[Stars]]&gt;2.5, "Fair", Ramen_Ratings[[#This Row],[Stars]] &gt;= 0, "Bad")</f>
        <v>Bad</v>
      </c>
      <c r="J420" t="str">
        <f>LEFT(Ramen_Ratings[[#This Row],[Top Ten]],4)</f>
        <v/>
      </c>
      <c r="K420" t="str">
        <f>IF(Ramen_Ratings[[#This Row],[Top Ten]]="", "",RIGHT(Ramen_Ratings[[#This Row],[Top Ten]],LEN(Ramen_Ratings[[#This Row],[Top Ten]])-6))</f>
        <v/>
      </c>
    </row>
    <row r="421" spans="1:11" x14ac:dyDescent="0.25">
      <c r="A421">
        <v>142</v>
      </c>
      <c r="B421" t="s">
        <v>15</v>
      </c>
      <c r="C421" t="s">
        <v>2734</v>
      </c>
      <c r="D421" t="s">
        <v>30</v>
      </c>
      <c r="E421" t="s">
        <v>17</v>
      </c>
      <c r="F421" t="str">
        <f>VLOOKUP(Ramen_Ratings[[#This Row],[Country]],Country_Region[#All],2,FALSE)</f>
        <v>North America</v>
      </c>
      <c r="G421">
        <v>4.5</v>
      </c>
      <c r="H421" t="str" cm="1">
        <f t="array" ref="H421">_xlfn.IFS(Ramen_Ratings[[#This Row],[Stars]] = "Unrated", "NA",Ramen_Ratings[[#This Row],[Stars]]&gt;=4, "Good", Ramen_Ratings[[#This Row],[Stars]]&gt;2.5, "Fair", Ramen_Ratings[[#This Row],[Stars]] &gt;= 0, "Bad")</f>
        <v>Good</v>
      </c>
      <c r="J421" t="str">
        <f>LEFT(Ramen_Ratings[[#This Row],[Top Ten]],4)</f>
        <v/>
      </c>
      <c r="K421" t="str">
        <f>IF(Ramen_Ratings[[#This Row],[Top Ten]]="", "",RIGHT(Ramen_Ratings[[#This Row],[Top Ten]],LEN(Ramen_Ratings[[#This Row],[Top Ten]])-6))</f>
        <v/>
      </c>
    </row>
    <row r="422" spans="1:11" x14ac:dyDescent="0.25">
      <c r="A422">
        <v>137</v>
      </c>
      <c r="B422" t="s">
        <v>15</v>
      </c>
      <c r="C422" t="s">
        <v>2739</v>
      </c>
      <c r="D422" t="s">
        <v>44</v>
      </c>
      <c r="E422" t="s">
        <v>17</v>
      </c>
      <c r="F422" t="str">
        <f>VLOOKUP(Ramen_Ratings[[#This Row],[Country]],Country_Region[#All],2,FALSE)</f>
        <v>North America</v>
      </c>
      <c r="G422">
        <v>1.75</v>
      </c>
      <c r="H422" t="str" cm="1">
        <f t="array" ref="H422">_xlfn.IFS(Ramen_Ratings[[#This Row],[Stars]] = "Unrated", "NA",Ramen_Ratings[[#This Row],[Stars]]&gt;=4, "Good", Ramen_Ratings[[#This Row],[Stars]]&gt;2.5, "Fair", Ramen_Ratings[[#This Row],[Stars]] &gt;= 0, "Bad")</f>
        <v>Bad</v>
      </c>
      <c r="J422" t="str">
        <f>LEFT(Ramen_Ratings[[#This Row],[Top Ten]],4)</f>
        <v/>
      </c>
      <c r="K422" t="str">
        <f>IF(Ramen_Ratings[[#This Row],[Top Ten]]="", "",RIGHT(Ramen_Ratings[[#This Row],[Top Ten]],LEN(Ramen_Ratings[[#This Row],[Top Ten]])-6))</f>
        <v/>
      </c>
    </row>
    <row r="423" spans="1:11" x14ac:dyDescent="0.25">
      <c r="A423">
        <v>108</v>
      </c>
      <c r="B423" t="s">
        <v>2764</v>
      </c>
      <c r="C423" t="s">
        <v>2765</v>
      </c>
      <c r="D423" t="s">
        <v>44</v>
      </c>
      <c r="E423" t="s">
        <v>17</v>
      </c>
      <c r="F423" t="str">
        <f>VLOOKUP(Ramen_Ratings[[#This Row],[Country]],Country_Region[#All],2,FALSE)</f>
        <v>North America</v>
      </c>
      <c r="G423">
        <v>2</v>
      </c>
      <c r="H423" t="str" cm="1">
        <f t="array" ref="H423">_xlfn.IFS(Ramen_Ratings[[#This Row],[Stars]] = "Unrated", "NA",Ramen_Ratings[[#This Row],[Stars]]&gt;=4, "Good", Ramen_Ratings[[#This Row],[Stars]]&gt;2.5, "Fair", Ramen_Ratings[[#This Row],[Stars]] &gt;= 0, "Bad")</f>
        <v>Bad</v>
      </c>
      <c r="J423" t="str">
        <f>LEFT(Ramen_Ratings[[#This Row],[Top Ten]],4)</f>
        <v/>
      </c>
      <c r="K423" t="str">
        <f>IF(Ramen_Ratings[[#This Row],[Top Ten]]="", "",RIGHT(Ramen_Ratings[[#This Row],[Top Ten]],LEN(Ramen_Ratings[[#This Row],[Top Ten]])-6))</f>
        <v/>
      </c>
    </row>
    <row r="424" spans="1:11" x14ac:dyDescent="0.25">
      <c r="A424">
        <v>104</v>
      </c>
      <c r="B424" t="s">
        <v>102</v>
      </c>
      <c r="C424" t="s">
        <v>2770</v>
      </c>
      <c r="D424" t="s">
        <v>13</v>
      </c>
      <c r="E424" t="s">
        <v>17</v>
      </c>
      <c r="F424" t="str">
        <f>VLOOKUP(Ramen_Ratings[[#This Row],[Country]],Country_Region[#All],2,FALSE)</f>
        <v>North America</v>
      </c>
      <c r="G424">
        <v>2</v>
      </c>
      <c r="H424" t="str" cm="1">
        <f t="array" ref="H424">_xlfn.IFS(Ramen_Ratings[[#This Row],[Stars]] = "Unrated", "NA",Ramen_Ratings[[#This Row],[Stars]]&gt;=4, "Good", Ramen_Ratings[[#This Row],[Stars]]&gt;2.5, "Fair", Ramen_Ratings[[#This Row],[Stars]] &gt;= 0, "Bad")</f>
        <v>Bad</v>
      </c>
      <c r="J424" t="str">
        <f>LEFT(Ramen_Ratings[[#This Row],[Top Ten]],4)</f>
        <v/>
      </c>
      <c r="K424" t="str">
        <f>IF(Ramen_Ratings[[#This Row],[Top Ten]]="", "",RIGHT(Ramen_Ratings[[#This Row],[Top Ten]],LEN(Ramen_Ratings[[#This Row],[Top Ten]])-6))</f>
        <v/>
      </c>
    </row>
    <row r="425" spans="1:11" x14ac:dyDescent="0.25">
      <c r="A425">
        <v>67</v>
      </c>
      <c r="B425" t="s">
        <v>102</v>
      </c>
      <c r="C425" t="s">
        <v>2799</v>
      </c>
      <c r="D425" t="s">
        <v>13</v>
      </c>
      <c r="E425" t="s">
        <v>17</v>
      </c>
      <c r="F425" t="str">
        <f>VLOOKUP(Ramen_Ratings[[#This Row],[Country]],Country_Region[#All],2,FALSE)</f>
        <v>North America</v>
      </c>
      <c r="G425">
        <v>2</v>
      </c>
      <c r="H425" t="str" cm="1">
        <f t="array" ref="H425">_xlfn.IFS(Ramen_Ratings[[#This Row],[Stars]] = "Unrated", "NA",Ramen_Ratings[[#This Row],[Stars]]&gt;=4, "Good", Ramen_Ratings[[#This Row],[Stars]]&gt;2.5, "Fair", Ramen_Ratings[[#This Row],[Stars]] &gt;= 0, "Bad")</f>
        <v>Bad</v>
      </c>
      <c r="J425" t="str">
        <f>LEFT(Ramen_Ratings[[#This Row],[Top Ten]],4)</f>
        <v/>
      </c>
      <c r="K425" t="str">
        <f>IF(Ramen_Ratings[[#This Row],[Top Ten]]="", "",RIGHT(Ramen_Ratings[[#This Row],[Top Ten]],LEN(Ramen_Ratings[[#This Row],[Top Ten]])-6))</f>
        <v/>
      </c>
    </row>
    <row r="426" spans="1:11" x14ac:dyDescent="0.25">
      <c r="A426">
        <v>66</v>
      </c>
      <c r="B426" t="s">
        <v>102</v>
      </c>
      <c r="C426" t="s">
        <v>2800</v>
      </c>
      <c r="D426" t="s">
        <v>13</v>
      </c>
      <c r="E426" t="s">
        <v>17</v>
      </c>
      <c r="F426" t="str">
        <f>VLOOKUP(Ramen_Ratings[[#This Row],[Country]],Country_Region[#All],2,FALSE)</f>
        <v>North America</v>
      </c>
      <c r="G426">
        <v>4</v>
      </c>
      <c r="H426" t="str" cm="1">
        <f t="array" ref="H426">_xlfn.IFS(Ramen_Ratings[[#This Row],[Stars]] = "Unrated", "NA",Ramen_Ratings[[#This Row],[Stars]]&gt;=4, "Good", Ramen_Ratings[[#This Row],[Stars]]&gt;2.5, "Fair", Ramen_Ratings[[#This Row],[Stars]] &gt;= 0, "Bad")</f>
        <v>Good</v>
      </c>
      <c r="J426" t="str">
        <f>LEFT(Ramen_Ratings[[#This Row],[Top Ten]],4)</f>
        <v/>
      </c>
      <c r="K426" t="str">
        <f>IF(Ramen_Ratings[[#This Row],[Top Ten]]="", "",RIGHT(Ramen_Ratings[[#This Row],[Top Ten]],LEN(Ramen_Ratings[[#This Row],[Top Ten]])-6))</f>
        <v/>
      </c>
    </row>
    <row r="427" spans="1:11" x14ac:dyDescent="0.25">
      <c r="A427">
        <v>65</v>
      </c>
      <c r="B427" t="s">
        <v>15</v>
      </c>
      <c r="C427" t="s">
        <v>2801</v>
      </c>
      <c r="D427" t="s">
        <v>13</v>
      </c>
      <c r="E427" t="s">
        <v>17</v>
      </c>
      <c r="F427" t="str">
        <f>VLOOKUP(Ramen_Ratings[[#This Row],[Country]],Country_Region[#All],2,FALSE)</f>
        <v>North America</v>
      </c>
      <c r="G427">
        <v>2.5</v>
      </c>
      <c r="H427" t="str" cm="1">
        <f t="array" ref="H427">_xlfn.IFS(Ramen_Ratings[[#This Row],[Stars]] = "Unrated", "NA",Ramen_Ratings[[#This Row],[Stars]]&gt;=4, "Good", Ramen_Ratings[[#This Row],[Stars]]&gt;2.5, "Fair", Ramen_Ratings[[#This Row],[Stars]] &gt;= 0, "Bad")</f>
        <v>Bad</v>
      </c>
      <c r="J427" t="str">
        <f>LEFT(Ramen_Ratings[[#This Row],[Top Ten]],4)</f>
        <v/>
      </c>
      <c r="K427" t="str">
        <f>IF(Ramen_Ratings[[#This Row],[Top Ten]]="", "",RIGHT(Ramen_Ratings[[#This Row],[Top Ten]],LEN(Ramen_Ratings[[#This Row],[Top Ten]])-6))</f>
        <v/>
      </c>
    </row>
    <row r="428" spans="1:11" x14ac:dyDescent="0.25">
      <c r="A428">
        <v>64</v>
      </c>
      <c r="B428" t="s">
        <v>374</v>
      </c>
      <c r="C428" t="s">
        <v>2357</v>
      </c>
      <c r="D428" t="s">
        <v>13</v>
      </c>
      <c r="E428" t="s">
        <v>17</v>
      </c>
      <c r="F428" t="str">
        <f>VLOOKUP(Ramen_Ratings[[#This Row],[Country]],Country_Region[#All],2,FALSE)</f>
        <v>North America</v>
      </c>
      <c r="G428">
        <v>3.5</v>
      </c>
      <c r="H428" t="str" cm="1">
        <f t="array" ref="H428">_xlfn.IFS(Ramen_Ratings[[#This Row],[Stars]] = "Unrated", "NA",Ramen_Ratings[[#This Row],[Stars]]&gt;=4, "Good", Ramen_Ratings[[#This Row],[Stars]]&gt;2.5, "Fair", Ramen_Ratings[[#This Row],[Stars]] &gt;= 0, "Bad")</f>
        <v>Fair</v>
      </c>
      <c r="J428" t="str">
        <f>LEFT(Ramen_Ratings[[#This Row],[Top Ten]],4)</f>
        <v/>
      </c>
      <c r="K428" t="str">
        <f>IF(Ramen_Ratings[[#This Row],[Top Ten]]="", "",RIGHT(Ramen_Ratings[[#This Row],[Top Ten]],LEN(Ramen_Ratings[[#This Row],[Top Ten]])-6))</f>
        <v/>
      </c>
    </row>
    <row r="429" spans="1:11" x14ac:dyDescent="0.25">
      <c r="A429">
        <v>34</v>
      </c>
      <c r="B429" t="s">
        <v>102</v>
      </c>
      <c r="C429" t="s">
        <v>2829</v>
      </c>
      <c r="D429" t="s">
        <v>13</v>
      </c>
      <c r="E429" t="s">
        <v>17</v>
      </c>
      <c r="F429" t="str">
        <f>VLOOKUP(Ramen_Ratings[[#This Row],[Country]],Country_Region[#All],2,FALSE)</f>
        <v>North America</v>
      </c>
      <c r="G429">
        <v>2</v>
      </c>
      <c r="H429" t="str" cm="1">
        <f t="array" ref="H429">_xlfn.IFS(Ramen_Ratings[[#This Row],[Stars]] = "Unrated", "NA",Ramen_Ratings[[#This Row],[Stars]]&gt;=4, "Good", Ramen_Ratings[[#This Row],[Stars]]&gt;2.5, "Fair", Ramen_Ratings[[#This Row],[Stars]] &gt;= 0, "Bad")</f>
        <v>Bad</v>
      </c>
      <c r="J429" t="str">
        <f>LEFT(Ramen_Ratings[[#This Row],[Top Ten]],4)</f>
        <v/>
      </c>
      <c r="K429" t="str">
        <f>IF(Ramen_Ratings[[#This Row],[Top Ten]]="", "",RIGHT(Ramen_Ratings[[#This Row],[Top Ten]],LEN(Ramen_Ratings[[#This Row],[Top Ten]])-6))</f>
        <v/>
      </c>
    </row>
    <row r="430" spans="1:11" x14ac:dyDescent="0.25">
      <c r="A430">
        <v>23</v>
      </c>
      <c r="B430" t="s">
        <v>15</v>
      </c>
      <c r="C430" t="s">
        <v>2838</v>
      </c>
      <c r="D430" t="s">
        <v>13</v>
      </c>
      <c r="E430" t="s">
        <v>17</v>
      </c>
      <c r="F430" t="str">
        <f>VLOOKUP(Ramen_Ratings[[#This Row],[Country]],Country_Region[#All],2,FALSE)</f>
        <v>North America</v>
      </c>
      <c r="G430">
        <v>4.5</v>
      </c>
      <c r="H430" t="str" cm="1">
        <f t="array" ref="H430">_xlfn.IFS(Ramen_Ratings[[#This Row],[Stars]] = "Unrated", "NA",Ramen_Ratings[[#This Row],[Stars]]&gt;=4, "Good", Ramen_Ratings[[#This Row],[Stars]]&gt;2.5, "Fair", Ramen_Ratings[[#This Row],[Stars]] &gt;= 0, "Bad")</f>
        <v>Good</v>
      </c>
      <c r="J430" t="str">
        <f>LEFT(Ramen_Ratings[[#This Row],[Top Ten]],4)</f>
        <v/>
      </c>
      <c r="K430" t="str">
        <f>IF(Ramen_Ratings[[#This Row],[Top Ten]]="", "",RIGHT(Ramen_Ratings[[#This Row],[Top Ten]],LEN(Ramen_Ratings[[#This Row],[Top Ten]])-6))</f>
        <v/>
      </c>
    </row>
    <row r="431" spans="1:11" x14ac:dyDescent="0.25">
      <c r="A431">
        <v>10</v>
      </c>
      <c r="B431" t="s">
        <v>2849</v>
      </c>
      <c r="C431" t="s">
        <v>2850</v>
      </c>
      <c r="D431" t="s">
        <v>13</v>
      </c>
      <c r="E431" t="s">
        <v>17</v>
      </c>
      <c r="F431" t="str">
        <f>VLOOKUP(Ramen_Ratings[[#This Row],[Country]],Country_Region[#All],2,FALSE)</f>
        <v>North America</v>
      </c>
      <c r="G431">
        <v>1.5</v>
      </c>
      <c r="H431" t="str" cm="1">
        <f t="array" ref="H431">_xlfn.IFS(Ramen_Ratings[[#This Row],[Stars]] = "Unrated", "NA",Ramen_Ratings[[#This Row],[Stars]]&gt;=4, "Good", Ramen_Ratings[[#This Row],[Stars]]&gt;2.5, "Fair", Ramen_Ratings[[#This Row],[Stars]] &gt;= 0, "Bad")</f>
        <v>Bad</v>
      </c>
      <c r="J431" t="str">
        <f>LEFT(Ramen_Ratings[[#This Row],[Top Ten]],4)</f>
        <v/>
      </c>
      <c r="K431" t="str">
        <f>IF(Ramen_Ratings[[#This Row],[Top Ten]]="", "",RIGHT(Ramen_Ratings[[#This Row],[Top Ten]],LEN(Ramen_Ratings[[#This Row],[Top Ten]])-6))</f>
        <v/>
      </c>
    </row>
    <row r="432" spans="1:11" x14ac:dyDescent="0.25">
      <c r="A432">
        <v>1</v>
      </c>
      <c r="B432" t="s">
        <v>2858</v>
      </c>
      <c r="C432" t="s">
        <v>1313</v>
      </c>
      <c r="D432" t="s">
        <v>13</v>
      </c>
      <c r="E432" t="s">
        <v>17</v>
      </c>
      <c r="F432" t="str">
        <f>VLOOKUP(Ramen_Ratings[[#This Row],[Country]],Country_Region[#All],2,FALSE)</f>
        <v>North America</v>
      </c>
      <c r="G432">
        <v>0.5</v>
      </c>
      <c r="H432" t="str" cm="1">
        <f t="array" ref="H432">_xlfn.IFS(Ramen_Ratings[[#This Row],[Stars]] = "Unrated", "NA",Ramen_Ratings[[#This Row],[Stars]]&gt;=4, "Good", Ramen_Ratings[[#This Row],[Stars]]&gt;2.5, "Fair", Ramen_Ratings[[#This Row],[Stars]] &gt;= 0, "Bad")</f>
        <v>Bad</v>
      </c>
      <c r="J432" t="str">
        <f>LEFT(Ramen_Ratings[[#This Row],[Top Ten]],4)</f>
        <v/>
      </c>
      <c r="K432" t="str">
        <f>IF(Ramen_Ratings[[#This Row],[Top Ten]]="", "",RIGHT(Ramen_Ratings[[#This Row],[Top Ten]],LEN(Ramen_Ratings[[#This Row],[Top Ten]])-6))</f>
        <v/>
      </c>
    </row>
    <row r="433" spans="1:11" x14ac:dyDescent="0.25">
      <c r="A433">
        <v>2007</v>
      </c>
      <c r="B433" t="s">
        <v>41</v>
      </c>
      <c r="C433" t="s">
        <v>735</v>
      </c>
      <c r="D433" t="s">
        <v>13</v>
      </c>
      <c r="E433" t="s">
        <v>17</v>
      </c>
      <c r="F433" t="str">
        <f>VLOOKUP(Ramen_Ratings[[#This Row],[Country]],Country_Region[#All],2,FALSE)</f>
        <v>North America</v>
      </c>
      <c r="G433">
        <v>3.75</v>
      </c>
      <c r="H433" t="str" cm="1">
        <f t="array" ref="H433">_xlfn.IFS(Ramen_Ratings[[#This Row],[Stars]] = "Unrated", "NA",Ramen_Ratings[[#This Row],[Stars]]&gt;=4, "Good", Ramen_Ratings[[#This Row],[Stars]]&gt;2.5, "Fair", Ramen_Ratings[[#This Row],[Stars]] &gt;= 0, "Bad")</f>
        <v>Fair</v>
      </c>
      <c r="J433" t="str">
        <f>LEFT(Ramen_Ratings[[#This Row],[Top Ten]],4)</f>
        <v/>
      </c>
      <c r="K433" t="str">
        <f>IF(Ramen_Ratings[[#This Row],[Top Ten]]="", "",RIGHT(Ramen_Ratings[[#This Row],[Top Ten]],LEN(Ramen_Ratings[[#This Row],[Top Ten]])-6))</f>
        <v/>
      </c>
    </row>
    <row r="434" spans="1:11" x14ac:dyDescent="0.25">
      <c r="A434">
        <v>2201</v>
      </c>
      <c r="B434" t="s">
        <v>514</v>
      </c>
      <c r="C434" t="s">
        <v>515</v>
      </c>
      <c r="D434" t="s">
        <v>9</v>
      </c>
      <c r="E434" t="s">
        <v>516</v>
      </c>
      <c r="F434" t="str">
        <f>VLOOKUP(Ramen_Ratings[[#This Row],[Country]],Country_Region[#All],2,FALSE)</f>
        <v>Europe</v>
      </c>
      <c r="G434">
        <v>2</v>
      </c>
      <c r="H434" t="str" cm="1">
        <f t="array" ref="H434">_xlfn.IFS(Ramen_Ratings[[#This Row],[Stars]] = "Unrated", "NA",Ramen_Ratings[[#This Row],[Stars]]&gt;=4, "Good", Ramen_Ratings[[#This Row],[Stars]]&gt;2.5, "Fair", Ramen_Ratings[[#This Row],[Stars]] &gt;= 0, "Bad")</f>
        <v>Bad</v>
      </c>
      <c r="J434" t="str">
        <f>LEFT(Ramen_Ratings[[#This Row],[Top Ten]],4)</f>
        <v/>
      </c>
      <c r="K434" t="str">
        <f>IF(Ramen_Ratings[[#This Row],[Top Ten]]="", "",RIGHT(Ramen_Ratings[[#This Row],[Top Ten]],LEN(Ramen_Ratings[[#This Row],[Top Ten]])-6))</f>
        <v/>
      </c>
    </row>
    <row r="435" spans="1:11" x14ac:dyDescent="0.25">
      <c r="A435">
        <v>2200</v>
      </c>
      <c r="B435" t="s">
        <v>514</v>
      </c>
      <c r="C435" t="s">
        <v>517</v>
      </c>
      <c r="D435" t="s">
        <v>9</v>
      </c>
      <c r="E435" t="s">
        <v>516</v>
      </c>
      <c r="F435" t="str">
        <f>VLOOKUP(Ramen_Ratings[[#This Row],[Country]],Country_Region[#All],2,FALSE)</f>
        <v>Europe</v>
      </c>
      <c r="G435">
        <v>5</v>
      </c>
      <c r="H435" t="str" cm="1">
        <f t="array" ref="H435">_xlfn.IFS(Ramen_Ratings[[#This Row],[Stars]] = "Unrated", "NA",Ramen_Ratings[[#This Row],[Stars]]&gt;=4, "Good", Ramen_Ratings[[#This Row],[Stars]]&gt;2.5, "Fair", Ramen_Ratings[[#This Row],[Stars]] &gt;= 0, "Bad")</f>
        <v>Good</v>
      </c>
      <c r="J435" t="str">
        <f>LEFT(Ramen_Ratings[[#This Row],[Top Ten]],4)</f>
        <v/>
      </c>
      <c r="K435" t="str">
        <f>IF(Ramen_Ratings[[#This Row],[Top Ten]]="", "",RIGHT(Ramen_Ratings[[#This Row],[Top Ten]],LEN(Ramen_Ratings[[#This Row],[Top Ten]])-6))</f>
        <v/>
      </c>
    </row>
    <row r="436" spans="1:11" x14ac:dyDescent="0.25">
      <c r="A436">
        <v>2199</v>
      </c>
      <c r="B436" t="s">
        <v>514</v>
      </c>
      <c r="C436" t="s">
        <v>518</v>
      </c>
      <c r="D436" t="s">
        <v>9</v>
      </c>
      <c r="E436" t="s">
        <v>516</v>
      </c>
      <c r="F436" t="str">
        <f>VLOOKUP(Ramen_Ratings[[#This Row],[Country]],Country_Region[#All],2,FALSE)</f>
        <v>Europe</v>
      </c>
      <c r="G436">
        <v>3</v>
      </c>
      <c r="H436" t="str" cm="1">
        <f t="array" ref="H436">_xlfn.IFS(Ramen_Ratings[[#This Row],[Stars]] = "Unrated", "NA",Ramen_Ratings[[#This Row],[Stars]]&gt;=4, "Good", Ramen_Ratings[[#This Row],[Stars]]&gt;2.5, "Fair", Ramen_Ratings[[#This Row],[Stars]] &gt;= 0, "Bad")</f>
        <v>Fair</v>
      </c>
      <c r="J436" t="str">
        <f>LEFT(Ramen_Ratings[[#This Row],[Top Ten]],4)</f>
        <v/>
      </c>
      <c r="K436" t="str">
        <f>IF(Ramen_Ratings[[#This Row],[Top Ten]]="", "",RIGHT(Ramen_Ratings[[#This Row],[Top Ten]],LEN(Ramen_Ratings[[#This Row],[Top Ten]])-6))</f>
        <v/>
      </c>
    </row>
    <row r="437" spans="1:11" x14ac:dyDescent="0.25">
      <c r="A437">
        <v>2198</v>
      </c>
      <c r="B437" t="s">
        <v>514</v>
      </c>
      <c r="C437" t="s">
        <v>519</v>
      </c>
      <c r="D437" t="s">
        <v>9</v>
      </c>
      <c r="E437" t="s">
        <v>516</v>
      </c>
      <c r="F437" t="str">
        <f>VLOOKUP(Ramen_Ratings[[#This Row],[Country]],Country_Region[#All],2,FALSE)</f>
        <v>Europe</v>
      </c>
      <c r="G437">
        <v>3</v>
      </c>
      <c r="H437" t="str" cm="1">
        <f t="array" ref="H437">_xlfn.IFS(Ramen_Ratings[[#This Row],[Stars]] = "Unrated", "NA",Ramen_Ratings[[#This Row],[Stars]]&gt;=4, "Good", Ramen_Ratings[[#This Row],[Stars]]&gt;2.5, "Fair", Ramen_Ratings[[#This Row],[Stars]] &gt;= 0, "Bad")</f>
        <v>Fair</v>
      </c>
      <c r="J437" t="str">
        <f>LEFT(Ramen_Ratings[[#This Row],[Top Ten]],4)</f>
        <v/>
      </c>
      <c r="K437" t="str">
        <f>IF(Ramen_Ratings[[#This Row],[Top Ten]]="", "",RIGHT(Ramen_Ratings[[#This Row],[Top Ten]],LEN(Ramen_Ratings[[#This Row],[Top Ten]])-6))</f>
        <v/>
      </c>
    </row>
    <row r="438" spans="1:11" x14ac:dyDescent="0.25">
      <c r="A438">
        <v>2197</v>
      </c>
      <c r="B438" t="s">
        <v>514</v>
      </c>
      <c r="C438" t="s">
        <v>520</v>
      </c>
      <c r="D438" t="s">
        <v>9</v>
      </c>
      <c r="E438" t="s">
        <v>516</v>
      </c>
      <c r="F438" t="str">
        <f>VLOOKUP(Ramen_Ratings[[#This Row],[Country]],Country_Region[#All],2,FALSE)</f>
        <v>Europe</v>
      </c>
      <c r="G438">
        <v>5</v>
      </c>
      <c r="H438" t="str" cm="1">
        <f t="array" ref="H438">_xlfn.IFS(Ramen_Ratings[[#This Row],[Stars]] = "Unrated", "NA",Ramen_Ratings[[#This Row],[Stars]]&gt;=4, "Good", Ramen_Ratings[[#This Row],[Stars]]&gt;2.5, "Fair", Ramen_Ratings[[#This Row],[Stars]] &gt;= 0, "Bad")</f>
        <v>Good</v>
      </c>
      <c r="J438" t="str">
        <f>LEFT(Ramen_Ratings[[#This Row],[Top Ten]],4)</f>
        <v/>
      </c>
      <c r="K438" t="str">
        <f>IF(Ramen_Ratings[[#This Row],[Top Ten]]="", "",RIGHT(Ramen_Ratings[[#This Row],[Top Ten]],LEN(Ramen_Ratings[[#This Row],[Top Ten]])-6))</f>
        <v/>
      </c>
    </row>
    <row r="439" spans="1:11" x14ac:dyDescent="0.25">
      <c r="A439">
        <v>2196</v>
      </c>
      <c r="B439" t="s">
        <v>514</v>
      </c>
      <c r="C439" t="s">
        <v>521</v>
      </c>
      <c r="D439" t="s">
        <v>9</v>
      </c>
      <c r="E439" t="s">
        <v>516</v>
      </c>
      <c r="F439" t="str">
        <f>VLOOKUP(Ramen_Ratings[[#This Row],[Country]],Country_Region[#All],2,FALSE)</f>
        <v>Europe</v>
      </c>
      <c r="G439">
        <v>3.3</v>
      </c>
      <c r="H439" t="str" cm="1">
        <f t="array" ref="H439">_xlfn.IFS(Ramen_Ratings[[#This Row],[Stars]] = "Unrated", "NA",Ramen_Ratings[[#This Row],[Stars]]&gt;=4, "Good", Ramen_Ratings[[#This Row],[Stars]]&gt;2.5, "Fair", Ramen_Ratings[[#This Row],[Stars]] &gt;= 0, "Bad")</f>
        <v>Fair</v>
      </c>
      <c r="J439" t="str">
        <f>LEFT(Ramen_Ratings[[#This Row],[Top Ten]],4)</f>
        <v/>
      </c>
      <c r="K439" t="str">
        <f>IF(Ramen_Ratings[[#This Row],[Top Ten]]="", "",RIGHT(Ramen_Ratings[[#This Row],[Top Ten]],LEN(Ramen_Ratings[[#This Row],[Top Ten]])-6))</f>
        <v/>
      </c>
    </row>
    <row r="440" spans="1:11" x14ac:dyDescent="0.25">
      <c r="A440">
        <v>2025</v>
      </c>
      <c r="B440" t="s">
        <v>712</v>
      </c>
      <c r="C440" t="s">
        <v>713</v>
      </c>
      <c r="D440" t="s">
        <v>9</v>
      </c>
      <c r="E440" t="s">
        <v>516</v>
      </c>
      <c r="F440" t="str">
        <f>VLOOKUP(Ramen_Ratings[[#This Row],[Country]],Country_Region[#All],2,FALSE)</f>
        <v>Europe</v>
      </c>
      <c r="G440">
        <v>2</v>
      </c>
      <c r="H440" t="str" cm="1">
        <f t="array" ref="H440">_xlfn.IFS(Ramen_Ratings[[#This Row],[Stars]] = "Unrated", "NA",Ramen_Ratings[[#This Row],[Stars]]&gt;=4, "Good", Ramen_Ratings[[#This Row],[Stars]]&gt;2.5, "Fair", Ramen_Ratings[[#This Row],[Stars]] &gt;= 0, "Bad")</f>
        <v>Bad</v>
      </c>
      <c r="J440" t="str">
        <f>LEFT(Ramen_Ratings[[#This Row],[Top Ten]],4)</f>
        <v/>
      </c>
      <c r="K440" t="str">
        <f>IF(Ramen_Ratings[[#This Row],[Top Ten]]="", "",RIGHT(Ramen_Ratings[[#This Row],[Top Ten]],LEN(Ramen_Ratings[[#This Row],[Top Ten]])-6))</f>
        <v/>
      </c>
    </row>
    <row r="441" spans="1:11" x14ac:dyDescent="0.25">
      <c r="A441">
        <v>2024</v>
      </c>
      <c r="B441" t="s">
        <v>712</v>
      </c>
      <c r="C441" t="s">
        <v>714</v>
      </c>
      <c r="D441" t="s">
        <v>9</v>
      </c>
      <c r="E441" t="s">
        <v>516</v>
      </c>
      <c r="F441" t="str">
        <f>VLOOKUP(Ramen_Ratings[[#This Row],[Country]],Country_Region[#All],2,FALSE)</f>
        <v>Europe</v>
      </c>
      <c r="G441">
        <v>2.5</v>
      </c>
      <c r="H441" t="str" cm="1">
        <f t="array" ref="H441">_xlfn.IFS(Ramen_Ratings[[#This Row],[Stars]] = "Unrated", "NA",Ramen_Ratings[[#This Row],[Stars]]&gt;=4, "Good", Ramen_Ratings[[#This Row],[Stars]]&gt;2.5, "Fair", Ramen_Ratings[[#This Row],[Stars]] &gt;= 0, "Bad")</f>
        <v>Bad</v>
      </c>
      <c r="J441" t="str">
        <f>LEFT(Ramen_Ratings[[#This Row],[Top Ten]],4)</f>
        <v/>
      </c>
      <c r="K441" t="str">
        <f>IF(Ramen_Ratings[[#This Row],[Top Ten]]="", "",RIGHT(Ramen_Ratings[[#This Row],[Top Ten]],LEN(Ramen_Ratings[[#This Row],[Top Ten]])-6))</f>
        <v/>
      </c>
    </row>
    <row r="442" spans="1:11" x14ac:dyDescent="0.25">
      <c r="A442">
        <v>2023</v>
      </c>
      <c r="B442" t="s">
        <v>712</v>
      </c>
      <c r="C442" t="s">
        <v>715</v>
      </c>
      <c r="D442" t="s">
        <v>9</v>
      </c>
      <c r="E442" t="s">
        <v>516</v>
      </c>
      <c r="F442" t="str">
        <f>VLOOKUP(Ramen_Ratings[[#This Row],[Country]],Country_Region[#All],2,FALSE)</f>
        <v>Europe</v>
      </c>
      <c r="G442">
        <v>0</v>
      </c>
      <c r="H442" t="str" cm="1">
        <f t="array" ref="H442">_xlfn.IFS(Ramen_Ratings[[#This Row],[Stars]] = "Unrated", "NA",Ramen_Ratings[[#This Row],[Stars]]&gt;=4, "Good", Ramen_Ratings[[#This Row],[Stars]]&gt;2.5, "Fair", Ramen_Ratings[[#This Row],[Stars]] &gt;= 0, "Bad")</f>
        <v>Bad</v>
      </c>
      <c r="J442" t="str">
        <f>LEFT(Ramen_Ratings[[#This Row],[Top Ten]],4)</f>
        <v/>
      </c>
      <c r="K442" t="str">
        <f>IF(Ramen_Ratings[[#This Row],[Top Ten]]="", "",RIGHT(Ramen_Ratings[[#This Row],[Top Ten]],LEN(Ramen_Ratings[[#This Row],[Top Ten]])-6))</f>
        <v/>
      </c>
    </row>
    <row r="443" spans="1:11" x14ac:dyDescent="0.25">
      <c r="A443">
        <v>2022</v>
      </c>
      <c r="B443" t="s">
        <v>712</v>
      </c>
      <c r="C443" t="s">
        <v>716</v>
      </c>
      <c r="D443" t="s">
        <v>9</v>
      </c>
      <c r="E443" t="s">
        <v>516</v>
      </c>
      <c r="F443" t="str">
        <f>VLOOKUP(Ramen_Ratings[[#This Row],[Country]],Country_Region[#All],2,FALSE)</f>
        <v>Europe</v>
      </c>
      <c r="G443">
        <v>3</v>
      </c>
      <c r="H443" t="str" cm="1">
        <f t="array" ref="H443">_xlfn.IFS(Ramen_Ratings[[#This Row],[Stars]] = "Unrated", "NA",Ramen_Ratings[[#This Row],[Stars]]&gt;=4, "Good", Ramen_Ratings[[#This Row],[Stars]]&gt;2.5, "Fair", Ramen_Ratings[[#This Row],[Stars]] &gt;= 0, "Bad")</f>
        <v>Fair</v>
      </c>
      <c r="J443" t="str">
        <f>LEFT(Ramen_Ratings[[#This Row],[Top Ten]],4)</f>
        <v/>
      </c>
      <c r="K443" t="str">
        <f>IF(Ramen_Ratings[[#This Row],[Top Ten]]="", "",RIGHT(Ramen_Ratings[[#This Row],[Top Ten]],LEN(Ramen_Ratings[[#This Row],[Top Ten]])-6))</f>
        <v/>
      </c>
    </row>
    <row r="444" spans="1:11" x14ac:dyDescent="0.25">
      <c r="A444">
        <v>2021</v>
      </c>
      <c r="B444" t="s">
        <v>712</v>
      </c>
      <c r="C444" t="s">
        <v>717</v>
      </c>
      <c r="D444" t="s">
        <v>9</v>
      </c>
      <c r="E444" t="s">
        <v>516</v>
      </c>
      <c r="F444" t="str">
        <f>VLOOKUP(Ramen_Ratings[[#This Row],[Country]],Country_Region[#All],2,FALSE)</f>
        <v>Europe</v>
      </c>
      <c r="G444">
        <v>5</v>
      </c>
      <c r="H444" t="str" cm="1">
        <f t="array" ref="H444">_xlfn.IFS(Ramen_Ratings[[#This Row],[Stars]] = "Unrated", "NA",Ramen_Ratings[[#This Row],[Stars]]&gt;=4, "Good", Ramen_Ratings[[#This Row],[Stars]]&gt;2.5, "Fair", Ramen_Ratings[[#This Row],[Stars]] &gt;= 0, "Bad")</f>
        <v>Good</v>
      </c>
      <c r="J444" t="str">
        <f>LEFT(Ramen_Ratings[[#This Row],[Top Ten]],4)</f>
        <v/>
      </c>
      <c r="K444" t="str">
        <f>IF(Ramen_Ratings[[#This Row],[Top Ten]]="", "",RIGHT(Ramen_Ratings[[#This Row],[Top Ten]],LEN(Ramen_Ratings[[#This Row],[Top Ten]])-6))</f>
        <v/>
      </c>
    </row>
    <row r="445" spans="1:11" x14ac:dyDescent="0.25">
      <c r="A445">
        <v>1963</v>
      </c>
      <c r="B445" t="s">
        <v>783</v>
      </c>
      <c r="C445" t="s">
        <v>784</v>
      </c>
      <c r="D445" t="s">
        <v>9</v>
      </c>
      <c r="E445" t="s">
        <v>516</v>
      </c>
      <c r="F445" t="str">
        <f>VLOOKUP(Ramen_Ratings[[#This Row],[Country]],Country_Region[#All],2,FALSE)</f>
        <v>Europe</v>
      </c>
      <c r="G445">
        <v>3.75</v>
      </c>
      <c r="H445" t="str" cm="1">
        <f t="array" ref="H445">_xlfn.IFS(Ramen_Ratings[[#This Row],[Stars]] = "Unrated", "NA",Ramen_Ratings[[#This Row],[Stars]]&gt;=4, "Good", Ramen_Ratings[[#This Row],[Stars]]&gt;2.5, "Fair", Ramen_Ratings[[#This Row],[Stars]] &gt;= 0, "Bad")</f>
        <v>Fair</v>
      </c>
      <c r="J445" t="str">
        <f>LEFT(Ramen_Ratings[[#This Row],[Top Ten]],4)</f>
        <v/>
      </c>
      <c r="K445" t="str">
        <f>IF(Ramen_Ratings[[#This Row],[Top Ten]]="", "",RIGHT(Ramen_Ratings[[#This Row],[Top Ten]],LEN(Ramen_Ratings[[#This Row],[Top Ten]])-6))</f>
        <v/>
      </c>
    </row>
    <row r="446" spans="1:11" x14ac:dyDescent="0.25">
      <c r="A446">
        <v>1962</v>
      </c>
      <c r="B446" t="s">
        <v>783</v>
      </c>
      <c r="C446" t="s">
        <v>785</v>
      </c>
      <c r="D446" t="s">
        <v>9</v>
      </c>
      <c r="E446" t="s">
        <v>516</v>
      </c>
      <c r="F446" t="str">
        <f>VLOOKUP(Ramen_Ratings[[#This Row],[Country]],Country_Region[#All],2,FALSE)</f>
        <v>Europe</v>
      </c>
      <c r="G446">
        <v>3.5</v>
      </c>
      <c r="H446" t="str" cm="1">
        <f t="array" ref="H446">_xlfn.IFS(Ramen_Ratings[[#This Row],[Stars]] = "Unrated", "NA",Ramen_Ratings[[#This Row],[Stars]]&gt;=4, "Good", Ramen_Ratings[[#This Row],[Stars]]&gt;2.5, "Fair", Ramen_Ratings[[#This Row],[Stars]] &gt;= 0, "Bad")</f>
        <v>Fair</v>
      </c>
      <c r="J446" t="str">
        <f>LEFT(Ramen_Ratings[[#This Row],[Top Ten]],4)</f>
        <v/>
      </c>
      <c r="K446" t="str">
        <f>IF(Ramen_Ratings[[#This Row],[Top Ten]]="", "",RIGHT(Ramen_Ratings[[#This Row],[Top Ten]],LEN(Ramen_Ratings[[#This Row],[Top Ten]])-6))</f>
        <v/>
      </c>
    </row>
    <row r="447" spans="1:11" x14ac:dyDescent="0.25">
      <c r="A447">
        <v>1961</v>
      </c>
      <c r="B447" t="s">
        <v>783</v>
      </c>
      <c r="C447" t="s">
        <v>786</v>
      </c>
      <c r="D447" t="s">
        <v>9</v>
      </c>
      <c r="E447" t="s">
        <v>516</v>
      </c>
      <c r="F447" t="str">
        <f>VLOOKUP(Ramen_Ratings[[#This Row],[Country]],Country_Region[#All],2,FALSE)</f>
        <v>Europe</v>
      </c>
      <c r="G447">
        <v>4.25</v>
      </c>
      <c r="H447" t="str" cm="1">
        <f t="array" ref="H447">_xlfn.IFS(Ramen_Ratings[[#This Row],[Stars]] = "Unrated", "NA",Ramen_Ratings[[#This Row],[Stars]]&gt;=4, "Good", Ramen_Ratings[[#This Row],[Stars]]&gt;2.5, "Fair", Ramen_Ratings[[#This Row],[Stars]] &gt;= 0, "Bad")</f>
        <v>Good</v>
      </c>
      <c r="J447" t="str">
        <f>LEFT(Ramen_Ratings[[#This Row],[Top Ten]],4)</f>
        <v/>
      </c>
      <c r="K447" t="str">
        <f>IF(Ramen_Ratings[[#This Row],[Top Ten]]="", "",RIGHT(Ramen_Ratings[[#This Row],[Top Ten]],LEN(Ramen_Ratings[[#This Row],[Top Ten]])-6))</f>
        <v/>
      </c>
    </row>
    <row r="448" spans="1:11" x14ac:dyDescent="0.25">
      <c r="A448">
        <v>1960</v>
      </c>
      <c r="B448" t="s">
        <v>783</v>
      </c>
      <c r="C448" t="s">
        <v>787</v>
      </c>
      <c r="D448" t="s">
        <v>9</v>
      </c>
      <c r="E448" t="s">
        <v>516</v>
      </c>
      <c r="F448" t="str">
        <f>VLOOKUP(Ramen_Ratings[[#This Row],[Country]],Country_Region[#All],2,FALSE)</f>
        <v>Europe</v>
      </c>
      <c r="G448">
        <v>4</v>
      </c>
      <c r="H448" t="str" cm="1">
        <f t="array" ref="H448">_xlfn.IFS(Ramen_Ratings[[#This Row],[Stars]] = "Unrated", "NA",Ramen_Ratings[[#This Row],[Stars]]&gt;=4, "Good", Ramen_Ratings[[#This Row],[Stars]]&gt;2.5, "Fair", Ramen_Ratings[[#This Row],[Stars]] &gt;= 0, "Bad")</f>
        <v>Good</v>
      </c>
      <c r="J448" t="str">
        <f>LEFT(Ramen_Ratings[[#This Row],[Top Ten]],4)</f>
        <v/>
      </c>
      <c r="K448" t="str">
        <f>IF(Ramen_Ratings[[#This Row],[Top Ten]]="", "",RIGHT(Ramen_Ratings[[#This Row],[Top Ten]],LEN(Ramen_Ratings[[#This Row],[Top Ten]])-6))</f>
        <v/>
      </c>
    </row>
    <row r="449" spans="1:11" x14ac:dyDescent="0.25">
      <c r="A449">
        <v>1555</v>
      </c>
      <c r="B449" t="s">
        <v>1266</v>
      </c>
      <c r="C449" t="s">
        <v>1267</v>
      </c>
      <c r="D449" t="s">
        <v>13</v>
      </c>
      <c r="E449" t="s">
        <v>516</v>
      </c>
      <c r="F449" t="str">
        <f>VLOOKUP(Ramen_Ratings[[#This Row],[Country]],Country_Region[#All],2,FALSE)</f>
        <v>Europe</v>
      </c>
      <c r="G449">
        <v>3.5</v>
      </c>
      <c r="H449" t="str" cm="1">
        <f t="array" ref="H449">_xlfn.IFS(Ramen_Ratings[[#This Row],[Stars]] = "Unrated", "NA",Ramen_Ratings[[#This Row],[Stars]]&gt;=4, "Good", Ramen_Ratings[[#This Row],[Stars]]&gt;2.5, "Fair", Ramen_Ratings[[#This Row],[Stars]] &gt;= 0, "Bad")</f>
        <v>Fair</v>
      </c>
      <c r="J449" t="str">
        <f>LEFT(Ramen_Ratings[[#This Row],[Top Ten]],4)</f>
        <v/>
      </c>
      <c r="K449" t="str">
        <f>IF(Ramen_Ratings[[#This Row],[Top Ten]]="", "",RIGHT(Ramen_Ratings[[#This Row],[Top Ten]],LEN(Ramen_Ratings[[#This Row],[Top Ten]])-6))</f>
        <v/>
      </c>
    </row>
    <row r="450" spans="1:11" x14ac:dyDescent="0.25">
      <c r="A450">
        <v>1424</v>
      </c>
      <c r="B450" t="s">
        <v>1404</v>
      </c>
      <c r="C450" t="s">
        <v>85</v>
      </c>
      <c r="D450" t="s">
        <v>13</v>
      </c>
      <c r="E450" t="s">
        <v>516</v>
      </c>
      <c r="F450" t="str">
        <f>VLOOKUP(Ramen_Ratings[[#This Row],[Country]],Country_Region[#All],2,FALSE)</f>
        <v>Europe</v>
      </c>
      <c r="G450">
        <v>1.5</v>
      </c>
      <c r="H450" t="str" cm="1">
        <f t="array" ref="H450">_xlfn.IFS(Ramen_Ratings[[#This Row],[Stars]] = "Unrated", "NA",Ramen_Ratings[[#This Row],[Stars]]&gt;=4, "Good", Ramen_Ratings[[#This Row],[Stars]]&gt;2.5, "Fair", Ramen_Ratings[[#This Row],[Stars]] &gt;= 0, "Bad")</f>
        <v>Bad</v>
      </c>
      <c r="J450" t="str">
        <f>LEFT(Ramen_Ratings[[#This Row],[Top Ten]],4)</f>
        <v/>
      </c>
      <c r="K450" t="str">
        <f>IF(Ramen_Ratings[[#This Row],[Top Ten]]="", "",RIGHT(Ramen_Ratings[[#This Row],[Top Ten]],LEN(Ramen_Ratings[[#This Row],[Top Ten]])-6))</f>
        <v/>
      </c>
    </row>
    <row r="451" spans="1:11" x14ac:dyDescent="0.25">
      <c r="A451">
        <v>1403</v>
      </c>
      <c r="B451" t="s">
        <v>1429</v>
      </c>
      <c r="C451" t="s">
        <v>1430</v>
      </c>
      <c r="D451" t="s">
        <v>9</v>
      </c>
      <c r="E451" t="s">
        <v>516</v>
      </c>
      <c r="F451" t="str">
        <f>VLOOKUP(Ramen_Ratings[[#This Row],[Country]],Country_Region[#All],2,FALSE)</f>
        <v>Europe</v>
      </c>
      <c r="G451">
        <v>0.5</v>
      </c>
      <c r="H451" t="str" cm="1">
        <f t="array" ref="H451">_xlfn.IFS(Ramen_Ratings[[#This Row],[Stars]] = "Unrated", "NA",Ramen_Ratings[[#This Row],[Stars]]&gt;=4, "Good", Ramen_Ratings[[#This Row],[Stars]]&gt;2.5, "Fair", Ramen_Ratings[[#This Row],[Stars]] &gt;= 0, "Bad")</f>
        <v>Bad</v>
      </c>
      <c r="J451" t="str">
        <f>LEFT(Ramen_Ratings[[#This Row],[Top Ten]],4)</f>
        <v/>
      </c>
      <c r="K451" t="str">
        <f>IF(Ramen_Ratings[[#This Row],[Top Ten]]="", "",RIGHT(Ramen_Ratings[[#This Row],[Top Ten]],LEN(Ramen_Ratings[[#This Row],[Top Ten]])-6))</f>
        <v/>
      </c>
    </row>
    <row r="452" spans="1:11" x14ac:dyDescent="0.25">
      <c r="A452">
        <v>1389</v>
      </c>
      <c r="B452" t="s">
        <v>1448</v>
      </c>
      <c r="C452" t="s">
        <v>1449</v>
      </c>
      <c r="D452" t="s">
        <v>13</v>
      </c>
      <c r="E452" t="s">
        <v>516</v>
      </c>
      <c r="F452" t="str">
        <f>VLOOKUP(Ramen_Ratings[[#This Row],[Country]],Country_Region[#All],2,FALSE)</f>
        <v>Europe</v>
      </c>
      <c r="G452">
        <v>1.75</v>
      </c>
      <c r="H452" t="str" cm="1">
        <f t="array" ref="H452">_xlfn.IFS(Ramen_Ratings[[#This Row],[Stars]] = "Unrated", "NA",Ramen_Ratings[[#This Row],[Stars]]&gt;=4, "Good", Ramen_Ratings[[#This Row],[Stars]]&gt;2.5, "Fair", Ramen_Ratings[[#This Row],[Stars]] &gt;= 0, "Bad")</f>
        <v>Bad</v>
      </c>
      <c r="J452" t="str">
        <f>LEFT(Ramen_Ratings[[#This Row],[Top Ten]],4)</f>
        <v/>
      </c>
      <c r="K452" t="str">
        <f>IF(Ramen_Ratings[[#This Row],[Top Ten]]="", "",RIGHT(Ramen_Ratings[[#This Row],[Top Ten]],LEN(Ramen_Ratings[[#This Row],[Top Ten]])-6))</f>
        <v/>
      </c>
    </row>
    <row r="453" spans="1:11" x14ac:dyDescent="0.25">
      <c r="A453">
        <v>1373</v>
      </c>
      <c r="B453" t="s">
        <v>1429</v>
      </c>
      <c r="C453" t="s">
        <v>1464</v>
      </c>
      <c r="D453" t="s">
        <v>9</v>
      </c>
      <c r="E453" t="s">
        <v>516</v>
      </c>
      <c r="F453" t="str">
        <f>VLOOKUP(Ramen_Ratings[[#This Row],[Country]],Country_Region[#All],2,FALSE)</f>
        <v>Europe</v>
      </c>
      <c r="G453">
        <v>2</v>
      </c>
      <c r="H453" t="str" cm="1">
        <f t="array" ref="H453">_xlfn.IFS(Ramen_Ratings[[#This Row],[Stars]] = "Unrated", "NA",Ramen_Ratings[[#This Row],[Stars]]&gt;=4, "Good", Ramen_Ratings[[#This Row],[Stars]]&gt;2.5, "Fair", Ramen_Ratings[[#This Row],[Stars]] &gt;= 0, "Bad")</f>
        <v>Bad</v>
      </c>
      <c r="J453" t="str">
        <f>LEFT(Ramen_Ratings[[#This Row],[Top Ten]],4)</f>
        <v/>
      </c>
      <c r="K453" t="str">
        <f>IF(Ramen_Ratings[[#This Row],[Top Ten]]="", "",RIGHT(Ramen_Ratings[[#This Row],[Top Ten]],LEN(Ramen_Ratings[[#This Row],[Top Ten]])-6))</f>
        <v/>
      </c>
    </row>
    <row r="454" spans="1:11" x14ac:dyDescent="0.25">
      <c r="A454">
        <v>1367</v>
      </c>
      <c r="B454" t="s">
        <v>1471</v>
      </c>
      <c r="C454" t="s">
        <v>1472</v>
      </c>
      <c r="D454" t="s">
        <v>13</v>
      </c>
      <c r="E454" t="s">
        <v>516</v>
      </c>
      <c r="F454" t="str">
        <f>VLOOKUP(Ramen_Ratings[[#This Row],[Country]],Country_Region[#All],2,FALSE)</f>
        <v>Europe</v>
      </c>
      <c r="G454">
        <v>1.5</v>
      </c>
      <c r="H454" t="str" cm="1">
        <f t="array" ref="H454">_xlfn.IFS(Ramen_Ratings[[#This Row],[Stars]] = "Unrated", "NA",Ramen_Ratings[[#This Row],[Stars]]&gt;=4, "Good", Ramen_Ratings[[#This Row],[Stars]]&gt;2.5, "Fair", Ramen_Ratings[[#This Row],[Stars]] &gt;= 0, "Bad")</f>
        <v>Bad</v>
      </c>
      <c r="J454" t="str">
        <f>LEFT(Ramen_Ratings[[#This Row],[Top Ten]],4)</f>
        <v/>
      </c>
      <c r="K454" t="str">
        <f>IF(Ramen_Ratings[[#This Row],[Top Ten]]="", "",RIGHT(Ramen_Ratings[[#This Row],[Top Ten]],LEN(Ramen_Ratings[[#This Row],[Top Ten]])-6))</f>
        <v/>
      </c>
    </row>
    <row r="455" spans="1:11" x14ac:dyDescent="0.25">
      <c r="A455">
        <v>1338</v>
      </c>
      <c r="B455" t="s">
        <v>1502</v>
      </c>
      <c r="C455" t="s">
        <v>1503</v>
      </c>
      <c r="D455" t="s">
        <v>13</v>
      </c>
      <c r="E455" t="s">
        <v>516</v>
      </c>
      <c r="F455" t="str">
        <f>VLOOKUP(Ramen_Ratings[[#This Row],[Country]],Country_Region[#All],2,FALSE)</f>
        <v>Europe</v>
      </c>
      <c r="G455">
        <v>1.5</v>
      </c>
      <c r="H455" t="str" cm="1">
        <f t="array" ref="H455">_xlfn.IFS(Ramen_Ratings[[#This Row],[Stars]] = "Unrated", "NA",Ramen_Ratings[[#This Row],[Stars]]&gt;=4, "Good", Ramen_Ratings[[#This Row],[Stars]]&gt;2.5, "Fair", Ramen_Ratings[[#This Row],[Stars]] &gt;= 0, "Bad")</f>
        <v>Bad</v>
      </c>
      <c r="J455" t="str">
        <f>LEFT(Ramen_Ratings[[#This Row],[Top Ten]],4)</f>
        <v/>
      </c>
      <c r="K455" t="str">
        <f>IF(Ramen_Ratings[[#This Row],[Top Ten]]="", "",RIGHT(Ramen_Ratings[[#This Row],[Top Ten]],LEN(Ramen_Ratings[[#This Row],[Top Ten]])-6))</f>
        <v/>
      </c>
    </row>
    <row r="456" spans="1:11" x14ac:dyDescent="0.25">
      <c r="A456">
        <v>1315</v>
      </c>
      <c r="B456" t="s">
        <v>1404</v>
      </c>
      <c r="C456" t="s">
        <v>1149</v>
      </c>
      <c r="D456" t="s">
        <v>13</v>
      </c>
      <c r="E456" t="s">
        <v>516</v>
      </c>
      <c r="F456" t="str">
        <f>VLOOKUP(Ramen_Ratings[[#This Row],[Country]],Country_Region[#All],2,FALSE)</f>
        <v>Europe</v>
      </c>
      <c r="G456">
        <v>2.75</v>
      </c>
      <c r="H456" t="str" cm="1">
        <f t="array" ref="H456">_xlfn.IFS(Ramen_Ratings[[#This Row],[Stars]] = "Unrated", "NA",Ramen_Ratings[[#This Row],[Stars]]&gt;=4, "Good", Ramen_Ratings[[#This Row],[Stars]]&gt;2.5, "Fair", Ramen_Ratings[[#This Row],[Stars]] &gt;= 0, "Bad")</f>
        <v>Fair</v>
      </c>
      <c r="J456" t="str">
        <f>LEFT(Ramen_Ratings[[#This Row],[Top Ten]],4)</f>
        <v/>
      </c>
      <c r="K456" t="str">
        <f>IF(Ramen_Ratings[[#This Row],[Top Ten]]="", "",RIGHT(Ramen_Ratings[[#This Row],[Top Ten]],LEN(Ramen_Ratings[[#This Row],[Top Ten]])-6))</f>
        <v/>
      </c>
    </row>
    <row r="457" spans="1:11" x14ac:dyDescent="0.25">
      <c r="A457">
        <v>1286</v>
      </c>
      <c r="B457" t="s">
        <v>1502</v>
      </c>
      <c r="C457" t="s">
        <v>1562</v>
      </c>
      <c r="D457" t="s">
        <v>13</v>
      </c>
      <c r="E457" t="s">
        <v>516</v>
      </c>
      <c r="F457" t="str">
        <f>VLOOKUP(Ramen_Ratings[[#This Row],[Country]],Country_Region[#All],2,FALSE)</f>
        <v>Europe</v>
      </c>
      <c r="G457">
        <v>3.25</v>
      </c>
      <c r="H457" t="str" cm="1">
        <f t="array" ref="H457">_xlfn.IFS(Ramen_Ratings[[#This Row],[Stars]] = "Unrated", "NA",Ramen_Ratings[[#This Row],[Stars]]&gt;=4, "Good", Ramen_Ratings[[#This Row],[Stars]]&gt;2.5, "Fair", Ramen_Ratings[[#This Row],[Stars]] &gt;= 0, "Bad")</f>
        <v>Fair</v>
      </c>
      <c r="J457" t="str">
        <f>LEFT(Ramen_Ratings[[#This Row],[Top Ten]],4)</f>
        <v/>
      </c>
      <c r="K457" t="str">
        <f>IF(Ramen_Ratings[[#This Row],[Top Ten]]="", "",RIGHT(Ramen_Ratings[[#This Row],[Top Ten]],LEN(Ramen_Ratings[[#This Row],[Top Ten]])-6))</f>
        <v/>
      </c>
    </row>
    <row r="458" spans="1:11" x14ac:dyDescent="0.25">
      <c r="A458">
        <v>1279</v>
      </c>
      <c r="B458" t="s">
        <v>1266</v>
      </c>
      <c r="C458" t="s">
        <v>1570</v>
      </c>
      <c r="D458" t="s">
        <v>13</v>
      </c>
      <c r="E458" t="s">
        <v>516</v>
      </c>
      <c r="F458" t="str">
        <f>VLOOKUP(Ramen_Ratings[[#This Row],[Country]],Country_Region[#All],2,FALSE)</f>
        <v>Europe</v>
      </c>
      <c r="G458">
        <v>3.5</v>
      </c>
      <c r="H458" t="str" cm="1">
        <f t="array" ref="H458">_xlfn.IFS(Ramen_Ratings[[#This Row],[Stars]] = "Unrated", "NA",Ramen_Ratings[[#This Row],[Stars]]&gt;=4, "Good", Ramen_Ratings[[#This Row],[Stars]]&gt;2.5, "Fair", Ramen_Ratings[[#This Row],[Stars]] &gt;= 0, "Bad")</f>
        <v>Fair</v>
      </c>
      <c r="J458" t="str">
        <f>LEFT(Ramen_Ratings[[#This Row],[Top Ten]],4)</f>
        <v/>
      </c>
      <c r="K458" t="str">
        <f>IF(Ramen_Ratings[[#This Row],[Top Ten]]="", "",RIGHT(Ramen_Ratings[[#This Row],[Top Ten]],LEN(Ramen_Ratings[[#This Row],[Top Ten]])-6))</f>
        <v/>
      </c>
    </row>
    <row r="459" spans="1:11" x14ac:dyDescent="0.25">
      <c r="A459">
        <v>1273</v>
      </c>
      <c r="B459" t="s">
        <v>1404</v>
      </c>
      <c r="C459" t="s">
        <v>1576</v>
      </c>
      <c r="D459" t="s">
        <v>13</v>
      </c>
      <c r="E459" t="s">
        <v>516</v>
      </c>
      <c r="F459" t="str">
        <f>VLOOKUP(Ramen_Ratings[[#This Row],[Country]],Country_Region[#All],2,FALSE)</f>
        <v>Europe</v>
      </c>
      <c r="G459">
        <v>3.25</v>
      </c>
      <c r="H459" t="str" cm="1">
        <f t="array" ref="H459">_xlfn.IFS(Ramen_Ratings[[#This Row],[Stars]] = "Unrated", "NA",Ramen_Ratings[[#This Row],[Stars]]&gt;=4, "Good", Ramen_Ratings[[#This Row],[Stars]]&gt;2.5, "Fair", Ramen_Ratings[[#This Row],[Stars]] &gt;= 0, "Bad")</f>
        <v>Fair</v>
      </c>
      <c r="J459" t="str">
        <f>LEFT(Ramen_Ratings[[#This Row],[Top Ten]],4)</f>
        <v/>
      </c>
      <c r="K459" t="str">
        <f>IF(Ramen_Ratings[[#This Row],[Top Ten]]="", "",RIGHT(Ramen_Ratings[[#This Row],[Top Ten]],LEN(Ramen_Ratings[[#This Row],[Top Ten]])-6))</f>
        <v/>
      </c>
    </row>
    <row r="460" spans="1:11" x14ac:dyDescent="0.25">
      <c r="A460">
        <v>1270</v>
      </c>
      <c r="B460" t="s">
        <v>1266</v>
      </c>
      <c r="C460" t="s">
        <v>1580</v>
      </c>
      <c r="D460" t="s">
        <v>13</v>
      </c>
      <c r="E460" t="s">
        <v>516</v>
      </c>
      <c r="F460" t="str">
        <f>VLOOKUP(Ramen_Ratings[[#This Row],[Country]],Country_Region[#All],2,FALSE)</f>
        <v>Europe</v>
      </c>
      <c r="G460">
        <v>5</v>
      </c>
      <c r="H460" t="str" cm="1">
        <f t="array" ref="H460">_xlfn.IFS(Ramen_Ratings[[#This Row],[Stars]] = "Unrated", "NA",Ramen_Ratings[[#This Row],[Stars]]&gt;=4, "Good", Ramen_Ratings[[#This Row],[Stars]]&gt;2.5, "Fair", Ramen_Ratings[[#This Row],[Stars]] &gt;= 0, "Bad")</f>
        <v>Good</v>
      </c>
      <c r="J460" t="str">
        <f>LEFT(Ramen_Ratings[[#This Row],[Top Ten]],4)</f>
        <v/>
      </c>
      <c r="K460" t="str">
        <f>IF(Ramen_Ratings[[#This Row],[Top Ten]]="", "",RIGHT(Ramen_Ratings[[#This Row],[Top Ten]],LEN(Ramen_Ratings[[#This Row],[Top Ten]])-6))</f>
        <v/>
      </c>
    </row>
    <row r="461" spans="1:11" x14ac:dyDescent="0.25">
      <c r="A461">
        <v>1252</v>
      </c>
      <c r="B461" t="s">
        <v>1429</v>
      </c>
      <c r="C461" t="s">
        <v>1600</v>
      </c>
      <c r="D461" t="s">
        <v>13</v>
      </c>
      <c r="E461" t="s">
        <v>516</v>
      </c>
      <c r="F461" t="str">
        <f>VLOOKUP(Ramen_Ratings[[#This Row],[Country]],Country_Region[#All],2,FALSE)</f>
        <v>Europe</v>
      </c>
      <c r="G461">
        <v>2.25</v>
      </c>
      <c r="H461" t="str" cm="1">
        <f t="array" ref="H461">_xlfn.IFS(Ramen_Ratings[[#This Row],[Stars]] = "Unrated", "NA",Ramen_Ratings[[#This Row],[Stars]]&gt;=4, "Good", Ramen_Ratings[[#This Row],[Stars]]&gt;2.5, "Fair", Ramen_Ratings[[#This Row],[Stars]] &gt;= 0, "Bad")</f>
        <v>Bad</v>
      </c>
      <c r="J461" t="str">
        <f>LEFT(Ramen_Ratings[[#This Row],[Top Ten]],4)</f>
        <v/>
      </c>
      <c r="K461" t="str">
        <f>IF(Ramen_Ratings[[#This Row],[Top Ten]]="", "",RIGHT(Ramen_Ratings[[#This Row],[Top Ten]],LEN(Ramen_Ratings[[#This Row],[Top Ten]])-6))</f>
        <v/>
      </c>
    </row>
    <row r="462" spans="1:11" x14ac:dyDescent="0.25">
      <c r="A462">
        <v>1234</v>
      </c>
      <c r="B462" t="s">
        <v>1404</v>
      </c>
      <c r="C462" t="s">
        <v>1619</v>
      </c>
      <c r="D462" t="s">
        <v>13</v>
      </c>
      <c r="E462" t="s">
        <v>516</v>
      </c>
      <c r="F462" t="str">
        <f>VLOOKUP(Ramen_Ratings[[#This Row],[Country]],Country_Region[#All],2,FALSE)</f>
        <v>Europe</v>
      </c>
      <c r="G462">
        <v>2.75</v>
      </c>
      <c r="H462" t="str" cm="1">
        <f t="array" ref="H462">_xlfn.IFS(Ramen_Ratings[[#This Row],[Stars]] = "Unrated", "NA",Ramen_Ratings[[#This Row],[Stars]]&gt;=4, "Good", Ramen_Ratings[[#This Row],[Stars]]&gt;2.5, "Fair", Ramen_Ratings[[#This Row],[Stars]] &gt;= 0, "Bad")</f>
        <v>Fair</v>
      </c>
      <c r="J462" t="str">
        <f>LEFT(Ramen_Ratings[[#This Row],[Top Ten]],4)</f>
        <v/>
      </c>
      <c r="K462" t="str">
        <f>IF(Ramen_Ratings[[#This Row],[Top Ten]]="", "",RIGHT(Ramen_Ratings[[#This Row],[Top Ten]],LEN(Ramen_Ratings[[#This Row],[Top Ten]])-6))</f>
        <v/>
      </c>
    </row>
    <row r="463" spans="1:11" x14ac:dyDescent="0.25">
      <c r="A463">
        <v>1216</v>
      </c>
      <c r="B463" t="s">
        <v>1502</v>
      </c>
      <c r="C463" t="s">
        <v>1639</v>
      </c>
      <c r="D463" t="s">
        <v>13</v>
      </c>
      <c r="E463" t="s">
        <v>516</v>
      </c>
      <c r="F463" t="str">
        <f>VLOOKUP(Ramen_Ratings[[#This Row],[Country]],Country_Region[#All],2,FALSE)</f>
        <v>Europe</v>
      </c>
      <c r="G463">
        <v>1</v>
      </c>
      <c r="H463" t="str" cm="1">
        <f t="array" ref="H463">_xlfn.IFS(Ramen_Ratings[[#This Row],[Stars]] = "Unrated", "NA",Ramen_Ratings[[#This Row],[Stars]]&gt;=4, "Good", Ramen_Ratings[[#This Row],[Stars]]&gt;2.5, "Fair", Ramen_Ratings[[#This Row],[Stars]] &gt;= 0, "Bad")</f>
        <v>Bad</v>
      </c>
      <c r="J463" t="str">
        <f>LEFT(Ramen_Ratings[[#This Row],[Top Ten]],4)</f>
        <v/>
      </c>
      <c r="K463" t="str">
        <f>IF(Ramen_Ratings[[#This Row],[Top Ten]]="", "",RIGHT(Ramen_Ratings[[#This Row],[Top Ten]],LEN(Ramen_Ratings[[#This Row],[Top Ten]])-6))</f>
        <v/>
      </c>
    </row>
    <row r="464" spans="1:11" x14ac:dyDescent="0.25">
      <c r="A464">
        <v>1209</v>
      </c>
      <c r="B464" t="s">
        <v>1502</v>
      </c>
      <c r="C464" t="s">
        <v>1647</v>
      </c>
      <c r="D464" t="s">
        <v>13</v>
      </c>
      <c r="E464" t="s">
        <v>516</v>
      </c>
      <c r="F464" t="str">
        <f>VLOOKUP(Ramen_Ratings[[#This Row],[Country]],Country_Region[#All],2,FALSE)</f>
        <v>Europe</v>
      </c>
      <c r="G464">
        <v>3.25</v>
      </c>
      <c r="H464" t="str" cm="1">
        <f t="array" ref="H464">_xlfn.IFS(Ramen_Ratings[[#This Row],[Stars]] = "Unrated", "NA",Ramen_Ratings[[#This Row],[Stars]]&gt;=4, "Good", Ramen_Ratings[[#This Row],[Stars]]&gt;2.5, "Fair", Ramen_Ratings[[#This Row],[Stars]] &gt;= 0, "Bad")</f>
        <v>Fair</v>
      </c>
      <c r="J464" t="str">
        <f>LEFT(Ramen_Ratings[[#This Row],[Top Ten]],4)</f>
        <v/>
      </c>
      <c r="K464" t="str">
        <f>IF(Ramen_Ratings[[#This Row],[Top Ten]]="", "",RIGHT(Ramen_Ratings[[#This Row],[Top Ten]],LEN(Ramen_Ratings[[#This Row],[Top Ten]])-6))</f>
        <v/>
      </c>
    </row>
    <row r="465" spans="1:11" x14ac:dyDescent="0.25">
      <c r="A465">
        <v>1185</v>
      </c>
      <c r="B465" t="s">
        <v>1404</v>
      </c>
      <c r="C465" t="s">
        <v>1673</v>
      </c>
      <c r="D465" t="s">
        <v>13</v>
      </c>
      <c r="E465" t="s">
        <v>516</v>
      </c>
      <c r="F465" t="str">
        <f>VLOOKUP(Ramen_Ratings[[#This Row],[Country]],Country_Region[#All],2,FALSE)</f>
        <v>Europe</v>
      </c>
      <c r="G465">
        <v>3.25</v>
      </c>
      <c r="H465" t="str" cm="1">
        <f t="array" ref="H465">_xlfn.IFS(Ramen_Ratings[[#This Row],[Stars]] = "Unrated", "NA",Ramen_Ratings[[#This Row],[Stars]]&gt;=4, "Good", Ramen_Ratings[[#This Row],[Stars]]&gt;2.5, "Fair", Ramen_Ratings[[#This Row],[Stars]] &gt;= 0, "Bad")</f>
        <v>Fair</v>
      </c>
      <c r="J465" t="str">
        <f>LEFT(Ramen_Ratings[[#This Row],[Top Ten]],4)</f>
        <v/>
      </c>
      <c r="K465" t="str">
        <f>IF(Ramen_Ratings[[#This Row],[Top Ten]]="", "",RIGHT(Ramen_Ratings[[#This Row],[Top Ten]],LEN(Ramen_Ratings[[#This Row],[Top Ten]])-6))</f>
        <v/>
      </c>
    </row>
    <row r="466" spans="1:11" x14ac:dyDescent="0.25">
      <c r="A466">
        <v>1182</v>
      </c>
      <c r="B466" t="s">
        <v>1266</v>
      </c>
      <c r="C466" t="s">
        <v>1677</v>
      </c>
      <c r="D466" t="s">
        <v>13</v>
      </c>
      <c r="E466" t="s">
        <v>516</v>
      </c>
      <c r="F466" t="str">
        <f>VLOOKUP(Ramen_Ratings[[#This Row],[Country]],Country_Region[#All],2,FALSE)</f>
        <v>Europe</v>
      </c>
      <c r="G466">
        <v>3.75</v>
      </c>
      <c r="H466" t="str" cm="1">
        <f t="array" ref="H466">_xlfn.IFS(Ramen_Ratings[[#This Row],[Stars]] = "Unrated", "NA",Ramen_Ratings[[#This Row],[Stars]]&gt;=4, "Good", Ramen_Ratings[[#This Row],[Stars]]&gt;2.5, "Fair", Ramen_Ratings[[#This Row],[Stars]] &gt;= 0, "Bad")</f>
        <v>Fair</v>
      </c>
      <c r="J466" t="str">
        <f>LEFT(Ramen_Ratings[[#This Row],[Top Ten]],4)</f>
        <v/>
      </c>
      <c r="K466" t="str">
        <f>IF(Ramen_Ratings[[#This Row],[Top Ten]]="", "",RIGHT(Ramen_Ratings[[#This Row],[Top Ten]],LEN(Ramen_Ratings[[#This Row],[Top Ten]])-6))</f>
        <v/>
      </c>
    </row>
    <row r="467" spans="1:11" x14ac:dyDescent="0.25">
      <c r="A467">
        <v>1171</v>
      </c>
      <c r="B467" t="s">
        <v>1448</v>
      </c>
      <c r="C467" t="s">
        <v>1688</v>
      </c>
      <c r="D467" t="s">
        <v>13</v>
      </c>
      <c r="E467" t="s">
        <v>516</v>
      </c>
      <c r="F467" t="str">
        <f>VLOOKUP(Ramen_Ratings[[#This Row],[Country]],Country_Region[#All],2,FALSE)</f>
        <v>Europe</v>
      </c>
      <c r="G467">
        <v>3</v>
      </c>
      <c r="H467" t="str" cm="1">
        <f t="array" ref="H467">_xlfn.IFS(Ramen_Ratings[[#This Row],[Stars]] = "Unrated", "NA",Ramen_Ratings[[#This Row],[Stars]]&gt;=4, "Good", Ramen_Ratings[[#This Row],[Stars]]&gt;2.5, "Fair", Ramen_Ratings[[#This Row],[Stars]] &gt;= 0, "Bad")</f>
        <v>Fair</v>
      </c>
      <c r="J467" t="str">
        <f>LEFT(Ramen_Ratings[[#This Row],[Top Ten]],4)</f>
        <v/>
      </c>
      <c r="K467" t="str">
        <f>IF(Ramen_Ratings[[#This Row],[Top Ten]]="", "",RIGHT(Ramen_Ratings[[#This Row],[Top Ten]],LEN(Ramen_Ratings[[#This Row],[Top Ten]])-6))</f>
        <v/>
      </c>
    </row>
    <row r="468" spans="1:11" x14ac:dyDescent="0.25">
      <c r="A468">
        <v>1167</v>
      </c>
      <c r="B468" t="s">
        <v>783</v>
      </c>
      <c r="C468" t="s">
        <v>1313</v>
      </c>
      <c r="D468" t="s">
        <v>9</v>
      </c>
      <c r="E468" t="s">
        <v>516</v>
      </c>
      <c r="F468" t="str">
        <f>VLOOKUP(Ramen_Ratings[[#This Row],[Country]],Country_Region[#All],2,FALSE)</f>
        <v>Europe</v>
      </c>
      <c r="G468">
        <v>3.75</v>
      </c>
      <c r="H468" t="str" cm="1">
        <f t="array" ref="H468">_xlfn.IFS(Ramen_Ratings[[#This Row],[Stars]] = "Unrated", "NA",Ramen_Ratings[[#This Row],[Stars]]&gt;=4, "Good", Ramen_Ratings[[#This Row],[Stars]]&gt;2.5, "Fair", Ramen_Ratings[[#This Row],[Stars]] &gt;= 0, "Bad")</f>
        <v>Fair</v>
      </c>
      <c r="J468" t="str">
        <f>LEFT(Ramen_Ratings[[#This Row],[Top Ten]],4)</f>
        <v/>
      </c>
      <c r="K468" t="str">
        <f>IF(Ramen_Ratings[[#This Row],[Top Ten]]="", "",RIGHT(Ramen_Ratings[[#This Row],[Top Ten]],LEN(Ramen_Ratings[[#This Row],[Top Ten]])-6))</f>
        <v/>
      </c>
    </row>
    <row r="469" spans="1:11" x14ac:dyDescent="0.25">
      <c r="A469">
        <v>1157</v>
      </c>
      <c r="B469" t="s">
        <v>1701</v>
      </c>
      <c r="C469" t="s">
        <v>1702</v>
      </c>
      <c r="D469" t="s">
        <v>9</v>
      </c>
      <c r="E469" t="s">
        <v>516</v>
      </c>
      <c r="F469" t="str">
        <f>VLOOKUP(Ramen_Ratings[[#This Row],[Country]],Country_Region[#All],2,FALSE)</f>
        <v>Europe</v>
      </c>
      <c r="G469">
        <v>4.25</v>
      </c>
      <c r="H469" t="str" cm="1">
        <f t="array" ref="H469">_xlfn.IFS(Ramen_Ratings[[#This Row],[Stars]] = "Unrated", "NA",Ramen_Ratings[[#This Row],[Stars]]&gt;=4, "Good", Ramen_Ratings[[#This Row],[Stars]]&gt;2.5, "Fair", Ramen_Ratings[[#This Row],[Stars]] &gt;= 0, "Bad")</f>
        <v>Good</v>
      </c>
      <c r="J469" t="str">
        <f>LEFT(Ramen_Ratings[[#This Row],[Top Ten]],4)</f>
        <v/>
      </c>
      <c r="K469" t="str">
        <f>IF(Ramen_Ratings[[#This Row],[Top Ten]]="", "",RIGHT(Ramen_Ratings[[#This Row],[Top Ten]],LEN(Ramen_Ratings[[#This Row],[Top Ten]])-6))</f>
        <v/>
      </c>
    </row>
    <row r="470" spans="1:11" x14ac:dyDescent="0.25">
      <c r="A470">
        <v>1132</v>
      </c>
      <c r="B470" t="s">
        <v>1429</v>
      </c>
      <c r="C470" t="s">
        <v>1728</v>
      </c>
      <c r="D470" t="s">
        <v>9</v>
      </c>
      <c r="E470" t="s">
        <v>516</v>
      </c>
      <c r="F470" t="str">
        <f>VLOOKUP(Ramen_Ratings[[#This Row],[Country]],Country_Region[#All],2,FALSE)</f>
        <v>Europe</v>
      </c>
      <c r="G470">
        <v>1.5</v>
      </c>
      <c r="H470" t="str" cm="1">
        <f t="array" ref="H470">_xlfn.IFS(Ramen_Ratings[[#This Row],[Stars]] = "Unrated", "NA",Ramen_Ratings[[#This Row],[Stars]]&gt;=4, "Good", Ramen_Ratings[[#This Row],[Stars]]&gt;2.5, "Fair", Ramen_Ratings[[#This Row],[Stars]] &gt;= 0, "Bad")</f>
        <v>Bad</v>
      </c>
      <c r="J470" t="str">
        <f>LEFT(Ramen_Ratings[[#This Row],[Top Ten]],4)</f>
        <v/>
      </c>
      <c r="K470" t="str">
        <f>IF(Ramen_Ratings[[#This Row],[Top Ten]]="", "",RIGHT(Ramen_Ratings[[#This Row],[Top Ten]],LEN(Ramen_Ratings[[#This Row],[Top Ten]])-6))</f>
        <v/>
      </c>
    </row>
    <row r="471" spans="1:11" x14ac:dyDescent="0.25">
      <c r="A471">
        <v>1119</v>
      </c>
      <c r="B471" t="s">
        <v>1266</v>
      </c>
      <c r="C471" t="s">
        <v>1742</v>
      </c>
      <c r="D471" t="s">
        <v>13</v>
      </c>
      <c r="E471" t="s">
        <v>516</v>
      </c>
      <c r="F471" t="str">
        <f>VLOOKUP(Ramen_Ratings[[#This Row],[Country]],Country_Region[#All],2,FALSE)</f>
        <v>Europe</v>
      </c>
      <c r="G471">
        <v>3.75</v>
      </c>
      <c r="H471" t="str" cm="1">
        <f t="array" ref="H471">_xlfn.IFS(Ramen_Ratings[[#This Row],[Stars]] = "Unrated", "NA",Ramen_Ratings[[#This Row],[Stars]]&gt;=4, "Good", Ramen_Ratings[[#This Row],[Stars]]&gt;2.5, "Fair", Ramen_Ratings[[#This Row],[Stars]] &gt;= 0, "Bad")</f>
        <v>Fair</v>
      </c>
      <c r="J471" t="str">
        <f>LEFT(Ramen_Ratings[[#This Row],[Top Ten]],4)</f>
        <v/>
      </c>
      <c r="K471" t="str">
        <f>IF(Ramen_Ratings[[#This Row],[Top Ten]]="", "",RIGHT(Ramen_Ratings[[#This Row],[Top Ten]],LEN(Ramen_Ratings[[#This Row],[Top Ten]])-6))</f>
        <v/>
      </c>
    </row>
    <row r="472" spans="1:11" x14ac:dyDescent="0.25">
      <c r="A472">
        <v>1102</v>
      </c>
      <c r="B472" t="s">
        <v>1502</v>
      </c>
      <c r="C472" t="s">
        <v>1760</v>
      </c>
      <c r="D472" t="s">
        <v>13</v>
      </c>
      <c r="E472" t="s">
        <v>516</v>
      </c>
      <c r="F472" t="str">
        <f>VLOOKUP(Ramen_Ratings[[#This Row],[Country]],Country_Region[#All],2,FALSE)</f>
        <v>Europe</v>
      </c>
      <c r="G472">
        <v>3</v>
      </c>
      <c r="H472" t="str" cm="1">
        <f t="array" ref="H472">_xlfn.IFS(Ramen_Ratings[[#This Row],[Stars]] = "Unrated", "NA",Ramen_Ratings[[#This Row],[Stars]]&gt;=4, "Good", Ramen_Ratings[[#This Row],[Stars]]&gt;2.5, "Fair", Ramen_Ratings[[#This Row],[Stars]] &gt;= 0, "Bad")</f>
        <v>Fair</v>
      </c>
      <c r="J472" t="str">
        <f>LEFT(Ramen_Ratings[[#This Row],[Top Ten]],4)</f>
        <v/>
      </c>
      <c r="K472" t="str">
        <f>IF(Ramen_Ratings[[#This Row],[Top Ten]]="", "",RIGHT(Ramen_Ratings[[#This Row],[Top Ten]],LEN(Ramen_Ratings[[#This Row],[Top Ten]])-6))</f>
        <v/>
      </c>
    </row>
    <row r="473" spans="1:11" x14ac:dyDescent="0.25">
      <c r="A473">
        <v>1086</v>
      </c>
      <c r="B473" t="s">
        <v>1471</v>
      </c>
      <c r="C473" t="s">
        <v>1779</v>
      </c>
      <c r="D473" t="s">
        <v>13</v>
      </c>
      <c r="E473" t="s">
        <v>516</v>
      </c>
      <c r="F473" t="str">
        <f>VLOOKUP(Ramen_Ratings[[#This Row],[Country]],Country_Region[#All],2,FALSE)</f>
        <v>Europe</v>
      </c>
      <c r="G473">
        <v>3</v>
      </c>
      <c r="H473" t="str" cm="1">
        <f t="array" ref="H473">_xlfn.IFS(Ramen_Ratings[[#This Row],[Stars]] = "Unrated", "NA",Ramen_Ratings[[#This Row],[Stars]]&gt;=4, "Good", Ramen_Ratings[[#This Row],[Stars]]&gt;2.5, "Fair", Ramen_Ratings[[#This Row],[Stars]] &gt;= 0, "Bad")</f>
        <v>Fair</v>
      </c>
      <c r="J473" t="str">
        <f>LEFT(Ramen_Ratings[[#This Row],[Top Ten]],4)</f>
        <v/>
      </c>
      <c r="K473" t="str">
        <f>IF(Ramen_Ratings[[#This Row],[Top Ten]]="", "",RIGHT(Ramen_Ratings[[#This Row],[Top Ten]],LEN(Ramen_Ratings[[#This Row],[Top Ten]])-6))</f>
        <v/>
      </c>
    </row>
    <row r="474" spans="1:11" x14ac:dyDescent="0.25">
      <c r="A474">
        <v>1041</v>
      </c>
      <c r="B474" t="s">
        <v>1266</v>
      </c>
      <c r="C474" t="s">
        <v>1824</v>
      </c>
      <c r="D474" t="s">
        <v>13</v>
      </c>
      <c r="E474" t="s">
        <v>516</v>
      </c>
      <c r="F474" t="str">
        <f>VLOOKUP(Ramen_Ratings[[#This Row],[Country]],Country_Region[#All],2,FALSE)</f>
        <v>Europe</v>
      </c>
      <c r="G474">
        <v>4</v>
      </c>
      <c r="H474" t="str" cm="1">
        <f t="array" ref="H474">_xlfn.IFS(Ramen_Ratings[[#This Row],[Stars]] = "Unrated", "NA",Ramen_Ratings[[#This Row],[Stars]]&gt;=4, "Good", Ramen_Ratings[[#This Row],[Stars]]&gt;2.5, "Fair", Ramen_Ratings[[#This Row],[Stars]] &gt;= 0, "Bad")</f>
        <v>Good</v>
      </c>
      <c r="J474" t="str">
        <f>LEFT(Ramen_Ratings[[#This Row],[Top Ten]],4)</f>
        <v/>
      </c>
      <c r="K474" t="str">
        <f>IF(Ramen_Ratings[[#This Row],[Top Ten]]="", "",RIGHT(Ramen_Ratings[[#This Row],[Top Ten]],LEN(Ramen_Ratings[[#This Row],[Top Ten]])-6))</f>
        <v/>
      </c>
    </row>
    <row r="475" spans="1:11" x14ac:dyDescent="0.25">
      <c r="A475">
        <v>999</v>
      </c>
      <c r="B475" t="s">
        <v>1866</v>
      </c>
      <c r="C475" t="s">
        <v>1867</v>
      </c>
      <c r="D475" t="s">
        <v>9</v>
      </c>
      <c r="E475" t="s">
        <v>516</v>
      </c>
      <c r="F475" t="str">
        <f>VLOOKUP(Ramen_Ratings[[#This Row],[Country]],Country_Region[#All],2,FALSE)</f>
        <v>Europe</v>
      </c>
      <c r="G475">
        <v>1.5</v>
      </c>
      <c r="H475" t="str" cm="1">
        <f t="array" ref="H475">_xlfn.IFS(Ramen_Ratings[[#This Row],[Stars]] = "Unrated", "NA",Ramen_Ratings[[#This Row],[Stars]]&gt;=4, "Good", Ramen_Ratings[[#This Row],[Stars]]&gt;2.5, "Fair", Ramen_Ratings[[#This Row],[Stars]] &gt;= 0, "Bad")</f>
        <v>Bad</v>
      </c>
      <c r="J475" t="str">
        <f>LEFT(Ramen_Ratings[[#This Row],[Top Ten]],4)</f>
        <v/>
      </c>
      <c r="K475" t="str">
        <f>IF(Ramen_Ratings[[#This Row],[Top Ten]]="", "",RIGHT(Ramen_Ratings[[#This Row],[Top Ten]],LEN(Ramen_Ratings[[#This Row],[Top Ten]])-6))</f>
        <v/>
      </c>
    </row>
    <row r="476" spans="1:11" x14ac:dyDescent="0.25">
      <c r="A476">
        <v>995</v>
      </c>
      <c r="B476" t="s">
        <v>1266</v>
      </c>
      <c r="C476" t="s">
        <v>93</v>
      </c>
      <c r="D476" t="s">
        <v>13</v>
      </c>
      <c r="E476" t="s">
        <v>516</v>
      </c>
      <c r="F476" t="str">
        <f>VLOOKUP(Ramen_Ratings[[#This Row],[Country]],Country_Region[#All],2,FALSE)</f>
        <v>Europe</v>
      </c>
      <c r="G476">
        <v>3</v>
      </c>
      <c r="H476" t="str" cm="1">
        <f t="array" ref="H476">_xlfn.IFS(Ramen_Ratings[[#This Row],[Stars]] = "Unrated", "NA",Ramen_Ratings[[#This Row],[Stars]]&gt;=4, "Good", Ramen_Ratings[[#This Row],[Stars]]&gt;2.5, "Fair", Ramen_Ratings[[#This Row],[Stars]] &gt;= 0, "Bad")</f>
        <v>Fair</v>
      </c>
      <c r="J476" t="str">
        <f>LEFT(Ramen_Ratings[[#This Row],[Top Ten]],4)</f>
        <v/>
      </c>
      <c r="K476" t="str">
        <f>IF(Ramen_Ratings[[#This Row],[Top Ten]]="", "",RIGHT(Ramen_Ratings[[#This Row],[Top Ten]],LEN(Ramen_Ratings[[#This Row],[Top Ten]])-6))</f>
        <v/>
      </c>
    </row>
    <row r="477" spans="1:11" x14ac:dyDescent="0.25">
      <c r="A477">
        <v>985</v>
      </c>
      <c r="B477" t="s">
        <v>1266</v>
      </c>
      <c r="C477" t="s">
        <v>1882</v>
      </c>
      <c r="D477" t="s">
        <v>9</v>
      </c>
      <c r="E477" t="s">
        <v>516</v>
      </c>
      <c r="F477" t="str">
        <f>VLOOKUP(Ramen_Ratings[[#This Row],[Country]],Country_Region[#All],2,FALSE)</f>
        <v>Europe</v>
      </c>
      <c r="G477">
        <v>1</v>
      </c>
      <c r="H477" t="str" cm="1">
        <f t="array" ref="H477">_xlfn.IFS(Ramen_Ratings[[#This Row],[Stars]] = "Unrated", "NA",Ramen_Ratings[[#This Row],[Stars]]&gt;=4, "Good", Ramen_Ratings[[#This Row],[Stars]]&gt;2.5, "Fair", Ramen_Ratings[[#This Row],[Stars]] &gt;= 0, "Bad")</f>
        <v>Bad</v>
      </c>
      <c r="J477" t="str">
        <f>LEFT(Ramen_Ratings[[#This Row],[Top Ten]],4)</f>
        <v/>
      </c>
      <c r="K477" t="str">
        <f>IF(Ramen_Ratings[[#This Row],[Top Ten]]="", "",RIGHT(Ramen_Ratings[[#This Row],[Top Ten]],LEN(Ramen_Ratings[[#This Row],[Top Ten]])-6))</f>
        <v/>
      </c>
    </row>
    <row r="478" spans="1:11" x14ac:dyDescent="0.25">
      <c r="A478">
        <v>974</v>
      </c>
      <c r="B478" t="s">
        <v>1866</v>
      </c>
      <c r="C478" t="s">
        <v>1894</v>
      </c>
      <c r="D478" t="s">
        <v>9</v>
      </c>
      <c r="E478" t="s">
        <v>516</v>
      </c>
      <c r="F478" t="str">
        <f>VLOOKUP(Ramen_Ratings[[#This Row],[Country]],Country_Region[#All],2,FALSE)</f>
        <v>Europe</v>
      </c>
      <c r="G478">
        <v>2.25</v>
      </c>
      <c r="H478" t="str" cm="1">
        <f t="array" ref="H478">_xlfn.IFS(Ramen_Ratings[[#This Row],[Stars]] = "Unrated", "NA",Ramen_Ratings[[#This Row],[Stars]]&gt;=4, "Good", Ramen_Ratings[[#This Row],[Stars]]&gt;2.5, "Fair", Ramen_Ratings[[#This Row],[Stars]] &gt;= 0, "Bad")</f>
        <v>Bad</v>
      </c>
      <c r="J478" t="str">
        <f>LEFT(Ramen_Ratings[[#This Row],[Top Ten]],4)</f>
        <v/>
      </c>
      <c r="K478" t="str">
        <f>IF(Ramen_Ratings[[#This Row],[Top Ten]]="", "",RIGHT(Ramen_Ratings[[#This Row],[Top Ten]],LEN(Ramen_Ratings[[#This Row],[Top Ten]])-6))</f>
        <v/>
      </c>
    </row>
    <row r="479" spans="1:11" x14ac:dyDescent="0.25">
      <c r="A479">
        <v>963</v>
      </c>
      <c r="B479" t="s">
        <v>1866</v>
      </c>
      <c r="C479" t="s">
        <v>1906</v>
      </c>
      <c r="D479" t="s">
        <v>9</v>
      </c>
      <c r="E479" t="s">
        <v>516</v>
      </c>
      <c r="F479" t="str">
        <f>VLOOKUP(Ramen_Ratings[[#This Row],[Country]],Country_Region[#All],2,FALSE)</f>
        <v>Europe</v>
      </c>
      <c r="G479">
        <v>3.25</v>
      </c>
      <c r="H479" t="str" cm="1">
        <f t="array" ref="H479">_xlfn.IFS(Ramen_Ratings[[#This Row],[Stars]] = "Unrated", "NA",Ramen_Ratings[[#This Row],[Stars]]&gt;=4, "Good", Ramen_Ratings[[#This Row],[Stars]]&gt;2.5, "Fair", Ramen_Ratings[[#This Row],[Stars]] &gt;= 0, "Bad")</f>
        <v>Fair</v>
      </c>
      <c r="J479" t="str">
        <f>LEFT(Ramen_Ratings[[#This Row],[Top Ten]],4)</f>
        <v/>
      </c>
      <c r="K479" t="str">
        <f>IF(Ramen_Ratings[[#This Row],[Top Ten]]="", "",RIGHT(Ramen_Ratings[[#This Row],[Top Ten]],LEN(Ramen_Ratings[[#This Row],[Top Ten]])-6))</f>
        <v/>
      </c>
    </row>
    <row r="480" spans="1:11" x14ac:dyDescent="0.25">
      <c r="A480">
        <v>952</v>
      </c>
      <c r="B480" t="s">
        <v>1866</v>
      </c>
      <c r="C480" t="s">
        <v>1915</v>
      </c>
      <c r="D480" t="s">
        <v>9</v>
      </c>
      <c r="E480" t="s">
        <v>516</v>
      </c>
      <c r="F480" t="str">
        <f>VLOOKUP(Ramen_Ratings[[#This Row],[Country]],Country_Region[#All],2,FALSE)</f>
        <v>Europe</v>
      </c>
      <c r="G480">
        <v>3.5</v>
      </c>
      <c r="H480" t="str" cm="1">
        <f t="array" ref="H480">_xlfn.IFS(Ramen_Ratings[[#This Row],[Stars]] = "Unrated", "NA",Ramen_Ratings[[#This Row],[Stars]]&gt;=4, "Good", Ramen_Ratings[[#This Row],[Stars]]&gt;2.5, "Fair", Ramen_Ratings[[#This Row],[Stars]] &gt;= 0, "Bad")</f>
        <v>Fair</v>
      </c>
      <c r="J480" t="str">
        <f>LEFT(Ramen_Ratings[[#This Row],[Top Ten]],4)</f>
        <v/>
      </c>
      <c r="K480" t="str">
        <f>IF(Ramen_Ratings[[#This Row],[Top Ten]]="", "",RIGHT(Ramen_Ratings[[#This Row],[Top Ten]],LEN(Ramen_Ratings[[#This Row],[Top Ten]])-6))</f>
        <v/>
      </c>
    </row>
    <row r="481" spans="1:11" x14ac:dyDescent="0.25">
      <c r="A481">
        <v>949</v>
      </c>
      <c r="B481" t="s">
        <v>1266</v>
      </c>
      <c r="C481" t="s">
        <v>1918</v>
      </c>
      <c r="D481" t="s">
        <v>13</v>
      </c>
      <c r="E481" t="s">
        <v>516</v>
      </c>
      <c r="F481" t="str">
        <f>VLOOKUP(Ramen_Ratings[[#This Row],[Country]],Country_Region[#All],2,FALSE)</f>
        <v>Europe</v>
      </c>
      <c r="G481">
        <v>3.5</v>
      </c>
      <c r="H481" t="str" cm="1">
        <f t="array" ref="H481">_xlfn.IFS(Ramen_Ratings[[#This Row],[Stars]] = "Unrated", "NA",Ramen_Ratings[[#This Row],[Stars]]&gt;=4, "Good", Ramen_Ratings[[#This Row],[Stars]]&gt;2.5, "Fair", Ramen_Ratings[[#This Row],[Stars]] &gt;= 0, "Bad")</f>
        <v>Fair</v>
      </c>
      <c r="J481" t="str">
        <f>LEFT(Ramen_Ratings[[#This Row],[Top Ten]],4)</f>
        <v/>
      </c>
      <c r="K481" t="str">
        <f>IF(Ramen_Ratings[[#This Row],[Top Ten]]="", "",RIGHT(Ramen_Ratings[[#This Row],[Top Ten]],LEN(Ramen_Ratings[[#This Row],[Top Ten]])-6))</f>
        <v/>
      </c>
    </row>
    <row r="482" spans="1:11" x14ac:dyDescent="0.25">
      <c r="A482">
        <v>945</v>
      </c>
      <c r="B482" t="s">
        <v>1866</v>
      </c>
      <c r="C482" t="s">
        <v>1923</v>
      </c>
      <c r="D482" t="s">
        <v>9</v>
      </c>
      <c r="E482" t="s">
        <v>516</v>
      </c>
      <c r="F482" t="str">
        <f>VLOOKUP(Ramen_Ratings[[#This Row],[Country]],Country_Region[#All],2,FALSE)</f>
        <v>Europe</v>
      </c>
      <c r="G482">
        <v>2.75</v>
      </c>
      <c r="H482" t="str" cm="1">
        <f t="array" ref="H482">_xlfn.IFS(Ramen_Ratings[[#This Row],[Stars]] = "Unrated", "NA",Ramen_Ratings[[#This Row],[Stars]]&gt;=4, "Good", Ramen_Ratings[[#This Row],[Stars]]&gt;2.5, "Fair", Ramen_Ratings[[#This Row],[Stars]] &gt;= 0, "Bad")</f>
        <v>Fair</v>
      </c>
      <c r="J482" t="str">
        <f>LEFT(Ramen_Ratings[[#This Row],[Top Ten]],4)</f>
        <v/>
      </c>
      <c r="K482" t="str">
        <f>IF(Ramen_Ratings[[#This Row],[Top Ten]]="", "",RIGHT(Ramen_Ratings[[#This Row],[Top Ten]],LEN(Ramen_Ratings[[#This Row],[Top Ten]])-6))</f>
        <v/>
      </c>
    </row>
    <row r="483" spans="1:11" x14ac:dyDescent="0.25">
      <c r="A483">
        <v>941</v>
      </c>
      <c r="B483" t="s">
        <v>1266</v>
      </c>
      <c r="C483" t="s">
        <v>1927</v>
      </c>
      <c r="D483" t="s">
        <v>13</v>
      </c>
      <c r="E483" t="s">
        <v>516</v>
      </c>
      <c r="F483" t="str">
        <f>VLOOKUP(Ramen_Ratings[[#This Row],[Country]],Country_Region[#All],2,FALSE)</f>
        <v>Europe</v>
      </c>
      <c r="G483">
        <v>3.75</v>
      </c>
      <c r="H483" t="str" cm="1">
        <f t="array" ref="H483">_xlfn.IFS(Ramen_Ratings[[#This Row],[Stars]] = "Unrated", "NA",Ramen_Ratings[[#This Row],[Stars]]&gt;=4, "Good", Ramen_Ratings[[#This Row],[Stars]]&gt;2.5, "Fair", Ramen_Ratings[[#This Row],[Stars]] &gt;= 0, "Bad")</f>
        <v>Fair</v>
      </c>
      <c r="J483" t="str">
        <f>LEFT(Ramen_Ratings[[#This Row],[Top Ten]],4)</f>
        <v/>
      </c>
      <c r="K483" t="str">
        <f>IF(Ramen_Ratings[[#This Row],[Top Ten]]="", "",RIGHT(Ramen_Ratings[[#This Row],[Top Ten]],LEN(Ramen_Ratings[[#This Row],[Top Ten]])-6))</f>
        <v/>
      </c>
    </row>
    <row r="484" spans="1:11" x14ac:dyDescent="0.25">
      <c r="A484">
        <v>939</v>
      </c>
      <c r="B484" t="s">
        <v>1866</v>
      </c>
      <c r="C484" t="s">
        <v>1929</v>
      </c>
      <c r="D484" t="s">
        <v>9</v>
      </c>
      <c r="E484" t="s">
        <v>516</v>
      </c>
      <c r="F484" t="str">
        <f>VLOOKUP(Ramen_Ratings[[#This Row],[Country]],Country_Region[#All],2,FALSE)</f>
        <v>Europe</v>
      </c>
      <c r="G484">
        <v>3.75</v>
      </c>
      <c r="H484" t="str" cm="1">
        <f t="array" ref="H484">_xlfn.IFS(Ramen_Ratings[[#This Row],[Stars]] = "Unrated", "NA",Ramen_Ratings[[#This Row],[Stars]]&gt;=4, "Good", Ramen_Ratings[[#This Row],[Stars]]&gt;2.5, "Fair", Ramen_Ratings[[#This Row],[Stars]] &gt;= 0, "Bad")</f>
        <v>Fair</v>
      </c>
      <c r="J484" t="str">
        <f>LEFT(Ramen_Ratings[[#This Row],[Top Ten]],4)</f>
        <v/>
      </c>
      <c r="K484" t="str">
        <f>IF(Ramen_Ratings[[#This Row],[Top Ten]]="", "",RIGHT(Ramen_Ratings[[#This Row],[Top Ten]],LEN(Ramen_Ratings[[#This Row],[Top Ten]])-6))</f>
        <v/>
      </c>
    </row>
    <row r="485" spans="1:11" x14ac:dyDescent="0.25">
      <c r="A485">
        <v>672</v>
      </c>
      <c r="B485" t="s">
        <v>2217</v>
      </c>
      <c r="C485" t="s">
        <v>2084</v>
      </c>
      <c r="D485" t="s">
        <v>13</v>
      </c>
      <c r="E485" t="s">
        <v>516</v>
      </c>
      <c r="F485" t="str">
        <f>VLOOKUP(Ramen_Ratings[[#This Row],[Country]],Country_Region[#All],2,FALSE)</f>
        <v>Europe</v>
      </c>
      <c r="G485">
        <v>3</v>
      </c>
      <c r="H485" t="str" cm="1">
        <f t="array" ref="H485">_xlfn.IFS(Ramen_Ratings[[#This Row],[Stars]] = "Unrated", "NA",Ramen_Ratings[[#This Row],[Stars]]&gt;=4, "Good", Ramen_Ratings[[#This Row],[Stars]]&gt;2.5, "Fair", Ramen_Ratings[[#This Row],[Stars]] &gt;= 0, "Bad")</f>
        <v>Fair</v>
      </c>
      <c r="J485" t="str">
        <f>LEFT(Ramen_Ratings[[#This Row],[Top Ten]],4)</f>
        <v/>
      </c>
      <c r="K485" t="str">
        <f>IF(Ramen_Ratings[[#This Row],[Top Ten]]="", "",RIGHT(Ramen_Ratings[[#This Row],[Top Ten]],LEN(Ramen_Ratings[[#This Row],[Top Ten]])-6))</f>
        <v/>
      </c>
    </row>
    <row r="486" spans="1:11" x14ac:dyDescent="0.25">
      <c r="A486">
        <v>671</v>
      </c>
      <c r="B486" t="s">
        <v>2217</v>
      </c>
      <c r="C486" t="s">
        <v>2218</v>
      </c>
      <c r="D486" t="s">
        <v>13</v>
      </c>
      <c r="E486" t="s">
        <v>516</v>
      </c>
      <c r="F486" t="str">
        <f>VLOOKUP(Ramen_Ratings[[#This Row],[Country]],Country_Region[#All],2,FALSE)</f>
        <v>Europe</v>
      </c>
      <c r="G486">
        <v>3</v>
      </c>
      <c r="H486" t="str" cm="1">
        <f t="array" ref="H486">_xlfn.IFS(Ramen_Ratings[[#This Row],[Stars]] = "Unrated", "NA",Ramen_Ratings[[#This Row],[Stars]]&gt;=4, "Good", Ramen_Ratings[[#This Row],[Stars]]&gt;2.5, "Fair", Ramen_Ratings[[#This Row],[Stars]] &gt;= 0, "Bad")</f>
        <v>Fair</v>
      </c>
      <c r="J486" t="str">
        <f>LEFT(Ramen_Ratings[[#This Row],[Top Ten]],4)</f>
        <v/>
      </c>
      <c r="K486" t="str">
        <f>IF(Ramen_Ratings[[#This Row],[Top Ten]]="", "",RIGHT(Ramen_Ratings[[#This Row],[Top Ten]],LEN(Ramen_Ratings[[#This Row],[Top Ten]])-6))</f>
        <v/>
      </c>
    </row>
    <row r="487" spans="1:11" x14ac:dyDescent="0.25">
      <c r="A487">
        <v>649</v>
      </c>
      <c r="B487" t="s">
        <v>1866</v>
      </c>
      <c r="C487" t="s">
        <v>2241</v>
      </c>
      <c r="D487" t="s">
        <v>9</v>
      </c>
      <c r="E487" t="s">
        <v>516</v>
      </c>
      <c r="F487" t="str">
        <f>VLOOKUP(Ramen_Ratings[[#This Row],[Country]],Country_Region[#All],2,FALSE)</f>
        <v>Europe</v>
      </c>
      <c r="G487">
        <v>3.75</v>
      </c>
      <c r="H487" t="str" cm="1">
        <f t="array" ref="H487">_xlfn.IFS(Ramen_Ratings[[#This Row],[Stars]] = "Unrated", "NA",Ramen_Ratings[[#This Row],[Stars]]&gt;=4, "Good", Ramen_Ratings[[#This Row],[Stars]]&gt;2.5, "Fair", Ramen_Ratings[[#This Row],[Stars]] &gt;= 0, "Bad")</f>
        <v>Fair</v>
      </c>
      <c r="J487" t="str">
        <f>LEFT(Ramen_Ratings[[#This Row],[Top Ten]],4)</f>
        <v/>
      </c>
      <c r="K487" t="str">
        <f>IF(Ramen_Ratings[[#This Row],[Top Ten]]="", "",RIGHT(Ramen_Ratings[[#This Row],[Top Ten]],LEN(Ramen_Ratings[[#This Row],[Top Ten]])-6))</f>
        <v/>
      </c>
    </row>
    <row r="488" spans="1:11" x14ac:dyDescent="0.25">
      <c r="A488">
        <v>625</v>
      </c>
      <c r="B488" t="s">
        <v>1866</v>
      </c>
      <c r="C488" t="s">
        <v>2266</v>
      </c>
      <c r="D488" t="s">
        <v>9</v>
      </c>
      <c r="E488" t="s">
        <v>516</v>
      </c>
      <c r="F488" t="str">
        <f>VLOOKUP(Ramen_Ratings[[#This Row],[Country]],Country_Region[#All],2,FALSE)</f>
        <v>Europe</v>
      </c>
      <c r="G488">
        <v>4</v>
      </c>
      <c r="H488" t="str" cm="1">
        <f t="array" ref="H488">_xlfn.IFS(Ramen_Ratings[[#This Row],[Stars]] = "Unrated", "NA",Ramen_Ratings[[#This Row],[Stars]]&gt;=4, "Good", Ramen_Ratings[[#This Row],[Stars]]&gt;2.5, "Fair", Ramen_Ratings[[#This Row],[Stars]] &gt;= 0, "Bad")</f>
        <v>Good</v>
      </c>
      <c r="J488" t="str">
        <f>LEFT(Ramen_Ratings[[#This Row],[Top Ten]],4)</f>
        <v/>
      </c>
      <c r="K488" t="str">
        <f>IF(Ramen_Ratings[[#This Row],[Top Ten]]="", "",RIGHT(Ramen_Ratings[[#This Row],[Top Ten]],LEN(Ramen_Ratings[[#This Row],[Top Ten]])-6))</f>
        <v/>
      </c>
    </row>
    <row r="489" spans="1:11" x14ac:dyDescent="0.25">
      <c r="A489">
        <v>611</v>
      </c>
      <c r="B489" t="s">
        <v>1502</v>
      </c>
      <c r="C489" t="s">
        <v>2281</v>
      </c>
      <c r="D489" t="s">
        <v>13</v>
      </c>
      <c r="E489" t="s">
        <v>516</v>
      </c>
      <c r="F489" t="str">
        <f>VLOOKUP(Ramen_Ratings[[#This Row],[Country]],Country_Region[#All],2,FALSE)</f>
        <v>Europe</v>
      </c>
      <c r="G489">
        <v>2</v>
      </c>
      <c r="H489" t="str" cm="1">
        <f t="array" ref="H489">_xlfn.IFS(Ramen_Ratings[[#This Row],[Stars]] = "Unrated", "NA",Ramen_Ratings[[#This Row],[Stars]]&gt;=4, "Good", Ramen_Ratings[[#This Row],[Stars]]&gt;2.5, "Fair", Ramen_Ratings[[#This Row],[Stars]] &gt;= 0, "Bad")</f>
        <v>Bad</v>
      </c>
      <c r="J489" t="str">
        <f>LEFT(Ramen_Ratings[[#This Row],[Top Ten]],4)</f>
        <v/>
      </c>
      <c r="K489" t="str">
        <f>IF(Ramen_Ratings[[#This Row],[Top Ten]]="", "",RIGHT(Ramen_Ratings[[#This Row],[Top Ten]],LEN(Ramen_Ratings[[#This Row],[Top Ten]])-6))</f>
        <v/>
      </c>
    </row>
    <row r="490" spans="1:11" x14ac:dyDescent="0.25">
      <c r="A490">
        <v>607</v>
      </c>
      <c r="B490" t="s">
        <v>1866</v>
      </c>
      <c r="C490" t="s">
        <v>2286</v>
      </c>
      <c r="D490" t="s">
        <v>9</v>
      </c>
      <c r="E490" t="s">
        <v>516</v>
      </c>
      <c r="F490" t="str">
        <f>VLOOKUP(Ramen_Ratings[[#This Row],[Country]],Country_Region[#All],2,FALSE)</f>
        <v>Europe</v>
      </c>
      <c r="G490">
        <v>1.5</v>
      </c>
      <c r="H490" t="str" cm="1">
        <f t="array" ref="H490">_xlfn.IFS(Ramen_Ratings[[#This Row],[Stars]] = "Unrated", "NA",Ramen_Ratings[[#This Row],[Stars]]&gt;=4, "Good", Ramen_Ratings[[#This Row],[Stars]]&gt;2.5, "Fair", Ramen_Ratings[[#This Row],[Stars]] &gt;= 0, "Bad")</f>
        <v>Bad</v>
      </c>
      <c r="J490" t="str">
        <f>LEFT(Ramen_Ratings[[#This Row],[Top Ten]],4)</f>
        <v/>
      </c>
      <c r="K490" t="str">
        <f>IF(Ramen_Ratings[[#This Row],[Top Ten]]="", "",RIGHT(Ramen_Ratings[[#This Row],[Top Ten]],LEN(Ramen_Ratings[[#This Row],[Top Ten]])-6))</f>
        <v/>
      </c>
    </row>
    <row r="491" spans="1:11" x14ac:dyDescent="0.25">
      <c r="A491">
        <v>604</v>
      </c>
      <c r="B491" t="s">
        <v>1502</v>
      </c>
      <c r="C491" t="s">
        <v>2290</v>
      </c>
      <c r="D491" t="s">
        <v>13</v>
      </c>
      <c r="E491" t="s">
        <v>516</v>
      </c>
      <c r="F491" t="str">
        <f>VLOOKUP(Ramen_Ratings[[#This Row],[Country]],Country_Region[#All],2,FALSE)</f>
        <v>Europe</v>
      </c>
      <c r="G491">
        <v>2</v>
      </c>
      <c r="H491" t="str" cm="1">
        <f t="array" ref="H491">_xlfn.IFS(Ramen_Ratings[[#This Row],[Stars]] = "Unrated", "NA",Ramen_Ratings[[#This Row],[Stars]]&gt;=4, "Good", Ramen_Ratings[[#This Row],[Stars]]&gt;2.5, "Fair", Ramen_Ratings[[#This Row],[Stars]] &gt;= 0, "Bad")</f>
        <v>Bad</v>
      </c>
      <c r="J491" t="str">
        <f>LEFT(Ramen_Ratings[[#This Row],[Top Ten]],4)</f>
        <v/>
      </c>
      <c r="K491" t="str">
        <f>IF(Ramen_Ratings[[#This Row],[Top Ten]]="", "",RIGHT(Ramen_Ratings[[#This Row],[Top Ten]],LEN(Ramen_Ratings[[#This Row],[Top Ten]])-6))</f>
        <v/>
      </c>
    </row>
    <row r="492" spans="1:11" x14ac:dyDescent="0.25">
      <c r="A492">
        <v>597</v>
      </c>
      <c r="B492" t="s">
        <v>1502</v>
      </c>
      <c r="C492" t="s">
        <v>2296</v>
      </c>
      <c r="D492" t="s">
        <v>13</v>
      </c>
      <c r="E492" t="s">
        <v>516</v>
      </c>
      <c r="F492" t="str">
        <f>VLOOKUP(Ramen_Ratings[[#This Row],[Country]],Country_Region[#All],2,FALSE)</f>
        <v>Europe</v>
      </c>
      <c r="G492">
        <v>3.5</v>
      </c>
      <c r="H492" t="str" cm="1">
        <f t="array" ref="H492">_xlfn.IFS(Ramen_Ratings[[#This Row],[Stars]] = "Unrated", "NA",Ramen_Ratings[[#This Row],[Stars]]&gt;=4, "Good", Ramen_Ratings[[#This Row],[Stars]]&gt;2.5, "Fair", Ramen_Ratings[[#This Row],[Stars]] &gt;= 0, "Bad")</f>
        <v>Fair</v>
      </c>
      <c r="J492" t="str">
        <f>LEFT(Ramen_Ratings[[#This Row],[Top Ten]],4)</f>
        <v/>
      </c>
      <c r="K492" t="str">
        <f>IF(Ramen_Ratings[[#This Row],[Top Ten]]="", "",RIGHT(Ramen_Ratings[[#This Row],[Top Ten]],LEN(Ramen_Ratings[[#This Row],[Top Ten]])-6))</f>
        <v/>
      </c>
    </row>
    <row r="493" spans="1:11" x14ac:dyDescent="0.25">
      <c r="A493">
        <v>592</v>
      </c>
      <c r="B493" t="s">
        <v>1502</v>
      </c>
      <c r="C493" t="s">
        <v>2302</v>
      </c>
      <c r="D493" t="s">
        <v>13</v>
      </c>
      <c r="E493" t="s">
        <v>516</v>
      </c>
      <c r="F493" t="str">
        <f>VLOOKUP(Ramen_Ratings[[#This Row],[Country]],Country_Region[#All],2,FALSE)</f>
        <v>Europe</v>
      </c>
      <c r="G493">
        <v>3.25</v>
      </c>
      <c r="H493" t="str" cm="1">
        <f t="array" ref="H493">_xlfn.IFS(Ramen_Ratings[[#This Row],[Stars]] = "Unrated", "NA",Ramen_Ratings[[#This Row],[Stars]]&gt;=4, "Good", Ramen_Ratings[[#This Row],[Stars]]&gt;2.5, "Fair", Ramen_Ratings[[#This Row],[Stars]] &gt;= 0, "Bad")</f>
        <v>Fair</v>
      </c>
      <c r="J493" t="str">
        <f>LEFT(Ramen_Ratings[[#This Row],[Top Ten]],4)</f>
        <v/>
      </c>
      <c r="K493" t="str">
        <f>IF(Ramen_Ratings[[#This Row],[Top Ten]]="", "",RIGHT(Ramen_Ratings[[#This Row],[Top Ten]],LEN(Ramen_Ratings[[#This Row],[Top Ten]])-6))</f>
        <v/>
      </c>
    </row>
    <row r="494" spans="1:11" x14ac:dyDescent="0.25">
      <c r="A494">
        <v>591</v>
      </c>
      <c r="B494" t="s">
        <v>1502</v>
      </c>
      <c r="C494" t="s">
        <v>2303</v>
      </c>
      <c r="D494" t="s">
        <v>44</v>
      </c>
      <c r="E494" t="s">
        <v>516</v>
      </c>
      <c r="F494" t="str">
        <f>VLOOKUP(Ramen_Ratings[[#This Row],[Country]],Country_Region[#All],2,FALSE)</f>
        <v>Europe</v>
      </c>
      <c r="G494">
        <v>2.5</v>
      </c>
      <c r="H494" t="str" cm="1">
        <f t="array" ref="H494">_xlfn.IFS(Ramen_Ratings[[#This Row],[Stars]] = "Unrated", "NA",Ramen_Ratings[[#This Row],[Stars]]&gt;=4, "Good", Ramen_Ratings[[#This Row],[Stars]]&gt;2.5, "Fair", Ramen_Ratings[[#This Row],[Stars]] &gt;= 0, "Bad")</f>
        <v>Bad</v>
      </c>
      <c r="J494" t="str">
        <f>LEFT(Ramen_Ratings[[#This Row],[Top Ten]],4)</f>
        <v/>
      </c>
      <c r="K494" t="str">
        <f>IF(Ramen_Ratings[[#This Row],[Top Ten]]="", "",RIGHT(Ramen_Ratings[[#This Row],[Top Ten]],LEN(Ramen_Ratings[[#This Row],[Top Ten]])-6))</f>
        <v/>
      </c>
    </row>
    <row r="495" spans="1:11" x14ac:dyDescent="0.25">
      <c r="A495">
        <v>577</v>
      </c>
      <c r="B495" t="s">
        <v>1866</v>
      </c>
      <c r="C495" t="s">
        <v>2318</v>
      </c>
      <c r="D495" t="s">
        <v>9</v>
      </c>
      <c r="E495" t="s">
        <v>516</v>
      </c>
      <c r="F495" t="str">
        <f>VLOOKUP(Ramen_Ratings[[#This Row],[Country]],Country_Region[#All],2,FALSE)</f>
        <v>Europe</v>
      </c>
      <c r="G495">
        <v>3</v>
      </c>
      <c r="H495" t="str" cm="1">
        <f t="array" ref="H495">_xlfn.IFS(Ramen_Ratings[[#This Row],[Stars]] = "Unrated", "NA",Ramen_Ratings[[#This Row],[Stars]]&gt;=4, "Good", Ramen_Ratings[[#This Row],[Stars]]&gt;2.5, "Fair", Ramen_Ratings[[#This Row],[Stars]] &gt;= 0, "Bad")</f>
        <v>Fair</v>
      </c>
      <c r="J495" t="str">
        <f>LEFT(Ramen_Ratings[[#This Row],[Top Ten]],4)</f>
        <v/>
      </c>
      <c r="K495" t="str">
        <f>IF(Ramen_Ratings[[#This Row],[Top Ten]]="", "",RIGHT(Ramen_Ratings[[#This Row],[Top Ten]],LEN(Ramen_Ratings[[#This Row],[Top Ten]])-6))</f>
        <v/>
      </c>
    </row>
    <row r="496" spans="1:11" x14ac:dyDescent="0.25">
      <c r="A496">
        <v>575</v>
      </c>
      <c r="B496" t="s">
        <v>1502</v>
      </c>
      <c r="C496" t="s">
        <v>2319</v>
      </c>
      <c r="D496" t="s">
        <v>13</v>
      </c>
      <c r="E496" t="s">
        <v>516</v>
      </c>
      <c r="F496" t="str">
        <f>VLOOKUP(Ramen_Ratings[[#This Row],[Country]],Country_Region[#All],2,FALSE)</f>
        <v>Europe</v>
      </c>
      <c r="G496">
        <v>3.5</v>
      </c>
      <c r="H496" t="str" cm="1">
        <f t="array" ref="H496">_xlfn.IFS(Ramen_Ratings[[#This Row],[Stars]] = "Unrated", "NA",Ramen_Ratings[[#This Row],[Stars]]&gt;=4, "Good", Ramen_Ratings[[#This Row],[Stars]]&gt;2.5, "Fair", Ramen_Ratings[[#This Row],[Stars]] &gt;= 0, "Bad")</f>
        <v>Fair</v>
      </c>
      <c r="J496" t="str">
        <f>LEFT(Ramen_Ratings[[#This Row],[Top Ten]],4)</f>
        <v/>
      </c>
      <c r="K496" t="str">
        <f>IF(Ramen_Ratings[[#This Row],[Top Ten]]="", "",RIGHT(Ramen_Ratings[[#This Row],[Top Ten]],LEN(Ramen_Ratings[[#This Row],[Top Ten]])-6))</f>
        <v/>
      </c>
    </row>
    <row r="497" spans="1:11" x14ac:dyDescent="0.25">
      <c r="A497">
        <v>565</v>
      </c>
      <c r="B497" t="s">
        <v>1502</v>
      </c>
      <c r="C497" t="s">
        <v>2330</v>
      </c>
      <c r="D497" t="s">
        <v>44</v>
      </c>
      <c r="E497" t="s">
        <v>516</v>
      </c>
      <c r="F497" t="str">
        <f>VLOOKUP(Ramen_Ratings[[#This Row],[Country]],Country_Region[#All],2,FALSE)</f>
        <v>Europe</v>
      </c>
      <c r="G497">
        <v>4</v>
      </c>
      <c r="H497" t="str" cm="1">
        <f t="array" ref="H497">_xlfn.IFS(Ramen_Ratings[[#This Row],[Stars]] = "Unrated", "NA",Ramen_Ratings[[#This Row],[Stars]]&gt;=4, "Good", Ramen_Ratings[[#This Row],[Stars]]&gt;2.5, "Fair", Ramen_Ratings[[#This Row],[Stars]] &gt;= 0, "Bad")</f>
        <v>Good</v>
      </c>
      <c r="J497" t="str">
        <f>LEFT(Ramen_Ratings[[#This Row],[Top Ten]],4)</f>
        <v/>
      </c>
      <c r="K497" t="str">
        <f>IF(Ramen_Ratings[[#This Row],[Top Ten]]="", "",RIGHT(Ramen_Ratings[[#This Row],[Top Ten]],LEN(Ramen_Ratings[[#This Row],[Top Ten]])-6))</f>
        <v/>
      </c>
    </row>
    <row r="498" spans="1:11" x14ac:dyDescent="0.25">
      <c r="A498">
        <v>562</v>
      </c>
      <c r="B498" t="s">
        <v>1502</v>
      </c>
      <c r="C498" t="s">
        <v>2333</v>
      </c>
      <c r="D498" t="s">
        <v>13</v>
      </c>
      <c r="E498" t="s">
        <v>516</v>
      </c>
      <c r="F498" t="str">
        <f>VLOOKUP(Ramen_Ratings[[#This Row],[Country]],Country_Region[#All],2,FALSE)</f>
        <v>Europe</v>
      </c>
      <c r="G498">
        <v>4.25</v>
      </c>
      <c r="H498" t="str" cm="1">
        <f t="array" ref="H498">_xlfn.IFS(Ramen_Ratings[[#This Row],[Stars]] = "Unrated", "NA",Ramen_Ratings[[#This Row],[Stars]]&gt;=4, "Good", Ramen_Ratings[[#This Row],[Stars]]&gt;2.5, "Fair", Ramen_Ratings[[#This Row],[Stars]] &gt;= 0, "Bad")</f>
        <v>Good</v>
      </c>
      <c r="J498" t="str">
        <f>LEFT(Ramen_Ratings[[#This Row],[Top Ten]],4)</f>
        <v/>
      </c>
      <c r="K498" t="str">
        <f>IF(Ramen_Ratings[[#This Row],[Top Ten]]="", "",RIGHT(Ramen_Ratings[[#This Row],[Top Ten]],LEN(Ramen_Ratings[[#This Row],[Top Ten]])-6))</f>
        <v/>
      </c>
    </row>
    <row r="499" spans="1:11" x14ac:dyDescent="0.25">
      <c r="A499">
        <v>557</v>
      </c>
      <c r="B499" t="s">
        <v>1502</v>
      </c>
      <c r="C499" t="s">
        <v>2338</v>
      </c>
      <c r="D499" t="s">
        <v>13</v>
      </c>
      <c r="E499" t="s">
        <v>516</v>
      </c>
      <c r="F499" t="str">
        <f>VLOOKUP(Ramen_Ratings[[#This Row],[Country]],Country_Region[#All],2,FALSE)</f>
        <v>Europe</v>
      </c>
      <c r="G499">
        <v>3.75</v>
      </c>
      <c r="H499" t="str" cm="1">
        <f t="array" ref="H499">_xlfn.IFS(Ramen_Ratings[[#This Row],[Stars]] = "Unrated", "NA",Ramen_Ratings[[#This Row],[Stars]]&gt;=4, "Good", Ramen_Ratings[[#This Row],[Stars]]&gt;2.5, "Fair", Ramen_Ratings[[#This Row],[Stars]] &gt;= 0, "Bad")</f>
        <v>Fair</v>
      </c>
      <c r="J499" t="str">
        <f>LEFT(Ramen_Ratings[[#This Row],[Top Ten]],4)</f>
        <v/>
      </c>
      <c r="K499" t="str">
        <f>IF(Ramen_Ratings[[#This Row],[Top Ten]]="", "",RIGHT(Ramen_Ratings[[#This Row],[Top Ten]],LEN(Ramen_Ratings[[#This Row],[Top Ten]])-6))</f>
        <v/>
      </c>
    </row>
    <row r="500" spans="1:11" x14ac:dyDescent="0.25">
      <c r="A500">
        <v>555</v>
      </c>
      <c r="B500" t="s">
        <v>1502</v>
      </c>
      <c r="C500" t="s">
        <v>2340</v>
      </c>
      <c r="D500" t="s">
        <v>13</v>
      </c>
      <c r="E500" t="s">
        <v>516</v>
      </c>
      <c r="F500" t="str">
        <f>VLOOKUP(Ramen_Ratings[[#This Row],[Country]],Country_Region[#All],2,FALSE)</f>
        <v>Europe</v>
      </c>
      <c r="G500">
        <v>2.75</v>
      </c>
      <c r="H500" t="str" cm="1">
        <f t="array" ref="H500">_xlfn.IFS(Ramen_Ratings[[#This Row],[Stars]] = "Unrated", "NA",Ramen_Ratings[[#This Row],[Stars]]&gt;=4, "Good", Ramen_Ratings[[#This Row],[Stars]]&gt;2.5, "Fair", Ramen_Ratings[[#This Row],[Stars]] &gt;= 0, "Bad")</f>
        <v>Fair</v>
      </c>
      <c r="J500" t="str">
        <f>LEFT(Ramen_Ratings[[#This Row],[Top Ten]],4)</f>
        <v/>
      </c>
      <c r="K500" t="str">
        <f>IF(Ramen_Ratings[[#This Row],[Top Ten]]="", "",RIGHT(Ramen_Ratings[[#This Row],[Top Ten]],LEN(Ramen_Ratings[[#This Row],[Top Ten]])-6))</f>
        <v/>
      </c>
    </row>
    <row r="501" spans="1:11" x14ac:dyDescent="0.25">
      <c r="A501">
        <v>551</v>
      </c>
      <c r="B501" t="s">
        <v>1502</v>
      </c>
      <c r="C501" t="s">
        <v>2344</v>
      </c>
      <c r="D501" t="s">
        <v>13</v>
      </c>
      <c r="E501" t="s">
        <v>516</v>
      </c>
      <c r="F501" t="str">
        <f>VLOOKUP(Ramen_Ratings[[#This Row],[Country]],Country_Region[#All],2,FALSE)</f>
        <v>Europe</v>
      </c>
      <c r="G501">
        <v>3.25</v>
      </c>
      <c r="H501" t="str" cm="1">
        <f t="array" ref="H501">_xlfn.IFS(Ramen_Ratings[[#This Row],[Stars]] = "Unrated", "NA",Ramen_Ratings[[#This Row],[Stars]]&gt;=4, "Good", Ramen_Ratings[[#This Row],[Stars]]&gt;2.5, "Fair", Ramen_Ratings[[#This Row],[Stars]] &gt;= 0, "Bad")</f>
        <v>Fair</v>
      </c>
      <c r="J501" t="str">
        <f>LEFT(Ramen_Ratings[[#This Row],[Top Ten]],4)</f>
        <v/>
      </c>
      <c r="K501" t="str">
        <f>IF(Ramen_Ratings[[#This Row],[Top Ten]]="", "",RIGHT(Ramen_Ratings[[#This Row],[Top Ten]],LEN(Ramen_Ratings[[#This Row],[Top Ten]])-6))</f>
        <v/>
      </c>
    </row>
    <row r="502" spans="1:11" x14ac:dyDescent="0.25">
      <c r="A502">
        <v>548</v>
      </c>
      <c r="B502" t="s">
        <v>1866</v>
      </c>
      <c r="C502" t="s">
        <v>2347</v>
      </c>
      <c r="D502" t="s">
        <v>9</v>
      </c>
      <c r="E502" t="s">
        <v>516</v>
      </c>
      <c r="F502" t="str">
        <f>VLOOKUP(Ramen_Ratings[[#This Row],[Country]],Country_Region[#All],2,FALSE)</f>
        <v>Europe</v>
      </c>
      <c r="G502">
        <v>3.75</v>
      </c>
      <c r="H502" t="str" cm="1">
        <f t="array" ref="H502">_xlfn.IFS(Ramen_Ratings[[#This Row],[Stars]] = "Unrated", "NA",Ramen_Ratings[[#This Row],[Stars]]&gt;=4, "Good", Ramen_Ratings[[#This Row],[Stars]]&gt;2.5, "Fair", Ramen_Ratings[[#This Row],[Stars]] &gt;= 0, "Bad")</f>
        <v>Fair</v>
      </c>
      <c r="J502" t="str">
        <f>LEFT(Ramen_Ratings[[#This Row],[Top Ten]],4)</f>
        <v/>
      </c>
      <c r="K502" t="str">
        <f>IF(Ramen_Ratings[[#This Row],[Top Ten]]="", "",RIGHT(Ramen_Ratings[[#This Row],[Top Ten]],LEN(Ramen_Ratings[[#This Row],[Top Ten]])-6))</f>
        <v/>
      </c>
    </row>
    <row r="503" spans="1:11" x14ac:dyDescent="0.25">
      <c r="A503">
        <v>1466</v>
      </c>
      <c r="B503" t="s">
        <v>897</v>
      </c>
      <c r="C503" t="s">
        <v>1365</v>
      </c>
      <c r="D503" t="s">
        <v>13</v>
      </c>
      <c r="E503" t="s">
        <v>38</v>
      </c>
      <c r="F503" t="str">
        <f>VLOOKUP(Ramen_Ratings[[#This Row],[Country]],Country_Region[#All],2,FALSE)</f>
        <v>Asia</v>
      </c>
      <c r="G503">
        <v>5</v>
      </c>
      <c r="H503" t="str" cm="1">
        <f t="array" ref="H503">_xlfn.IFS(Ramen_Ratings[[#This Row],[Stars]] = "Unrated", "NA",Ramen_Ratings[[#This Row],[Stars]]&gt;=4, "Good", Ramen_Ratings[[#This Row],[Stars]]&gt;2.5, "Fair", Ramen_Ratings[[#This Row],[Stars]] &gt;= 0, "Bad")</f>
        <v>Good</v>
      </c>
      <c r="I503" t="s">
        <v>1366</v>
      </c>
      <c r="J503" t="str">
        <f>LEFT(Ramen_Ratings[[#This Row],[Top Ten]],4)</f>
        <v>2015</v>
      </c>
      <c r="K503" t="str">
        <f>IF(Ramen_Ratings[[#This Row],[Top Ten]]="", "",RIGHT(Ramen_Ratings[[#This Row],[Top Ten]],LEN(Ramen_Ratings[[#This Row],[Top Ten]])-6))</f>
        <v>8</v>
      </c>
    </row>
    <row r="504" spans="1:11" x14ac:dyDescent="0.25">
      <c r="A504">
        <v>1471</v>
      </c>
      <c r="B504" t="s">
        <v>897</v>
      </c>
      <c r="C504" t="s">
        <v>1359</v>
      </c>
      <c r="D504" t="s">
        <v>13</v>
      </c>
      <c r="E504" t="s">
        <v>38</v>
      </c>
      <c r="F504" t="str">
        <f>VLOOKUP(Ramen_Ratings[[#This Row],[Country]],Country_Region[#All],2,FALSE)</f>
        <v>Asia</v>
      </c>
      <c r="G504">
        <v>5</v>
      </c>
      <c r="H504" t="str" cm="1">
        <f t="array" ref="H504">_xlfn.IFS(Ramen_Ratings[[#This Row],[Stars]] = "Unrated", "NA",Ramen_Ratings[[#This Row],[Stars]]&gt;=4, "Good", Ramen_Ratings[[#This Row],[Stars]]&gt;2.5, "Fair", Ramen_Ratings[[#This Row],[Stars]] &gt;= 0, "Bad")</f>
        <v>Good</v>
      </c>
      <c r="I504" t="s">
        <v>1360</v>
      </c>
      <c r="J504" t="str">
        <f>LEFT(Ramen_Ratings[[#This Row],[Top Ten]],4)</f>
        <v>2013</v>
      </c>
      <c r="K504" t="str">
        <f>IF(Ramen_Ratings[[#This Row],[Top Ten]]="", "",RIGHT(Ramen_Ratings[[#This Row],[Top Ten]],LEN(Ramen_Ratings[[#This Row],[Top Ten]])-6))</f>
        <v>10</v>
      </c>
    </row>
    <row r="505" spans="1:11" x14ac:dyDescent="0.25">
      <c r="A505">
        <v>1302</v>
      </c>
      <c r="B505" t="s">
        <v>897</v>
      </c>
      <c r="C505" t="s">
        <v>1542</v>
      </c>
      <c r="D505" t="s">
        <v>13</v>
      </c>
      <c r="E505" t="s">
        <v>38</v>
      </c>
      <c r="F505" t="str">
        <f>VLOOKUP(Ramen_Ratings[[#This Row],[Country]],Country_Region[#All],2,FALSE)</f>
        <v>Asia</v>
      </c>
      <c r="G505">
        <v>5</v>
      </c>
      <c r="H505" t="str" cm="1">
        <f t="array" ref="H505">_xlfn.IFS(Ramen_Ratings[[#This Row],[Stars]] = "Unrated", "NA",Ramen_Ratings[[#This Row],[Stars]]&gt;=4, "Good", Ramen_Ratings[[#This Row],[Stars]]&gt;2.5, "Fair", Ramen_Ratings[[#This Row],[Stars]] &gt;= 0, "Bad")</f>
        <v>Good</v>
      </c>
      <c r="I505" t="s">
        <v>1543</v>
      </c>
      <c r="J505" t="str">
        <f>LEFT(Ramen_Ratings[[#This Row],[Top Ten]],4)</f>
        <v>2014</v>
      </c>
      <c r="K505" t="str">
        <f>IF(Ramen_Ratings[[#This Row],[Top Ten]]="", "",RIGHT(Ramen_Ratings[[#This Row],[Top Ten]],LEN(Ramen_Ratings[[#This Row],[Top Ten]])-6))</f>
        <v>10</v>
      </c>
    </row>
    <row r="506" spans="1:11" x14ac:dyDescent="0.25">
      <c r="A506">
        <v>2570</v>
      </c>
      <c r="B506" t="s">
        <v>36</v>
      </c>
      <c r="C506" t="s">
        <v>37</v>
      </c>
      <c r="D506" t="s">
        <v>13</v>
      </c>
      <c r="E506" t="s">
        <v>38</v>
      </c>
      <c r="F506" t="str">
        <f>VLOOKUP(Ramen_Ratings[[#This Row],[Country]],Country_Region[#All],2,FALSE)</f>
        <v>Asia</v>
      </c>
      <c r="G506">
        <v>5</v>
      </c>
      <c r="H506" t="str" cm="1">
        <f t="array" ref="H506">_xlfn.IFS(Ramen_Ratings[[#This Row],[Stars]] = "Unrated", "NA",Ramen_Ratings[[#This Row],[Stars]]&gt;=4, "Good", Ramen_Ratings[[#This Row],[Stars]]&gt;2.5, "Fair", Ramen_Ratings[[#This Row],[Stars]] &gt;= 0, "Bad")</f>
        <v>Good</v>
      </c>
      <c r="J506" t="str">
        <f>LEFT(Ramen_Ratings[[#This Row],[Top Ten]],4)</f>
        <v/>
      </c>
      <c r="K506" t="str">
        <f>IF(Ramen_Ratings[[#This Row],[Top Ten]]="", "",RIGHT(Ramen_Ratings[[#This Row],[Top Ten]],LEN(Ramen_Ratings[[#This Row],[Top Ten]])-6))</f>
        <v/>
      </c>
    </row>
    <row r="507" spans="1:11" x14ac:dyDescent="0.25">
      <c r="A507">
        <v>2432</v>
      </c>
      <c r="B507" t="s">
        <v>230</v>
      </c>
      <c r="C507" t="s">
        <v>231</v>
      </c>
      <c r="D507" t="s">
        <v>44</v>
      </c>
      <c r="E507" t="s">
        <v>38</v>
      </c>
      <c r="F507" t="str">
        <f>VLOOKUP(Ramen_Ratings[[#This Row],[Country]],Country_Region[#All],2,FALSE)</f>
        <v>Asia</v>
      </c>
      <c r="G507">
        <v>3.5</v>
      </c>
      <c r="H507" t="str" cm="1">
        <f t="array" ref="H507">_xlfn.IFS(Ramen_Ratings[[#This Row],[Stars]] = "Unrated", "NA",Ramen_Ratings[[#This Row],[Stars]]&gt;=4, "Good", Ramen_Ratings[[#This Row],[Stars]]&gt;2.5, "Fair", Ramen_Ratings[[#This Row],[Stars]] &gt;= 0, "Bad")</f>
        <v>Fair</v>
      </c>
      <c r="J507" t="str">
        <f>LEFT(Ramen_Ratings[[#This Row],[Top Ten]],4)</f>
        <v/>
      </c>
      <c r="K507" t="str">
        <f>IF(Ramen_Ratings[[#This Row],[Top Ten]]="", "",RIGHT(Ramen_Ratings[[#This Row],[Top Ten]],LEN(Ramen_Ratings[[#This Row],[Top Ten]])-6))</f>
        <v/>
      </c>
    </row>
    <row r="508" spans="1:11" x14ac:dyDescent="0.25">
      <c r="A508">
        <v>2376</v>
      </c>
      <c r="B508" t="s">
        <v>15</v>
      </c>
      <c r="C508" t="s">
        <v>303</v>
      </c>
      <c r="D508" t="s">
        <v>9</v>
      </c>
      <c r="E508" t="s">
        <v>38</v>
      </c>
      <c r="F508" t="str">
        <f>VLOOKUP(Ramen_Ratings[[#This Row],[Country]],Country_Region[#All],2,FALSE)</f>
        <v>Asia</v>
      </c>
      <c r="G508">
        <v>3.25</v>
      </c>
      <c r="H508" t="str" cm="1">
        <f t="array" ref="H508">_xlfn.IFS(Ramen_Ratings[[#This Row],[Stars]] = "Unrated", "NA",Ramen_Ratings[[#This Row],[Stars]]&gt;=4, "Good", Ramen_Ratings[[#This Row],[Stars]]&gt;2.5, "Fair", Ramen_Ratings[[#This Row],[Stars]] &gt;= 0, "Bad")</f>
        <v>Fair</v>
      </c>
      <c r="J508" t="str">
        <f>LEFT(Ramen_Ratings[[#This Row],[Top Ten]],4)</f>
        <v/>
      </c>
      <c r="K508" t="str">
        <f>IF(Ramen_Ratings[[#This Row],[Top Ten]]="", "",RIGHT(Ramen_Ratings[[#This Row],[Top Ten]],LEN(Ramen_Ratings[[#This Row],[Top Ten]])-6))</f>
        <v/>
      </c>
    </row>
    <row r="509" spans="1:11" x14ac:dyDescent="0.25">
      <c r="A509">
        <v>2317</v>
      </c>
      <c r="B509" t="s">
        <v>380</v>
      </c>
      <c r="C509" t="s">
        <v>381</v>
      </c>
      <c r="D509" t="s">
        <v>44</v>
      </c>
      <c r="E509" t="s">
        <v>38</v>
      </c>
      <c r="F509" t="str">
        <f>VLOOKUP(Ramen_Ratings[[#This Row],[Country]],Country_Region[#All],2,FALSE)</f>
        <v>Asia</v>
      </c>
      <c r="G509">
        <v>4</v>
      </c>
      <c r="H509" t="str" cm="1">
        <f t="array" ref="H509">_xlfn.IFS(Ramen_Ratings[[#This Row],[Stars]] = "Unrated", "NA",Ramen_Ratings[[#This Row],[Stars]]&gt;=4, "Good", Ramen_Ratings[[#This Row],[Stars]]&gt;2.5, "Fair", Ramen_Ratings[[#This Row],[Stars]] &gt;= 0, "Bad")</f>
        <v>Good</v>
      </c>
      <c r="J509" t="str">
        <f>LEFT(Ramen_Ratings[[#This Row],[Top Ten]],4)</f>
        <v/>
      </c>
      <c r="K509" t="str">
        <f>IF(Ramen_Ratings[[#This Row],[Top Ten]]="", "",RIGHT(Ramen_Ratings[[#This Row],[Top Ten]],LEN(Ramen_Ratings[[#This Row],[Top Ten]])-6))</f>
        <v/>
      </c>
    </row>
    <row r="510" spans="1:11" x14ac:dyDescent="0.25">
      <c r="A510">
        <v>2266</v>
      </c>
      <c r="B510" t="s">
        <v>15</v>
      </c>
      <c r="C510" t="s">
        <v>434</v>
      </c>
      <c r="D510" t="s">
        <v>9</v>
      </c>
      <c r="E510" t="s">
        <v>38</v>
      </c>
      <c r="F510" t="str">
        <f>VLOOKUP(Ramen_Ratings[[#This Row],[Country]],Country_Region[#All],2,FALSE)</f>
        <v>Asia</v>
      </c>
      <c r="G510">
        <v>4</v>
      </c>
      <c r="H510" t="str" cm="1">
        <f t="array" ref="H510">_xlfn.IFS(Ramen_Ratings[[#This Row],[Stars]] = "Unrated", "NA",Ramen_Ratings[[#This Row],[Stars]]&gt;=4, "Good", Ramen_Ratings[[#This Row],[Stars]]&gt;2.5, "Fair", Ramen_Ratings[[#This Row],[Stars]] &gt;= 0, "Bad")</f>
        <v>Good</v>
      </c>
      <c r="J510" t="str">
        <f>LEFT(Ramen_Ratings[[#This Row],[Top Ten]],4)</f>
        <v/>
      </c>
      <c r="K510" t="str">
        <f>IF(Ramen_Ratings[[#This Row],[Top Ten]]="", "",RIGHT(Ramen_Ratings[[#This Row],[Top Ten]],LEN(Ramen_Ratings[[#This Row],[Top Ten]])-6))</f>
        <v/>
      </c>
    </row>
    <row r="511" spans="1:11" x14ac:dyDescent="0.25">
      <c r="A511">
        <v>2254</v>
      </c>
      <c r="B511" t="s">
        <v>15</v>
      </c>
      <c r="C511" t="s">
        <v>449</v>
      </c>
      <c r="D511" t="s">
        <v>9</v>
      </c>
      <c r="E511" t="s">
        <v>38</v>
      </c>
      <c r="F511" t="str">
        <f>VLOOKUP(Ramen_Ratings[[#This Row],[Country]],Country_Region[#All],2,FALSE)</f>
        <v>Asia</v>
      </c>
      <c r="G511">
        <v>3</v>
      </c>
      <c r="H511" t="str" cm="1">
        <f t="array" ref="H511">_xlfn.IFS(Ramen_Ratings[[#This Row],[Stars]] = "Unrated", "NA",Ramen_Ratings[[#This Row],[Stars]]&gt;=4, "Good", Ramen_Ratings[[#This Row],[Stars]]&gt;2.5, "Fair", Ramen_Ratings[[#This Row],[Stars]] &gt;= 0, "Bad")</f>
        <v>Fair</v>
      </c>
      <c r="J511" t="str">
        <f>LEFT(Ramen_Ratings[[#This Row],[Top Ten]],4)</f>
        <v/>
      </c>
      <c r="K511" t="str">
        <f>IF(Ramen_Ratings[[#This Row],[Top Ten]]="", "",RIGHT(Ramen_Ratings[[#This Row],[Top Ten]],LEN(Ramen_Ratings[[#This Row],[Top Ten]])-6))</f>
        <v/>
      </c>
    </row>
    <row r="512" spans="1:11" x14ac:dyDescent="0.25">
      <c r="A512">
        <v>2235</v>
      </c>
      <c r="B512" t="s">
        <v>230</v>
      </c>
      <c r="C512" t="s">
        <v>474</v>
      </c>
      <c r="D512" t="s">
        <v>44</v>
      </c>
      <c r="E512" t="s">
        <v>38</v>
      </c>
      <c r="F512" t="str">
        <f>VLOOKUP(Ramen_Ratings[[#This Row],[Country]],Country_Region[#All],2,FALSE)</f>
        <v>Asia</v>
      </c>
      <c r="G512">
        <v>4</v>
      </c>
      <c r="H512" t="str" cm="1">
        <f t="array" ref="H512">_xlfn.IFS(Ramen_Ratings[[#This Row],[Stars]] = "Unrated", "NA",Ramen_Ratings[[#This Row],[Stars]]&gt;=4, "Good", Ramen_Ratings[[#This Row],[Stars]]&gt;2.5, "Fair", Ramen_Ratings[[#This Row],[Stars]] &gt;= 0, "Bad")</f>
        <v>Good</v>
      </c>
      <c r="J512" t="str">
        <f>LEFT(Ramen_Ratings[[#This Row],[Top Ten]],4)</f>
        <v/>
      </c>
      <c r="K512" t="str">
        <f>IF(Ramen_Ratings[[#This Row],[Top Ten]]="", "",RIGHT(Ramen_Ratings[[#This Row],[Top Ten]],LEN(Ramen_Ratings[[#This Row],[Top Ten]])-6))</f>
        <v/>
      </c>
    </row>
    <row r="513" spans="1:11" x14ac:dyDescent="0.25">
      <c r="A513">
        <v>2211</v>
      </c>
      <c r="B513" t="s">
        <v>15</v>
      </c>
      <c r="C513" t="s">
        <v>501</v>
      </c>
      <c r="D513" t="s">
        <v>9</v>
      </c>
      <c r="E513" t="s">
        <v>38</v>
      </c>
      <c r="F513" t="str">
        <f>VLOOKUP(Ramen_Ratings[[#This Row],[Country]],Country_Region[#All],2,FALSE)</f>
        <v>Asia</v>
      </c>
      <c r="G513">
        <v>3</v>
      </c>
      <c r="H513" t="str" cm="1">
        <f t="array" ref="H513">_xlfn.IFS(Ramen_Ratings[[#This Row],[Stars]] = "Unrated", "NA",Ramen_Ratings[[#This Row],[Stars]]&gt;=4, "Good", Ramen_Ratings[[#This Row],[Stars]]&gt;2.5, "Fair", Ramen_Ratings[[#This Row],[Stars]] &gt;= 0, "Bad")</f>
        <v>Fair</v>
      </c>
      <c r="J513" t="str">
        <f>LEFT(Ramen_Ratings[[#This Row],[Top Ten]],4)</f>
        <v/>
      </c>
      <c r="K513" t="str">
        <f>IF(Ramen_Ratings[[#This Row],[Top Ten]]="", "",RIGHT(Ramen_Ratings[[#This Row],[Top Ten]],LEN(Ramen_Ratings[[#This Row],[Top Ten]])-6))</f>
        <v/>
      </c>
    </row>
    <row r="514" spans="1:11" x14ac:dyDescent="0.25">
      <c r="A514">
        <v>2184</v>
      </c>
      <c r="B514" t="s">
        <v>533</v>
      </c>
      <c r="C514" t="s">
        <v>534</v>
      </c>
      <c r="D514" t="s">
        <v>44</v>
      </c>
      <c r="E514" t="s">
        <v>38</v>
      </c>
      <c r="F514" t="str">
        <f>VLOOKUP(Ramen_Ratings[[#This Row],[Country]],Country_Region[#All],2,FALSE)</f>
        <v>Asia</v>
      </c>
      <c r="G514">
        <v>2.75</v>
      </c>
      <c r="H514" t="str" cm="1">
        <f t="array" ref="H514">_xlfn.IFS(Ramen_Ratings[[#This Row],[Stars]] = "Unrated", "NA",Ramen_Ratings[[#This Row],[Stars]]&gt;=4, "Good", Ramen_Ratings[[#This Row],[Stars]]&gt;2.5, "Fair", Ramen_Ratings[[#This Row],[Stars]] &gt;= 0, "Bad")</f>
        <v>Fair</v>
      </c>
      <c r="J514" t="str">
        <f>LEFT(Ramen_Ratings[[#This Row],[Top Ten]],4)</f>
        <v/>
      </c>
      <c r="K514" t="str">
        <f>IF(Ramen_Ratings[[#This Row],[Top Ten]]="", "",RIGHT(Ramen_Ratings[[#This Row],[Top Ten]],LEN(Ramen_Ratings[[#This Row],[Top Ten]])-6))</f>
        <v/>
      </c>
    </row>
    <row r="515" spans="1:11" x14ac:dyDescent="0.25">
      <c r="A515">
        <v>2183</v>
      </c>
      <c r="B515" t="s">
        <v>380</v>
      </c>
      <c r="C515" t="s">
        <v>535</v>
      </c>
      <c r="D515" t="s">
        <v>13</v>
      </c>
      <c r="E515" t="s">
        <v>38</v>
      </c>
      <c r="F515" t="str">
        <f>VLOOKUP(Ramen_Ratings[[#This Row],[Country]],Country_Region[#All],2,FALSE)</f>
        <v>Asia</v>
      </c>
      <c r="G515">
        <v>3.5</v>
      </c>
      <c r="H515" t="str" cm="1">
        <f t="array" ref="H515">_xlfn.IFS(Ramen_Ratings[[#This Row],[Stars]] = "Unrated", "NA",Ramen_Ratings[[#This Row],[Stars]]&gt;=4, "Good", Ramen_Ratings[[#This Row],[Stars]]&gt;2.5, "Fair", Ramen_Ratings[[#This Row],[Stars]] &gt;= 0, "Bad")</f>
        <v>Fair</v>
      </c>
      <c r="J515" t="str">
        <f>LEFT(Ramen_Ratings[[#This Row],[Top Ten]],4)</f>
        <v/>
      </c>
      <c r="K515" t="str">
        <f>IF(Ramen_Ratings[[#This Row],[Top Ten]]="", "",RIGHT(Ramen_Ratings[[#This Row],[Top Ten]],LEN(Ramen_Ratings[[#This Row],[Top Ten]])-6))</f>
        <v/>
      </c>
    </row>
    <row r="516" spans="1:11" x14ac:dyDescent="0.25">
      <c r="A516">
        <v>2182</v>
      </c>
      <c r="B516" t="s">
        <v>380</v>
      </c>
      <c r="C516" t="s">
        <v>536</v>
      </c>
      <c r="D516" t="s">
        <v>13</v>
      </c>
      <c r="E516" t="s">
        <v>38</v>
      </c>
      <c r="F516" t="str">
        <f>VLOOKUP(Ramen_Ratings[[#This Row],[Country]],Country_Region[#All],2,FALSE)</f>
        <v>Asia</v>
      </c>
      <c r="G516">
        <v>3.5</v>
      </c>
      <c r="H516" t="str" cm="1">
        <f t="array" ref="H516">_xlfn.IFS(Ramen_Ratings[[#This Row],[Stars]] = "Unrated", "NA",Ramen_Ratings[[#This Row],[Stars]]&gt;=4, "Good", Ramen_Ratings[[#This Row],[Stars]]&gt;2.5, "Fair", Ramen_Ratings[[#This Row],[Stars]] &gt;= 0, "Bad")</f>
        <v>Fair</v>
      </c>
      <c r="J516" t="str">
        <f>LEFT(Ramen_Ratings[[#This Row],[Top Ten]],4)</f>
        <v/>
      </c>
      <c r="K516" t="str">
        <f>IF(Ramen_Ratings[[#This Row],[Top Ten]]="", "",RIGHT(Ramen_Ratings[[#This Row],[Top Ten]],LEN(Ramen_Ratings[[#This Row],[Top Ten]])-6))</f>
        <v/>
      </c>
    </row>
    <row r="517" spans="1:11" x14ac:dyDescent="0.25">
      <c r="A517">
        <v>2181</v>
      </c>
      <c r="B517" t="s">
        <v>380</v>
      </c>
      <c r="C517" t="s">
        <v>537</v>
      </c>
      <c r="D517" t="s">
        <v>13</v>
      </c>
      <c r="E517" t="s">
        <v>38</v>
      </c>
      <c r="F517" t="str">
        <f>VLOOKUP(Ramen_Ratings[[#This Row],[Country]],Country_Region[#All],2,FALSE)</f>
        <v>Asia</v>
      </c>
      <c r="G517">
        <v>4</v>
      </c>
      <c r="H517" t="str" cm="1">
        <f t="array" ref="H517">_xlfn.IFS(Ramen_Ratings[[#This Row],[Stars]] = "Unrated", "NA",Ramen_Ratings[[#This Row],[Stars]]&gt;=4, "Good", Ramen_Ratings[[#This Row],[Stars]]&gt;2.5, "Fair", Ramen_Ratings[[#This Row],[Stars]] &gt;= 0, "Bad")</f>
        <v>Good</v>
      </c>
      <c r="J517" t="str">
        <f>LEFT(Ramen_Ratings[[#This Row],[Top Ten]],4)</f>
        <v/>
      </c>
      <c r="K517" t="str">
        <f>IF(Ramen_Ratings[[#This Row],[Top Ten]]="", "",RIGHT(Ramen_Ratings[[#This Row],[Top Ten]],LEN(Ramen_Ratings[[#This Row],[Top Ten]])-6))</f>
        <v/>
      </c>
    </row>
    <row r="518" spans="1:11" x14ac:dyDescent="0.25">
      <c r="A518">
        <v>2180</v>
      </c>
      <c r="B518" t="s">
        <v>380</v>
      </c>
      <c r="C518" t="s">
        <v>538</v>
      </c>
      <c r="D518" t="s">
        <v>44</v>
      </c>
      <c r="E518" t="s">
        <v>38</v>
      </c>
      <c r="F518" t="str">
        <f>VLOOKUP(Ramen_Ratings[[#This Row],[Country]],Country_Region[#All],2,FALSE)</f>
        <v>Asia</v>
      </c>
      <c r="G518">
        <v>3</v>
      </c>
      <c r="H518" t="str" cm="1">
        <f t="array" ref="H518">_xlfn.IFS(Ramen_Ratings[[#This Row],[Stars]] = "Unrated", "NA",Ramen_Ratings[[#This Row],[Stars]]&gt;=4, "Good", Ramen_Ratings[[#This Row],[Stars]]&gt;2.5, "Fair", Ramen_Ratings[[#This Row],[Stars]] &gt;= 0, "Bad")</f>
        <v>Fair</v>
      </c>
      <c r="J518" t="str">
        <f>LEFT(Ramen_Ratings[[#This Row],[Top Ten]],4)</f>
        <v/>
      </c>
      <c r="K518" t="str">
        <f>IF(Ramen_Ratings[[#This Row],[Top Ten]]="", "",RIGHT(Ramen_Ratings[[#This Row],[Top Ten]],LEN(Ramen_Ratings[[#This Row],[Top Ten]])-6))</f>
        <v/>
      </c>
    </row>
    <row r="519" spans="1:11" x14ac:dyDescent="0.25">
      <c r="A519">
        <v>2179</v>
      </c>
      <c r="B519" t="s">
        <v>380</v>
      </c>
      <c r="C519" t="s">
        <v>539</v>
      </c>
      <c r="D519" t="s">
        <v>13</v>
      </c>
      <c r="E519" t="s">
        <v>38</v>
      </c>
      <c r="F519" t="str">
        <f>VLOOKUP(Ramen_Ratings[[#This Row],[Country]],Country_Region[#All],2,FALSE)</f>
        <v>Asia</v>
      </c>
      <c r="G519">
        <v>5</v>
      </c>
      <c r="H519" t="str" cm="1">
        <f t="array" ref="H519">_xlfn.IFS(Ramen_Ratings[[#This Row],[Stars]] = "Unrated", "NA",Ramen_Ratings[[#This Row],[Stars]]&gt;=4, "Good", Ramen_Ratings[[#This Row],[Stars]]&gt;2.5, "Fair", Ramen_Ratings[[#This Row],[Stars]] &gt;= 0, "Bad")</f>
        <v>Good</v>
      </c>
      <c r="J519" t="str">
        <f>LEFT(Ramen_Ratings[[#This Row],[Top Ten]],4)</f>
        <v/>
      </c>
      <c r="K519" t="str">
        <f>IF(Ramen_Ratings[[#This Row],[Top Ten]]="", "",RIGHT(Ramen_Ratings[[#This Row],[Top Ten]],LEN(Ramen_Ratings[[#This Row],[Top Ten]])-6))</f>
        <v/>
      </c>
    </row>
    <row r="520" spans="1:11" x14ac:dyDescent="0.25">
      <c r="A520">
        <v>2178</v>
      </c>
      <c r="B520" t="s">
        <v>380</v>
      </c>
      <c r="C520" t="s">
        <v>540</v>
      </c>
      <c r="D520" t="s">
        <v>13</v>
      </c>
      <c r="E520" t="s">
        <v>38</v>
      </c>
      <c r="F520" t="str">
        <f>VLOOKUP(Ramen_Ratings[[#This Row],[Country]],Country_Region[#All],2,FALSE)</f>
        <v>Asia</v>
      </c>
      <c r="G520">
        <v>4</v>
      </c>
      <c r="H520" t="str" cm="1">
        <f t="array" ref="H520">_xlfn.IFS(Ramen_Ratings[[#This Row],[Stars]] = "Unrated", "NA",Ramen_Ratings[[#This Row],[Stars]]&gt;=4, "Good", Ramen_Ratings[[#This Row],[Stars]]&gt;2.5, "Fair", Ramen_Ratings[[#This Row],[Stars]] &gt;= 0, "Bad")</f>
        <v>Good</v>
      </c>
      <c r="J520" t="str">
        <f>LEFT(Ramen_Ratings[[#This Row],[Top Ten]],4)</f>
        <v/>
      </c>
      <c r="K520" t="str">
        <f>IF(Ramen_Ratings[[#This Row],[Top Ten]]="", "",RIGHT(Ramen_Ratings[[#This Row],[Top Ten]],LEN(Ramen_Ratings[[#This Row],[Top Ten]])-6))</f>
        <v/>
      </c>
    </row>
    <row r="521" spans="1:11" x14ac:dyDescent="0.25">
      <c r="A521">
        <v>2177</v>
      </c>
      <c r="B521" t="s">
        <v>380</v>
      </c>
      <c r="C521" t="s">
        <v>541</v>
      </c>
      <c r="D521" t="s">
        <v>13</v>
      </c>
      <c r="E521" t="s">
        <v>38</v>
      </c>
      <c r="F521" t="str">
        <f>VLOOKUP(Ramen_Ratings[[#This Row],[Country]],Country_Region[#All],2,FALSE)</f>
        <v>Asia</v>
      </c>
      <c r="G521">
        <v>4</v>
      </c>
      <c r="H521" t="str" cm="1">
        <f t="array" ref="H521">_xlfn.IFS(Ramen_Ratings[[#This Row],[Stars]] = "Unrated", "NA",Ramen_Ratings[[#This Row],[Stars]]&gt;=4, "Good", Ramen_Ratings[[#This Row],[Stars]]&gt;2.5, "Fair", Ramen_Ratings[[#This Row],[Stars]] &gt;= 0, "Bad")</f>
        <v>Good</v>
      </c>
      <c r="J521" t="str">
        <f>LEFT(Ramen_Ratings[[#This Row],[Top Ten]],4)</f>
        <v/>
      </c>
      <c r="K521" t="str">
        <f>IF(Ramen_Ratings[[#This Row],[Top Ten]]="", "",RIGHT(Ramen_Ratings[[#This Row],[Top Ten]],LEN(Ramen_Ratings[[#This Row],[Top Ten]])-6))</f>
        <v/>
      </c>
    </row>
    <row r="522" spans="1:11" x14ac:dyDescent="0.25">
      <c r="A522">
        <v>2176</v>
      </c>
      <c r="B522" t="s">
        <v>380</v>
      </c>
      <c r="C522" t="s">
        <v>542</v>
      </c>
      <c r="D522" t="s">
        <v>13</v>
      </c>
      <c r="E522" t="s">
        <v>38</v>
      </c>
      <c r="F522" t="str">
        <f>VLOOKUP(Ramen_Ratings[[#This Row],[Country]],Country_Region[#All],2,FALSE)</f>
        <v>Asia</v>
      </c>
      <c r="G522">
        <v>5</v>
      </c>
      <c r="H522" t="str" cm="1">
        <f t="array" ref="H522">_xlfn.IFS(Ramen_Ratings[[#This Row],[Stars]] = "Unrated", "NA",Ramen_Ratings[[#This Row],[Stars]]&gt;=4, "Good", Ramen_Ratings[[#This Row],[Stars]]&gt;2.5, "Fair", Ramen_Ratings[[#This Row],[Stars]] &gt;= 0, "Bad")</f>
        <v>Good</v>
      </c>
      <c r="J522" t="str">
        <f>LEFT(Ramen_Ratings[[#This Row],[Top Ten]],4)</f>
        <v/>
      </c>
      <c r="K522" t="str">
        <f>IF(Ramen_Ratings[[#This Row],[Top Ten]]="", "",RIGHT(Ramen_Ratings[[#This Row],[Top Ten]],LEN(Ramen_Ratings[[#This Row],[Top Ten]])-6))</f>
        <v/>
      </c>
    </row>
    <row r="523" spans="1:11" x14ac:dyDescent="0.25">
      <c r="A523">
        <v>2175</v>
      </c>
      <c r="B523" t="s">
        <v>380</v>
      </c>
      <c r="C523" t="s">
        <v>543</v>
      </c>
      <c r="D523" t="s">
        <v>13</v>
      </c>
      <c r="E523" t="s">
        <v>38</v>
      </c>
      <c r="F523" t="str">
        <f>VLOOKUP(Ramen_Ratings[[#This Row],[Country]],Country_Region[#All],2,FALSE)</f>
        <v>Asia</v>
      </c>
      <c r="G523">
        <v>4</v>
      </c>
      <c r="H523" t="str" cm="1">
        <f t="array" ref="H523">_xlfn.IFS(Ramen_Ratings[[#This Row],[Stars]] = "Unrated", "NA",Ramen_Ratings[[#This Row],[Stars]]&gt;=4, "Good", Ramen_Ratings[[#This Row],[Stars]]&gt;2.5, "Fair", Ramen_Ratings[[#This Row],[Stars]] &gt;= 0, "Bad")</f>
        <v>Good</v>
      </c>
      <c r="J523" t="str">
        <f>LEFT(Ramen_Ratings[[#This Row],[Top Ten]],4)</f>
        <v/>
      </c>
      <c r="K523" t="str">
        <f>IF(Ramen_Ratings[[#This Row],[Top Ten]]="", "",RIGHT(Ramen_Ratings[[#This Row],[Top Ten]],LEN(Ramen_Ratings[[#This Row],[Top Ten]])-6))</f>
        <v/>
      </c>
    </row>
    <row r="524" spans="1:11" x14ac:dyDescent="0.25">
      <c r="A524">
        <v>2174</v>
      </c>
      <c r="B524" t="s">
        <v>380</v>
      </c>
      <c r="C524" t="s">
        <v>544</v>
      </c>
      <c r="D524" t="s">
        <v>9</v>
      </c>
      <c r="E524" t="s">
        <v>38</v>
      </c>
      <c r="F524" t="str">
        <f>VLOOKUP(Ramen_Ratings[[#This Row],[Country]],Country_Region[#All],2,FALSE)</f>
        <v>Asia</v>
      </c>
      <c r="G524">
        <v>5</v>
      </c>
      <c r="H524" t="str" cm="1">
        <f t="array" ref="H524">_xlfn.IFS(Ramen_Ratings[[#This Row],[Stars]] = "Unrated", "NA",Ramen_Ratings[[#This Row],[Stars]]&gt;=4, "Good", Ramen_Ratings[[#This Row],[Stars]]&gt;2.5, "Fair", Ramen_Ratings[[#This Row],[Stars]] &gt;= 0, "Bad")</f>
        <v>Good</v>
      </c>
      <c r="J524" t="str">
        <f>LEFT(Ramen_Ratings[[#This Row],[Top Ten]],4)</f>
        <v/>
      </c>
      <c r="K524" t="str">
        <f>IF(Ramen_Ratings[[#This Row],[Top Ten]]="", "",RIGHT(Ramen_Ratings[[#This Row],[Top Ten]],LEN(Ramen_Ratings[[#This Row],[Top Ten]])-6))</f>
        <v/>
      </c>
    </row>
    <row r="525" spans="1:11" x14ac:dyDescent="0.25">
      <c r="A525">
        <v>2173</v>
      </c>
      <c r="B525" t="s">
        <v>380</v>
      </c>
      <c r="C525" t="s">
        <v>545</v>
      </c>
      <c r="D525" t="s">
        <v>13</v>
      </c>
      <c r="E525" t="s">
        <v>38</v>
      </c>
      <c r="F525" t="str">
        <f>VLOOKUP(Ramen_Ratings[[#This Row],[Country]],Country_Region[#All],2,FALSE)</f>
        <v>Asia</v>
      </c>
      <c r="G525">
        <v>4</v>
      </c>
      <c r="H525" t="str" cm="1">
        <f t="array" ref="H525">_xlfn.IFS(Ramen_Ratings[[#This Row],[Stars]] = "Unrated", "NA",Ramen_Ratings[[#This Row],[Stars]]&gt;=4, "Good", Ramen_Ratings[[#This Row],[Stars]]&gt;2.5, "Fair", Ramen_Ratings[[#This Row],[Stars]] &gt;= 0, "Bad")</f>
        <v>Good</v>
      </c>
      <c r="J525" t="str">
        <f>LEFT(Ramen_Ratings[[#This Row],[Top Ten]],4)</f>
        <v/>
      </c>
      <c r="K525" t="str">
        <f>IF(Ramen_Ratings[[#This Row],[Top Ten]]="", "",RIGHT(Ramen_Ratings[[#This Row],[Top Ten]],LEN(Ramen_Ratings[[#This Row],[Top Ten]])-6))</f>
        <v/>
      </c>
    </row>
    <row r="526" spans="1:11" x14ac:dyDescent="0.25">
      <c r="A526">
        <v>2172</v>
      </c>
      <c r="B526" t="s">
        <v>380</v>
      </c>
      <c r="C526" t="s">
        <v>546</v>
      </c>
      <c r="D526" t="s">
        <v>13</v>
      </c>
      <c r="E526" t="s">
        <v>38</v>
      </c>
      <c r="F526" t="str">
        <f>VLOOKUP(Ramen_Ratings[[#This Row],[Country]],Country_Region[#All],2,FALSE)</f>
        <v>Asia</v>
      </c>
      <c r="G526">
        <v>4</v>
      </c>
      <c r="H526" t="str" cm="1">
        <f t="array" ref="H526">_xlfn.IFS(Ramen_Ratings[[#This Row],[Stars]] = "Unrated", "NA",Ramen_Ratings[[#This Row],[Stars]]&gt;=4, "Good", Ramen_Ratings[[#This Row],[Stars]]&gt;2.5, "Fair", Ramen_Ratings[[#This Row],[Stars]] &gt;= 0, "Bad")</f>
        <v>Good</v>
      </c>
      <c r="J526" t="str">
        <f>LEFT(Ramen_Ratings[[#This Row],[Top Ten]],4)</f>
        <v/>
      </c>
      <c r="K526" t="str">
        <f>IF(Ramen_Ratings[[#This Row],[Top Ten]]="", "",RIGHT(Ramen_Ratings[[#This Row],[Top Ten]],LEN(Ramen_Ratings[[#This Row],[Top Ten]])-6))</f>
        <v/>
      </c>
    </row>
    <row r="527" spans="1:11" x14ac:dyDescent="0.25">
      <c r="A527">
        <v>2171</v>
      </c>
      <c r="B527" t="s">
        <v>380</v>
      </c>
      <c r="C527" t="s">
        <v>547</v>
      </c>
      <c r="D527" t="s">
        <v>13</v>
      </c>
      <c r="E527" t="s">
        <v>38</v>
      </c>
      <c r="F527" t="str">
        <f>VLOOKUP(Ramen_Ratings[[#This Row],[Country]],Country_Region[#All],2,FALSE)</f>
        <v>Asia</v>
      </c>
      <c r="G527">
        <v>4</v>
      </c>
      <c r="H527" t="str" cm="1">
        <f t="array" ref="H527">_xlfn.IFS(Ramen_Ratings[[#This Row],[Stars]] = "Unrated", "NA",Ramen_Ratings[[#This Row],[Stars]]&gt;=4, "Good", Ramen_Ratings[[#This Row],[Stars]]&gt;2.5, "Fair", Ramen_Ratings[[#This Row],[Stars]] &gt;= 0, "Bad")</f>
        <v>Good</v>
      </c>
      <c r="J527" t="str">
        <f>LEFT(Ramen_Ratings[[#This Row],[Top Ten]],4)</f>
        <v/>
      </c>
      <c r="K527" t="str">
        <f>IF(Ramen_Ratings[[#This Row],[Top Ten]]="", "",RIGHT(Ramen_Ratings[[#This Row],[Top Ten]],LEN(Ramen_Ratings[[#This Row],[Top Ten]])-6))</f>
        <v/>
      </c>
    </row>
    <row r="528" spans="1:11" x14ac:dyDescent="0.25">
      <c r="A528">
        <v>2124</v>
      </c>
      <c r="B528" t="s">
        <v>600</v>
      </c>
      <c r="C528" t="s">
        <v>601</v>
      </c>
      <c r="D528" t="s">
        <v>44</v>
      </c>
      <c r="E528" t="s">
        <v>38</v>
      </c>
      <c r="F528" t="str">
        <f>VLOOKUP(Ramen_Ratings[[#This Row],[Country]],Country_Region[#All],2,FALSE)</f>
        <v>Asia</v>
      </c>
      <c r="G528">
        <v>3.5</v>
      </c>
      <c r="H528" t="str" cm="1">
        <f t="array" ref="H528">_xlfn.IFS(Ramen_Ratings[[#This Row],[Stars]] = "Unrated", "NA",Ramen_Ratings[[#This Row],[Stars]]&gt;=4, "Good", Ramen_Ratings[[#This Row],[Stars]]&gt;2.5, "Fair", Ramen_Ratings[[#This Row],[Stars]] &gt;= 0, "Bad")</f>
        <v>Fair</v>
      </c>
      <c r="J528" t="str">
        <f>LEFT(Ramen_Ratings[[#This Row],[Top Ten]],4)</f>
        <v/>
      </c>
      <c r="K528" t="str">
        <f>IF(Ramen_Ratings[[#This Row],[Top Ten]]="", "",RIGHT(Ramen_Ratings[[#This Row],[Top Ten]],LEN(Ramen_Ratings[[#This Row],[Top Ten]])-6))</f>
        <v/>
      </c>
    </row>
    <row r="529" spans="1:11" x14ac:dyDescent="0.25">
      <c r="A529">
        <v>2123</v>
      </c>
      <c r="B529" t="s">
        <v>15</v>
      </c>
      <c r="C529" t="s">
        <v>602</v>
      </c>
      <c r="D529" t="s">
        <v>9</v>
      </c>
      <c r="E529" t="s">
        <v>38</v>
      </c>
      <c r="F529" t="str">
        <f>VLOOKUP(Ramen_Ratings[[#This Row],[Country]],Country_Region[#All],2,FALSE)</f>
        <v>Asia</v>
      </c>
      <c r="G529">
        <v>5</v>
      </c>
      <c r="H529" t="str" cm="1">
        <f t="array" ref="H529">_xlfn.IFS(Ramen_Ratings[[#This Row],[Stars]] = "Unrated", "NA",Ramen_Ratings[[#This Row],[Stars]]&gt;=4, "Good", Ramen_Ratings[[#This Row],[Stars]]&gt;2.5, "Fair", Ramen_Ratings[[#This Row],[Stars]] &gt;= 0, "Bad")</f>
        <v>Good</v>
      </c>
      <c r="J529" t="str">
        <f>LEFT(Ramen_Ratings[[#This Row],[Top Ten]],4)</f>
        <v/>
      </c>
      <c r="K529" t="str">
        <f>IF(Ramen_Ratings[[#This Row],[Top Ten]]="", "",RIGHT(Ramen_Ratings[[#This Row],[Top Ten]],LEN(Ramen_Ratings[[#This Row],[Top Ten]])-6))</f>
        <v/>
      </c>
    </row>
    <row r="530" spans="1:11" x14ac:dyDescent="0.25">
      <c r="A530">
        <v>2122</v>
      </c>
      <c r="B530" t="s">
        <v>15</v>
      </c>
      <c r="C530" t="s">
        <v>603</v>
      </c>
      <c r="D530" t="s">
        <v>13</v>
      </c>
      <c r="E530" t="s">
        <v>38</v>
      </c>
      <c r="F530" t="str">
        <f>VLOOKUP(Ramen_Ratings[[#This Row],[Country]],Country_Region[#All],2,FALSE)</f>
        <v>Asia</v>
      </c>
      <c r="G530">
        <v>5</v>
      </c>
      <c r="H530" t="str" cm="1">
        <f t="array" ref="H530">_xlfn.IFS(Ramen_Ratings[[#This Row],[Stars]] = "Unrated", "NA",Ramen_Ratings[[#This Row],[Stars]]&gt;=4, "Good", Ramen_Ratings[[#This Row],[Stars]]&gt;2.5, "Fair", Ramen_Ratings[[#This Row],[Stars]] &gt;= 0, "Bad")</f>
        <v>Good</v>
      </c>
      <c r="J530" t="str">
        <f>LEFT(Ramen_Ratings[[#This Row],[Top Ten]],4)</f>
        <v/>
      </c>
      <c r="K530" t="str">
        <f>IF(Ramen_Ratings[[#This Row],[Top Ten]]="", "",RIGHT(Ramen_Ratings[[#This Row],[Top Ten]],LEN(Ramen_Ratings[[#This Row],[Top Ten]])-6))</f>
        <v/>
      </c>
    </row>
    <row r="531" spans="1:11" x14ac:dyDescent="0.25">
      <c r="A531">
        <v>2121</v>
      </c>
      <c r="B531" t="s">
        <v>15</v>
      </c>
      <c r="C531" t="s">
        <v>604</v>
      </c>
      <c r="D531" t="s">
        <v>13</v>
      </c>
      <c r="E531" t="s">
        <v>38</v>
      </c>
      <c r="F531" t="str">
        <f>VLOOKUP(Ramen_Ratings[[#This Row],[Country]],Country_Region[#All],2,FALSE)</f>
        <v>Asia</v>
      </c>
      <c r="G531">
        <v>4</v>
      </c>
      <c r="H531" t="str" cm="1">
        <f t="array" ref="H531">_xlfn.IFS(Ramen_Ratings[[#This Row],[Stars]] = "Unrated", "NA",Ramen_Ratings[[#This Row],[Stars]]&gt;=4, "Good", Ramen_Ratings[[#This Row],[Stars]]&gt;2.5, "Fair", Ramen_Ratings[[#This Row],[Stars]] &gt;= 0, "Bad")</f>
        <v>Good</v>
      </c>
      <c r="J531" t="str">
        <f>LEFT(Ramen_Ratings[[#This Row],[Top Ten]],4)</f>
        <v/>
      </c>
      <c r="K531" t="str">
        <f>IF(Ramen_Ratings[[#This Row],[Top Ten]]="", "",RIGHT(Ramen_Ratings[[#This Row],[Top Ten]],LEN(Ramen_Ratings[[#This Row],[Top Ten]])-6))</f>
        <v/>
      </c>
    </row>
    <row r="532" spans="1:11" x14ac:dyDescent="0.25">
      <c r="A532">
        <v>2120</v>
      </c>
      <c r="B532" t="s">
        <v>15</v>
      </c>
      <c r="C532" t="s">
        <v>605</v>
      </c>
      <c r="D532" t="s">
        <v>9</v>
      </c>
      <c r="E532" t="s">
        <v>38</v>
      </c>
      <c r="F532" t="str">
        <f>VLOOKUP(Ramen_Ratings[[#This Row],[Country]],Country_Region[#All],2,FALSE)</f>
        <v>Asia</v>
      </c>
      <c r="G532">
        <v>3.5</v>
      </c>
      <c r="H532" t="str" cm="1">
        <f t="array" ref="H532">_xlfn.IFS(Ramen_Ratings[[#This Row],[Stars]] = "Unrated", "NA",Ramen_Ratings[[#This Row],[Stars]]&gt;=4, "Good", Ramen_Ratings[[#This Row],[Stars]]&gt;2.5, "Fair", Ramen_Ratings[[#This Row],[Stars]] &gt;= 0, "Bad")</f>
        <v>Fair</v>
      </c>
      <c r="J532" t="str">
        <f>LEFT(Ramen_Ratings[[#This Row],[Top Ten]],4)</f>
        <v/>
      </c>
      <c r="K532" t="str">
        <f>IF(Ramen_Ratings[[#This Row],[Top Ten]]="", "",RIGHT(Ramen_Ratings[[#This Row],[Top Ten]],LEN(Ramen_Ratings[[#This Row],[Top Ten]])-6))</f>
        <v/>
      </c>
    </row>
    <row r="533" spans="1:11" x14ac:dyDescent="0.25">
      <c r="A533">
        <v>2119</v>
      </c>
      <c r="B533" t="s">
        <v>15</v>
      </c>
      <c r="C533" t="s">
        <v>606</v>
      </c>
      <c r="D533" t="s">
        <v>9</v>
      </c>
      <c r="E533" t="s">
        <v>38</v>
      </c>
      <c r="F533" t="str">
        <f>VLOOKUP(Ramen_Ratings[[#This Row],[Country]],Country_Region[#All],2,FALSE)</f>
        <v>Asia</v>
      </c>
      <c r="G533">
        <v>3.5</v>
      </c>
      <c r="H533" t="str" cm="1">
        <f t="array" ref="H533">_xlfn.IFS(Ramen_Ratings[[#This Row],[Stars]] = "Unrated", "NA",Ramen_Ratings[[#This Row],[Stars]]&gt;=4, "Good", Ramen_Ratings[[#This Row],[Stars]]&gt;2.5, "Fair", Ramen_Ratings[[#This Row],[Stars]] &gt;= 0, "Bad")</f>
        <v>Fair</v>
      </c>
      <c r="J533" t="str">
        <f>LEFT(Ramen_Ratings[[#This Row],[Top Ten]],4)</f>
        <v/>
      </c>
      <c r="K533" t="str">
        <f>IF(Ramen_Ratings[[#This Row],[Top Ten]]="", "",RIGHT(Ramen_Ratings[[#This Row],[Top Ten]],LEN(Ramen_Ratings[[#This Row],[Top Ten]])-6))</f>
        <v/>
      </c>
    </row>
    <row r="534" spans="1:11" x14ac:dyDescent="0.25">
      <c r="A534">
        <v>2118</v>
      </c>
      <c r="B534" t="s">
        <v>15</v>
      </c>
      <c r="C534" t="s">
        <v>607</v>
      </c>
      <c r="D534" t="s">
        <v>9</v>
      </c>
      <c r="E534" t="s">
        <v>38</v>
      </c>
      <c r="F534" t="str">
        <f>VLOOKUP(Ramen_Ratings[[#This Row],[Country]],Country_Region[#All],2,FALSE)</f>
        <v>Asia</v>
      </c>
      <c r="G534">
        <v>3.25</v>
      </c>
      <c r="H534" t="str" cm="1">
        <f t="array" ref="H534">_xlfn.IFS(Ramen_Ratings[[#This Row],[Stars]] = "Unrated", "NA",Ramen_Ratings[[#This Row],[Stars]]&gt;=4, "Good", Ramen_Ratings[[#This Row],[Stars]]&gt;2.5, "Fair", Ramen_Ratings[[#This Row],[Stars]] &gt;= 0, "Bad")</f>
        <v>Fair</v>
      </c>
      <c r="J534" t="str">
        <f>LEFT(Ramen_Ratings[[#This Row],[Top Ten]],4)</f>
        <v/>
      </c>
      <c r="K534" t="str">
        <f>IF(Ramen_Ratings[[#This Row],[Top Ten]]="", "",RIGHT(Ramen_Ratings[[#This Row],[Top Ten]],LEN(Ramen_Ratings[[#This Row],[Top Ten]])-6))</f>
        <v/>
      </c>
    </row>
    <row r="535" spans="1:11" x14ac:dyDescent="0.25">
      <c r="A535">
        <v>2117</v>
      </c>
      <c r="B535" t="s">
        <v>600</v>
      </c>
      <c r="C535" t="s">
        <v>608</v>
      </c>
      <c r="D535" t="s">
        <v>44</v>
      </c>
      <c r="E535" t="s">
        <v>38</v>
      </c>
      <c r="F535" t="str">
        <f>VLOOKUP(Ramen_Ratings[[#This Row],[Country]],Country_Region[#All],2,FALSE)</f>
        <v>Asia</v>
      </c>
      <c r="G535">
        <v>4</v>
      </c>
      <c r="H535" t="str" cm="1">
        <f t="array" ref="H535">_xlfn.IFS(Ramen_Ratings[[#This Row],[Stars]] = "Unrated", "NA",Ramen_Ratings[[#This Row],[Stars]]&gt;=4, "Good", Ramen_Ratings[[#This Row],[Stars]]&gt;2.5, "Fair", Ramen_Ratings[[#This Row],[Stars]] &gt;= 0, "Bad")</f>
        <v>Good</v>
      </c>
      <c r="J535" t="str">
        <f>LEFT(Ramen_Ratings[[#This Row],[Top Ten]],4)</f>
        <v/>
      </c>
      <c r="K535" t="str">
        <f>IF(Ramen_Ratings[[#This Row],[Top Ten]]="", "",RIGHT(Ramen_Ratings[[#This Row],[Top Ten]],LEN(Ramen_Ratings[[#This Row],[Top Ten]])-6))</f>
        <v/>
      </c>
    </row>
    <row r="536" spans="1:11" x14ac:dyDescent="0.25">
      <c r="A536">
        <v>2116</v>
      </c>
      <c r="B536" t="s">
        <v>15</v>
      </c>
      <c r="C536" t="s">
        <v>609</v>
      </c>
      <c r="D536" t="s">
        <v>13</v>
      </c>
      <c r="E536" t="s">
        <v>38</v>
      </c>
      <c r="F536" t="str">
        <f>VLOOKUP(Ramen_Ratings[[#This Row],[Country]],Country_Region[#All],2,FALSE)</f>
        <v>Asia</v>
      </c>
      <c r="G536">
        <v>4</v>
      </c>
      <c r="H536" t="str" cm="1">
        <f t="array" ref="H536">_xlfn.IFS(Ramen_Ratings[[#This Row],[Stars]] = "Unrated", "NA",Ramen_Ratings[[#This Row],[Stars]]&gt;=4, "Good", Ramen_Ratings[[#This Row],[Stars]]&gt;2.5, "Fair", Ramen_Ratings[[#This Row],[Stars]] &gt;= 0, "Bad")</f>
        <v>Good</v>
      </c>
      <c r="J536" t="str">
        <f>LEFT(Ramen_Ratings[[#This Row],[Top Ten]],4)</f>
        <v/>
      </c>
      <c r="K536" t="str">
        <f>IF(Ramen_Ratings[[#This Row],[Top Ten]]="", "",RIGHT(Ramen_Ratings[[#This Row],[Top Ten]],LEN(Ramen_Ratings[[#This Row],[Top Ten]])-6))</f>
        <v/>
      </c>
    </row>
    <row r="537" spans="1:11" x14ac:dyDescent="0.25">
      <c r="A537">
        <v>2115</v>
      </c>
      <c r="B537" t="s">
        <v>15</v>
      </c>
      <c r="C537" t="s">
        <v>610</v>
      </c>
      <c r="D537" t="s">
        <v>9</v>
      </c>
      <c r="E537" t="s">
        <v>38</v>
      </c>
      <c r="F537" t="str">
        <f>VLOOKUP(Ramen_Ratings[[#This Row],[Country]],Country_Region[#All],2,FALSE)</f>
        <v>Asia</v>
      </c>
      <c r="G537">
        <v>4</v>
      </c>
      <c r="H537" t="str" cm="1">
        <f t="array" ref="H537">_xlfn.IFS(Ramen_Ratings[[#This Row],[Stars]] = "Unrated", "NA",Ramen_Ratings[[#This Row],[Stars]]&gt;=4, "Good", Ramen_Ratings[[#This Row],[Stars]]&gt;2.5, "Fair", Ramen_Ratings[[#This Row],[Stars]] &gt;= 0, "Bad")</f>
        <v>Good</v>
      </c>
      <c r="J537" t="str">
        <f>LEFT(Ramen_Ratings[[#This Row],[Top Ten]],4)</f>
        <v/>
      </c>
      <c r="K537" t="str">
        <f>IF(Ramen_Ratings[[#This Row],[Top Ten]]="", "",RIGHT(Ramen_Ratings[[#This Row],[Top Ten]],LEN(Ramen_Ratings[[#This Row],[Top Ten]])-6))</f>
        <v/>
      </c>
    </row>
    <row r="538" spans="1:11" x14ac:dyDescent="0.25">
      <c r="A538">
        <v>2114</v>
      </c>
      <c r="B538" t="s">
        <v>15</v>
      </c>
      <c r="C538" t="s">
        <v>611</v>
      </c>
      <c r="D538" t="s">
        <v>13</v>
      </c>
      <c r="E538" t="s">
        <v>38</v>
      </c>
      <c r="F538" t="str">
        <f>VLOOKUP(Ramen_Ratings[[#This Row],[Country]],Country_Region[#All],2,FALSE)</f>
        <v>Asia</v>
      </c>
      <c r="G538">
        <v>3.5</v>
      </c>
      <c r="H538" t="str" cm="1">
        <f t="array" ref="H538">_xlfn.IFS(Ramen_Ratings[[#This Row],[Stars]] = "Unrated", "NA",Ramen_Ratings[[#This Row],[Stars]]&gt;=4, "Good", Ramen_Ratings[[#This Row],[Stars]]&gt;2.5, "Fair", Ramen_Ratings[[#This Row],[Stars]] &gt;= 0, "Bad")</f>
        <v>Fair</v>
      </c>
      <c r="J538" t="str">
        <f>LEFT(Ramen_Ratings[[#This Row],[Top Ten]],4)</f>
        <v/>
      </c>
      <c r="K538" t="str">
        <f>IF(Ramen_Ratings[[#This Row],[Top Ten]]="", "",RIGHT(Ramen_Ratings[[#This Row],[Top Ten]],LEN(Ramen_Ratings[[#This Row],[Top Ten]])-6))</f>
        <v/>
      </c>
    </row>
    <row r="539" spans="1:11" x14ac:dyDescent="0.25">
      <c r="A539">
        <v>2113</v>
      </c>
      <c r="B539" t="s">
        <v>15</v>
      </c>
      <c r="C539" t="s">
        <v>612</v>
      </c>
      <c r="D539" t="s">
        <v>9</v>
      </c>
      <c r="E539" t="s">
        <v>38</v>
      </c>
      <c r="F539" t="str">
        <f>VLOOKUP(Ramen_Ratings[[#This Row],[Country]],Country_Region[#All],2,FALSE)</f>
        <v>Asia</v>
      </c>
      <c r="G539">
        <v>4</v>
      </c>
      <c r="H539" t="str" cm="1">
        <f t="array" ref="H539">_xlfn.IFS(Ramen_Ratings[[#This Row],[Stars]] = "Unrated", "NA",Ramen_Ratings[[#This Row],[Stars]]&gt;=4, "Good", Ramen_Ratings[[#This Row],[Stars]]&gt;2.5, "Fair", Ramen_Ratings[[#This Row],[Stars]] &gt;= 0, "Bad")</f>
        <v>Good</v>
      </c>
      <c r="J539" t="str">
        <f>LEFT(Ramen_Ratings[[#This Row],[Top Ten]],4)</f>
        <v/>
      </c>
      <c r="K539" t="str">
        <f>IF(Ramen_Ratings[[#This Row],[Top Ten]]="", "",RIGHT(Ramen_Ratings[[#This Row],[Top Ten]],LEN(Ramen_Ratings[[#This Row],[Top Ten]])-6))</f>
        <v/>
      </c>
    </row>
    <row r="540" spans="1:11" x14ac:dyDescent="0.25">
      <c r="A540">
        <v>2112</v>
      </c>
      <c r="B540" t="s">
        <v>15</v>
      </c>
      <c r="C540" t="s">
        <v>613</v>
      </c>
      <c r="D540" t="s">
        <v>13</v>
      </c>
      <c r="E540" t="s">
        <v>38</v>
      </c>
      <c r="F540" t="str">
        <f>VLOOKUP(Ramen_Ratings[[#This Row],[Country]],Country_Region[#All],2,FALSE)</f>
        <v>Asia</v>
      </c>
      <c r="G540">
        <v>4</v>
      </c>
      <c r="H540" t="str" cm="1">
        <f t="array" ref="H540">_xlfn.IFS(Ramen_Ratings[[#This Row],[Stars]] = "Unrated", "NA",Ramen_Ratings[[#This Row],[Stars]]&gt;=4, "Good", Ramen_Ratings[[#This Row],[Stars]]&gt;2.5, "Fair", Ramen_Ratings[[#This Row],[Stars]] &gt;= 0, "Bad")</f>
        <v>Good</v>
      </c>
      <c r="J540" t="str">
        <f>LEFT(Ramen_Ratings[[#This Row],[Top Ten]],4)</f>
        <v/>
      </c>
      <c r="K540" t="str">
        <f>IF(Ramen_Ratings[[#This Row],[Top Ten]]="", "",RIGHT(Ramen_Ratings[[#This Row],[Top Ten]],LEN(Ramen_Ratings[[#This Row],[Top Ten]])-6))</f>
        <v/>
      </c>
    </row>
    <row r="541" spans="1:11" x14ac:dyDescent="0.25">
      <c r="A541">
        <v>2058</v>
      </c>
      <c r="B541" t="s">
        <v>674</v>
      </c>
      <c r="C541" t="s">
        <v>675</v>
      </c>
      <c r="D541" t="s">
        <v>13</v>
      </c>
      <c r="E541" t="s">
        <v>38</v>
      </c>
      <c r="F541" t="str">
        <f>VLOOKUP(Ramen_Ratings[[#This Row],[Country]],Country_Region[#All],2,FALSE)</f>
        <v>Asia</v>
      </c>
      <c r="G541">
        <v>3.75</v>
      </c>
      <c r="H541" t="str" cm="1">
        <f t="array" ref="H541">_xlfn.IFS(Ramen_Ratings[[#This Row],[Stars]] = "Unrated", "NA",Ramen_Ratings[[#This Row],[Stars]]&gt;=4, "Good", Ramen_Ratings[[#This Row],[Stars]]&gt;2.5, "Fair", Ramen_Ratings[[#This Row],[Stars]] &gt;= 0, "Bad")</f>
        <v>Fair</v>
      </c>
      <c r="J541" t="str">
        <f>LEFT(Ramen_Ratings[[#This Row],[Top Ten]],4)</f>
        <v/>
      </c>
      <c r="K541" t="str">
        <f>IF(Ramen_Ratings[[#This Row],[Top Ten]]="", "",RIGHT(Ramen_Ratings[[#This Row],[Top Ten]],LEN(Ramen_Ratings[[#This Row],[Top Ten]])-6))</f>
        <v/>
      </c>
    </row>
    <row r="542" spans="1:11" x14ac:dyDescent="0.25">
      <c r="A542">
        <v>2012</v>
      </c>
      <c r="B542" t="s">
        <v>380</v>
      </c>
      <c r="C542" t="s">
        <v>726</v>
      </c>
      <c r="D542" t="s">
        <v>13</v>
      </c>
      <c r="E542" t="s">
        <v>38</v>
      </c>
      <c r="F542" t="str">
        <f>VLOOKUP(Ramen_Ratings[[#This Row],[Country]],Country_Region[#All],2,FALSE)</f>
        <v>Asia</v>
      </c>
      <c r="G542">
        <v>2</v>
      </c>
      <c r="H542" t="str" cm="1">
        <f t="array" ref="H542">_xlfn.IFS(Ramen_Ratings[[#This Row],[Stars]] = "Unrated", "NA",Ramen_Ratings[[#This Row],[Stars]]&gt;=4, "Good", Ramen_Ratings[[#This Row],[Stars]]&gt;2.5, "Fair", Ramen_Ratings[[#This Row],[Stars]] &gt;= 0, "Bad")</f>
        <v>Bad</v>
      </c>
      <c r="J542" t="str">
        <f>LEFT(Ramen_Ratings[[#This Row],[Top Ten]],4)</f>
        <v/>
      </c>
      <c r="K542" t="str">
        <f>IF(Ramen_Ratings[[#This Row],[Top Ten]]="", "",RIGHT(Ramen_Ratings[[#This Row],[Top Ten]],LEN(Ramen_Ratings[[#This Row],[Top Ten]])-6))</f>
        <v/>
      </c>
    </row>
    <row r="543" spans="1:11" x14ac:dyDescent="0.25">
      <c r="A543">
        <v>1957</v>
      </c>
      <c r="B543" t="s">
        <v>380</v>
      </c>
      <c r="C543" t="s">
        <v>791</v>
      </c>
      <c r="D543" t="s">
        <v>9</v>
      </c>
      <c r="E543" t="s">
        <v>38</v>
      </c>
      <c r="F543" t="str">
        <f>VLOOKUP(Ramen_Ratings[[#This Row],[Country]],Country_Region[#All],2,FALSE)</f>
        <v>Asia</v>
      </c>
      <c r="G543">
        <v>4</v>
      </c>
      <c r="H543" t="str" cm="1">
        <f t="array" ref="H543">_xlfn.IFS(Ramen_Ratings[[#This Row],[Stars]] = "Unrated", "NA",Ramen_Ratings[[#This Row],[Stars]]&gt;=4, "Good", Ramen_Ratings[[#This Row],[Stars]]&gt;2.5, "Fair", Ramen_Ratings[[#This Row],[Stars]] &gt;= 0, "Bad")</f>
        <v>Good</v>
      </c>
      <c r="J543" t="str">
        <f>LEFT(Ramen_Ratings[[#This Row],[Top Ten]],4)</f>
        <v/>
      </c>
      <c r="K543" t="str">
        <f>IF(Ramen_Ratings[[#This Row],[Top Ten]]="", "",RIGHT(Ramen_Ratings[[#This Row],[Top Ten]],LEN(Ramen_Ratings[[#This Row],[Top Ten]])-6))</f>
        <v/>
      </c>
    </row>
    <row r="544" spans="1:11" x14ac:dyDescent="0.25">
      <c r="A544">
        <v>1949</v>
      </c>
      <c r="B544" t="s">
        <v>800</v>
      </c>
      <c r="C544" t="s">
        <v>801</v>
      </c>
      <c r="D544" t="s">
        <v>13</v>
      </c>
      <c r="E544" t="s">
        <v>38</v>
      </c>
      <c r="F544" t="str">
        <f>VLOOKUP(Ramen_Ratings[[#This Row],[Country]],Country_Region[#All],2,FALSE)</f>
        <v>Asia</v>
      </c>
      <c r="G544">
        <v>3.5</v>
      </c>
      <c r="H544" t="str" cm="1">
        <f t="array" ref="H544">_xlfn.IFS(Ramen_Ratings[[#This Row],[Stars]] = "Unrated", "NA",Ramen_Ratings[[#This Row],[Stars]]&gt;=4, "Good", Ramen_Ratings[[#This Row],[Stars]]&gt;2.5, "Fair", Ramen_Ratings[[#This Row],[Stars]] &gt;= 0, "Bad")</f>
        <v>Fair</v>
      </c>
      <c r="J544" t="str">
        <f>LEFT(Ramen_Ratings[[#This Row],[Top Ten]],4)</f>
        <v/>
      </c>
      <c r="K544" t="str">
        <f>IF(Ramen_Ratings[[#This Row],[Top Ten]]="", "",RIGHT(Ramen_Ratings[[#This Row],[Top Ten]],LEN(Ramen_Ratings[[#This Row],[Top Ten]])-6))</f>
        <v/>
      </c>
    </row>
    <row r="545" spans="1:11" x14ac:dyDescent="0.25">
      <c r="A545">
        <v>1928</v>
      </c>
      <c r="B545" t="s">
        <v>800</v>
      </c>
      <c r="C545" t="s">
        <v>827</v>
      </c>
      <c r="D545" t="s">
        <v>13</v>
      </c>
      <c r="E545" t="s">
        <v>38</v>
      </c>
      <c r="F545" t="str">
        <f>VLOOKUP(Ramen_Ratings[[#This Row],[Country]],Country_Region[#All],2,FALSE)</f>
        <v>Asia</v>
      </c>
      <c r="G545">
        <v>3</v>
      </c>
      <c r="H545" t="str" cm="1">
        <f t="array" ref="H545">_xlfn.IFS(Ramen_Ratings[[#This Row],[Stars]] = "Unrated", "NA",Ramen_Ratings[[#This Row],[Stars]]&gt;=4, "Good", Ramen_Ratings[[#This Row],[Stars]]&gt;2.5, "Fair", Ramen_Ratings[[#This Row],[Stars]] &gt;= 0, "Bad")</f>
        <v>Fair</v>
      </c>
      <c r="J545" t="str">
        <f>LEFT(Ramen_Ratings[[#This Row],[Top Ten]],4)</f>
        <v/>
      </c>
      <c r="K545" t="str">
        <f>IF(Ramen_Ratings[[#This Row],[Top Ten]]="", "",RIGHT(Ramen_Ratings[[#This Row],[Top Ten]],LEN(Ramen_Ratings[[#This Row],[Top Ten]])-6))</f>
        <v/>
      </c>
    </row>
    <row r="546" spans="1:11" x14ac:dyDescent="0.25">
      <c r="A546">
        <v>1871</v>
      </c>
      <c r="B546" t="s">
        <v>15</v>
      </c>
      <c r="C546" t="s">
        <v>606</v>
      </c>
      <c r="D546" t="s">
        <v>9</v>
      </c>
      <c r="E546" t="s">
        <v>38</v>
      </c>
      <c r="F546" t="str">
        <f>VLOOKUP(Ramen_Ratings[[#This Row],[Country]],Country_Region[#All],2,FALSE)</f>
        <v>Asia</v>
      </c>
      <c r="G546">
        <v>3.75</v>
      </c>
      <c r="H546" t="str" cm="1">
        <f t="array" ref="H546">_xlfn.IFS(Ramen_Ratings[[#This Row],[Stars]] = "Unrated", "NA",Ramen_Ratings[[#This Row],[Stars]]&gt;=4, "Good", Ramen_Ratings[[#This Row],[Stars]]&gt;2.5, "Fair", Ramen_Ratings[[#This Row],[Stars]] &gt;= 0, "Bad")</f>
        <v>Fair</v>
      </c>
      <c r="J546" t="str">
        <f>LEFT(Ramen_Ratings[[#This Row],[Top Ten]],4)</f>
        <v/>
      </c>
      <c r="K546" t="str">
        <f>IF(Ramen_Ratings[[#This Row],[Top Ten]]="", "",RIGHT(Ramen_Ratings[[#This Row],[Top Ten]],LEN(Ramen_Ratings[[#This Row],[Top Ten]])-6))</f>
        <v/>
      </c>
    </row>
    <row r="547" spans="1:11" x14ac:dyDescent="0.25">
      <c r="A547">
        <v>1867</v>
      </c>
      <c r="B547" t="s">
        <v>894</v>
      </c>
      <c r="C547" t="s">
        <v>895</v>
      </c>
      <c r="D547" t="s">
        <v>44</v>
      </c>
      <c r="E547" t="s">
        <v>38</v>
      </c>
      <c r="F547" t="str">
        <f>VLOOKUP(Ramen_Ratings[[#This Row],[Country]],Country_Region[#All],2,FALSE)</f>
        <v>Asia</v>
      </c>
      <c r="G547">
        <v>4</v>
      </c>
      <c r="H547" t="str" cm="1">
        <f t="array" ref="H547">_xlfn.IFS(Ramen_Ratings[[#This Row],[Stars]] = "Unrated", "NA",Ramen_Ratings[[#This Row],[Stars]]&gt;=4, "Good", Ramen_Ratings[[#This Row],[Stars]]&gt;2.5, "Fair", Ramen_Ratings[[#This Row],[Stars]] &gt;= 0, "Bad")</f>
        <v>Good</v>
      </c>
      <c r="J547" t="str">
        <f>LEFT(Ramen_Ratings[[#This Row],[Top Ten]],4)</f>
        <v/>
      </c>
      <c r="K547" t="str">
        <f>IF(Ramen_Ratings[[#This Row],[Top Ten]]="", "",RIGHT(Ramen_Ratings[[#This Row],[Top Ten]],LEN(Ramen_Ratings[[#This Row],[Top Ten]])-6))</f>
        <v/>
      </c>
    </row>
    <row r="548" spans="1:11" x14ac:dyDescent="0.25">
      <c r="A548">
        <v>1832</v>
      </c>
      <c r="B548" t="s">
        <v>894</v>
      </c>
      <c r="C548" t="s">
        <v>937</v>
      </c>
      <c r="D548" t="s">
        <v>13</v>
      </c>
      <c r="E548" t="s">
        <v>38</v>
      </c>
      <c r="F548" t="str">
        <f>VLOOKUP(Ramen_Ratings[[#This Row],[Country]],Country_Region[#All],2,FALSE)</f>
        <v>Asia</v>
      </c>
      <c r="G548">
        <v>3.5</v>
      </c>
      <c r="H548" t="str" cm="1">
        <f t="array" ref="H548">_xlfn.IFS(Ramen_Ratings[[#This Row],[Stars]] = "Unrated", "NA",Ramen_Ratings[[#This Row],[Stars]]&gt;=4, "Good", Ramen_Ratings[[#This Row],[Stars]]&gt;2.5, "Fair", Ramen_Ratings[[#This Row],[Stars]] &gt;= 0, "Bad")</f>
        <v>Fair</v>
      </c>
      <c r="J548" t="str">
        <f>LEFT(Ramen_Ratings[[#This Row],[Top Ten]],4)</f>
        <v/>
      </c>
      <c r="K548" t="str">
        <f>IF(Ramen_Ratings[[#This Row],[Top Ten]]="", "",RIGHT(Ramen_Ratings[[#This Row],[Top Ten]],LEN(Ramen_Ratings[[#This Row],[Top Ten]])-6))</f>
        <v/>
      </c>
    </row>
    <row r="549" spans="1:11" x14ac:dyDescent="0.25">
      <c r="A549">
        <v>1819</v>
      </c>
      <c r="B549" t="s">
        <v>894</v>
      </c>
      <c r="C549" t="s">
        <v>952</v>
      </c>
      <c r="D549" t="s">
        <v>44</v>
      </c>
      <c r="E549" t="s">
        <v>38</v>
      </c>
      <c r="F549" t="str">
        <f>VLOOKUP(Ramen_Ratings[[#This Row],[Country]],Country_Region[#All],2,FALSE)</f>
        <v>Asia</v>
      </c>
      <c r="G549">
        <v>5</v>
      </c>
      <c r="H549" t="str" cm="1">
        <f t="array" ref="H549">_xlfn.IFS(Ramen_Ratings[[#This Row],[Stars]] = "Unrated", "NA",Ramen_Ratings[[#This Row],[Stars]]&gt;=4, "Good", Ramen_Ratings[[#This Row],[Stars]]&gt;2.5, "Fair", Ramen_Ratings[[#This Row],[Stars]] &gt;= 0, "Bad")</f>
        <v>Good</v>
      </c>
      <c r="J549" t="str">
        <f>LEFT(Ramen_Ratings[[#This Row],[Top Ten]],4)</f>
        <v/>
      </c>
      <c r="K549" t="str">
        <f>IF(Ramen_Ratings[[#This Row],[Top Ten]]="", "",RIGHT(Ramen_Ratings[[#This Row],[Top Ten]],LEN(Ramen_Ratings[[#This Row],[Top Ten]])-6))</f>
        <v/>
      </c>
    </row>
    <row r="550" spans="1:11" x14ac:dyDescent="0.25">
      <c r="A550">
        <v>1808</v>
      </c>
      <c r="B550" t="s">
        <v>897</v>
      </c>
      <c r="C550" t="s">
        <v>966</v>
      </c>
      <c r="D550" t="s">
        <v>9</v>
      </c>
      <c r="E550" t="s">
        <v>38</v>
      </c>
      <c r="F550" t="str">
        <f>VLOOKUP(Ramen_Ratings[[#This Row],[Country]],Country_Region[#All],2,FALSE)</f>
        <v>Asia</v>
      </c>
      <c r="G550">
        <v>3.5</v>
      </c>
      <c r="H550" t="str" cm="1">
        <f t="array" ref="H550">_xlfn.IFS(Ramen_Ratings[[#This Row],[Stars]] = "Unrated", "NA",Ramen_Ratings[[#This Row],[Stars]]&gt;=4, "Good", Ramen_Ratings[[#This Row],[Stars]]&gt;2.5, "Fair", Ramen_Ratings[[#This Row],[Stars]] &gt;= 0, "Bad")</f>
        <v>Fair</v>
      </c>
      <c r="J550" t="str">
        <f>LEFT(Ramen_Ratings[[#This Row],[Top Ten]],4)</f>
        <v/>
      </c>
      <c r="K550" t="str">
        <f>IF(Ramen_Ratings[[#This Row],[Top Ten]]="", "",RIGHT(Ramen_Ratings[[#This Row],[Top Ten]],LEN(Ramen_Ratings[[#This Row],[Top Ten]])-6))</f>
        <v/>
      </c>
    </row>
    <row r="551" spans="1:11" x14ac:dyDescent="0.25">
      <c r="A551">
        <v>1807</v>
      </c>
      <c r="B551" t="s">
        <v>322</v>
      </c>
      <c r="C551" t="s">
        <v>967</v>
      </c>
      <c r="D551" t="s">
        <v>9</v>
      </c>
      <c r="E551" t="s">
        <v>38</v>
      </c>
      <c r="F551" t="str">
        <f>VLOOKUP(Ramen_Ratings[[#This Row],[Country]],Country_Region[#All],2,FALSE)</f>
        <v>Asia</v>
      </c>
      <c r="G551">
        <v>3.5</v>
      </c>
      <c r="H551" t="str" cm="1">
        <f t="array" ref="H551">_xlfn.IFS(Ramen_Ratings[[#This Row],[Stars]] = "Unrated", "NA",Ramen_Ratings[[#This Row],[Stars]]&gt;=4, "Good", Ramen_Ratings[[#This Row],[Stars]]&gt;2.5, "Fair", Ramen_Ratings[[#This Row],[Stars]] &gt;= 0, "Bad")</f>
        <v>Fair</v>
      </c>
      <c r="J551" t="str">
        <f>LEFT(Ramen_Ratings[[#This Row],[Top Ten]],4)</f>
        <v/>
      </c>
      <c r="K551" t="str">
        <f>IF(Ramen_Ratings[[#This Row],[Top Ten]]="", "",RIGHT(Ramen_Ratings[[#This Row],[Top Ten]],LEN(Ramen_Ratings[[#This Row],[Top Ten]])-6))</f>
        <v/>
      </c>
    </row>
    <row r="552" spans="1:11" x14ac:dyDescent="0.25">
      <c r="A552">
        <v>1803</v>
      </c>
      <c r="B552" t="s">
        <v>897</v>
      </c>
      <c r="C552" t="s">
        <v>972</v>
      </c>
      <c r="D552" t="s">
        <v>13</v>
      </c>
      <c r="E552" t="s">
        <v>38</v>
      </c>
      <c r="F552" t="str">
        <f>VLOOKUP(Ramen_Ratings[[#This Row],[Country]],Country_Region[#All],2,FALSE)</f>
        <v>Asia</v>
      </c>
      <c r="G552">
        <v>4</v>
      </c>
      <c r="H552" t="str" cm="1">
        <f t="array" ref="H552">_xlfn.IFS(Ramen_Ratings[[#This Row],[Stars]] = "Unrated", "NA",Ramen_Ratings[[#This Row],[Stars]]&gt;=4, "Good", Ramen_Ratings[[#This Row],[Stars]]&gt;2.5, "Fair", Ramen_Ratings[[#This Row],[Stars]] &gt;= 0, "Bad")</f>
        <v>Good</v>
      </c>
      <c r="J552" t="str">
        <f>LEFT(Ramen_Ratings[[#This Row],[Top Ten]],4)</f>
        <v/>
      </c>
      <c r="K552" t="str">
        <f>IF(Ramen_Ratings[[#This Row],[Top Ten]]="", "",RIGHT(Ramen_Ratings[[#This Row],[Top Ten]],LEN(Ramen_Ratings[[#This Row],[Top Ten]])-6))</f>
        <v/>
      </c>
    </row>
    <row r="553" spans="1:11" x14ac:dyDescent="0.25">
      <c r="A553">
        <v>1797</v>
      </c>
      <c r="B553" t="s">
        <v>322</v>
      </c>
      <c r="C553" t="s">
        <v>979</v>
      </c>
      <c r="D553" t="s">
        <v>13</v>
      </c>
      <c r="E553" t="s">
        <v>38</v>
      </c>
      <c r="F553" t="str">
        <f>VLOOKUP(Ramen_Ratings[[#This Row],[Country]],Country_Region[#All],2,FALSE)</f>
        <v>Asia</v>
      </c>
      <c r="G553">
        <v>3.5</v>
      </c>
      <c r="H553" t="str" cm="1">
        <f t="array" ref="H553">_xlfn.IFS(Ramen_Ratings[[#This Row],[Stars]] = "Unrated", "NA",Ramen_Ratings[[#This Row],[Stars]]&gt;=4, "Good", Ramen_Ratings[[#This Row],[Stars]]&gt;2.5, "Fair", Ramen_Ratings[[#This Row],[Stars]] &gt;= 0, "Bad")</f>
        <v>Fair</v>
      </c>
      <c r="J553" t="str">
        <f>LEFT(Ramen_Ratings[[#This Row],[Top Ten]],4)</f>
        <v/>
      </c>
      <c r="K553" t="str">
        <f>IF(Ramen_Ratings[[#This Row],[Top Ten]]="", "",RIGHT(Ramen_Ratings[[#This Row],[Top Ten]],LEN(Ramen_Ratings[[#This Row],[Top Ten]])-6))</f>
        <v/>
      </c>
    </row>
    <row r="554" spans="1:11" x14ac:dyDescent="0.25">
      <c r="A554">
        <v>1759</v>
      </c>
      <c r="B554" t="s">
        <v>15</v>
      </c>
      <c r="C554" t="s">
        <v>610</v>
      </c>
      <c r="D554" t="s">
        <v>9</v>
      </c>
      <c r="E554" t="s">
        <v>38</v>
      </c>
      <c r="F554" t="str">
        <f>VLOOKUP(Ramen_Ratings[[#This Row],[Country]],Country_Region[#All],2,FALSE)</f>
        <v>Asia</v>
      </c>
      <c r="G554">
        <v>4</v>
      </c>
      <c r="H554" t="str" cm="1">
        <f t="array" ref="H554">_xlfn.IFS(Ramen_Ratings[[#This Row],[Stars]] = "Unrated", "NA",Ramen_Ratings[[#This Row],[Stars]]&gt;=4, "Good", Ramen_Ratings[[#This Row],[Stars]]&gt;2.5, "Fair", Ramen_Ratings[[#This Row],[Stars]] &gt;= 0, "Bad")</f>
        <v>Good</v>
      </c>
      <c r="J554" t="str">
        <f>LEFT(Ramen_Ratings[[#This Row],[Top Ten]],4)</f>
        <v/>
      </c>
      <c r="K554" t="str">
        <f>IF(Ramen_Ratings[[#This Row],[Top Ten]]="", "",RIGHT(Ramen_Ratings[[#This Row],[Top Ten]],LEN(Ramen_Ratings[[#This Row],[Top Ten]])-6))</f>
        <v/>
      </c>
    </row>
    <row r="555" spans="1:11" x14ac:dyDescent="0.25">
      <c r="A555">
        <v>1749</v>
      </c>
      <c r="B555" t="s">
        <v>894</v>
      </c>
      <c r="C555" t="s">
        <v>1031</v>
      </c>
      <c r="D555" t="s">
        <v>13</v>
      </c>
      <c r="E555" t="s">
        <v>38</v>
      </c>
      <c r="F555" t="str">
        <f>VLOOKUP(Ramen_Ratings[[#This Row],[Country]],Country_Region[#All],2,FALSE)</f>
        <v>Asia</v>
      </c>
      <c r="G555">
        <v>5</v>
      </c>
      <c r="H555" t="str" cm="1">
        <f t="array" ref="H555">_xlfn.IFS(Ramen_Ratings[[#This Row],[Stars]] = "Unrated", "NA",Ramen_Ratings[[#This Row],[Stars]]&gt;=4, "Good", Ramen_Ratings[[#This Row],[Stars]]&gt;2.5, "Fair", Ramen_Ratings[[#This Row],[Stars]] &gt;= 0, "Bad")</f>
        <v>Good</v>
      </c>
      <c r="J555" t="str">
        <f>LEFT(Ramen_Ratings[[#This Row],[Top Ten]],4)</f>
        <v/>
      </c>
      <c r="K555" t="str">
        <f>IF(Ramen_Ratings[[#This Row],[Top Ten]]="", "",RIGHT(Ramen_Ratings[[#This Row],[Top Ten]],LEN(Ramen_Ratings[[#This Row],[Top Ten]])-6))</f>
        <v/>
      </c>
    </row>
    <row r="556" spans="1:11" x14ac:dyDescent="0.25">
      <c r="A556">
        <v>1738</v>
      </c>
      <c r="B556" t="s">
        <v>255</v>
      </c>
      <c r="C556" t="s">
        <v>1013</v>
      </c>
      <c r="D556" t="s">
        <v>9</v>
      </c>
      <c r="E556" t="s">
        <v>38</v>
      </c>
      <c r="F556" t="str">
        <f>VLOOKUP(Ramen_Ratings[[#This Row],[Country]],Country_Region[#All],2,FALSE)</f>
        <v>Asia</v>
      </c>
      <c r="G556">
        <v>4.25</v>
      </c>
      <c r="H556" t="str" cm="1">
        <f t="array" ref="H556">_xlfn.IFS(Ramen_Ratings[[#This Row],[Stars]] = "Unrated", "NA",Ramen_Ratings[[#This Row],[Stars]]&gt;=4, "Good", Ramen_Ratings[[#This Row],[Stars]]&gt;2.5, "Fair", Ramen_Ratings[[#This Row],[Stars]] &gt;= 0, "Bad")</f>
        <v>Good</v>
      </c>
      <c r="J556" t="str">
        <f>LEFT(Ramen_Ratings[[#This Row],[Top Ten]],4)</f>
        <v/>
      </c>
      <c r="K556" t="str">
        <f>IF(Ramen_Ratings[[#This Row],[Top Ten]]="", "",RIGHT(Ramen_Ratings[[#This Row],[Top Ten]],LEN(Ramen_Ratings[[#This Row],[Top Ten]])-6))</f>
        <v/>
      </c>
    </row>
    <row r="557" spans="1:11" x14ac:dyDescent="0.25">
      <c r="A557">
        <v>1719</v>
      </c>
      <c r="B557" t="s">
        <v>322</v>
      </c>
      <c r="C557" t="s">
        <v>1064</v>
      </c>
      <c r="D557" t="s">
        <v>44</v>
      </c>
      <c r="E557" t="s">
        <v>38</v>
      </c>
      <c r="F557" t="str">
        <f>VLOOKUP(Ramen_Ratings[[#This Row],[Country]],Country_Region[#All],2,FALSE)</f>
        <v>Asia</v>
      </c>
      <c r="G557">
        <v>2.5</v>
      </c>
      <c r="H557" t="str" cm="1">
        <f t="array" ref="H557">_xlfn.IFS(Ramen_Ratings[[#This Row],[Stars]] = "Unrated", "NA",Ramen_Ratings[[#This Row],[Stars]]&gt;=4, "Good", Ramen_Ratings[[#This Row],[Stars]]&gt;2.5, "Fair", Ramen_Ratings[[#This Row],[Stars]] &gt;= 0, "Bad")</f>
        <v>Bad</v>
      </c>
      <c r="J557" t="str">
        <f>LEFT(Ramen_Ratings[[#This Row],[Top Ten]],4)</f>
        <v/>
      </c>
      <c r="K557" t="str">
        <f>IF(Ramen_Ratings[[#This Row],[Top Ten]]="", "",RIGHT(Ramen_Ratings[[#This Row],[Top Ten]],LEN(Ramen_Ratings[[#This Row],[Top Ten]])-6))</f>
        <v/>
      </c>
    </row>
    <row r="558" spans="1:11" x14ac:dyDescent="0.25">
      <c r="A558">
        <v>1715</v>
      </c>
      <c r="B558" t="s">
        <v>894</v>
      </c>
      <c r="C558" t="s">
        <v>1070</v>
      </c>
      <c r="D558" t="s">
        <v>13</v>
      </c>
      <c r="E558" t="s">
        <v>38</v>
      </c>
      <c r="F558" t="str">
        <f>VLOOKUP(Ramen_Ratings[[#This Row],[Country]],Country_Region[#All],2,FALSE)</f>
        <v>Asia</v>
      </c>
      <c r="G558">
        <v>3.75</v>
      </c>
      <c r="H558" t="str" cm="1">
        <f t="array" ref="H558">_xlfn.IFS(Ramen_Ratings[[#This Row],[Stars]] = "Unrated", "NA",Ramen_Ratings[[#This Row],[Stars]]&gt;=4, "Good", Ramen_Ratings[[#This Row],[Stars]]&gt;2.5, "Fair", Ramen_Ratings[[#This Row],[Stars]] &gt;= 0, "Bad")</f>
        <v>Fair</v>
      </c>
      <c r="J558" t="str">
        <f>LEFT(Ramen_Ratings[[#This Row],[Top Ten]],4)</f>
        <v/>
      </c>
      <c r="K558" t="str">
        <f>IF(Ramen_Ratings[[#This Row],[Top Ten]]="", "",RIGHT(Ramen_Ratings[[#This Row],[Top Ten]],LEN(Ramen_Ratings[[#This Row],[Top Ten]])-6))</f>
        <v/>
      </c>
    </row>
    <row r="559" spans="1:11" x14ac:dyDescent="0.25">
      <c r="A559">
        <v>1703</v>
      </c>
      <c r="B559" t="s">
        <v>1085</v>
      </c>
      <c r="C559" t="s">
        <v>605</v>
      </c>
      <c r="D559" t="s">
        <v>9</v>
      </c>
      <c r="E559" t="s">
        <v>38</v>
      </c>
      <c r="F559" t="str">
        <f>VLOOKUP(Ramen_Ratings[[#This Row],[Country]],Country_Region[#All],2,FALSE)</f>
        <v>Asia</v>
      </c>
      <c r="G559">
        <v>3.5</v>
      </c>
      <c r="H559" t="str" cm="1">
        <f t="array" ref="H559">_xlfn.IFS(Ramen_Ratings[[#This Row],[Stars]] = "Unrated", "NA",Ramen_Ratings[[#This Row],[Stars]]&gt;=4, "Good", Ramen_Ratings[[#This Row],[Stars]]&gt;2.5, "Fair", Ramen_Ratings[[#This Row],[Stars]] &gt;= 0, "Bad")</f>
        <v>Fair</v>
      </c>
      <c r="J559" t="str">
        <f>LEFT(Ramen_Ratings[[#This Row],[Top Ten]],4)</f>
        <v/>
      </c>
      <c r="K559" t="str">
        <f>IF(Ramen_Ratings[[#This Row],[Top Ten]]="", "",RIGHT(Ramen_Ratings[[#This Row],[Top Ten]],LEN(Ramen_Ratings[[#This Row],[Top Ten]])-6))</f>
        <v/>
      </c>
    </row>
    <row r="560" spans="1:11" x14ac:dyDescent="0.25">
      <c r="A560">
        <v>1696</v>
      </c>
      <c r="B560" t="s">
        <v>897</v>
      </c>
      <c r="C560" t="s">
        <v>1092</v>
      </c>
      <c r="D560" t="s">
        <v>9</v>
      </c>
      <c r="E560" t="s">
        <v>38</v>
      </c>
      <c r="F560" t="str">
        <f>VLOOKUP(Ramen_Ratings[[#This Row],[Country]],Country_Region[#All],2,FALSE)</f>
        <v>Asia</v>
      </c>
      <c r="G560">
        <v>5</v>
      </c>
      <c r="H560" t="str" cm="1">
        <f t="array" ref="H560">_xlfn.IFS(Ramen_Ratings[[#This Row],[Stars]] = "Unrated", "NA",Ramen_Ratings[[#This Row],[Stars]]&gt;=4, "Good", Ramen_Ratings[[#This Row],[Stars]]&gt;2.5, "Fair", Ramen_Ratings[[#This Row],[Stars]] &gt;= 0, "Bad")</f>
        <v>Good</v>
      </c>
      <c r="J560" t="str">
        <f>LEFT(Ramen_Ratings[[#This Row],[Top Ten]],4)</f>
        <v/>
      </c>
      <c r="K560" t="str">
        <f>IF(Ramen_Ratings[[#This Row],[Top Ten]]="", "",RIGHT(Ramen_Ratings[[#This Row],[Top Ten]],LEN(Ramen_Ratings[[#This Row],[Top Ten]])-6))</f>
        <v/>
      </c>
    </row>
    <row r="561" spans="1:11" x14ac:dyDescent="0.25">
      <c r="A561">
        <v>1695</v>
      </c>
      <c r="B561" t="s">
        <v>897</v>
      </c>
      <c r="C561" t="s">
        <v>1093</v>
      </c>
      <c r="D561" t="s">
        <v>9</v>
      </c>
      <c r="E561" t="s">
        <v>38</v>
      </c>
      <c r="F561" t="str">
        <f>VLOOKUP(Ramen_Ratings[[#This Row],[Country]],Country_Region[#All],2,FALSE)</f>
        <v>Asia</v>
      </c>
      <c r="G561">
        <v>5</v>
      </c>
      <c r="H561" t="str" cm="1">
        <f t="array" ref="H561">_xlfn.IFS(Ramen_Ratings[[#This Row],[Stars]] = "Unrated", "NA",Ramen_Ratings[[#This Row],[Stars]]&gt;=4, "Good", Ramen_Ratings[[#This Row],[Stars]]&gt;2.5, "Fair", Ramen_Ratings[[#This Row],[Stars]] &gt;= 0, "Bad")</f>
        <v>Good</v>
      </c>
      <c r="J561" t="str">
        <f>LEFT(Ramen_Ratings[[#This Row],[Top Ten]],4)</f>
        <v/>
      </c>
      <c r="K561" t="str">
        <f>IF(Ramen_Ratings[[#This Row],[Top Ten]]="", "",RIGHT(Ramen_Ratings[[#This Row],[Top Ten]],LEN(Ramen_Ratings[[#This Row],[Top Ten]])-6))</f>
        <v/>
      </c>
    </row>
    <row r="562" spans="1:11" x14ac:dyDescent="0.25">
      <c r="A562">
        <v>1694</v>
      </c>
      <c r="B562" t="s">
        <v>897</v>
      </c>
      <c r="C562" t="s">
        <v>1094</v>
      </c>
      <c r="D562" t="s">
        <v>13</v>
      </c>
      <c r="E562" t="s">
        <v>38</v>
      </c>
      <c r="F562" t="str">
        <f>VLOOKUP(Ramen_Ratings[[#This Row],[Country]],Country_Region[#All],2,FALSE)</f>
        <v>Asia</v>
      </c>
      <c r="G562">
        <v>4.75</v>
      </c>
      <c r="H562" t="str" cm="1">
        <f t="array" ref="H562">_xlfn.IFS(Ramen_Ratings[[#This Row],[Stars]] = "Unrated", "NA",Ramen_Ratings[[#This Row],[Stars]]&gt;=4, "Good", Ramen_Ratings[[#This Row],[Stars]]&gt;2.5, "Fair", Ramen_Ratings[[#This Row],[Stars]] &gt;= 0, "Bad")</f>
        <v>Good</v>
      </c>
      <c r="J562" t="str">
        <f>LEFT(Ramen_Ratings[[#This Row],[Top Ten]],4)</f>
        <v/>
      </c>
      <c r="K562" t="str">
        <f>IF(Ramen_Ratings[[#This Row],[Top Ten]]="", "",RIGHT(Ramen_Ratings[[#This Row],[Top Ten]],LEN(Ramen_Ratings[[#This Row],[Top Ten]])-6))</f>
        <v/>
      </c>
    </row>
    <row r="563" spans="1:11" x14ac:dyDescent="0.25">
      <c r="A563">
        <v>1691</v>
      </c>
      <c r="B563" t="s">
        <v>897</v>
      </c>
      <c r="C563" t="s">
        <v>1097</v>
      </c>
      <c r="D563" t="s">
        <v>9</v>
      </c>
      <c r="E563" t="s">
        <v>38</v>
      </c>
      <c r="F563" t="str">
        <f>VLOOKUP(Ramen_Ratings[[#This Row],[Country]],Country_Region[#All],2,FALSE)</f>
        <v>Asia</v>
      </c>
      <c r="G563">
        <v>3.5</v>
      </c>
      <c r="H563" t="str" cm="1">
        <f t="array" ref="H563">_xlfn.IFS(Ramen_Ratings[[#This Row],[Stars]] = "Unrated", "NA",Ramen_Ratings[[#This Row],[Stars]]&gt;=4, "Good", Ramen_Ratings[[#This Row],[Stars]]&gt;2.5, "Fair", Ramen_Ratings[[#This Row],[Stars]] &gt;= 0, "Bad")</f>
        <v>Fair</v>
      </c>
      <c r="J563" t="str">
        <f>LEFT(Ramen_Ratings[[#This Row],[Top Ten]],4)</f>
        <v/>
      </c>
      <c r="K563" t="str">
        <f>IF(Ramen_Ratings[[#This Row],[Top Ten]]="", "",RIGHT(Ramen_Ratings[[#This Row],[Top Ten]],LEN(Ramen_Ratings[[#This Row],[Top Ten]])-6))</f>
        <v/>
      </c>
    </row>
    <row r="564" spans="1:11" x14ac:dyDescent="0.25">
      <c r="A564">
        <v>1668</v>
      </c>
      <c r="B564" t="s">
        <v>897</v>
      </c>
      <c r="C564" t="s">
        <v>1125</v>
      </c>
      <c r="D564" t="s">
        <v>9</v>
      </c>
      <c r="E564" t="s">
        <v>38</v>
      </c>
      <c r="F564" t="str">
        <f>VLOOKUP(Ramen_Ratings[[#This Row],[Country]],Country_Region[#All],2,FALSE)</f>
        <v>Asia</v>
      </c>
      <c r="G564">
        <v>3.5</v>
      </c>
      <c r="H564" t="str" cm="1">
        <f t="array" ref="H564">_xlfn.IFS(Ramen_Ratings[[#This Row],[Stars]] = "Unrated", "NA",Ramen_Ratings[[#This Row],[Stars]]&gt;=4, "Good", Ramen_Ratings[[#This Row],[Stars]]&gt;2.5, "Fair", Ramen_Ratings[[#This Row],[Stars]] &gt;= 0, "Bad")</f>
        <v>Fair</v>
      </c>
      <c r="J564" t="str">
        <f>LEFT(Ramen_Ratings[[#This Row],[Top Ten]],4)</f>
        <v/>
      </c>
      <c r="K564" t="str">
        <f>IF(Ramen_Ratings[[#This Row],[Top Ten]]="", "",RIGHT(Ramen_Ratings[[#This Row],[Top Ten]],LEN(Ramen_Ratings[[#This Row],[Top Ten]])-6))</f>
        <v/>
      </c>
    </row>
    <row r="565" spans="1:11" x14ac:dyDescent="0.25">
      <c r="A565">
        <v>1662</v>
      </c>
      <c r="B565" t="s">
        <v>897</v>
      </c>
      <c r="C565" t="s">
        <v>1133</v>
      </c>
      <c r="D565" t="s">
        <v>13</v>
      </c>
      <c r="E565" t="s">
        <v>38</v>
      </c>
      <c r="F565" t="str">
        <f>VLOOKUP(Ramen_Ratings[[#This Row],[Country]],Country_Region[#All],2,FALSE)</f>
        <v>Asia</v>
      </c>
      <c r="G565">
        <v>5</v>
      </c>
      <c r="H565" t="str" cm="1">
        <f t="array" ref="H565">_xlfn.IFS(Ramen_Ratings[[#This Row],[Stars]] = "Unrated", "NA",Ramen_Ratings[[#This Row],[Stars]]&gt;=4, "Good", Ramen_Ratings[[#This Row],[Stars]]&gt;2.5, "Fair", Ramen_Ratings[[#This Row],[Stars]] &gt;= 0, "Bad")</f>
        <v>Good</v>
      </c>
      <c r="J565" t="str">
        <f>LEFT(Ramen_Ratings[[#This Row],[Top Ten]],4)</f>
        <v/>
      </c>
      <c r="K565" t="str">
        <f>IF(Ramen_Ratings[[#This Row],[Top Ten]]="", "",RIGHT(Ramen_Ratings[[#This Row],[Top Ten]],LEN(Ramen_Ratings[[#This Row],[Top Ten]])-6))</f>
        <v/>
      </c>
    </row>
    <row r="566" spans="1:11" x14ac:dyDescent="0.25">
      <c r="A566">
        <v>1656</v>
      </c>
      <c r="B566" t="s">
        <v>897</v>
      </c>
      <c r="C566" t="s">
        <v>1143</v>
      </c>
      <c r="D566" t="s">
        <v>9</v>
      </c>
      <c r="E566" t="s">
        <v>38</v>
      </c>
      <c r="F566" t="str">
        <f>VLOOKUP(Ramen_Ratings[[#This Row],[Country]],Country_Region[#All],2,FALSE)</f>
        <v>Asia</v>
      </c>
      <c r="G566">
        <v>3.5</v>
      </c>
      <c r="H566" t="str" cm="1">
        <f t="array" ref="H566">_xlfn.IFS(Ramen_Ratings[[#This Row],[Stars]] = "Unrated", "NA",Ramen_Ratings[[#This Row],[Stars]]&gt;=4, "Good", Ramen_Ratings[[#This Row],[Stars]]&gt;2.5, "Fair", Ramen_Ratings[[#This Row],[Stars]] &gt;= 0, "Bad")</f>
        <v>Fair</v>
      </c>
      <c r="J566" t="str">
        <f>LEFT(Ramen_Ratings[[#This Row],[Top Ten]],4)</f>
        <v/>
      </c>
      <c r="K566" t="str">
        <f>IF(Ramen_Ratings[[#This Row],[Top Ten]]="", "",RIGHT(Ramen_Ratings[[#This Row],[Top Ten]],LEN(Ramen_Ratings[[#This Row],[Top Ten]])-6))</f>
        <v/>
      </c>
    </row>
    <row r="567" spans="1:11" x14ac:dyDescent="0.25">
      <c r="A567">
        <v>1635</v>
      </c>
      <c r="B567" t="s">
        <v>322</v>
      </c>
      <c r="C567" t="s">
        <v>1173</v>
      </c>
      <c r="D567" t="s">
        <v>13</v>
      </c>
      <c r="E567" t="s">
        <v>38</v>
      </c>
      <c r="F567" t="str">
        <f>VLOOKUP(Ramen_Ratings[[#This Row],[Country]],Country_Region[#All],2,FALSE)</f>
        <v>Asia</v>
      </c>
      <c r="G567">
        <v>2.75</v>
      </c>
      <c r="H567" t="str" cm="1">
        <f t="array" ref="H567">_xlfn.IFS(Ramen_Ratings[[#This Row],[Stars]] = "Unrated", "NA",Ramen_Ratings[[#This Row],[Stars]]&gt;=4, "Good", Ramen_Ratings[[#This Row],[Stars]]&gt;2.5, "Fair", Ramen_Ratings[[#This Row],[Stars]] &gt;= 0, "Bad")</f>
        <v>Fair</v>
      </c>
      <c r="J567" t="str">
        <f>LEFT(Ramen_Ratings[[#This Row],[Top Ten]],4)</f>
        <v/>
      </c>
      <c r="K567" t="str">
        <f>IF(Ramen_Ratings[[#This Row],[Top Ten]]="", "",RIGHT(Ramen_Ratings[[#This Row],[Top Ten]],LEN(Ramen_Ratings[[#This Row],[Top Ten]])-6))</f>
        <v/>
      </c>
    </row>
    <row r="568" spans="1:11" x14ac:dyDescent="0.25">
      <c r="A568">
        <v>1625</v>
      </c>
      <c r="B568" t="s">
        <v>897</v>
      </c>
      <c r="C568" t="s">
        <v>1183</v>
      </c>
      <c r="D568" t="s">
        <v>44</v>
      </c>
      <c r="E568" t="s">
        <v>38</v>
      </c>
      <c r="F568" t="str">
        <f>VLOOKUP(Ramen_Ratings[[#This Row],[Country]],Country_Region[#All],2,FALSE)</f>
        <v>Asia</v>
      </c>
      <c r="G568">
        <v>5</v>
      </c>
      <c r="H568" t="str" cm="1">
        <f t="array" ref="H568">_xlfn.IFS(Ramen_Ratings[[#This Row],[Stars]] = "Unrated", "NA",Ramen_Ratings[[#This Row],[Stars]]&gt;=4, "Good", Ramen_Ratings[[#This Row],[Stars]]&gt;2.5, "Fair", Ramen_Ratings[[#This Row],[Stars]] &gt;= 0, "Bad")</f>
        <v>Good</v>
      </c>
      <c r="J568" t="str">
        <f>LEFT(Ramen_Ratings[[#This Row],[Top Ten]],4)</f>
        <v/>
      </c>
      <c r="K568" t="str">
        <f>IF(Ramen_Ratings[[#This Row],[Top Ten]]="", "",RIGHT(Ramen_Ratings[[#This Row],[Top Ten]],LEN(Ramen_Ratings[[#This Row],[Top Ten]])-6))</f>
        <v/>
      </c>
    </row>
    <row r="569" spans="1:11" x14ac:dyDescent="0.25">
      <c r="A569">
        <v>1598</v>
      </c>
      <c r="B569" t="s">
        <v>897</v>
      </c>
      <c r="C569" t="s">
        <v>1216</v>
      </c>
      <c r="D569" t="s">
        <v>9</v>
      </c>
      <c r="E569" t="s">
        <v>38</v>
      </c>
      <c r="F569" t="str">
        <f>VLOOKUP(Ramen_Ratings[[#This Row],[Country]],Country_Region[#All],2,FALSE)</f>
        <v>Asia</v>
      </c>
      <c r="G569">
        <v>4</v>
      </c>
      <c r="H569" t="str" cm="1">
        <f t="array" ref="H569">_xlfn.IFS(Ramen_Ratings[[#This Row],[Stars]] = "Unrated", "NA",Ramen_Ratings[[#This Row],[Stars]]&gt;=4, "Good", Ramen_Ratings[[#This Row],[Stars]]&gt;2.5, "Fair", Ramen_Ratings[[#This Row],[Stars]] &gt;= 0, "Bad")</f>
        <v>Good</v>
      </c>
      <c r="J569" t="str">
        <f>LEFT(Ramen_Ratings[[#This Row],[Top Ten]],4)</f>
        <v/>
      </c>
      <c r="K569" t="str">
        <f>IF(Ramen_Ratings[[#This Row],[Top Ten]]="", "",RIGHT(Ramen_Ratings[[#This Row],[Top Ten]],LEN(Ramen_Ratings[[#This Row],[Top Ten]])-6))</f>
        <v/>
      </c>
    </row>
    <row r="570" spans="1:11" x14ac:dyDescent="0.25">
      <c r="A570">
        <v>1577</v>
      </c>
      <c r="B570" t="s">
        <v>897</v>
      </c>
      <c r="C570" t="s">
        <v>1242</v>
      </c>
      <c r="D570" t="s">
        <v>13</v>
      </c>
      <c r="E570" t="s">
        <v>38</v>
      </c>
      <c r="F570" t="str">
        <f>VLOOKUP(Ramen_Ratings[[#This Row],[Country]],Country_Region[#All],2,FALSE)</f>
        <v>Asia</v>
      </c>
      <c r="G570">
        <v>3.75</v>
      </c>
      <c r="H570" t="str" cm="1">
        <f t="array" ref="H570">_xlfn.IFS(Ramen_Ratings[[#This Row],[Stars]] = "Unrated", "NA",Ramen_Ratings[[#This Row],[Stars]]&gt;=4, "Good", Ramen_Ratings[[#This Row],[Stars]]&gt;2.5, "Fair", Ramen_Ratings[[#This Row],[Stars]] &gt;= 0, "Bad")</f>
        <v>Fair</v>
      </c>
      <c r="J570" t="str">
        <f>LEFT(Ramen_Ratings[[#This Row],[Top Ten]],4)</f>
        <v/>
      </c>
      <c r="K570" t="str">
        <f>IF(Ramen_Ratings[[#This Row],[Top Ten]]="", "",RIGHT(Ramen_Ratings[[#This Row],[Top Ten]],LEN(Ramen_Ratings[[#This Row],[Top Ten]])-6))</f>
        <v/>
      </c>
    </row>
    <row r="571" spans="1:11" x14ac:dyDescent="0.25">
      <c r="A571">
        <v>1568</v>
      </c>
      <c r="B571" t="s">
        <v>897</v>
      </c>
      <c r="C571" t="s">
        <v>1252</v>
      </c>
      <c r="D571" t="s">
        <v>9</v>
      </c>
      <c r="E571" t="s">
        <v>38</v>
      </c>
      <c r="F571" t="str">
        <f>VLOOKUP(Ramen_Ratings[[#This Row],[Country]],Country_Region[#All],2,FALSE)</f>
        <v>Asia</v>
      </c>
      <c r="G571">
        <v>3.5</v>
      </c>
      <c r="H571" t="str" cm="1">
        <f t="array" ref="H571">_xlfn.IFS(Ramen_Ratings[[#This Row],[Stars]] = "Unrated", "NA",Ramen_Ratings[[#This Row],[Stars]]&gt;=4, "Good", Ramen_Ratings[[#This Row],[Stars]]&gt;2.5, "Fair", Ramen_Ratings[[#This Row],[Stars]] &gt;= 0, "Bad")</f>
        <v>Fair</v>
      </c>
      <c r="J571" t="str">
        <f>LEFT(Ramen_Ratings[[#This Row],[Top Ten]],4)</f>
        <v/>
      </c>
      <c r="K571" t="str">
        <f>IF(Ramen_Ratings[[#This Row],[Top Ten]]="", "",RIGHT(Ramen_Ratings[[#This Row],[Top Ten]],LEN(Ramen_Ratings[[#This Row],[Top Ten]])-6))</f>
        <v/>
      </c>
    </row>
    <row r="572" spans="1:11" x14ac:dyDescent="0.25">
      <c r="A572">
        <v>1560</v>
      </c>
      <c r="B572" t="s">
        <v>1261</v>
      </c>
      <c r="C572" t="s">
        <v>1262</v>
      </c>
      <c r="D572" t="s">
        <v>30</v>
      </c>
      <c r="E572" t="s">
        <v>38</v>
      </c>
      <c r="F572" t="str">
        <f>VLOOKUP(Ramen_Ratings[[#This Row],[Country]],Country_Region[#All],2,FALSE)</f>
        <v>Asia</v>
      </c>
      <c r="G572">
        <v>3.75</v>
      </c>
      <c r="H572" t="str" cm="1">
        <f t="array" ref="H572">_xlfn.IFS(Ramen_Ratings[[#This Row],[Stars]] = "Unrated", "NA",Ramen_Ratings[[#This Row],[Stars]]&gt;=4, "Good", Ramen_Ratings[[#This Row],[Stars]]&gt;2.5, "Fair", Ramen_Ratings[[#This Row],[Stars]] &gt;= 0, "Bad")</f>
        <v>Fair</v>
      </c>
      <c r="J572" t="str">
        <f>LEFT(Ramen_Ratings[[#This Row],[Top Ten]],4)</f>
        <v/>
      </c>
      <c r="K572" t="str">
        <f>IF(Ramen_Ratings[[#This Row],[Top Ten]]="", "",RIGHT(Ramen_Ratings[[#This Row],[Top Ten]],LEN(Ramen_Ratings[[#This Row],[Top Ten]])-6))</f>
        <v/>
      </c>
    </row>
    <row r="573" spans="1:11" x14ac:dyDescent="0.25">
      <c r="A573">
        <v>1552</v>
      </c>
      <c r="B573" t="s">
        <v>800</v>
      </c>
      <c r="C573" t="s">
        <v>1272</v>
      </c>
      <c r="D573" t="s">
        <v>13</v>
      </c>
      <c r="E573" t="s">
        <v>38</v>
      </c>
      <c r="F573" t="str">
        <f>VLOOKUP(Ramen_Ratings[[#This Row],[Country]],Country_Region[#All],2,FALSE)</f>
        <v>Asia</v>
      </c>
      <c r="G573">
        <v>3.5</v>
      </c>
      <c r="H573" t="str" cm="1">
        <f t="array" ref="H573">_xlfn.IFS(Ramen_Ratings[[#This Row],[Stars]] = "Unrated", "NA",Ramen_Ratings[[#This Row],[Stars]]&gt;=4, "Good", Ramen_Ratings[[#This Row],[Stars]]&gt;2.5, "Fair", Ramen_Ratings[[#This Row],[Stars]] &gt;= 0, "Bad")</f>
        <v>Fair</v>
      </c>
      <c r="J573" t="str">
        <f>LEFT(Ramen_Ratings[[#This Row],[Top Ten]],4)</f>
        <v/>
      </c>
      <c r="K573" t="str">
        <f>IF(Ramen_Ratings[[#This Row],[Top Ten]]="", "",RIGHT(Ramen_Ratings[[#This Row],[Top Ten]],LEN(Ramen_Ratings[[#This Row],[Top Ten]])-6))</f>
        <v/>
      </c>
    </row>
    <row r="574" spans="1:11" x14ac:dyDescent="0.25">
      <c r="A574">
        <v>1537</v>
      </c>
      <c r="B574" t="s">
        <v>322</v>
      </c>
      <c r="C574" t="s">
        <v>1288</v>
      </c>
      <c r="D574" t="s">
        <v>13</v>
      </c>
      <c r="E574" t="s">
        <v>38</v>
      </c>
      <c r="F574" t="str">
        <f>VLOOKUP(Ramen_Ratings[[#This Row],[Country]],Country_Region[#All],2,FALSE)</f>
        <v>Asia</v>
      </c>
      <c r="G574">
        <v>3.75</v>
      </c>
      <c r="H574" t="str" cm="1">
        <f t="array" ref="H574">_xlfn.IFS(Ramen_Ratings[[#This Row],[Stars]] = "Unrated", "NA",Ramen_Ratings[[#This Row],[Stars]]&gt;=4, "Good", Ramen_Ratings[[#This Row],[Stars]]&gt;2.5, "Fair", Ramen_Ratings[[#This Row],[Stars]] &gt;= 0, "Bad")</f>
        <v>Fair</v>
      </c>
      <c r="J574" t="str">
        <f>LEFT(Ramen_Ratings[[#This Row],[Top Ten]],4)</f>
        <v/>
      </c>
      <c r="K574" t="str">
        <f>IF(Ramen_Ratings[[#This Row],[Top Ten]]="", "",RIGHT(Ramen_Ratings[[#This Row],[Top Ten]],LEN(Ramen_Ratings[[#This Row],[Top Ten]])-6))</f>
        <v/>
      </c>
    </row>
    <row r="575" spans="1:11" x14ac:dyDescent="0.25">
      <c r="A575">
        <v>1520</v>
      </c>
      <c r="B575" t="s">
        <v>894</v>
      </c>
      <c r="C575" t="s">
        <v>1307</v>
      </c>
      <c r="D575" t="s">
        <v>13</v>
      </c>
      <c r="E575" t="s">
        <v>38</v>
      </c>
      <c r="F575" t="str">
        <f>VLOOKUP(Ramen_Ratings[[#This Row],[Country]],Country_Region[#All],2,FALSE)</f>
        <v>Asia</v>
      </c>
      <c r="G575">
        <v>3</v>
      </c>
      <c r="H575" t="str" cm="1">
        <f t="array" ref="H575">_xlfn.IFS(Ramen_Ratings[[#This Row],[Stars]] = "Unrated", "NA",Ramen_Ratings[[#This Row],[Stars]]&gt;=4, "Good", Ramen_Ratings[[#This Row],[Stars]]&gt;2.5, "Fair", Ramen_Ratings[[#This Row],[Stars]] &gt;= 0, "Bad")</f>
        <v>Fair</v>
      </c>
      <c r="J575" t="str">
        <f>LEFT(Ramen_Ratings[[#This Row],[Top Ten]],4)</f>
        <v/>
      </c>
      <c r="K575" t="str">
        <f>IF(Ramen_Ratings[[#This Row],[Top Ten]]="", "",RIGHT(Ramen_Ratings[[#This Row],[Top Ten]],LEN(Ramen_Ratings[[#This Row],[Top Ten]])-6))</f>
        <v/>
      </c>
    </row>
    <row r="576" spans="1:11" x14ac:dyDescent="0.25">
      <c r="A576">
        <v>1513</v>
      </c>
      <c r="B576" t="s">
        <v>897</v>
      </c>
      <c r="C576" t="s">
        <v>1316</v>
      </c>
      <c r="D576" t="s">
        <v>13</v>
      </c>
      <c r="E576" t="s">
        <v>38</v>
      </c>
      <c r="F576" t="str">
        <f>VLOOKUP(Ramen_Ratings[[#This Row],[Country]],Country_Region[#All],2,FALSE)</f>
        <v>Asia</v>
      </c>
      <c r="G576">
        <v>4</v>
      </c>
      <c r="H576" t="str" cm="1">
        <f t="array" ref="H576">_xlfn.IFS(Ramen_Ratings[[#This Row],[Stars]] = "Unrated", "NA",Ramen_Ratings[[#This Row],[Stars]]&gt;=4, "Good", Ramen_Ratings[[#This Row],[Stars]]&gt;2.5, "Fair", Ramen_Ratings[[#This Row],[Stars]] &gt;= 0, "Bad")</f>
        <v>Good</v>
      </c>
      <c r="J576" t="str">
        <f>LEFT(Ramen_Ratings[[#This Row],[Top Ten]],4)</f>
        <v/>
      </c>
      <c r="K576" t="str">
        <f>IF(Ramen_Ratings[[#This Row],[Top Ten]]="", "",RIGHT(Ramen_Ratings[[#This Row],[Top Ten]],LEN(Ramen_Ratings[[#This Row],[Top Ten]])-6))</f>
        <v/>
      </c>
    </row>
    <row r="577" spans="1:11" x14ac:dyDescent="0.25">
      <c r="A577">
        <v>1492</v>
      </c>
      <c r="B577" t="s">
        <v>322</v>
      </c>
      <c r="C577" t="s">
        <v>1339</v>
      </c>
      <c r="D577" t="s">
        <v>13</v>
      </c>
      <c r="E577" t="s">
        <v>38</v>
      </c>
      <c r="F577" t="str">
        <f>VLOOKUP(Ramen_Ratings[[#This Row],[Country]],Country_Region[#All],2,FALSE)</f>
        <v>Asia</v>
      </c>
      <c r="G577">
        <v>4</v>
      </c>
      <c r="H577" t="str" cm="1">
        <f t="array" ref="H577">_xlfn.IFS(Ramen_Ratings[[#This Row],[Stars]] = "Unrated", "NA",Ramen_Ratings[[#This Row],[Stars]]&gt;=4, "Good", Ramen_Ratings[[#This Row],[Stars]]&gt;2.5, "Fair", Ramen_Ratings[[#This Row],[Stars]] &gt;= 0, "Bad")</f>
        <v>Good</v>
      </c>
      <c r="J577" t="str">
        <f>LEFT(Ramen_Ratings[[#This Row],[Top Ten]],4)</f>
        <v/>
      </c>
      <c r="K577" t="str">
        <f>IF(Ramen_Ratings[[#This Row],[Top Ten]]="", "",RIGHT(Ramen_Ratings[[#This Row],[Top Ten]],LEN(Ramen_Ratings[[#This Row],[Top Ten]])-6))</f>
        <v/>
      </c>
    </row>
    <row r="578" spans="1:11" x14ac:dyDescent="0.25">
      <c r="A578">
        <v>1478</v>
      </c>
      <c r="B578" t="s">
        <v>1148</v>
      </c>
      <c r="C578" t="s">
        <v>1352</v>
      </c>
      <c r="D578" t="s">
        <v>13</v>
      </c>
      <c r="E578" t="s">
        <v>38</v>
      </c>
      <c r="F578" t="str">
        <f>VLOOKUP(Ramen_Ratings[[#This Row],[Country]],Country_Region[#All],2,FALSE)</f>
        <v>Asia</v>
      </c>
      <c r="G578">
        <v>4</v>
      </c>
      <c r="H578" t="str" cm="1">
        <f t="array" ref="H578">_xlfn.IFS(Ramen_Ratings[[#This Row],[Stars]] = "Unrated", "NA",Ramen_Ratings[[#This Row],[Stars]]&gt;=4, "Good", Ramen_Ratings[[#This Row],[Stars]]&gt;2.5, "Fair", Ramen_Ratings[[#This Row],[Stars]] &gt;= 0, "Bad")</f>
        <v>Good</v>
      </c>
      <c r="J578" t="str">
        <f>LEFT(Ramen_Ratings[[#This Row],[Top Ten]],4)</f>
        <v/>
      </c>
      <c r="K578" t="str">
        <f>IF(Ramen_Ratings[[#This Row],[Top Ten]]="", "",RIGHT(Ramen_Ratings[[#This Row],[Top Ten]],LEN(Ramen_Ratings[[#This Row],[Top Ten]])-6))</f>
        <v/>
      </c>
    </row>
    <row r="579" spans="1:11" x14ac:dyDescent="0.25">
      <c r="A579">
        <v>1477</v>
      </c>
      <c r="B579" t="s">
        <v>897</v>
      </c>
      <c r="C579" t="s">
        <v>1353</v>
      </c>
      <c r="D579" t="s">
        <v>13</v>
      </c>
      <c r="E579" t="s">
        <v>38</v>
      </c>
      <c r="F579" t="str">
        <f>VLOOKUP(Ramen_Ratings[[#This Row],[Country]],Country_Region[#All],2,FALSE)</f>
        <v>Asia</v>
      </c>
      <c r="G579">
        <v>4</v>
      </c>
      <c r="H579" t="str" cm="1">
        <f t="array" ref="H579">_xlfn.IFS(Ramen_Ratings[[#This Row],[Stars]] = "Unrated", "NA",Ramen_Ratings[[#This Row],[Stars]]&gt;=4, "Good", Ramen_Ratings[[#This Row],[Stars]]&gt;2.5, "Fair", Ramen_Ratings[[#This Row],[Stars]] &gt;= 0, "Bad")</f>
        <v>Good</v>
      </c>
      <c r="J579" t="str">
        <f>LEFT(Ramen_Ratings[[#This Row],[Top Ten]],4)</f>
        <v/>
      </c>
      <c r="K579" t="str">
        <f>IF(Ramen_Ratings[[#This Row],[Top Ten]]="", "",RIGHT(Ramen_Ratings[[#This Row],[Top Ten]],LEN(Ramen_Ratings[[#This Row],[Top Ten]])-6))</f>
        <v/>
      </c>
    </row>
    <row r="580" spans="1:11" x14ac:dyDescent="0.25">
      <c r="A580">
        <v>1475</v>
      </c>
      <c r="B580" t="s">
        <v>800</v>
      </c>
      <c r="C580" t="s">
        <v>1355</v>
      </c>
      <c r="D580" t="s">
        <v>9</v>
      </c>
      <c r="E580" t="s">
        <v>38</v>
      </c>
      <c r="F580" t="str">
        <f>VLOOKUP(Ramen_Ratings[[#This Row],[Country]],Country_Region[#All],2,FALSE)</f>
        <v>Asia</v>
      </c>
      <c r="G580">
        <v>3.25</v>
      </c>
      <c r="H580" t="str" cm="1">
        <f t="array" ref="H580">_xlfn.IFS(Ramen_Ratings[[#This Row],[Stars]] = "Unrated", "NA",Ramen_Ratings[[#This Row],[Stars]]&gt;=4, "Good", Ramen_Ratings[[#This Row],[Stars]]&gt;2.5, "Fair", Ramen_Ratings[[#This Row],[Stars]] &gt;= 0, "Bad")</f>
        <v>Fair</v>
      </c>
      <c r="J580" t="str">
        <f>LEFT(Ramen_Ratings[[#This Row],[Top Ten]],4)</f>
        <v/>
      </c>
      <c r="K580" t="str">
        <f>IF(Ramen_Ratings[[#This Row],[Top Ten]]="", "",RIGHT(Ramen_Ratings[[#This Row],[Top Ten]],LEN(Ramen_Ratings[[#This Row],[Top Ten]])-6))</f>
        <v/>
      </c>
    </row>
    <row r="581" spans="1:11" x14ac:dyDescent="0.25">
      <c r="A581">
        <v>1474</v>
      </c>
      <c r="B581" t="s">
        <v>897</v>
      </c>
      <c r="C581" t="s">
        <v>1356</v>
      </c>
      <c r="D581" t="s">
        <v>13</v>
      </c>
      <c r="E581" t="s">
        <v>38</v>
      </c>
      <c r="F581" t="str">
        <f>VLOOKUP(Ramen_Ratings[[#This Row],[Country]],Country_Region[#All],2,FALSE)</f>
        <v>Asia</v>
      </c>
      <c r="G581">
        <v>4</v>
      </c>
      <c r="H581" t="str" cm="1">
        <f t="array" ref="H581">_xlfn.IFS(Ramen_Ratings[[#This Row],[Stars]] = "Unrated", "NA",Ramen_Ratings[[#This Row],[Stars]]&gt;=4, "Good", Ramen_Ratings[[#This Row],[Stars]]&gt;2.5, "Fair", Ramen_Ratings[[#This Row],[Stars]] &gt;= 0, "Bad")</f>
        <v>Good</v>
      </c>
      <c r="J581" t="str">
        <f>LEFT(Ramen_Ratings[[#This Row],[Top Ten]],4)</f>
        <v/>
      </c>
      <c r="K581" t="str">
        <f>IF(Ramen_Ratings[[#This Row],[Top Ten]]="", "",RIGHT(Ramen_Ratings[[#This Row],[Top Ten]],LEN(Ramen_Ratings[[#This Row],[Top Ten]])-6))</f>
        <v/>
      </c>
    </row>
    <row r="582" spans="1:11" x14ac:dyDescent="0.25">
      <c r="A582">
        <v>1473</v>
      </c>
      <c r="B582" t="s">
        <v>897</v>
      </c>
      <c r="C582" t="s">
        <v>1357</v>
      </c>
      <c r="D582" t="s">
        <v>9</v>
      </c>
      <c r="E582" t="s">
        <v>38</v>
      </c>
      <c r="F582" t="str">
        <f>VLOOKUP(Ramen_Ratings[[#This Row],[Country]],Country_Region[#All],2,FALSE)</f>
        <v>Asia</v>
      </c>
      <c r="G582">
        <v>5</v>
      </c>
      <c r="H582" t="str" cm="1">
        <f t="array" ref="H582">_xlfn.IFS(Ramen_Ratings[[#This Row],[Stars]] = "Unrated", "NA",Ramen_Ratings[[#This Row],[Stars]]&gt;=4, "Good", Ramen_Ratings[[#This Row],[Stars]]&gt;2.5, "Fair", Ramen_Ratings[[#This Row],[Stars]] &gt;= 0, "Bad")</f>
        <v>Good</v>
      </c>
      <c r="J582" t="str">
        <f>LEFT(Ramen_Ratings[[#This Row],[Top Ten]],4)</f>
        <v/>
      </c>
      <c r="K582" t="str">
        <f>IF(Ramen_Ratings[[#This Row],[Top Ten]]="", "",RIGHT(Ramen_Ratings[[#This Row],[Top Ten]],LEN(Ramen_Ratings[[#This Row],[Top Ten]])-6))</f>
        <v/>
      </c>
    </row>
    <row r="583" spans="1:11" x14ac:dyDescent="0.25">
      <c r="A583">
        <v>1472</v>
      </c>
      <c r="B583" t="s">
        <v>1148</v>
      </c>
      <c r="C583" t="s">
        <v>1358</v>
      </c>
      <c r="D583" t="s">
        <v>13</v>
      </c>
      <c r="E583" t="s">
        <v>38</v>
      </c>
      <c r="F583" t="str">
        <f>VLOOKUP(Ramen_Ratings[[#This Row],[Country]],Country_Region[#All],2,FALSE)</f>
        <v>Asia</v>
      </c>
      <c r="G583">
        <v>3.75</v>
      </c>
      <c r="H583" t="str" cm="1">
        <f t="array" ref="H583">_xlfn.IFS(Ramen_Ratings[[#This Row],[Stars]] = "Unrated", "NA",Ramen_Ratings[[#This Row],[Stars]]&gt;=4, "Good", Ramen_Ratings[[#This Row],[Stars]]&gt;2.5, "Fair", Ramen_Ratings[[#This Row],[Stars]] &gt;= 0, "Bad")</f>
        <v>Fair</v>
      </c>
      <c r="J583" t="str">
        <f>LEFT(Ramen_Ratings[[#This Row],[Top Ten]],4)</f>
        <v/>
      </c>
      <c r="K583" t="str">
        <f>IF(Ramen_Ratings[[#This Row],[Top Ten]]="", "",RIGHT(Ramen_Ratings[[#This Row],[Top Ten]],LEN(Ramen_Ratings[[#This Row],[Top Ten]])-6))</f>
        <v/>
      </c>
    </row>
    <row r="584" spans="1:11" x14ac:dyDescent="0.25">
      <c r="A584">
        <v>1470</v>
      </c>
      <c r="B584" t="s">
        <v>897</v>
      </c>
      <c r="C584" t="s">
        <v>1361</v>
      </c>
      <c r="D584" t="s">
        <v>9</v>
      </c>
      <c r="E584" t="s">
        <v>38</v>
      </c>
      <c r="F584" t="str">
        <f>VLOOKUP(Ramen_Ratings[[#This Row],[Country]],Country_Region[#All],2,FALSE)</f>
        <v>Asia</v>
      </c>
      <c r="G584">
        <v>3.5</v>
      </c>
      <c r="H584" t="str" cm="1">
        <f t="array" ref="H584">_xlfn.IFS(Ramen_Ratings[[#This Row],[Stars]] = "Unrated", "NA",Ramen_Ratings[[#This Row],[Stars]]&gt;=4, "Good", Ramen_Ratings[[#This Row],[Stars]]&gt;2.5, "Fair", Ramen_Ratings[[#This Row],[Stars]] &gt;= 0, "Bad")</f>
        <v>Fair</v>
      </c>
      <c r="J584" t="str">
        <f>LEFT(Ramen_Ratings[[#This Row],[Top Ten]],4)</f>
        <v/>
      </c>
      <c r="K584" t="str">
        <f>IF(Ramen_Ratings[[#This Row],[Top Ten]]="", "",RIGHT(Ramen_Ratings[[#This Row],[Top Ten]],LEN(Ramen_Ratings[[#This Row],[Top Ten]])-6))</f>
        <v/>
      </c>
    </row>
    <row r="585" spans="1:11" x14ac:dyDescent="0.25">
      <c r="A585">
        <v>1468</v>
      </c>
      <c r="B585" t="s">
        <v>897</v>
      </c>
      <c r="C585" t="s">
        <v>1363</v>
      </c>
      <c r="D585" t="s">
        <v>9</v>
      </c>
      <c r="E585" t="s">
        <v>38</v>
      </c>
      <c r="F585" t="str">
        <f>VLOOKUP(Ramen_Ratings[[#This Row],[Country]],Country_Region[#All],2,FALSE)</f>
        <v>Asia</v>
      </c>
      <c r="G585">
        <v>5</v>
      </c>
      <c r="H585" t="str" cm="1">
        <f t="array" ref="H585">_xlfn.IFS(Ramen_Ratings[[#This Row],[Stars]] = "Unrated", "NA",Ramen_Ratings[[#This Row],[Stars]]&gt;=4, "Good", Ramen_Ratings[[#This Row],[Stars]]&gt;2.5, "Fair", Ramen_Ratings[[#This Row],[Stars]] &gt;= 0, "Bad")</f>
        <v>Good</v>
      </c>
      <c r="J585" t="str">
        <f>LEFT(Ramen_Ratings[[#This Row],[Top Ten]],4)</f>
        <v/>
      </c>
      <c r="K585" t="str">
        <f>IF(Ramen_Ratings[[#This Row],[Top Ten]]="", "",RIGHT(Ramen_Ratings[[#This Row],[Top Ten]],LEN(Ramen_Ratings[[#This Row],[Top Ten]])-6))</f>
        <v/>
      </c>
    </row>
    <row r="586" spans="1:11" x14ac:dyDescent="0.25">
      <c r="A586">
        <v>1467</v>
      </c>
      <c r="B586" t="s">
        <v>1148</v>
      </c>
      <c r="C586" t="s">
        <v>1364</v>
      </c>
      <c r="D586" t="s">
        <v>13</v>
      </c>
      <c r="E586" t="s">
        <v>38</v>
      </c>
      <c r="F586" t="str">
        <f>VLOOKUP(Ramen_Ratings[[#This Row],[Country]],Country_Region[#All],2,FALSE)</f>
        <v>Asia</v>
      </c>
      <c r="G586">
        <v>4.5</v>
      </c>
      <c r="H586" t="str" cm="1">
        <f t="array" ref="H586">_xlfn.IFS(Ramen_Ratings[[#This Row],[Stars]] = "Unrated", "NA",Ramen_Ratings[[#This Row],[Stars]]&gt;=4, "Good", Ramen_Ratings[[#This Row],[Stars]]&gt;2.5, "Fair", Ramen_Ratings[[#This Row],[Stars]] &gt;= 0, "Bad")</f>
        <v>Good</v>
      </c>
      <c r="J586" t="str">
        <f>LEFT(Ramen_Ratings[[#This Row],[Top Ten]],4)</f>
        <v/>
      </c>
      <c r="K586" t="str">
        <f>IF(Ramen_Ratings[[#This Row],[Top Ten]]="", "",RIGHT(Ramen_Ratings[[#This Row],[Top Ten]],LEN(Ramen_Ratings[[#This Row],[Top Ten]])-6))</f>
        <v/>
      </c>
    </row>
    <row r="587" spans="1:11" x14ac:dyDescent="0.25">
      <c r="A587">
        <v>1404</v>
      </c>
      <c r="B587" t="s">
        <v>1427</v>
      </c>
      <c r="C587" t="s">
        <v>1428</v>
      </c>
      <c r="D587" t="s">
        <v>9</v>
      </c>
      <c r="E587" t="s">
        <v>38</v>
      </c>
      <c r="F587" t="str">
        <f>VLOOKUP(Ramen_Ratings[[#This Row],[Country]],Country_Region[#All],2,FALSE)</f>
        <v>Asia</v>
      </c>
      <c r="G587">
        <v>4</v>
      </c>
      <c r="H587" t="str" cm="1">
        <f t="array" ref="H587">_xlfn.IFS(Ramen_Ratings[[#This Row],[Stars]] = "Unrated", "NA",Ramen_Ratings[[#This Row],[Stars]]&gt;=4, "Good", Ramen_Ratings[[#This Row],[Stars]]&gt;2.5, "Fair", Ramen_Ratings[[#This Row],[Stars]] &gt;= 0, "Bad")</f>
        <v>Good</v>
      </c>
      <c r="J587" t="str">
        <f>LEFT(Ramen_Ratings[[#This Row],[Top Ten]],4)</f>
        <v/>
      </c>
      <c r="K587" t="str">
        <f>IF(Ramen_Ratings[[#This Row],[Top Ten]]="", "",RIGHT(Ramen_Ratings[[#This Row],[Top Ten]],LEN(Ramen_Ratings[[#This Row],[Top Ten]])-6))</f>
        <v/>
      </c>
    </row>
    <row r="588" spans="1:11" x14ac:dyDescent="0.25">
      <c r="A588">
        <v>1370</v>
      </c>
      <c r="B588" t="s">
        <v>1467</v>
      </c>
      <c r="C588" t="s">
        <v>1468</v>
      </c>
      <c r="D588" t="s">
        <v>13</v>
      </c>
      <c r="E588" t="s">
        <v>38</v>
      </c>
      <c r="F588" t="str">
        <f>VLOOKUP(Ramen_Ratings[[#This Row],[Country]],Country_Region[#All],2,FALSE)</f>
        <v>Asia</v>
      </c>
      <c r="G588">
        <v>3.25</v>
      </c>
      <c r="H588" t="str" cm="1">
        <f t="array" ref="H588">_xlfn.IFS(Ramen_Ratings[[#This Row],[Stars]] = "Unrated", "NA",Ramen_Ratings[[#This Row],[Stars]]&gt;=4, "Good", Ramen_Ratings[[#This Row],[Stars]]&gt;2.5, "Fair", Ramen_Ratings[[#This Row],[Stars]] &gt;= 0, "Bad")</f>
        <v>Fair</v>
      </c>
      <c r="J588" t="str">
        <f>LEFT(Ramen_Ratings[[#This Row],[Top Ten]],4)</f>
        <v/>
      </c>
      <c r="K588" t="str">
        <f>IF(Ramen_Ratings[[#This Row],[Top Ten]]="", "",RIGHT(Ramen_Ratings[[#This Row],[Top Ten]],LEN(Ramen_Ratings[[#This Row],[Top Ten]])-6))</f>
        <v/>
      </c>
    </row>
    <row r="589" spans="1:11" x14ac:dyDescent="0.25">
      <c r="A589">
        <v>1339</v>
      </c>
      <c r="B589" t="s">
        <v>1261</v>
      </c>
      <c r="C589" t="s">
        <v>1501</v>
      </c>
      <c r="D589" t="s">
        <v>30</v>
      </c>
      <c r="E589" t="s">
        <v>38</v>
      </c>
      <c r="F589" t="str">
        <f>VLOOKUP(Ramen_Ratings[[#This Row],[Country]],Country_Region[#All],2,FALSE)</f>
        <v>Asia</v>
      </c>
      <c r="G589">
        <v>3.75</v>
      </c>
      <c r="H589" t="str" cm="1">
        <f t="array" ref="H589">_xlfn.IFS(Ramen_Ratings[[#This Row],[Stars]] = "Unrated", "NA",Ramen_Ratings[[#This Row],[Stars]]&gt;=4, "Good", Ramen_Ratings[[#This Row],[Stars]]&gt;2.5, "Fair", Ramen_Ratings[[#This Row],[Stars]] &gt;= 0, "Bad")</f>
        <v>Fair</v>
      </c>
      <c r="J589" t="str">
        <f>LEFT(Ramen_Ratings[[#This Row],[Top Ten]],4)</f>
        <v/>
      </c>
      <c r="K589" t="str">
        <f>IF(Ramen_Ratings[[#This Row],[Top Ten]]="", "",RIGHT(Ramen_Ratings[[#This Row],[Top Ten]],LEN(Ramen_Ratings[[#This Row],[Top Ten]])-6))</f>
        <v/>
      </c>
    </row>
    <row r="590" spans="1:11" x14ac:dyDescent="0.25">
      <c r="A590">
        <v>1324</v>
      </c>
      <c r="B590" t="s">
        <v>1148</v>
      </c>
      <c r="C590" t="s">
        <v>944</v>
      </c>
      <c r="D590" t="s">
        <v>13</v>
      </c>
      <c r="E590" t="s">
        <v>38</v>
      </c>
      <c r="F590" t="str">
        <f>VLOOKUP(Ramen_Ratings[[#This Row],[Country]],Country_Region[#All],2,FALSE)</f>
        <v>Asia</v>
      </c>
      <c r="G590">
        <v>3.5</v>
      </c>
      <c r="H590" t="str" cm="1">
        <f t="array" ref="H590">_xlfn.IFS(Ramen_Ratings[[#This Row],[Stars]] = "Unrated", "NA",Ramen_Ratings[[#This Row],[Stars]]&gt;=4, "Good", Ramen_Ratings[[#This Row],[Stars]]&gt;2.5, "Fair", Ramen_Ratings[[#This Row],[Stars]] &gt;= 0, "Bad")</f>
        <v>Fair</v>
      </c>
      <c r="J590" t="str">
        <f>LEFT(Ramen_Ratings[[#This Row],[Top Ten]],4)</f>
        <v/>
      </c>
      <c r="K590" t="str">
        <f>IF(Ramen_Ratings[[#This Row],[Top Ten]]="", "",RIGHT(Ramen_Ratings[[#This Row],[Top Ten]],LEN(Ramen_Ratings[[#This Row],[Top Ten]])-6))</f>
        <v/>
      </c>
    </row>
    <row r="591" spans="1:11" x14ac:dyDescent="0.25">
      <c r="A591">
        <v>1320</v>
      </c>
      <c r="B591" t="s">
        <v>897</v>
      </c>
      <c r="C591" t="s">
        <v>1523</v>
      </c>
      <c r="D591" t="s">
        <v>9</v>
      </c>
      <c r="E591" t="s">
        <v>38</v>
      </c>
      <c r="F591" t="str">
        <f>VLOOKUP(Ramen_Ratings[[#This Row],[Country]],Country_Region[#All],2,FALSE)</f>
        <v>Asia</v>
      </c>
      <c r="G591">
        <v>3.75</v>
      </c>
      <c r="H591" t="str" cm="1">
        <f t="array" ref="H591">_xlfn.IFS(Ramen_Ratings[[#This Row],[Stars]] = "Unrated", "NA",Ramen_Ratings[[#This Row],[Stars]]&gt;=4, "Good", Ramen_Ratings[[#This Row],[Stars]]&gt;2.5, "Fair", Ramen_Ratings[[#This Row],[Stars]] &gt;= 0, "Bad")</f>
        <v>Fair</v>
      </c>
      <c r="J591" t="str">
        <f>LEFT(Ramen_Ratings[[#This Row],[Top Ten]],4)</f>
        <v/>
      </c>
      <c r="K591" t="str">
        <f>IF(Ramen_Ratings[[#This Row],[Top Ten]]="", "",RIGHT(Ramen_Ratings[[#This Row],[Top Ten]],LEN(Ramen_Ratings[[#This Row],[Top Ten]])-6))</f>
        <v/>
      </c>
    </row>
    <row r="592" spans="1:11" x14ac:dyDescent="0.25">
      <c r="A592">
        <v>1309</v>
      </c>
      <c r="B592" t="s">
        <v>894</v>
      </c>
      <c r="C592" t="s">
        <v>1535</v>
      </c>
      <c r="D592" t="s">
        <v>9</v>
      </c>
      <c r="E592" t="s">
        <v>38</v>
      </c>
      <c r="F592" t="str">
        <f>VLOOKUP(Ramen_Ratings[[#This Row],[Country]],Country_Region[#All],2,FALSE)</f>
        <v>Asia</v>
      </c>
      <c r="G592">
        <v>3.75</v>
      </c>
      <c r="H592" t="str" cm="1">
        <f t="array" ref="H592">_xlfn.IFS(Ramen_Ratings[[#This Row],[Stars]] = "Unrated", "NA",Ramen_Ratings[[#This Row],[Stars]]&gt;=4, "Good", Ramen_Ratings[[#This Row],[Stars]]&gt;2.5, "Fair", Ramen_Ratings[[#This Row],[Stars]] &gt;= 0, "Bad")</f>
        <v>Fair</v>
      </c>
      <c r="J592" t="str">
        <f>LEFT(Ramen_Ratings[[#This Row],[Top Ten]],4)</f>
        <v/>
      </c>
      <c r="K592" t="str">
        <f>IF(Ramen_Ratings[[#This Row],[Top Ten]]="", "",RIGHT(Ramen_Ratings[[#This Row],[Top Ten]],LEN(Ramen_Ratings[[#This Row],[Top Ten]])-6))</f>
        <v/>
      </c>
    </row>
    <row r="593" spans="1:11" x14ac:dyDescent="0.25">
      <c r="A593">
        <v>1294</v>
      </c>
      <c r="B593" t="s">
        <v>1427</v>
      </c>
      <c r="C593" t="s">
        <v>171</v>
      </c>
      <c r="D593" t="s">
        <v>9</v>
      </c>
      <c r="E593" t="s">
        <v>38</v>
      </c>
      <c r="F593" t="str">
        <f>VLOOKUP(Ramen_Ratings[[#This Row],[Country]],Country_Region[#All],2,FALSE)</f>
        <v>Asia</v>
      </c>
      <c r="G593">
        <v>3</v>
      </c>
      <c r="H593" t="str" cm="1">
        <f t="array" ref="H593">_xlfn.IFS(Ramen_Ratings[[#This Row],[Stars]] = "Unrated", "NA",Ramen_Ratings[[#This Row],[Stars]]&gt;=4, "Good", Ramen_Ratings[[#This Row],[Stars]]&gt;2.5, "Fair", Ramen_Ratings[[#This Row],[Stars]] &gt;= 0, "Bad")</f>
        <v>Fair</v>
      </c>
      <c r="J593" t="str">
        <f>LEFT(Ramen_Ratings[[#This Row],[Top Ten]],4)</f>
        <v/>
      </c>
      <c r="K593" t="str">
        <f>IF(Ramen_Ratings[[#This Row],[Top Ten]]="", "",RIGHT(Ramen_Ratings[[#This Row],[Top Ten]],LEN(Ramen_Ratings[[#This Row],[Top Ten]])-6))</f>
        <v/>
      </c>
    </row>
    <row r="594" spans="1:11" x14ac:dyDescent="0.25">
      <c r="A594">
        <v>1255</v>
      </c>
      <c r="B594" t="s">
        <v>1427</v>
      </c>
      <c r="C594" t="s">
        <v>912</v>
      </c>
      <c r="D594" t="s">
        <v>9</v>
      </c>
      <c r="E594" t="s">
        <v>38</v>
      </c>
      <c r="F594" t="str">
        <f>VLOOKUP(Ramen_Ratings[[#This Row],[Country]],Country_Region[#All],2,FALSE)</f>
        <v>Asia</v>
      </c>
      <c r="G594">
        <v>3.25</v>
      </c>
      <c r="H594" t="str" cm="1">
        <f t="array" ref="H594">_xlfn.IFS(Ramen_Ratings[[#This Row],[Stars]] = "Unrated", "NA",Ramen_Ratings[[#This Row],[Stars]]&gt;=4, "Good", Ramen_Ratings[[#This Row],[Stars]]&gt;2.5, "Fair", Ramen_Ratings[[#This Row],[Stars]] &gt;= 0, "Bad")</f>
        <v>Fair</v>
      </c>
      <c r="J594" t="str">
        <f>LEFT(Ramen_Ratings[[#This Row],[Top Ten]],4)</f>
        <v/>
      </c>
      <c r="K594" t="str">
        <f>IF(Ramen_Ratings[[#This Row],[Top Ten]]="", "",RIGHT(Ramen_Ratings[[#This Row],[Top Ten]],LEN(Ramen_Ratings[[#This Row],[Top Ten]])-6))</f>
        <v/>
      </c>
    </row>
    <row r="595" spans="1:11" x14ac:dyDescent="0.25">
      <c r="A595">
        <v>1251</v>
      </c>
      <c r="B595" t="s">
        <v>897</v>
      </c>
      <c r="C595" t="s">
        <v>1601</v>
      </c>
      <c r="D595" t="s">
        <v>13</v>
      </c>
      <c r="E595" t="s">
        <v>38</v>
      </c>
      <c r="F595" t="str">
        <f>VLOOKUP(Ramen_Ratings[[#This Row],[Country]],Country_Region[#All],2,FALSE)</f>
        <v>Asia</v>
      </c>
      <c r="G595">
        <v>3.5</v>
      </c>
      <c r="H595" t="str" cm="1">
        <f t="array" ref="H595">_xlfn.IFS(Ramen_Ratings[[#This Row],[Stars]] = "Unrated", "NA",Ramen_Ratings[[#This Row],[Stars]]&gt;=4, "Good", Ramen_Ratings[[#This Row],[Stars]]&gt;2.5, "Fair", Ramen_Ratings[[#This Row],[Stars]] &gt;= 0, "Bad")</f>
        <v>Fair</v>
      </c>
      <c r="J595" t="str">
        <f>LEFT(Ramen_Ratings[[#This Row],[Top Ten]],4)</f>
        <v/>
      </c>
      <c r="K595" t="str">
        <f>IF(Ramen_Ratings[[#This Row],[Top Ten]]="", "",RIGHT(Ramen_Ratings[[#This Row],[Top Ten]],LEN(Ramen_Ratings[[#This Row],[Top Ten]])-6))</f>
        <v/>
      </c>
    </row>
    <row r="596" spans="1:11" x14ac:dyDescent="0.25">
      <c r="A596">
        <v>1237</v>
      </c>
      <c r="B596" t="s">
        <v>897</v>
      </c>
      <c r="C596" t="s">
        <v>1616</v>
      </c>
      <c r="D596" t="s">
        <v>13</v>
      </c>
      <c r="E596" t="s">
        <v>38</v>
      </c>
      <c r="F596" t="str">
        <f>VLOOKUP(Ramen_Ratings[[#This Row],[Country]],Country_Region[#All],2,FALSE)</f>
        <v>Asia</v>
      </c>
      <c r="G596">
        <v>3.5</v>
      </c>
      <c r="H596" t="str" cm="1">
        <f t="array" ref="H596">_xlfn.IFS(Ramen_Ratings[[#This Row],[Stars]] = "Unrated", "NA",Ramen_Ratings[[#This Row],[Stars]]&gt;=4, "Good", Ramen_Ratings[[#This Row],[Stars]]&gt;2.5, "Fair", Ramen_Ratings[[#This Row],[Stars]] &gt;= 0, "Bad")</f>
        <v>Fair</v>
      </c>
      <c r="J596" t="str">
        <f>LEFT(Ramen_Ratings[[#This Row],[Top Ten]],4)</f>
        <v/>
      </c>
      <c r="K596" t="str">
        <f>IF(Ramen_Ratings[[#This Row],[Top Ten]]="", "",RIGHT(Ramen_Ratings[[#This Row],[Top Ten]],LEN(Ramen_Ratings[[#This Row],[Top Ten]])-6))</f>
        <v/>
      </c>
    </row>
    <row r="597" spans="1:11" x14ac:dyDescent="0.25">
      <c r="A597">
        <v>1212</v>
      </c>
      <c r="B597" t="s">
        <v>1148</v>
      </c>
      <c r="C597" t="s">
        <v>1644</v>
      </c>
      <c r="D597" t="s">
        <v>13</v>
      </c>
      <c r="E597" t="s">
        <v>38</v>
      </c>
      <c r="F597" t="str">
        <f>VLOOKUP(Ramen_Ratings[[#This Row],[Country]],Country_Region[#All],2,FALSE)</f>
        <v>Asia</v>
      </c>
      <c r="G597">
        <v>3.5</v>
      </c>
      <c r="H597" t="str" cm="1">
        <f t="array" ref="H597">_xlfn.IFS(Ramen_Ratings[[#This Row],[Stars]] = "Unrated", "NA",Ramen_Ratings[[#This Row],[Stars]]&gt;=4, "Good", Ramen_Ratings[[#This Row],[Stars]]&gt;2.5, "Fair", Ramen_Ratings[[#This Row],[Stars]] &gt;= 0, "Bad")</f>
        <v>Fair</v>
      </c>
      <c r="J597" t="str">
        <f>LEFT(Ramen_Ratings[[#This Row],[Top Ten]],4)</f>
        <v/>
      </c>
      <c r="K597" t="str">
        <f>IF(Ramen_Ratings[[#This Row],[Top Ten]]="", "",RIGHT(Ramen_Ratings[[#This Row],[Top Ten]],LEN(Ramen_Ratings[[#This Row],[Top Ten]])-6))</f>
        <v/>
      </c>
    </row>
    <row r="598" spans="1:11" x14ac:dyDescent="0.25">
      <c r="A598">
        <v>1205</v>
      </c>
      <c r="B598" t="s">
        <v>897</v>
      </c>
      <c r="C598" t="s">
        <v>1652</v>
      </c>
      <c r="D598" t="s">
        <v>13</v>
      </c>
      <c r="E598" t="s">
        <v>38</v>
      </c>
      <c r="F598" t="str">
        <f>VLOOKUP(Ramen_Ratings[[#This Row],[Country]],Country_Region[#All],2,FALSE)</f>
        <v>Asia</v>
      </c>
      <c r="G598">
        <v>3.5</v>
      </c>
      <c r="H598" t="str" cm="1">
        <f t="array" ref="H598">_xlfn.IFS(Ramen_Ratings[[#This Row],[Stars]] = "Unrated", "NA",Ramen_Ratings[[#This Row],[Stars]]&gt;=4, "Good", Ramen_Ratings[[#This Row],[Stars]]&gt;2.5, "Fair", Ramen_Ratings[[#This Row],[Stars]] &gt;= 0, "Bad")</f>
        <v>Fair</v>
      </c>
      <c r="J598" t="str">
        <f>LEFT(Ramen_Ratings[[#This Row],[Top Ten]],4)</f>
        <v/>
      </c>
      <c r="K598" t="str">
        <f>IF(Ramen_Ratings[[#This Row],[Top Ten]]="", "",RIGHT(Ramen_Ratings[[#This Row],[Top Ten]],LEN(Ramen_Ratings[[#This Row],[Top Ten]])-6))</f>
        <v/>
      </c>
    </row>
    <row r="599" spans="1:11" x14ac:dyDescent="0.25">
      <c r="A599">
        <v>1199</v>
      </c>
      <c r="B599" t="s">
        <v>897</v>
      </c>
      <c r="C599" t="s">
        <v>1657</v>
      </c>
      <c r="D599" t="s">
        <v>13</v>
      </c>
      <c r="E599" t="s">
        <v>38</v>
      </c>
      <c r="F599" t="str">
        <f>VLOOKUP(Ramen_Ratings[[#This Row],[Country]],Country_Region[#All],2,FALSE)</f>
        <v>Asia</v>
      </c>
      <c r="G599">
        <v>3.75</v>
      </c>
      <c r="H599" t="str" cm="1">
        <f t="array" ref="H599">_xlfn.IFS(Ramen_Ratings[[#This Row],[Stars]] = "Unrated", "NA",Ramen_Ratings[[#This Row],[Stars]]&gt;=4, "Good", Ramen_Ratings[[#This Row],[Stars]]&gt;2.5, "Fair", Ramen_Ratings[[#This Row],[Stars]] &gt;= 0, "Bad")</f>
        <v>Fair</v>
      </c>
      <c r="J599" t="str">
        <f>LEFT(Ramen_Ratings[[#This Row],[Top Ten]],4)</f>
        <v/>
      </c>
      <c r="K599" t="str">
        <f>IF(Ramen_Ratings[[#This Row],[Top Ten]]="", "",RIGHT(Ramen_Ratings[[#This Row],[Top Ten]],LEN(Ramen_Ratings[[#This Row],[Top Ten]])-6))</f>
        <v/>
      </c>
    </row>
    <row r="600" spans="1:11" x14ac:dyDescent="0.25">
      <c r="A600">
        <v>1112</v>
      </c>
      <c r="B600" t="s">
        <v>897</v>
      </c>
      <c r="C600" t="s">
        <v>1750</v>
      </c>
      <c r="D600" t="s">
        <v>13</v>
      </c>
      <c r="E600" t="s">
        <v>38</v>
      </c>
      <c r="F600" t="str">
        <f>VLOOKUP(Ramen_Ratings[[#This Row],[Country]],Country_Region[#All],2,FALSE)</f>
        <v>Asia</v>
      </c>
      <c r="G600">
        <v>3.75</v>
      </c>
      <c r="H600" t="str" cm="1">
        <f t="array" ref="H600">_xlfn.IFS(Ramen_Ratings[[#This Row],[Stars]] = "Unrated", "NA",Ramen_Ratings[[#This Row],[Stars]]&gt;=4, "Good", Ramen_Ratings[[#This Row],[Stars]]&gt;2.5, "Fair", Ramen_Ratings[[#This Row],[Stars]] &gt;= 0, "Bad")</f>
        <v>Fair</v>
      </c>
      <c r="J600" t="str">
        <f>LEFT(Ramen_Ratings[[#This Row],[Top Ten]],4)</f>
        <v/>
      </c>
      <c r="K600" t="str">
        <f>IF(Ramen_Ratings[[#This Row],[Top Ten]]="", "",RIGHT(Ramen_Ratings[[#This Row],[Top Ten]],LEN(Ramen_Ratings[[#This Row],[Top Ten]])-6))</f>
        <v/>
      </c>
    </row>
    <row r="601" spans="1:11" x14ac:dyDescent="0.25">
      <c r="A601">
        <v>1032</v>
      </c>
      <c r="B601" t="s">
        <v>897</v>
      </c>
      <c r="C601" t="s">
        <v>1832</v>
      </c>
      <c r="D601" t="s">
        <v>13</v>
      </c>
      <c r="E601" t="s">
        <v>38</v>
      </c>
      <c r="F601" t="str">
        <f>VLOOKUP(Ramen_Ratings[[#This Row],[Country]],Country_Region[#All],2,FALSE)</f>
        <v>Asia</v>
      </c>
      <c r="G601">
        <v>4</v>
      </c>
      <c r="H601" t="str" cm="1">
        <f t="array" ref="H601">_xlfn.IFS(Ramen_Ratings[[#This Row],[Stars]] = "Unrated", "NA",Ramen_Ratings[[#This Row],[Stars]]&gt;=4, "Good", Ramen_Ratings[[#This Row],[Stars]]&gt;2.5, "Fair", Ramen_Ratings[[#This Row],[Stars]] &gt;= 0, "Bad")</f>
        <v>Good</v>
      </c>
      <c r="J601" t="str">
        <f>LEFT(Ramen_Ratings[[#This Row],[Top Ten]],4)</f>
        <v/>
      </c>
      <c r="K601" t="str">
        <f>IF(Ramen_Ratings[[#This Row],[Top Ten]]="", "",RIGHT(Ramen_Ratings[[#This Row],[Top Ten]],LEN(Ramen_Ratings[[#This Row],[Top Ten]])-6))</f>
        <v/>
      </c>
    </row>
    <row r="602" spans="1:11" x14ac:dyDescent="0.25">
      <c r="A602">
        <v>1004</v>
      </c>
      <c r="B602" t="s">
        <v>322</v>
      </c>
      <c r="C602" t="s">
        <v>1184</v>
      </c>
      <c r="D602" t="s">
        <v>13</v>
      </c>
      <c r="E602" t="s">
        <v>38</v>
      </c>
      <c r="F602" t="str">
        <f>VLOOKUP(Ramen_Ratings[[#This Row],[Country]],Country_Region[#All],2,FALSE)</f>
        <v>Asia</v>
      </c>
      <c r="G602">
        <v>3</v>
      </c>
      <c r="H602" t="str" cm="1">
        <f t="array" ref="H602">_xlfn.IFS(Ramen_Ratings[[#This Row],[Stars]] = "Unrated", "NA",Ramen_Ratings[[#This Row],[Stars]]&gt;=4, "Good", Ramen_Ratings[[#This Row],[Stars]]&gt;2.5, "Fair", Ramen_Ratings[[#This Row],[Stars]] &gt;= 0, "Bad")</f>
        <v>Fair</v>
      </c>
      <c r="J602" t="str">
        <f>LEFT(Ramen_Ratings[[#This Row],[Top Ten]],4)</f>
        <v/>
      </c>
      <c r="K602" t="str">
        <f>IF(Ramen_Ratings[[#This Row],[Top Ten]]="", "",RIGHT(Ramen_Ratings[[#This Row],[Top Ten]],LEN(Ramen_Ratings[[#This Row],[Top Ten]])-6))</f>
        <v/>
      </c>
    </row>
    <row r="603" spans="1:11" x14ac:dyDescent="0.25">
      <c r="A603">
        <v>994</v>
      </c>
      <c r="B603" t="s">
        <v>322</v>
      </c>
      <c r="C603" t="s">
        <v>1871</v>
      </c>
      <c r="D603" t="s">
        <v>13</v>
      </c>
      <c r="E603" t="s">
        <v>38</v>
      </c>
      <c r="F603" t="str">
        <f>VLOOKUP(Ramen_Ratings[[#This Row],[Country]],Country_Region[#All],2,FALSE)</f>
        <v>Asia</v>
      </c>
      <c r="G603">
        <v>3.25</v>
      </c>
      <c r="H603" t="str" cm="1">
        <f t="array" ref="H603">_xlfn.IFS(Ramen_Ratings[[#This Row],[Stars]] = "Unrated", "NA",Ramen_Ratings[[#This Row],[Stars]]&gt;=4, "Good", Ramen_Ratings[[#This Row],[Stars]]&gt;2.5, "Fair", Ramen_Ratings[[#This Row],[Stars]] &gt;= 0, "Bad")</f>
        <v>Fair</v>
      </c>
      <c r="J603" t="str">
        <f>LEFT(Ramen_Ratings[[#This Row],[Top Ten]],4)</f>
        <v/>
      </c>
      <c r="K603" t="str">
        <f>IF(Ramen_Ratings[[#This Row],[Top Ten]]="", "",RIGHT(Ramen_Ratings[[#This Row],[Top Ten]],LEN(Ramen_Ratings[[#This Row],[Top Ten]])-6))</f>
        <v/>
      </c>
    </row>
    <row r="604" spans="1:11" x14ac:dyDescent="0.25">
      <c r="A604">
        <v>944</v>
      </c>
      <c r="B604" t="s">
        <v>322</v>
      </c>
      <c r="C604" t="s">
        <v>1924</v>
      </c>
      <c r="D604" t="s">
        <v>13</v>
      </c>
      <c r="E604" t="s">
        <v>38</v>
      </c>
      <c r="F604" t="str">
        <f>VLOOKUP(Ramen_Ratings[[#This Row],[Country]],Country_Region[#All],2,FALSE)</f>
        <v>Asia</v>
      </c>
      <c r="G604">
        <v>3</v>
      </c>
      <c r="H604" t="str" cm="1">
        <f t="array" ref="H604">_xlfn.IFS(Ramen_Ratings[[#This Row],[Stars]] = "Unrated", "NA",Ramen_Ratings[[#This Row],[Stars]]&gt;=4, "Good", Ramen_Ratings[[#This Row],[Stars]]&gt;2.5, "Fair", Ramen_Ratings[[#This Row],[Stars]] &gt;= 0, "Bad")</f>
        <v>Fair</v>
      </c>
      <c r="J604" t="str">
        <f>LEFT(Ramen_Ratings[[#This Row],[Top Ten]],4)</f>
        <v/>
      </c>
      <c r="K604" t="str">
        <f>IF(Ramen_Ratings[[#This Row],[Top Ten]]="", "",RIGHT(Ramen_Ratings[[#This Row],[Top Ten]],LEN(Ramen_Ratings[[#This Row],[Top Ten]])-6))</f>
        <v/>
      </c>
    </row>
    <row r="605" spans="1:11" x14ac:dyDescent="0.25">
      <c r="A605">
        <v>940</v>
      </c>
      <c r="B605" t="s">
        <v>322</v>
      </c>
      <c r="C605" t="s">
        <v>1928</v>
      </c>
      <c r="D605" t="s">
        <v>13</v>
      </c>
      <c r="E605" t="s">
        <v>38</v>
      </c>
      <c r="F605" t="str">
        <f>VLOOKUP(Ramen_Ratings[[#This Row],[Country]],Country_Region[#All],2,FALSE)</f>
        <v>Asia</v>
      </c>
      <c r="G605">
        <v>3.5</v>
      </c>
      <c r="H605" t="str" cm="1">
        <f t="array" ref="H605">_xlfn.IFS(Ramen_Ratings[[#This Row],[Stars]] = "Unrated", "NA",Ramen_Ratings[[#This Row],[Stars]]&gt;=4, "Good", Ramen_Ratings[[#This Row],[Stars]]&gt;2.5, "Fair", Ramen_Ratings[[#This Row],[Stars]] &gt;= 0, "Bad")</f>
        <v>Fair</v>
      </c>
      <c r="J605" t="str">
        <f>LEFT(Ramen_Ratings[[#This Row],[Top Ten]],4)</f>
        <v/>
      </c>
      <c r="K605" t="str">
        <f>IF(Ramen_Ratings[[#This Row],[Top Ten]]="", "",RIGHT(Ramen_Ratings[[#This Row],[Top Ten]],LEN(Ramen_Ratings[[#This Row],[Top Ten]])-6))</f>
        <v/>
      </c>
    </row>
    <row r="606" spans="1:11" x14ac:dyDescent="0.25">
      <c r="A606">
        <v>937</v>
      </c>
      <c r="B606" t="s">
        <v>897</v>
      </c>
      <c r="C606" t="s">
        <v>1931</v>
      </c>
      <c r="D606" t="s">
        <v>13</v>
      </c>
      <c r="E606" t="s">
        <v>38</v>
      </c>
      <c r="F606" t="str">
        <f>VLOOKUP(Ramen_Ratings[[#This Row],[Country]],Country_Region[#All],2,FALSE)</f>
        <v>Asia</v>
      </c>
      <c r="G606">
        <v>3.75</v>
      </c>
      <c r="H606" t="str" cm="1">
        <f t="array" ref="H606">_xlfn.IFS(Ramen_Ratings[[#This Row],[Stars]] = "Unrated", "NA",Ramen_Ratings[[#This Row],[Stars]]&gt;=4, "Good", Ramen_Ratings[[#This Row],[Stars]]&gt;2.5, "Fair", Ramen_Ratings[[#This Row],[Stars]] &gt;= 0, "Bad")</f>
        <v>Fair</v>
      </c>
      <c r="J606" t="str">
        <f>LEFT(Ramen_Ratings[[#This Row],[Top Ten]],4)</f>
        <v/>
      </c>
      <c r="K606" t="str">
        <f>IF(Ramen_Ratings[[#This Row],[Top Ten]]="", "",RIGHT(Ramen_Ratings[[#This Row],[Top Ten]],LEN(Ramen_Ratings[[#This Row],[Top Ten]])-6))</f>
        <v/>
      </c>
    </row>
    <row r="607" spans="1:11" x14ac:dyDescent="0.25">
      <c r="A607">
        <v>922</v>
      </c>
      <c r="B607" t="s">
        <v>1946</v>
      </c>
      <c r="C607" t="s">
        <v>1947</v>
      </c>
      <c r="D607" t="s">
        <v>44</v>
      </c>
      <c r="E607" t="s">
        <v>38</v>
      </c>
      <c r="F607" t="str">
        <f>VLOOKUP(Ramen_Ratings[[#This Row],[Country]],Country_Region[#All],2,FALSE)</f>
        <v>Asia</v>
      </c>
      <c r="G607">
        <v>1.25</v>
      </c>
      <c r="H607" t="str" cm="1">
        <f t="array" ref="H607">_xlfn.IFS(Ramen_Ratings[[#This Row],[Stars]] = "Unrated", "NA",Ramen_Ratings[[#This Row],[Stars]]&gt;=4, "Good", Ramen_Ratings[[#This Row],[Stars]]&gt;2.5, "Fair", Ramen_Ratings[[#This Row],[Stars]] &gt;= 0, "Bad")</f>
        <v>Bad</v>
      </c>
      <c r="J607" t="str">
        <f>LEFT(Ramen_Ratings[[#This Row],[Top Ten]],4)</f>
        <v/>
      </c>
      <c r="K607" t="str">
        <f>IF(Ramen_Ratings[[#This Row],[Top Ten]]="", "",RIGHT(Ramen_Ratings[[#This Row],[Top Ten]],LEN(Ramen_Ratings[[#This Row],[Top Ten]])-6))</f>
        <v/>
      </c>
    </row>
    <row r="608" spans="1:11" x14ac:dyDescent="0.25">
      <c r="A608">
        <v>915</v>
      </c>
      <c r="B608" t="s">
        <v>322</v>
      </c>
      <c r="C608" t="s">
        <v>1954</v>
      </c>
      <c r="D608" t="s">
        <v>13</v>
      </c>
      <c r="E608" t="s">
        <v>38</v>
      </c>
      <c r="F608" t="str">
        <f>VLOOKUP(Ramen_Ratings[[#This Row],[Country]],Country_Region[#All],2,FALSE)</f>
        <v>Asia</v>
      </c>
      <c r="G608">
        <v>3.5</v>
      </c>
      <c r="H608" t="str" cm="1">
        <f t="array" ref="H608">_xlfn.IFS(Ramen_Ratings[[#This Row],[Stars]] = "Unrated", "NA",Ramen_Ratings[[#This Row],[Stars]]&gt;=4, "Good", Ramen_Ratings[[#This Row],[Stars]]&gt;2.5, "Fair", Ramen_Ratings[[#This Row],[Stars]] &gt;= 0, "Bad")</f>
        <v>Fair</v>
      </c>
      <c r="J608" t="str">
        <f>LEFT(Ramen_Ratings[[#This Row],[Top Ten]],4)</f>
        <v/>
      </c>
      <c r="K608" t="str">
        <f>IF(Ramen_Ratings[[#This Row],[Top Ten]]="", "",RIGHT(Ramen_Ratings[[#This Row],[Top Ten]],LEN(Ramen_Ratings[[#This Row],[Top Ten]])-6))</f>
        <v/>
      </c>
    </row>
    <row r="609" spans="1:11" x14ac:dyDescent="0.25">
      <c r="A609">
        <v>902</v>
      </c>
      <c r="B609" t="s">
        <v>1946</v>
      </c>
      <c r="C609" t="s">
        <v>1970</v>
      </c>
      <c r="D609" t="s">
        <v>44</v>
      </c>
      <c r="E609" t="s">
        <v>38</v>
      </c>
      <c r="F609" t="str">
        <f>VLOOKUP(Ramen_Ratings[[#This Row],[Country]],Country_Region[#All],2,FALSE)</f>
        <v>Asia</v>
      </c>
      <c r="G609">
        <v>3.25</v>
      </c>
      <c r="H609" t="str" cm="1">
        <f t="array" ref="H609">_xlfn.IFS(Ramen_Ratings[[#This Row],[Stars]] = "Unrated", "NA",Ramen_Ratings[[#This Row],[Stars]]&gt;=4, "Good", Ramen_Ratings[[#This Row],[Stars]]&gt;2.5, "Fair", Ramen_Ratings[[#This Row],[Stars]] &gt;= 0, "Bad")</f>
        <v>Fair</v>
      </c>
      <c r="J609" t="str">
        <f>LEFT(Ramen_Ratings[[#This Row],[Top Ten]],4)</f>
        <v/>
      </c>
      <c r="K609" t="str">
        <f>IF(Ramen_Ratings[[#This Row],[Top Ten]]="", "",RIGHT(Ramen_Ratings[[#This Row],[Top Ten]],LEN(Ramen_Ratings[[#This Row],[Top Ten]])-6))</f>
        <v/>
      </c>
    </row>
    <row r="610" spans="1:11" x14ac:dyDescent="0.25">
      <c r="A610">
        <v>875</v>
      </c>
      <c r="B610" t="s">
        <v>1946</v>
      </c>
      <c r="C610" t="s">
        <v>2002</v>
      </c>
      <c r="D610" t="s">
        <v>44</v>
      </c>
      <c r="E610" t="s">
        <v>38</v>
      </c>
      <c r="F610" t="str">
        <f>VLOOKUP(Ramen_Ratings[[#This Row],[Country]],Country_Region[#All],2,FALSE)</f>
        <v>Asia</v>
      </c>
      <c r="G610">
        <v>2.5</v>
      </c>
      <c r="H610" t="str" cm="1">
        <f t="array" ref="H610">_xlfn.IFS(Ramen_Ratings[[#This Row],[Stars]] = "Unrated", "NA",Ramen_Ratings[[#This Row],[Stars]]&gt;=4, "Good", Ramen_Ratings[[#This Row],[Stars]]&gt;2.5, "Fair", Ramen_Ratings[[#This Row],[Stars]] &gt;= 0, "Bad")</f>
        <v>Bad</v>
      </c>
      <c r="J610" t="str">
        <f>LEFT(Ramen_Ratings[[#This Row],[Top Ten]],4)</f>
        <v/>
      </c>
      <c r="K610" t="str">
        <f>IF(Ramen_Ratings[[#This Row],[Top Ten]]="", "",RIGHT(Ramen_Ratings[[#This Row],[Top Ten]],LEN(Ramen_Ratings[[#This Row],[Top Ten]])-6))</f>
        <v/>
      </c>
    </row>
    <row r="611" spans="1:11" x14ac:dyDescent="0.25">
      <c r="A611">
        <v>865</v>
      </c>
      <c r="B611" t="s">
        <v>255</v>
      </c>
      <c r="C611" t="s">
        <v>2015</v>
      </c>
      <c r="D611" t="s">
        <v>9</v>
      </c>
      <c r="E611" t="s">
        <v>38</v>
      </c>
      <c r="F611" t="str">
        <f>VLOOKUP(Ramen_Ratings[[#This Row],[Country]],Country_Region[#All],2,FALSE)</f>
        <v>Asia</v>
      </c>
      <c r="G611">
        <v>3</v>
      </c>
      <c r="H611" t="str" cm="1">
        <f t="array" ref="H611">_xlfn.IFS(Ramen_Ratings[[#This Row],[Stars]] = "Unrated", "NA",Ramen_Ratings[[#This Row],[Stars]]&gt;=4, "Good", Ramen_Ratings[[#This Row],[Stars]]&gt;2.5, "Fair", Ramen_Ratings[[#This Row],[Stars]] &gt;= 0, "Bad")</f>
        <v>Fair</v>
      </c>
      <c r="J611" t="str">
        <f>LEFT(Ramen_Ratings[[#This Row],[Top Ten]],4)</f>
        <v/>
      </c>
      <c r="K611" t="str">
        <f>IF(Ramen_Ratings[[#This Row],[Top Ten]]="", "",RIGHT(Ramen_Ratings[[#This Row],[Top Ten]],LEN(Ramen_Ratings[[#This Row],[Top Ten]])-6))</f>
        <v/>
      </c>
    </row>
    <row r="612" spans="1:11" x14ac:dyDescent="0.25">
      <c r="A612">
        <v>856</v>
      </c>
      <c r="B612" t="s">
        <v>255</v>
      </c>
      <c r="C612" t="s">
        <v>2024</v>
      </c>
      <c r="D612" t="s">
        <v>44</v>
      </c>
      <c r="E612" t="s">
        <v>38</v>
      </c>
      <c r="F612" t="str">
        <f>VLOOKUP(Ramen_Ratings[[#This Row],[Country]],Country_Region[#All],2,FALSE)</f>
        <v>Asia</v>
      </c>
      <c r="G612">
        <v>4.75</v>
      </c>
      <c r="H612" t="str" cm="1">
        <f t="array" ref="H612">_xlfn.IFS(Ramen_Ratings[[#This Row],[Stars]] = "Unrated", "NA",Ramen_Ratings[[#This Row],[Stars]]&gt;=4, "Good", Ramen_Ratings[[#This Row],[Stars]]&gt;2.5, "Fair", Ramen_Ratings[[#This Row],[Stars]] &gt;= 0, "Bad")</f>
        <v>Good</v>
      </c>
      <c r="J612" t="str">
        <f>LEFT(Ramen_Ratings[[#This Row],[Top Ten]],4)</f>
        <v/>
      </c>
      <c r="K612" t="str">
        <f>IF(Ramen_Ratings[[#This Row],[Top Ten]]="", "",RIGHT(Ramen_Ratings[[#This Row],[Top Ten]],LEN(Ramen_Ratings[[#This Row],[Top Ten]])-6))</f>
        <v/>
      </c>
    </row>
    <row r="613" spans="1:11" x14ac:dyDescent="0.25">
      <c r="A613">
        <v>833</v>
      </c>
      <c r="B613" t="s">
        <v>322</v>
      </c>
      <c r="C613" t="s">
        <v>2048</v>
      </c>
      <c r="D613" t="s">
        <v>13</v>
      </c>
      <c r="E613" t="s">
        <v>38</v>
      </c>
      <c r="F613" t="str">
        <f>VLOOKUP(Ramen_Ratings[[#This Row],[Country]],Country_Region[#All],2,FALSE)</f>
        <v>Asia</v>
      </c>
      <c r="G613">
        <v>3.5</v>
      </c>
      <c r="H613" t="str" cm="1">
        <f t="array" ref="H613">_xlfn.IFS(Ramen_Ratings[[#This Row],[Stars]] = "Unrated", "NA",Ramen_Ratings[[#This Row],[Stars]]&gt;=4, "Good", Ramen_Ratings[[#This Row],[Stars]]&gt;2.5, "Fair", Ramen_Ratings[[#This Row],[Stars]] &gt;= 0, "Bad")</f>
        <v>Fair</v>
      </c>
      <c r="J613" t="str">
        <f>LEFT(Ramen_Ratings[[#This Row],[Top Ten]],4)</f>
        <v/>
      </c>
      <c r="K613" t="str">
        <f>IF(Ramen_Ratings[[#This Row],[Top Ten]]="", "",RIGHT(Ramen_Ratings[[#This Row],[Top Ten]],LEN(Ramen_Ratings[[#This Row],[Top Ten]])-6))</f>
        <v/>
      </c>
    </row>
    <row r="614" spans="1:11" x14ac:dyDescent="0.25">
      <c r="A614">
        <v>820</v>
      </c>
      <c r="B614" t="s">
        <v>1946</v>
      </c>
      <c r="C614" t="s">
        <v>2062</v>
      </c>
      <c r="D614" t="s">
        <v>44</v>
      </c>
      <c r="E614" t="s">
        <v>38</v>
      </c>
      <c r="F614" t="str">
        <f>VLOOKUP(Ramen_Ratings[[#This Row],[Country]],Country_Region[#All],2,FALSE)</f>
        <v>Asia</v>
      </c>
      <c r="G614">
        <v>3.75</v>
      </c>
      <c r="H614" t="str" cm="1">
        <f t="array" ref="H614">_xlfn.IFS(Ramen_Ratings[[#This Row],[Stars]] = "Unrated", "NA",Ramen_Ratings[[#This Row],[Stars]]&gt;=4, "Good", Ramen_Ratings[[#This Row],[Stars]]&gt;2.5, "Fair", Ramen_Ratings[[#This Row],[Stars]] &gt;= 0, "Bad")</f>
        <v>Fair</v>
      </c>
      <c r="J614" t="str">
        <f>LEFT(Ramen_Ratings[[#This Row],[Top Ten]],4)</f>
        <v/>
      </c>
      <c r="K614" t="str">
        <f>IF(Ramen_Ratings[[#This Row],[Top Ten]]="", "",RIGHT(Ramen_Ratings[[#This Row],[Top Ten]],LEN(Ramen_Ratings[[#This Row],[Top Ten]])-6))</f>
        <v/>
      </c>
    </row>
    <row r="615" spans="1:11" x14ac:dyDescent="0.25">
      <c r="A615">
        <v>808</v>
      </c>
      <c r="B615" t="s">
        <v>2073</v>
      </c>
      <c r="C615" t="s">
        <v>2074</v>
      </c>
      <c r="D615" t="s">
        <v>44</v>
      </c>
      <c r="E615" t="s">
        <v>38</v>
      </c>
      <c r="F615" t="str">
        <f>VLOOKUP(Ramen_Ratings[[#This Row],[Country]],Country_Region[#All],2,FALSE)</f>
        <v>Asia</v>
      </c>
      <c r="G615">
        <v>3.5</v>
      </c>
      <c r="H615" t="str" cm="1">
        <f t="array" ref="H615">_xlfn.IFS(Ramen_Ratings[[#This Row],[Stars]] = "Unrated", "NA",Ramen_Ratings[[#This Row],[Stars]]&gt;=4, "Good", Ramen_Ratings[[#This Row],[Stars]]&gt;2.5, "Fair", Ramen_Ratings[[#This Row],[Stars]] &gt;= 0, "Bad")</f>
        <v>Fair</v>
      </c>
      <c r="J615" t="str">
        <f>LEFT(Ramen_Ratings[[#This Row],[Top Ten]],4)</f>
        <v/>
      </c>
      <c r="K615" t="str">
        <f>IF(Ramen_Ratings[[#This Row],[Top Ten]]="", "",RIGHT(Ramen_Ratings[[#This Row],[Top Ten]],LEN(Ramen_Ratings[[#This Row],[Top Ten]])-6))</f>
        <v/>
      </c>
    </row>
    <row r="616" spans="1:11" x14ac:dyDescent="0.25">
      <c r="A616">
        <v>804</v>
      </c>
      <c r="B616" t="s">
        <v>255</v>
      </c>
      <c r="C616" t="s">
        <v>2079</v>
      </c>
      <c r="D616" t="s">
        <v>9</v>
      </c>
      <c r="E616" t="s">
        <v>38</v>
      </c>
      <c r="F616" t="str">
        <f>VLOOKUP(Ramen_Ratings[[#This Row],[Country]],Country_Region[#All],2,FALSE)</f>
        <v>Asia</v>
      </c>
      <c r="G616">
        <v>1.75</v>
      </c>
      <c r="H616" t="str" cm="1">
        <f t="array" ref="H616">_xlfn.IFS(Ramen_Ratings[[#This Row],[Stars]] = "Unrated", "NA",Ramen_Ratings[[#This Row],[Stars]]&gt;=4, "Good", Ramen_Ratings[[#This Row],[Stars]]&gt;2.5, "Fair", Ramen_Ratings[[#This Row],[Stars]] &gt;= 0, "Bad")</f>
        <v>Bad</v>
      </c>
      <c r="J616" t="str">
        <f>LEFT(Ramen_Ratings[[#This Row],[Top Ten]],4)</f>
        <v/>
      </c>
      <c r="K616" t="str">
        <f>IF(Ramen_Ratings[[#This Row],[Top Ten]]="", "",RIGHT(Ramen_Ratings[[#This Row],[Top Ten]],LEN(Ramen_Ratings[[#This Row],[Top Ten]])-6))</f>
        <v/>
      </c>
    </row>
    <row r="617" spans="1:11" x14ac:dyDescent="0.25">
      <c r="A617">
        <v>790</v>
      </c>
      <c r="B617" t="s">
        <v>2094</v>
      </c>
      <c r="C617" t="s">
        <v>2095</v>
      </c>
      <c r="D617" t="s">
        <v>13</v>
      </c>
      <c r="E617" t="s">
        <v>38</v>
      </c>
      <c r="F617" t="str">
        <f>VLOOKUP(Ramen_Ratings[[#This Row],[Country]],Country_Region[#All],2,FALSE)</f>
        <v>Asia</v>
      </c>
      <c r="G617">
        <v>1.5</v>
      </c>
      <c r="H617" t="str" cm="1">
        <f t="array" ref="H617">_xlfn.IFS(Ramen_Ratings[[#This Row],[Stars]] = "Unrated", "NA",Ramen_Ratings[[#This Row],[Stars]]&gt;=4, "Good", Ramen_Ratings[[#This Row],[Stars]]&gt;2.5, "Fair", Ramen_Ratings[[#This Row],[Stars]] &gt;= 0, "Bad")</f>
        <v>Bad</v>
      </c>
      <c r="J617" t="str">
        <f>LEFT(Ramen_Ratings[[#This Row],[Top Ten]],4)</f>
        <v/>
      </c>
      <c r="K617" t="str">
        <f>IF(Ramen_Ratings[[#This Row],[Top Ten]]="", "",RIGHT(Ramen_Ratings[[#This Row],[Top Ten]],LEN(Ramen_Ratings[[#This Row],[Top Ten]])-6))</f>
        <v/>
      </c>
    </row>
    <row r="618" spans="1:11" x14ac:dyDescent="0.25">
      <c r="A618">
        <v>773</v>
      </c>
      <c r="B618" t="s">
        <v>255</v>
      </c>
      <c r="C618" t="s">
        <v>2111</v>
      </c>
      <c r="D618" t="s">
        <v>44</v>
      </c>
      <c r="E618" t="s">
        <v>38</v>
      </c>
      <c r="F618" t="str">
        <f>VLOOKUP(Ramen_Ratings[[#This Row],[Country]],Country_Region[#All],2,FALSE)</f>
        <v>Asia</v>
      </c>
      <c r="G618">
        <v>3.5</v>
      </c>
      <c r="H618" t="str" cm="1">
        <f t="array" ref="H618">_xlfn.IFS(Ramen_Ratings[[#This Row],[Stars]] = "Unrated", "NA",Ramen_Ratings[[#This Row],[Stars]]&gt;=4, "Good", Ramen_Ratings[[#This Row],[Stars]]&gt;2.5, "Fair", Ramen_Ratings[[#This Row],[Stars]] &gt;= 0, "Bad")</f>
        <v>Fair</v>
      </c>
      <c r="J618" t="str">
        <f>LEFT(Ramen_Ratings[[#This Row],[Top Ten]],4)</f>
        <v/>
      </c>
      <c r="K618" t="str">
        <f>IF(Ramen_Ratings[[#This Row],[Top Ten]]="", "",RIGHT(Ramen_Ratings[[#This Row],[Top Ten]],LEN(Ramen_Ratings[[#This Row],[Top Ten]])-6))</f>
        <v/>
      </c>
    </row>
    <row r="619" spans="1:11" x14ac:dyDescent="0.25">
      <c r="A619">
        <v>768</v>
      </c>
      <c r="B619" t="s">
        <v>2116</v>
      </c>
      <c r="C619" t="s">
        <v>2107</v>
      </c>
      <c r="D619" t="s">
        <v>44</v>
      </c>
      <c r="E619" t="s">
        <v>38</v>
      </c>
      <c r="F619" t="str">
        <f>VLOOKUP(Ramen_Ratings[[#This Row],[Country]],Country_Region[#All],2,FALSE)</f>
        <v>Asia</v>
      </c>
      <c r="G619">
        <v>0.25</v>
      </c>
      <c r="H619" t="str" cm="1">
        <f t="array" ref="H619">_xlfn.IFS(Ramen_Ratings[[#This Row],[Stars]] = "Unrated", "NA",Ramen_Ratings[[#This Row],[Stars]]&gt;=4, "Good", Ramen_Ratings[[#This Row],[Stars]]&gt;2.5, "Fair", Ramen_Ratings[[#This Row],[Stars]] &gt;= 0, "Bad")</f>
        <v>Bad</v>
      </c>
      <c r="J619" t="str">
        <f>LEFT(Ramen_Ratings[[#This Row],[Top Ten]],4)</f>
        <v/>
      </c>
      <c r="K619" t="str">
        <f>IF(Ramen_Ratings[[#This Row],[Top Ten]]="", "",RIGHT(Ramen_Ratings[[#This Row],[Top Ten]],LEN(Ramen_Ratings[[#This Row],[Top Ten]])-6))</f>
        <v/>
      </c>
    </row>
    <row r="620" spans="1:11" x14ac:dyDescent="0.25">
      <c r="A620">
        <v>767</v>
      </c>
      <c r="B620" t="s">
        <v>2116</v>
      </c>
      <c r="C620" t="s">
        <v>2024</v>
      </c>
      <c r="D620" t="s">
        <v>44</v>
      </c>
      <c r="E620" t="s">
        <v>38</v>
      </c>
      <c r="F620" t="str">
        <f>VLOOKUP(Ramen_Ratings[[#This Row],[Country]],Country_Region[#All],2,FALSE)</f>
        <v>Asia</v>
      </c>
      <c r="G620">
        <v>1.75</v>
      </c>
      <c r="H620" t="str" cm="1">
        <f t="array" ref="H620">_xlfn.IFS(Ramen_Ratings[[#This Row],[Stars]] = "Unrated", "NA",Ramen_Ratings[[#This Row],[Stars]]&gt;=4, "Good", Ramen_Ratings[[#This Row],[Stars]]&gt;2.5, "Fair", Ramen_Ratings[[#This Row],[Stars]] &gt;= 0, "Bad")</f>
        <v>Bad</v>
      </c>
      <c r="J620" t="str">
        <f>LEFT(Ramen_Ratings[[#This Row],[Top Ten]],4)</f>
        <v/>
      </c>
      <c r="K620" t="str">
        <f>IF(Ramen_Ratings[[#This Row],[Top Ten]]="", "",RIGHT(Ramen_Ratings[[#This Row],[Top Ten]],LEN(Ramen_Ratings[[#This Row],[Top Ten]])-6))</f>
        <v/>
      </c>
    </row>
    <row r="621" spans="1:11" x14ac:dyDescent="0.25">
      <c r="A621">
        <v>766</v>
      </c>
      <c r="B621" t="s">
        <v>2116</v>
      </c>
      <c r="C621" t="s">
        <v>2117</v>
      </c>
      <c r="D621" t="s">
        <v>44</v>
      </c>
      <c r="E621" t="s">
        <v>38</v>
      </c>
      <c r="F621" t="str">
        <f>VLOOKUP(Ramen_Ratings[[#This Row],[Country]],Country_Region[#All],2,FALSE)</f>
        <v>Asia</v>
      </c>
      <c r="G621">
        <v>3.75</v>
      </c>
      <c r="H621" t="str" cm="1">
        <f t="array" ref="H621">_xlfn.IFS(Ramen_Ratings[[#This Row],[Stars]] = "Unrated", "NA",Ramen_Ratings[[#This Row],[Stars]]&gt;=4, "Good", Ramen_Ratings[[#This Row],[Stars]]&gt;2.5, "Fair", Ramen_Ratings[[#This Row],[Stars]] &gt;= 0, "Bad")</f>
        <v>Fair</v>
      </c>
      <c r="J621" t="str">
        <f>LEFT(Ramen_Ratings[[#This Row],[Top Ten]],4)</f>
        <v/>
      </c>
      <c r="K621" t="str">
        <f>IF(Ramen_Ratings[[#This Row],[Top Ten]]="", "",RIGHT(Ramen_Ratings[[#This Row],[Top Ten]],LEN(Ramen_Ratings[[#This Row],[Top Ten]])-6))</f>
        <v/>
      </c>
    </row>
    <row r="622" spans="1:11" x14ac:dyDescent="0.25">
      <c r="A622">
        <v>707</v>
      </c>
      <c r="B622" t="s">
        <v>2181</v>
      </c>
      <c r="C622" t="s">
        <v>2182</v>
      </c>
      <c r="D622" t="s">
        <v>44</v>
      </c>
      <c r="E622" t="s">
        <v>38</v>
      </c>
      <c r="F622" t="str">
        <f>VLOOKUP(Ramen_Ratings[[#This Row],[Country]],Country_Region[#All],2,FALSE)</f>
        <v>Asia</v>
      </c>
      <c r="G622">
        <v>3.25</v>
      </c>
      <c r="H622" t="str" cm="1">
        <f t="array" ref="H622">_xlfn.IFS(Ramen_Ratings[[#This Row],[Stars]] = "Unrated", "NA",Ramen_Ratings[[#This Row],[Stars]]&gt;=4, "Good", Ramen_Ratings[[#This Row],[Stars]]&gt;2.5, "Fair", Ramen_Ratings[[#This Row],[Stars]] &gt;= 0, "Bad")</f>
        <v>Fair</v>
      </c>
      <c r="J622" t="str">
        <f>LEFT(Ramen_Ratings[[#This Row],[Top Ten]],4)</f>
        <v/>
      </c>
      <c r="K622" t="str">
        <f>IF(Ramen_Ratings[[#This Row],[Top Ten]]="", "",RIGHT(Ramen_Ratings[[#This Row],[Top Ten]],LEN(Ramen_Ratings[[#This Row],[Top Ten]])-6))</f>
        <v/>
      </c>
    </row>
    <row r="623" spans="1:11" x14ac:dyDescent="0.25">
      <c r="A623">
        <v>689</v>
      </c>
      <c r="B623" t="s">
        <v>2181</v>
      </c>
      <c r="C623" t="s">
        <v>2202</v>
      </c>
      <c r="D623" t="s">
        <v>44</v>
      </c>
      <c r="E623" t="s">
        <v>38</v>
      </c>
      <c r="F623" t="str">
        <f>VLOOKUP(Ramen_Ratings[[#This Row],[Country]],Country_Region[#All],2,FALSE)</f>
        <v>Asia</v>
      </c>
      <c r="G623">
        <v>2.5</v>
      </c>
      <c r="H623" t="str" cm="1">
        <f t="array" ref="H623">_xlfn.IFS(Ramen_Ratings[[#This Row],[Stars]] = "Unrated", "NA",Ramen_Ratings[[#This Row],[Stars]]&gt;=4, "Good", Ramen_Ratings[[#This Row],[Stars]]&gt;2.5, "Fair", Ramen_Ratings[[#This Row],[Stars]] &gt;= 0, "Bad")</f>
        <v>Bad</v>
      </c>
      <c r="J623" t="str">
        <f>LEFT(Ramen_Ratings[[#This Row],[Top Ten]],4)</f>
        <v/>
      </c>
      <c r="K623" t="str">
        <f>IF(Ramen_Ratings[[#This Row],[Top Ten]]="", "",RIGHT(Ramen_Ratings[[#This Row],[Top Ten]],LEN(Ramen_Ratings[[#This Row],[Top Ten]])-6))</f>
        <v/>
      </c>
    </row>
    <row r="624" spans="1:11" x14ac:dyDescent="0.25">
      <c r="A624">
        <v>665</v>
      </c>
      <c r="B624" t="s">
        <v>897</v>
      </c>
      <c r="C624" t="s">
        <v>2225</v>
      </c>
      <c r="D624" t="s">
        <v>13</v>
      </c>
      <c r="E624" t="s">
        <v>38</v>
      </c>
      <c r="F624" t="str">
        <f>VLOOKUP(Ramen_Ratings[[#This Row],[Country]],Country_Region[#All],2,FALSE)</f>
        <v>Asia</v>
      </c>
      <c r="G624">
        <v>3.25</v>
      </c>
      <c r="H624" t="str" cm="1">
        <f t="array" ref="H624">_xlfn.IFS(Ramen_Ratings[[#This Row],[Stars]] = "Unrated", "NA",Ramen_Ratings[[#This Row],[Stars]]&gt;=4, "Good", Ramen_Ratings[[#This Row],[Stars]]&gt;2.5, "Fair", Ramen_Ratings[[#This Row],[Stars]] &gt;= 0, "Bad")</f>
        <v>Fair</v>
      </c>
      <c r="J624" t="str">
        <f>LEFT(Ramen_Ratings[[#This Row],[Top Ten]],4)</f>
        <v/>
      </c>
      <c r="K624" t="str">
        <f>IF(Ramen_Ratings[[#This Row],[Top Ten]]="", "",RIGHT(Ramen_Ratings[[#This Row],[Top Ten]],LEN(Ramen_Ratings[[#This Row],[Top Ten]])-6))</f>
        <v/>
      </c>
    </row>
    <row r="625" spans="1:11" x14ac:dyDescent="0.25">
      <c r="A625">
        <v>654</v>
      </c>
      <c r="B625" t="s">
        <v>2181</v>
      </c>
      <c r="C625" t="s">
        <v>2237</v>
      </c>
      <c r="D625" t="s">
        <v>44</v>
      </c>
      <c r="E625" t="s">
        <v>38</v>
      </c>
      <c r="F625" t="str">
        <f>VLOOKUP(Ramen_Ratings[[#This Row],[Country]],Country_Region[#All],2,FALSE)</f>
        <v>Asia</v>
      </c>
      <c r="G625">
        <v>3.25</v>
      </c>
      <c r="H625" t="str" cm="1">
        <f t="array" ref="H625">_xlfn.IFS(Ramen_Ratings[[#This Row],[Stars]] = "Unrated", "NA",Ramen_Ratings[[#This Row],[Stars]]&gt;=4, "Good", Ramen_Ratings[[#This Row],[Stars]]&gt;2.5, "Fair", Ramen_Ratings[[#This Row],[Stars]] &gt;= 0, "Bad")</f>
        <v>Fair</v>
      </c>
      <c r="J625" t="str">
        <f>LEFT(Ramen_Ratings[[#This Row],[Top Ten]],4)</f>
        <v/>
      </c>
      <c r="K625" t="str">
        <f>IF(Ramen_Ratings[[#This Row],[Top Ten]]="", "",RIGHT(Ramen_Ratings[[#This Row],[Top Ten]],LEN(Ramen_Ratings[[#This Row],[Top Ten]])-6))</f>
        <v/>
      </c>
    </row>
    <row r="626" spans="1:11" x14ac:dyDescent="0.25">
      <c r="A626">
        <v>647</v>
      </c>
      <c r="B626" t="s">
        <v>1946</v>
      </c>
      <c r="C626" t="s">
        <v>2243</v>
      </c>
      <c r="D626" t="s">
        <v>44</v>
      </c>
      <c r="E626" t="s">
        <v>38</v>
      </c>
      <c r="F626" t="str">
        <f>VLOOKUP(Ramen_Ratings[[#This Row],[Country]],Country_Region[#All],2,FALSE)</f>
        <v>Asia</v>
      </c>
      <c r="G626">
        <v>3.5</v>
      </c>
      <c r="H626" t="str" cm="1">
        <f t="array" ref="H626">_xlfn.IFS(Ramen_Ratings[[#This Row],[Stars]] = "Unrated", "NA",Ramen_Ratings[[#This Row],[Stars]]&gt;=4, "Good", Ramen_Ratings[[#This Row],[Stars]]&gt;2.5, "Fair", Ramen_Ratings[[#This Row],[Stars]] &gt;= 0, "Bad")</f>
        <v>Fair</v>
      </c>
      <c r="J626" t="str">
        <f>LEFT(Ramen_Ratings[[#This Row],[Top Ten]],4)</f>
        <v/>
      </c>
      <c r="K626" t="str">
        <f>IF(Ramen_Ratings[[#This Row],[Top Ten]]="", "",RIGHT(Ramen_Ratings[[#This Row],[Top Ten]],LEN(Ramen_Ratings[[#This Row],[Top Ten]])-6))</f>
        <v/>
      </c>
    </row>
    <row r="627" spans="1:11" x14ac:dyDescent="0.25">
      <c r="A627">
        <v>642</v>
      </c>
      <c r="B627" t="s">
        <v>255</v>
      </c>
      <c r="C627" t="s">
        <v>1755</v>
      </c>
      <c r="D627" t="s">
        <v>9</v>
      </c>
      <c r="E627" t="s">
        <v>38</v>
      </c>
      <c r="F627" t="str">
        <f>VLOOKUP(Ramen_Ratings[[#This Row],[Country]],Country_Region[#All],2,FALSE)</f>
        <v>Asia</v>
      </c>
      <c r="G627">
        <v>2.75</v>
      </c>
      <c r="H627" t="str" cm="1">
        <f t="array" ref="H627">_xlfn.IFS(Ramen_Ratings[[#This Row],[Stars]] = "Unrated", "NA",Ramen_Ratings[[#This Row],[Stars]]&gt;=4, "Good", Ramen_Ratings[[#This Row],[Stars]]&gt;2.5, "Fair", Ramen_Ratings[[#This Row],[Stars]] &gt;= 0, "Bad")</f>
        <v>Fair</v>
      </c>
      <c r="J627" t="str">
        <f>LEFT(Ramen_Ratings[[#This Row],[Top Ten]],4)</f>
        <v/>
      </c>
      <c r="K627" t="str">
        <f>IF(Ramen_Ratings[[#This Row],[Top Ten]]="", "",RIGHT(Ramen_Ratings[[#This Row],[Top Ten]],LEN(Ramen_Ratings[[#This Row],[Top Ten]])-6))</f>
        <v/>
      </c>
    </row>
    <row r="628" spans="1:11" x14ac:dyDescent="0.25">
      <c r="A628">
        <v>638</v>
      </c>
      <c r="B628" t="s">
        <v>2094</v>
      </c>
      <c r="C628" t="s">
        <v>397</v>
      </c>
      <c r="D628" t="s">
        <v>13</v>
      </c>
      <c r="E628" t="s">
        <v>38</v>
      </c>
      <c r="F628" t="str">
        <f>VLOOKUP(Ramen_Ratings[[#This Row],[Country]],Country_Region[#All],2,FALSE)</f>
        <v>Asia</v>
      </c>
      <c r="G628">
        <v>3</v>
      </c>
      <c r="H628" t="str" cm="1">
        <f t="array" ref="H628">_xlfn.IFS(Ramen_Ratings[[#This Row],[Stars]] = "Unrated", "NA",Ramen_Ratings[[#This Row],[Stars]]&gt;=4, "Good", Ramen_Ratings[[#This Row],[Stars]]&gt;2.5, "Fair", Ramen_Ratings[[#This Row],[Stars]] &gt;= 0, "Bad")</f>
        <v>Fair</v>
      </c>
      <c r="J628" t="str">
        <f>LEFT(Ramen_Ratings[[#This Row],[Top Ten]],4)</f>
        <v/>
      </c>
      <c r="K628" t="str">
        <f>IF(Ramen_Ratings[[#This Row],[Top Ten]]="", "",RIGHT(Ramen_Ratings[[#This Row],[Top Ten]],LEN(Ramen_Ratings[[#This Row],[Top Ten]])-6))</f>
        <v/>
      </c>
    </row>
    <row r="629" spans="1:11" x14ac:dyDescent="0.25">
      <c r="A629">
        <v>631</v>
      </c>
      <c r="B629" t="s">
        <v>2116</v>
      </c>
      <c r="C629" t="s">
        <v>2259</v>
      </c>
      <c r="D629" t="s">
        <v>44</v>
      </c>
      <c r="E629" t="s">
        <v>38</v>
      </c>
      <c r="F629" t="str">
        <f>VLOOKUP(Ramen_Ratings[[#This Row],[Country]],Country_Region[#All],2,FALSE)</f>
        <v>Asia</v>
      </c>
      <c r="G629">
        <v>1.25</v>
      </c>
      <c r="H629" t="str" cm="1">
        <f t="array" ref="H629">_xlfn.IFS(Ramen_Ratings[[#This Row],[Stars]] = "Unrated", "NA",Ramen_Ratings[[#This Row],[Stars]]&gt;=4, "Good", Ramen_Ratings[[#This Row],[Stars]]&gt;2.5, "Fair", Ramen_Ratings[[#This Row],[Stars]] &gt;= 0, "Bad")</f>
        <v>Bad</v>
      </c>
      <c r="J629" t="str">
        <f>LEFT(Ramen_Ratings[[#This Row],[Top Ten]],4)</f>
        <v/>
      </c>
      <c r="K629" t="str">
        <f>IF(Ramen_Ratings[[#This Row],[Top Ten]]="", "",RIGHT(Ramen_Ratings[[#This Row],[Top Ten]],LEN(Ramen_Ratings[[#This Row],[Top Ten]])-6))</f>
        <v/>
      </c>
    </row>
    <row r="630" spans="1:11" x14ac:dyDescent="0.25">
      <c r="A630">
        <v>605</v>
      </c>
      <c r="B630" t="s">
        <v>255</v>
      </c>
      <c r="C630" t="s">
        <v>2289</v>
      </c>
      <c r="D630" t="s">
        <v>9</v>
      </c>
      <c r="E630" t="s">
        <v>38</v>
      </c>
      <c r="F630" t="str">
        <f>VLOOKUP(Ramen_Ratings[[#This Row],[Country]],Country_Region[#All],2,FALSE)</f>
        <v>Asia</v>
      </c>
      <c r="G630">
        <v>3.5</v>
      </c>
      <c r="H630" t="str" cm="1">
        <f t="array" ref="H630">_xlfn.IFS(Ramen_Ratings[[#This Row],[Stars]] = "Unrated", "NA",Ramen_Ratings[[#This Row],[Stars]]&gt;=4, "Good", Ramen_Ratings[[#This Row],[Stars]]&gt;2.5, "Fair", Ramen_Ratings[[#This Row],[Stars]] &gt;= 0, "Bad")</f>
        <v>Fair</v>
      </c>
      <c r="J630" t="str">
        <f>LEFT(Ramen_Ratings[[#This Row],[Top Ten]],4)</f>
        <v/>
      </c>
      <c r="K630" t="str">
        <f>IF(Ramen_Ratings[[#This Row],[Top Ten]]="", "",RIGHT(Ramen_Ratings[[#This Row],[Top Ten]],LEN(Ramen_Ratings[[#This Row],[Top Ten]])-6))</f>
        <v/>
      </c>
    </row>
    <row r="631" spans="1:11" x14ac:dyDescent="0.25">
      <c r="A631">
        <v>598</v>
      </c>
      <c r="B631" t="s">
        <v>255</v>
      </c>
      <c r="C631" t="s">
        <v>2048</v>
      </c>
      <c r="D631" t="s">
        <v>9</v>
      </c>
      <c r="E631" t="s">
        <v>38</v>
      </c>
      <c r="F631" t="str">
        <f>VLOOKUP(Ramen_Ratings[[#This Row],[Country]],Country_Region[#All],2,FALSE)</f>
        <v>Asia</v>
      </c>
      <c r="G631">
        <v>3.25</v>
      </c>
      <c r="H631" t="str" cm="1">
        <f t="array" ref="H631">_xlfn.IFS(Ramen_Ratings[[#This Row],[Stars]] = "Unrated", "NA",Ramen_Ratings[[#This Row],[Stars]]&gt;=4, "Good", Ramen_Ratings[[#This Row],[Stars]]&gt;2.5, "Fair", Ramen_Ratings[[#This Row],[Stars]] &gt;= 0, "Bad")</f>
        <v>Fair</v>
      </c>
      <c r="J631" t="str">
        <f>LEFT(Ramen_Ratings[[#This Row],[Top Ten]],4)</f>
        <v/>
      </c>
      <c r="K631" t="str">
        <f>IF(Ramen_Ratings[[#This Row],[Top Ten]]="", "",RIGHT(Ramen_Ratings[[#This Row],[Top Ten]],LEN(Ramen_Ratings[[#This Row],[Top Ten]])-6))</f>
        <v/>
      </c>
    </row>
    <row r="632" spans="1:11" x14ac:dyDescent="0.25">
      <c r="A632">
        <v>590</v>
      </c>
      <c r="B632" t="s">
        <v>897</v>
      </c>
      <c r="C632" t="s">
        <v>2304</v>
      </c>
      <c r="D632" t="s">
        <v>44</v>
      </c>
      <c r="E632" t="s">
        <v>38</v>
      </c>
      <c r="F632" t="str">
        <f>VLOOKUP(Ramen_Ratings[[#This Row],[Country]],Country_Region[#All],2,FALSE)</f>
        <v>Asia</v>
      </c>
      <c r="G632">
        <v>3.5</v>
      </c>
      <c r="H632" t="str" cm="1">
        <f t="array" ref="H632">_xlfn.IFS(Ramen_Ratings[[#This Row],[Stars]] = "Unrated", "NA",Ramen_Ratings[[#This Row],[Stars]]&gt;=4, "Good", Ramen_Ratings[[#This Row],[Stars]]&gt;2.5, "Fair", Ramen_Ratings[[#This Row],[Stars]] &gt;= 0, "Bad")</f>
        <v>Fair</v>
      </c>
      <c r="J632" t="str">
        <f>LEFT(Ramen_Ratings[[#This Row],[Top Ten]],4)</f>
        <v/>
      </c>
      <c r="K632" t="str">
        <f>IF(Ramen_Ratings[[#This Row],[Top Ten]]="", "",RIGHT(Ramen_Ratings[[#This Row],[Top Ten]],LEN(Ramen_Ratings[[#This Row],[Top Ten]])-6))</f>
        <v/>
      </c>
    </row>
    <row r="633" spans="1:11" x14ac:dyDescent="0.25">
      <c r="A633">
        <v>563</v>
      </c>
      <c r="B633" t="s">
        <v>894</v>
      </c>
      <c r="C633" t="s">
        <v>2332</v>
      </c>
      <c r="D633" t="s">
        <v>13</v>
      </c>
      <c r="E633" t="s">
        <v>38</v>
      </c>
      <c r="F633" t="str">
        <f>VLOOKUP(Ramen_Ratings[[#This Row],[Country]],Country_Region[#All],2,FALSE)</f>
        <v>Asia</v>
      </c>
      <c r="G633">
        <v>3.25</v>
      </c>
      <c r="H633" t="str" cm="1">
        <f t="array" ref="H633">_xlfn.IFS(Ramen_Ratings[[#This Row],[Stars]] = "Unrated", "NA",Ramen_Ratings[[#This Row],[Stars]]&gt;=4, "Good", Ramen_Ratings[[#This Row],[Stars]]&gt;2.5, "Fair", Ramen_Ratings[[#This Row],[Stars]] &gt;= 0, "Bad")</f>
        <v>Fair</v>
      </c>
      <c r="J633" t="str">
        <f>LEFT(Ramen_Ratings[[#This Row],[Top Ten]],4)</f>
        <v/>
      </c>
      <c r="K633" t="str">
        <f>IF(Ramen_Ratings[[#This Row],[Top Ten]]="", "",RIGHT(Ramen_Ratings[[#This Row],[Top Ten]],LEN(Ramen_Ratings[[#This Row],[Top Ten]])-6))</f>
        <v/>
      </c>
    </row>
    <row r="634" spans="1:11" x14ac:dyDescent="0.25">
      <c r="A634">
        <v>559</v>
      </c>
      <c r="B634" t="s">
        <v>322</v>
      </c>
      <c r="C634" t="s">
        <v>2336</v>
      </c>
      <c r="D634" t="s">
        <v>9</v>
      </c>
      <c r="E634" t="s">
        <v>38</v>
      </c>
      <c r="F634" t="str">
        <f>VLOOKUP(Ramen_Ratings[[#This Row],[Country]],Country_Region[#All],2,FALSE)</f>
        <v>Asia</v>
      </c>
      <c r="G634">
        <v>3</v>
      </c>
      <c r="H634" t="str" cm="1">
        <f t="array" ref="H634">_xlfn.IFS(Ramen_Ratings[[#This Row],[Stars]] = "Unrated", "NA",Ramen_Ratings[[#This Row],[Stars]]&gt;=4, "Good", Ramen_Ratings[[#This Row],[Stars]]&gt;2.5, "Fair", Ramen_Ratings[[#This Row],[Stars]] &gt;= 0, "Bad")</f>
        <v>Fair</v>
      </c>
      <c r="J634" t="str">
        <f>LEFT(Ramen_Ratings[[#This Row],[Top Ten]],4)</f>
        <v/>
      </c>
      <c r="K634" t="str">
        <f>IF(Ramen_Ratings[[#This Row],[Top Ten]]="", "",RIGHT(Ramen_Ratings[[#This Row],[Top Ten]],LEN(Ramen_Ratings[[#This Row],[Top Ten]])-6))</f>
        <v/>
      </c>
    </row>
    <row r="635" spans="1:11" x14ac:dyDescent="0.25">
      <c r="A635">
        <v>554</v>
      </c>
      <c r="B635" t="s">
        <v>894</v>
      </c>
      <c r="C635" t="s">
        <v>2341</v>
      </c>
      <c r="D635" t="s">
        <v>13</v>
      </c>
      <c r="E635" t="s">
        <v>38</v>
      </c>
      <c r="F635" t="str">
        <f>VLOOKUP(Ramen_Ratings[[#This Row],[Country]],Country_Region[#All],2,FALSE)</f>
        <v>Asia</v>
      </c>
      <c r="G635">
        <v>3.5</v>
      </c>
      <c r="H635" t="str" cm="1">
        <f t="array" ref="H635">_xlfn.IFS(Ramen_Ratings[[#This Row],[Stars]] = "Unrated", "NA",Ramen_Ratings[[#This Row],[Stars]]&gt;=4, "Good", Ramen_Ratings[[#This Row],[Stars]]&gt;2.5, "Fair", Ramen_Ratings[[#This Row],[Stars]] &gt;= 0, "Bad")</f>
        <v>Fair</v>
      </c>
      <c r="J635" t="str">
        <f>LEFT(Ramen_Ratings[[#This Row],[Top Ten]],4)</f>
        <v/>
      </c>
      <c r="K635" t="str">
        <f>IF(Ramen_Ratings[[#This Row],[Top Ten]]="", "",RIGHT(Ramen_Ratings[[#This Row],[Top Ten]],LEN(Ramen_Ratings[[#This Row],[Top Ten]])-6))</f>
        <v/>
      </c>
    </row>
    <row r="636" spans="1:11" x14ac:dyDescent="0.25">
      <c r="A636">
        <v>546</v>
      </c>
      <c r="B636" t="s">
        <v>894</v>
      </c>
      <c r="C636" t="s">
        <v>2070</v>
      </c>
      <c r="D636" t="s">
        <v>13</v>
      </c>
      <c r="E636" t="s">
        <v>38</v>
      </c>
      <c r="F636" t="str">
        <f>VLOOKUP(Ramen_Ratings[[#This Row],[Country]],Country_Region[#All],2,FALSE)</f>
        <v>Asia</v>
      </c>
      <c r="G636">
        <v>3.5</v>
      </c>
      <c r="H636" t="str" cm="1">
        <f t="array" ref="H636">_xlfn.IFS(Ramen_Ratings[[#This Row],[Stars]] = "Unrated", "NA",Ramen_Ratings[[#This Row],[Stars]]&gt;=4, "Good", Ramen_Ratings[[#This Row],[Stars]]&gt;2.5, "Fair", Ramen_Ratings[[#This Row],[Stars]] &gt;= 0, "Bad")</f>
        <v>Fair</v>
      </c>
      <c r="J636" t="str">
        <f>LEFT(Ramen_Ratings[[#This Row],[Top Ten]],4)</f>
        <v/>
      </c>
      <c r="K636" t="str">
        <f>IF(Ramen_Ratings[[#This Row],[Top Ten]]="", "",RIGHT(Ramen_Ratings[[#This Row],[Top Ten]],LEN(Ramen_Ratings[[#This Row],[Top Ten]])-6))</f>
        <v/>
      </c>
    </row>
    <row r="637" spans="1:11" x14ac:dyDescent="0.25">
      <c r="A637">
        <v>541</v>
      </c>
      <c r="B637" t="s">
        <v>894</v>
      </c>
      <c r="C637" t="s">
        <v>2084</v>
      </c>
      <c r="D637" t="s">
        <v>13</v>
      </c>
      <c r="E637" t="s">
        <v>38</v>
      </c>
      <c r="F637" t="str">
        <f>VLOOKUP(Ramen_Ratings[[#This Row],[Country]],Country_Region[#All],2,FALSE)</f>
        <v>Asia</v>
      </c>
      <c r="G637">
        <v>3.5</v>
      </c>
      <c r="H637" t="str" cm="1">
        <f t="array" ref="H637">_xlfn.IFS(Ramen_Ratings[[#This Row],[Stars]] = "Unrated", "NA",Ramen_Ratings[[#This Row],[Stars]]&gt;=4, "Good", Ramen_Ratings[[#This Row],[Stars]]&gt;2.5, "Fair", Ramen_Ratings[[#This Row],[Stars]] &gt;= 0, "Bad")</f>
        <v>Fair</v>
      </c>
      <c r="J637" t="str">
        <f>LEFT(Ramen_Ratings[[#This Row],[Top Ten]],4)</f>
        <v/>
      </c>
      <c r="K637" t="str">
        <f>IF(Ramen_Ratings[[#This Row],[Top Ten]]="", "",RIGHT(Ramen_Ratings[[#This Row],[Top Ten]],LEN(Ramen_Ratings[[#This Row],[Top Ten]])-6))</f>
        <v/>
      </c>
    </row>
    <row r="638" spans="1:11" x14ac:dyDescent="0.25">
      <c r="A638">
        <v>537</v>
      </c>
      <c r="B638" t="s">
        <v>897</v>
      </c>
      <c r="C638" t="s">
        <v>2355</v>
      </c>
      <c r="D638" t="s">
        <v>13</v>
      </c>
      <c r="E638" t="s">
        <v>38</v>
      </c>
      <c r="F638" t="str">
        <f>VLOOKUP(Ramen_Ratings[[#This Row],[Country]],Country_Region[#All],2,FALSE)</f>
        <v>Asia</v>
      </c>
      <c r="G638">
        <v>2</v>
      </c>
      <c r="H638" t="str" cm="1">
        <f t="array" ref="H638">_xlfn.IFS(Ramen_Ratings[[#This Row],[Stars]] = "Unrated", "NA",Ramen_Ratings[[#This Row],[Stars]]&gt;=4, "Good", Ramen_Ratings[[#This Row],[Stars]]&gt;2.5, "Fair", Ramen_Ratings[[#This Row],[Stars]] &gt;= 0, "Bad")</f>
        <v>Bad</v>
      </c>
      <c r="J638" t="str">
        <f>LEFT(Ramen_Ratings[[#This Row],[Top Ten]],4)</f>
        <v/>
      </c>
      <c r="K638" t="str">
        <f>IF(Ramen_Ratings[[#This Row],[Top Ten]]="", "",RIGHT(Ramen_Ratings[[#This Row],[Top Ten]],LEN(Ramen_Ratings[[#This Row],[Top Ten]])-6))</f>
        <v/>
      </c>
    </row>
    <row r="639" spans="1:11" x14ac:dyDescent="0.25">
      <c r="A639">
        <v>535</v>
      </c>
      <c r="B639" t="s">
        <v>322</v>
      </c>
      <c r="C639" t="s">
        <v>2357</v>
      </c>
      <c r="D639" t="s">
        <v>13</v>
      </c>
      <c r="E639" t="s">
        <v>38</v>
      </c>
      <c r="F639" t="str">
        <f>VLOOKUP(Ramen_Ratings[[#This Row],[Country]],Country_Region[#All],2,FALSE)</f>
        <v>Asia</v>
      </c>
      <c r="G639">
        <v>0.9</v>
      </c>
      <c r="H639" t="str" cm="1">
        <f t="array" ref="H639">_xlfn.IFS(Ramen_Ratings[[#This Row],[Stars]] = "Unrated", "NA",Ramen_Ratings[[#This Row],[Stars]]&gt;=4, "Good", Ramen_Ratings[[#This Row],[Stars]]&gt;2.5, "Fair", Ramen_Ratings[[#This Row],[Stars]] &gt;= 0, "Bad")</f>
        <v>Bad</v>
      </c>
      <c r="J639" t="str">
        <f>LEFT(Ramen_Ratings[[#This Row],[Top Ten]],4)</f>
        <v/>
      </c>
      <c r="K639" t="str">
        <f>IF(Ramen_Ratings[[#This Row],[Top Ten]]="", "",RIGHT(Ramen_Ratings[[#This Row],[Top Ten]],LEN(Ramen_Ratings[[#This Row],[Top Ten]])-6))</f>
        <v/>
      </c>
    </row>
    <row r="640" spans="1:11" x14ac:dyDescent="0.25">
      <c r="A640">
        <v>534</v>
      </c>
      <c r="B640" t="s">
        <v>897</v>
      </c>
      <c r="C640" t="s">
        <v>2358</v>
      </c>
      <c r="D640" t="s">
        <v>13</v>
      </c>
      <c r="E640" t="s">
        <v>38</v>
      </c>
      <c r="F640" t="str">
        <f>VLOOKUP(Ramen_Ratings[[#This Row],[Country]],Country_Region[#All],2,FALSE)</f>
        <v>Asia</v>
      </c>
      <c r="G640">
        <v>3.1</v>
      </c>
      <c r="H640" t="str" cm="1">
        <f t="array" ref="H640">_xlfn.IFS(Ramen_Ratings[[#This Row],[Stars]] = "Unrated", "NA",Ramen_Ratings[[#This Row],[Stars]]&gt;=4, "Good", Ramen_Ratings[[#This Row],[Stars]]&gt;2.5, "Fair", Ramen_Ratings[[#This Row],[Stars]] &gt;= 0, "Bad")</f>
        <v>Fair</v>
      </c>
      <c r="J640" t="str">
        <f>LEFT(Ramen_Ratings[[#This Row],[Top Ten]],4)</f>
        <v/>
      </c>
      <c r="K640" t="str">
        <f>IF(Ramen_Ratings[[#This Row],[Top Ten]]="", "",RIGHT(Ramen_Ratings[[#This Row],[Top Ten]],LEN(Ramen_Ratings[[#This Row],[Top Ten]])-6))</f>
        <v/>
      </c>
    </row>
    <row r="641" spans="1:11" x14ac:dyDescent="0.25">
      <c r="A641">
        <v>531</v>
      </c>
      <c r="B641" t="s">
        <v>894</v>
      </c>
      <c r="C641" t="s">
        <v>1933</v>
      </c>
      <c r="D641" t="s">
        <v>13</v>
      </c>
      <c r="E641" t="s">
        <v>38</v>
      </c>
      <c r="F641" t="str">
        <f>VLOOKUP(Ramen_Ratings[[#This Row],[Country]],Country_Region[#All],2,FALSE)</f>
        <v>Asia</v>
      </c>
      <c r="G641">
        <v>3.25</v>
      </c>
      <c r="H641" t="str" cm="1">
        <f t="array" ref="H641">_xlfn.IFS(Ramen_Ratings[[#This Row],[Stars]] = "Unrated", "NA",Ramen_Ratings[[#This Row],[Stars]]&gt;=4, "Good", Ramen_Ratings[[#This Row],[Stars]]&gt;2.5, "Fair", Ramen_Ratings[[#This Row],[Stars]] &gt;= 0, "Bad")</f>
        <v>Fair</v>
      </c>
      <c r="J641" t="str">
        <f>LEFT(Ramen_Ratings[[#This Row],[Top Ten]],4)</f>
        <v/>
      </c>
      <c r="K641" t="str">
        <f>IF(Ramen_Ratings[[#This Row],[Top Ten]]="", "",RIGHT(Ramen_Ratings[[#This Row],[Top Ten]],LEN(Ramen_Ratings[[#This Row],[Top Ten]])-6))</f>
        <v/>
      </c>
    </row>
    <row r="642" spans="1:11" x14ac:dyDescent="0.25">
      <c r="A642">
        <v>530</v>
      </c>
      <c r="B642" t="s">
        <v>2181</v>
      </c>
      <c r="C642" t="s">
        <v>2360</v>
      </c>
      <c r="D642" t="s">
        <v>44</v>
      </c>
      <c r="E642" t="s">
        <v>38</v>
      </c>
      <c r="F642" t="str">
        <f>VLOOKUP(Ramen_Ratings[[#This Row],[Country]],Country_Region[#All],2,FALSE)</f>
        <v>Asia</v>
      </c>
      <c r="G642">
        <v>3.5</v>
      </c>
      <c r="H642" t="str" cm="1">
        <f t="array" ref="H642">_xlfn.IFS(Ramen_Ratings[[#This Row],[Stars]] = "Unrated", "NA",Ramen_Ratings[[#This Row],[Stars]]&gt;=4, "Good", Ramen_Ratings[[#This Row],[Stars]]&gt;2.5, "Fair", Ramen_Ratings[[#This Row],[Stars]] &gt;= 0, "Bad")</f>
        <v>Fair</v>
      </c>
      <c r="J642" t="str">
        <f>LEFT(Ramen_Ratings[[#This Row],[Top Ten]],4)</f>
        <v/>
      </c>
      <c r="K642" t="str">
        <f>IF(Ramen_Ratings[[#This Row],[Top Ten]]="", "",RIGHT(Ramen_Ratings[[#This Row],[Top Ten]],LEN(Ramen_Ratings[[#This Row],[Top Ten]])-6))</f>
        <v/>
      </c>
    </row>
    <row r="643" spans="1:11" x14ac:dyDescent="0.25">
      <c r="A643">
        <v>527</v>
      </c>
      <c r="B643" t="s">
        <v>255</v>
      </c>
      <c r="C643" t="s">
        <v>2363</v>
      </c>
      <c r="D643" t="s">
        <v>44</v>
      </c>
      <c r="E643" t="s">
        <v>38</v>
      </c>
      <c r="F643" t="str">
        <f>VLOOKUP(Ramen_Ratings[[#This Row],[Country]],Country_Region[#All],2,FALSE)</f>
        <v>Asia</v>
      </c>
      <c r="G643">
        <v>2.75</v>
      </c>
      <c r="H643" t="str" cm="1">
        <f t="array" ref="H643">_xlfn.IFS(Ramen_Ratings[[#This Row],[Stars]] = "Unrated", "NA",Ramen_Ratings[[#This Row],[Stars]]&gt;=4, "Good", Ramen_Ratings[[#This Row],[Stars]]&gt;2.5, "Fair", Ramen_Ratings[[#This Row],[Stars]] &gt;= 0, "Bad")</f>
        <v>Fair</v>
      </c>
      <c r="J643" t="str">
        <f>LEFT(Ramen_Ratings[[#This Row],[Top Ten]],4)</f>
        <v/>
      </c>
      <c r="K643" t="str">
        <f>IF(Ramen_Ratings[[#This Row],[Top Ten]]="", "",RIGHT(Ramen_Ratings[[#This Row],[Top Ten]],LEN(Ramen_Ratings[[#This Row],[Top Ten]])-6))</f>
        <v/>
      </c>
    </row>
    <row r="644" spans="1:11" x14ac:dyDescent="0.25">
      <c r="A644">
        <v>503</v>
      </c>
      <c r="B644" t="s">
        <v>2094</v>
      </c>
      <c r="C644" t="s">
        <v>2376</v>
      </c>
      <c r="D644" t="s">
        <v>13</v>
      </c>
      <c r="E644" t="s">
        <v>38</v>
      </c>
      <c r="F644" t="str">
        <f>VLOOKUP(Ramen_Ratings[[#This Row],[Country]],Country_Region[#All],2,FALSE)</f>
        <v>Asia</v>
      </c>
      <c r="G644">
        <v>1</v>
      </c>
      <c r="H644" t="str" cm="1">
        <f t="array" ref="H644">_xlfn.IFS(Ramen_Ratings[[#This Row],[Stars]] = "Unrated", "NA",Ramen_Ratings[[#This Row],[Stars]]&gt;=4, "Good", Ramen_Ratings[[#This Row],[Stars]]&gt;2.5, "Fair", Ramen_Ratings[[#This Row],[Stars]] &gt;= 0, "Bad")</f>
        <v>Bad</v>
      </c>
      <c r="J644" t="str">
        <f>LEFT(Ramen_Ratings[[#This Row],[Top Ten]],4)</f>
        <v/>
      </c>
      <c r="K644" t="str">
        <f>IF(Ramen_Ratings[[#This Row],[Top Ten]]="", "",RIGHT(Ramen_Ratings[[#This Row],[Top Ten]],LEN(Ramen_Ratings[[#This Row],[Top Ten]])-6))</f>
        <v/>
      </c>
    </row>
    <row r="645" spans="1:11" x14ac:dyDescent="0.25">
      <c r="A645">
        <v>502</v>
      </c>
      <c r="B645" t="s">
        <v>1946</v>
      </c>
      <c r="C645" t="s">
        <v>2381</v>
      </c>
      <c r="D645" t="s">
        <v>44</v>
      </c>
      <c r="E645" t="s">
        <v>38</v>
      </c>
      <c r="F645" t="str">
        <f>VLOOKUP(Ramen_Ratings[[#This Row],[Country]],Country_Region[#All],2,FALSE)</f>
        <v>Asia</v>
      </c>
      <c r="G645">
        <v>2</v>
      </c>
      <c r="H645" t="str" cm="1">
        <f t="array" ref="H645">_xlfn.IFS(Ramen_Ratings[[#This Row],[Stars]] = "Unrated", "NA",Ramen_Ratings[[#This Row],[Stars]]&gt;=4, "Good", Ramen_Ratings[[#This Row],[Stars]]&gt;2.5, "Fair", Ramen_Ratings[[#This Row],[Stars]] &gt;= 0, "Bad")</f>
        <v>Bad</v>
      </c>
      <c r="J645" t="str">
        <f>LEFT(Ramen_Ratings[[#This Row],[Top Ten]],4)</f>
        <v/>
      </c>
      <c r="K645" t="str">
        <f>IF(Ramen_Ratings[[#This Row],[Top Ten]]="", "",RIGHT(Ramen_Ratings[[#This Row],[Top Ten]],LEN(Ramen_Ratings[[#This Row],[Top Ten]])-6))</f>
        <v/>
      </c>
    </row>
    <row r="646" spans="1:11" x14ac:dyDescent="0.25">
      <c r="A646">
        <v>464</v>
      </c>
      <c r="B646" t="s">
        <v>897</v>
      </c>
      <c r="C646" t="s">
        <v>2070</v>
      </c>
      <c r="D646" t="s">
        <v>13</v>
      </c>
      <c r="E646" t="s">
        <v>38</v>
      </c>
      <c r="F646" t="str">
        <f>VLOOKUP(Ramen_Ratings[[#This Row],[Country]],Country_Region[#All],2,FALSE)</f>
        <v>Asia</v>
      </c>
      <c r="G646">
        <v>3.25</v>
      </c>
      <c r="H646" t="str" cm="1">
        <f t="array" ref="H646">_xlfn.IFS(Ramen_Ratings[[#This Row],[Stars]] = "Unrated", "NA",Ramen_Ratings[[#This Row],[Stars]]&gt;=4, "Good", Ramen_Ratings[[#This Row],[Stars]]&gt;2.5, "Fair", Ramen_Ratings[[#This Row],[Stars]] &gt;= 0, "Bad")</f>
        <v>Fair</v>
      </c>
      <c r="J646" t="str">
        <f>LEFT(Ramen_Ratings[[#This Row],[Top Ten]],4)</f>
        <v/>
      </c>
      <c r="K646" t="str">
        <f>IF(Ramen_Ratings[[#This Row],[Top Ten]]="", "",RIGHT(Ramen_Ratings[[#This Row],[Top Ten]],LEN(Ramen_Ratings[[#This Row],[Top Ten]])-6))</f>
        <v/>
      </c>
    </row>
    <row r="647" spans="1:11" x14ac:dyDescent="0.25">
      <c r="A647">
        <v>439</v>
      </c>
      <c r="B647" t="s">
        <v>255</v>
      </c>
      <c r="C647" t="s">
        <v>2440</v>
      </c>
      <c r="D647" t="s">
        <v>44</v>
      </c>
      <c r="E647" t="s">
        <v>38</v>
      </c>
      <c r="F647" t="str">
        <f>VLOOKUP(Ramen_Ratings[[#This Row],[Country]],Country_Region[#All],2,FALSE)</f>
        <v>Asia</v>
      </c>
      <c r="G647">
        <v>3</v>
      </c>
      <c r="H647" t="str" cm="1">
        <f t="array" ref="H647">_xlfn.IFS(Ramen_Ratings[[#This Row],[Stars]] = "Unrated", "NA",Ramen_Ratings[[#This Row],[Stars]]&gt;=4, "Good", Ramen_Ratings[[#This Row],[Stars]]&gt;2.5, "Fair", Ramen_Ratings[[#This Row],[Stars]] &gt;= 0, "Bad")</f>
        <v>Fair</v>
      </c>
      <c r="J647" t="str">
        <f>LEFT(Ramen_Ratings[[#This Row],[Top Ten]],4)</f>
        <v/>
      </c>
      <c r="K647" t="str">
        <f>IF(Ramen_Ratings[[#This Row],[Top Ten]]="", "",RIGHT(Ramen_Ratings[[#This Row],[Top Ten]],LEN(Ramen_Ratings[[#This Row],[Top Ten]])-6))</f>
        <v/>
      </c>
    </row>
    <row r="648" spans="1:11" x14ac:dyDescent="0.25">
      <c r="A648">
        <v>411</v>
      </c>
      <c r="B648" t="s">
        <v>1946</v>
      </c>
      <c r="C648" t="s">
        <v>2471</v>
      </c>
      <c r="D648" t="s">
        <v>44</v>
      </c>
      <c r="E648" t="s">
        <v>38</v>
      </c>
      <c r="F648" t="str">
        <f>VLOOKUP(Ramen_Ratings[[#This Row],[Country]],Country_Region[#All],2,FALSE)</f>
        <v>Asia</v>
      </c>
      <c r="G648">
        <v>3.25</v>
      </c>
      <c r="H648" t="str" cm="1">
        <f t="array" ref="H648">_xlfn.IFS(Ramen_Ratings[[#This Row],[Stars]] = "Unrated", "NA",Ramen_Ratings[[#This Row],[Stars]]&gt;=4, "Good", Ramen_Ratings[[#This Row],[Stars]]&gt;2.5, "Fair", Ramen_Ratings[[#This Row],[Stars]] &gt;= 0, "Bad")</f>
        <v>Fair</v>
      </c>
      <c r="J648" t="str">
        <f>LEFT(Ramen_Ratings[[#This Row],[Top Ten]],4)</f>
        <v/>
      </c>
      <c r="K648" t="str">
        <f>IF(Ramen_Ratings[[#This Row],[Top Ten]]="", "",RIGHT(Ramen_Ratings[[#This Row],[Top Ten]],LEN(Ramen_Ratings[[#This Row],[Top Ten]])-6))</f>
        <v/>
      </c>
    </row>
    <row r="649" spans="1:11" x14ac:dyDescent="0.25">
      <c r="A649">
        <v>389</v>
      </c>
      <c r="B649" t="s">
        <v>897</v>
      </c>
      <c r="C649" t="s">
        <v>2074</v>
      </c>
      <c r="D649" t="s">
        <v>13</v>
      </c>
      <c r="E649" t="s">
        <v>38</v>
      </c>
      <c r="F649" t="str">
        <f>VLOOKUP(Ramen_Ratings[[#This Row],[Country]],Country_Region[#All],2,FALSE)</f>
        <v>Asia</v>
      </c>
      <c r="G649">
        <v>2.75</v>
      </c>
      <c r="H649" t="str" cm="1">
        <f t="array" ref="H649">_xlfn.IFS(Ramen_Ratings[[#This Row],[Stars]] = "Unrated", "NA",Ramen_Ratings[[#This Row],[Stars]]&gt;=4, "Good", Ramen_Ratings[[#This Row],[Stars]]&gt;2.5, "Fair", Ramen_Ratings[[#This Row],[Stars]] &gt;= 0, "Bad")</f>
        <v>Fair</v>
      </c>
      <c r="J649" t="str">
        <f>LEFT(Ramen_Ratings[[#This Row],[Top Ten]],4)</f>
        <v/>
      </c>
      <c r="K649" t="str">
        <f>IF(Ramen_Ratings[[#This Row],[Top Ten]]="", "",RIGHT(Ramen_Ratings[[#This Row],[Top Ten]],LEN(Ramen_Ratings[[#This Row],[Top Ten]])-6))</f>
        <v/>
      </c>
    </row>
    <row r="650" spans="1:11" x14ac:dyDescent="0.25">
      <c r="A650">
        <v>368</v>
      </c>
      <c r="B650" t="s">
        <v>343</v>
      </c>
      <c r="C650" t="s">
        <v>2516</v>
      </c>
      <c r="D650" t="s">
        <v>9</v>
      </c>
      <c r="E650" t="s">
        <v>38</v>
      </c>
      <c r="F650" t="str">
        <f>VLOOKUP(Ramen_Ratings[[#This Row],[Country]],Country_Region[#All],2,FALSE)</f>
        <v>Asia</v>
      </c>
      <c r="G650">
        <v>3.5</v>
      </c>
      <c r="H650" t="str" cm="1">
        <f t="array" ref="H650">_xlfn.IFS(Ramen_Ratings[[#This Row],[Stars]] = "Unrated", "NA",Ramen_Ratings[[#This Row],[Stars]]&gt;=4, "Good", Ramen_Ratings[[#This Row],[Stars]]&gt;2.5, "Fair", Ramen_Ratings[[#This Row],[Stars]] &gt;= 0, "Bad")</f>
        <v>Fair</v>
      </c>
      <c r="J650" t="str">
        <f>LEFT(Ramen_Ratings[[#This Row],[Top Ten]],4)</f>
        <v/>
      </c>
      <c r="K650" t="str">
        <f>IF(Ramen_Ratings[[#This Row],[Top Ten]]="", "",RIGHT(Ramen_Ratings[[#This Row],[Top Ten]],LEN(Ramen_Ratings[[#This Row],[Top Ten]])-6))</f>
        <v/>
      </c>
    </row>
    <row r="651" spans="1:11" x14ac:dyDescent="0.25">
      <c r="A651">
        <v>331</v>
      </c>
      <c r="B651" t="s">
        <v>1946</v>
      </c>
      <c r="C651" t="s">
        <v>2554</v>
      </c>
      <c r="D651" t="s">
        <v>44</v>
      </c>
      <c r="E651" t="s">
        <v>38</v>
      </c>
      <c r="F651" t="str">
        <f>VLOOKUP(Ramen_Ratings[[#This Row],[Country]],Country_Region[#All],2,FALSE)</f>
        <v>Asia</v>
      </c>
      <c r="G651">
        <v>4.5</v>
      </c>
      <c r="H651" t="str" cm="1">
        <f t="array" ref="H651">_xlfn.IFS(Ramen_Ratings[[#This Row],[Stars]] = "Unrated", "NA",Ramen_Ratings[[#This Row],[Stars]]&gt;=4, "Good", Ramen_Ratings[[#This Row],[Stars]]&gt;2.5, "Fair", Ramen_Ratings[[#This Row],[Stars]] &gt;= 0, "Bad")</f>
        <v>Good</v>
      </c>
      <c r="J651" t="str">
        <f>LEFT(Ramen_Ratings[[#This Row],[Top Ten]],4)</f>
        <v/>
      </c>
      <c r="K651" t="str">
        <f>IF(Ramen_Ratings[[#This Row],[Top Ten]]="", "",RIGHT(Ramen_Ratings[[#This Row],[Top Ten]],LEN(Ramen_Ratings[[#This Row],[Top Ten]])-6))</f>
        <v/>
      </c>
    </row>
    <row r="652" spans="1:11" x14ac:dyDescent="0.25">
      <c r="A652">
        <v>329</v>
      </c>
      <c r="B652" t="s">
        <v>2181</v>
      </c>
      <c r="C652" t="s">
        <v>2468</v>
      </c>
      <c r="D652" t="s">
        <v>44</v>
      </c>
      <c r="E652" t="s">
        <v>38</v>
      </c>
      <c r="F652" t="str">
        <f>VLOOKUP(Ramen_Ratings[[#This Row],[Country]],Country_Region[#All],2,FALSE)</f>
        <v>Asia</v>
      </c>
      <c r="G652">
        <v>3.5</v>
      </c>
      <c r="H652" t="str" cm="1">
        <f t="array" ref="H652">_xlfn.IFS(Ramen_Ratings[[#This Row],[Stars]] = "Unrated", "NA",Ramen_Ratings[[#This Row],[Stars]]&gt;=4, "Good", Ramen_Ratings[[#This Row],[Stars]]&gt;2.5, "Fair", Ramen_Ratings[[#This Row],[Stars]] &gt;= 0, "Bad")</f>
        <v>Fair</v>
      </c>
      <c r="J652" t="str">
        <f>LEFT(Ramen_Ratings[[#This Row],[Top Ten]],4)</f>
        <v/>
      </c>
      <c r="K652" t="str">
        <f>IF(Ramen_Ratings[[#This Row],[Top Ten]]="", "",RIGHT(Ramen_Ratings[[#This Row],[Top Ten]],LEN(Ramen_Ratings[[#This Row],[Top Ten]])-6))</f>
        <v/>
      </c>
    </row>
    <row r="653" spans="1:11" x14ac:dyDescent="0.25">
      <c r="A653">
        <v>326</v>
      </c>
      <c r="B653" t="s">
        <v>255</v>
      </c>
      <c r="C653" t="s">
        <v>2558</v>
      </c>
      <c r="D653" t="s">
        <v>44</v>
      </c>
      <c r="E653" t="s">
        <v>38</v>
      </c>
      <c r="F653" t="str">
        <f>VLOOKUP(Ramen_Ratings[[#This Row],[Country]],Country_Region[#All],2,FALSE)</f>
        <v>Asia</v>
      </c>
      <c r="G653">
        <v>4</v>
      </c>
      <c r="H653" t="str" cm="1">
        <f t="array" ref="H653">_xlfn.IFS(Ramen_Ratings[[#This Row],[Stars]] = "Unrated", "NA",Ramen_Ratings[[#This Row],[Stars]]&gt;=4, "Good", Ramen_Ratings[[#This Row],[Stars]]&gt;2.5, "Fair", Ramen_Ratings[[#This Row],[Stars]] &gt;= 0, "Bad")</f>
        <v>Good</v>
      </c>
      <c r="J653" t="str">
        <f>LEFT(Ramen_Ratings[[#This Row],[Top Ten]],4)</f>
        <v/>
      </c>
      <c r="K653" t="str">
        <f>IF(Ramen_Ratings[[#This Row],[Top Ten]]="", "",RIGHT(Ramen_Ratings[[#This Row],[Top Ten]],LEN(Ramen_Ratings[[#This Row],[Top Ten]])-6))</f>
        <v/>
      </c>
    </row>
    <row r="654" spans="1:11" x14ac:dyDescent="0.25">
      <c r="A654">
        <v>325</v>
      </c>
      <c r="B654" t="s">
        <v>2181</v>
      </c>
      <c r="C654" t="s">
        <v>2267</v>
      </c>
      <c r="D654" t="s">
        <v>44</v>
      </c>
      <c r="E654" t="s">
        <v>38</v>
      </c>
      <c r="F654" t="str">
        <f>VLOOKUP(Ramen_Ratings[[#This Row],[Country]],Country_Region[#All],2,FALSE)</f>
        <v>Asia</v>
      </c>
      <c r="G654">
        <v>3.5</v>
      </c>
      <c r="H654" t="str" cm="1">
        <f t="array" ref="H654">_xlfn.IFS(Ramen_Ratings[[#This Row],[Stars]] = "Unrated", "NA",Ramen_Ratings[[#This Row],[Stars]]&gt;=4, "Good", Ramen_Ratings[[#This Row],[Stars]]&gt;2.5, "Fair", Ramen_Ratings[[#This Row],[Stars]] &gt;= 0, "Bad")</f>
        <v>Fair</v>
      </c>
      <c r="J654" t="str">
        <f>LEFT(Ramen_Ratings[[#This Row],[Top Ten]],4)</f>
        <v/>
      </c>
      <c r="K654" t="str">
        <f>IF(Ramen_Ratings[[#This Row],[Top Ten]]="", "",RIGHT(Ramen_Ratings[[#This Row],[Top Ten]],LEN(Ramen_Ratings[[#This Row],[Top Ten]])-6))</f>
        <v/>
      </c>
    </row>
    <row r="655" spans="1:11" x14ac:dyDescent="0.25">
      <c r="A655">
        <v>321</v>
      </c>
      <c r="B655" t="s">
        <v>255</v>
      </c>
      <c r="C655" t="s">
        <v>2562</v>
      </c>
      <c r="D655" t="s">
        <v>44</v>
      </c>
      <c r="E655" t="s">
        <v>38</v>
      </c>
      <c r="F655" t="str">
        <f>VLOOKUP(Ramen_Ratings[[#This Row],[Country]],Country_Region[#All],2,FALSE)</f>
        <v>Asia</v>
      </c>
      <c r="G655">
        <v>4.75</v>
      </c>
      <c r="H655" t="str" cm="1">
        <f t="array" ref="H655">_xlfn.IFS(Ramen_Ratings[[#This Row],[Stars]] = "Unrated", "NA",Ramen_Ratings[[#This Row],[Stars]]&gt;=4, "Good", Ramen_Ratings[[#This Row],[Stars]]&gt;2.5, "Fair", Ramen_Ratings[[#This Row],[Stars]] &gt;= 0, "Bad")</f>
        <v>Good</v>
      </c>
      <c r="J655" t="str">
        <f>LEFT(Ramen_Ratings[[#This Row],[Top Ten]],4)</f>
        <v/>
      </c>
      <c r="K655" t="str">
        <f>IF(Ramen_Ratings[[#This Row],[Top Ten]]="", "",RIGHT(Ramen_Ratings[[#This Row],[Top Ten]],LEN(Ramen_Ratings[[#This Row],[Top Ten]])-6))</f>
        <v/>
      </c>
    </row>
    <row r="656" spans="1:11" x14ac:dyDescent="0.25">
      <c r="A656">
        <v>307</v>
      </c>
      <c r="B656" t="s">
        <v>2575</v>
      </c>
      <c r="C656" t="s">
        <v>2074</v>
      </c>
      <c r="D656" t="s">
        <v>9</v>
      </c>
      <c r="E656" t="s">
        <v>38</v>
      </c>
      <c r="F656" t="str">
        <f>VLOOKUP(Ramen_Ratings[[#This Row],[Country]],Country_Region[#All],2,FALSE)</f>
        <v>Asia</v>
      </c>
      <c r="G656">
        <v>2.75</v>
      </c>
      <c r="H656" t="str" cm="1">
        <f t="array" ref="H656">_xlfn.IFS(Ramen_Ratings[[#This Row],[Stars]] = "Unrated", "NA",Ramen_Ratings[[#This Row],[Stars]]&gt;=4, "Good", Ramen_Ratings[[#This Row],[Stars]]&gt;2.5, "Fair", Ramen_Ratings[[#This Row],[Stars]] &gt;= 0, "Bad")</f>
        <v>Fair</v>
      </c>
      <c r="J656" t="str">
        <f>LEFT(Ramen_Ratings[[#This Row],[Top Ten]],4)</f>
        <v/>
      </c>
      <c r="K656" t="str">
        <f>IF(Ramen_Ratings[[#This Row],[Top Ten]]="", "",RIGHT(Ramen_Ratings[[#This Row],[Top Ten]],LEN(Ramen_Ratings[[#This Row],[Top Ten]])-6))</f>
        <v/>
      </c>
    </row>
    <row r="657" spans="1:11" x14ac:dyDescent="0.25">
      <c r="A657">
        <v>304</v>
      </c>
      <c r="B657" t="s">
        <v>897</v>
      </c>
      <c r="C657" t="s">
        <v>2577</v>
      </c>
      <c r="D657" t="s">
        <v>44</v>
      </c>
      <c r="E657" t="s">
        <v>38</v>
      </c>
      <c r="F657" t="str">
        <f>VLOOKUP(Ramen_Ratings[[#This Row],[Country]],Country_Region[#All],2,FALSE)</f>
        <v>Asia</v>
      </c>
      <c r="G657">
        <v>3.5</v>
      </c>
      <c r="H657" t="str" cm="1">
        <f t="array" ref="H657">_xlfn.IFS(Ramen_Ratings[[#This Row],[Stars]] = "Unrated", "NA",Ramen_Ratings[[#This Row],[Stars]]&gt;=4, "Good", Ramen_Ratings[[#This Row],[Stars]]&gt;2.5, "Fair", Ramen_Ratings[[#This Row],[Stars]] &gt;= 0, "Bad")</f>
        <v>Fair</v>
      </c>
      <c r="J657" t="str">
        <f>LEFT(Ramen_Ratings[[#This Row],[Top Ten]],4)</f>
        <v/>
      </c>
      <c r="K657" t="str">
        <f>IF(Ramen_Ratings[[#This Row],[Top Ten]]="", "",RIGHT(Ramen_Ratings[[#This Row],[Top Ten]],LEN(Ramen_Ratings[[#This Row],[Top Ten]])-6))</f>
        <v/>
      </c>
    </row>
    <row r="658" spans="1:11" x14ac:dyDescent="0.25">
      <c r="A658">
        <v>281</v>
      </c>
      <c r="B658" t="s">
        <v>897</v>
      </c>
      <c r="C658" t="s">
        <v>2599</v>
      </c>
      <c r="D658" t="s">
        <v>9</v>
      </c>
      <c r="E658" t="s">
        <v>38</v>
      </c>
      <c r="F658" t="str">
        <f>VLOOKUP(Ramen_Ratings[[#This Row],[Country]],Country_Region[#All],2,FALSE)</f>
        <v>Asia</v>
      </c>
      <c r="G658">
        <v>3</v>
      </c>
      <c r="H658" t="str" cm="1">
        <f t="array" ref="H658">_xlfn.IFS(Ramen_Ratings[[#This Row],[Stars]] = "Unrated", "NA",Ramen_Ratings[[#This Row],[Stars]]&gt;=4, "Good", Ramen_Ratings[[#This Row],[Stars]]&gt;2.5, "Fair", Ramen_Ratings[[#This Row],[Stars]] &gt;= 0, "Bad")</f>
        <v>Fair</v>
      </c>
      <c r="J658" t="str">
        <f>LEFT(Ramen_Ratings[[#This Row],[Top Ten]],4)</f>
        <v/>
      </c>
      <c r="K658" t="str">
        <f>IF(Ramen_Ratings[[#This Row],[Top Ten]]="", "",RIGHT(Ramen_Ratings[[#This Row],[Top Ten]],LEN(Ramen_Ratings[[#This Row],[Top Ten]])-6))</f>
        <v/>
      </c>
    </row>
    <row r="659" spans="1:11" x14ac:dyDescent="0.25">
      <c r="A659">
        <v>276</v>
      </c>
      <c r="B659" t="s">
        <v>322</v>
      </c>
      <c r="C659" t="s">
        <v>2604</v>
      </c>
      <c r="D659" t="s">
        <v>13</v>
      </c>
      <c r="E659" t="s">
        <v>38</v>
      </c>
      <c r="F659" t="str">
        <f>VLOOKUP(Ramen_Ratings[[#This Row],[Country]],Country_Region[#All],2,FALSE)</f>
        <v>Asia</v>
      </c>
      <c r="G659">
        <v>3.25</v>
      </c>
      <c r="H659" t="str" cm="1">
        <f t="array" ref="H659">_xlfn.IFS(Ramen_Ratings[[#This Row],[Stars]] = "Unrated", "NA",Ramen_Ratings[[#This Row],[Stars]]&gt;=4, "Good", Ramen_Ratings[[#This Row],[Stars]]&gt;2.5, "Fair", Ramen_Ratings[[#This Row],[Stars]] &gt;= 0, "Bad")</f>
        <v>Fair</v>
      </c>
      <c r="J659" t="str">
        <f>LEFT(Ramen_Ratings[[#This Row],[Top Ten]],4)</f>
        <v/>
      </c>
      <c r="K659" t="str">
        <f>IF(Ramen_Ratings[[#This Row],[Top Ten]]="", "",RIGHT(Ramen_Ratings[[#This Row],[Top Ten]],LEN(Ramen_Ratings[[#This Row],[Top Ten]])-6))</f>
        <v/>
      </c>
    </row>
    <row r="660" spans="1:11" x14ac:dyDescent="0.25">
      <c r="A660">
        <v>275</v>
      </c>
      <c r="B660" t="s">
        <v>897</v>
      </c>
      <c r="C660" t="s">
        <v>2605</v>
      </c>
      <c r="D660" t="s">
        <v>9</v>
      </c>
      <c r="E660" t="s">
        <v>38</v>
      </c>
      <c r="F660" t="str">
        <f>VLOOKUP(Ramen_Ratings[[#This Row],[Country]],Country_Region[#All],2,FALSE)</f>
        <v>Asia</v>
      </c>
      <c r="G660">
        <v>3.75</v>
      </c>
      <c r="H660" t="str" cm="1">
        <f t="array" ref="H660">_xlfn.IFS(Ramen_Ratings[[#This Row],[Stars]] = "Unrated", "NA",Ramen_Ratings[[#This Row],[Stars]]&gt;=4, "Good", Ramen_Ratings[[#This Row],[Stars]]&gt;2.5, "Fair", Ramen_Ratings[[#This Row],[Stars]] &gt;= 0, "Bad")</f>
        <v>Fair</v>
      </c>
      <c r="J660" t="str">
        <f>LEFT(Ramen_Ratings[[#This Row],[Top Ten]],4)</f>
        <v/>
      </c>
      <c r="K660" t="str">
        <f>IF(Ramen_Ratings[[#This Row],[Top Ten]]="", "",RIGHT(Ramen_Ratings[[#This Row],[Top Ten]],LEN(Ramen_Ratings[[#This Row],[Top Ten]])-6))</f>
        <v/>
      </c>
    </row>
    <row r="661" spans="1:11" x14ac:dyDescent="0.25">
      <c r="A661">
        <v>273</v>
      </c>
      <c r="B661" t="s">
        <v>322</v>
      </c>
      <c r="C661" t="s">
        <v>2607</v>
      </c>
      <c r="D661" t="s">
        <v>13</v>
      </c>
      <c r="E661" t="s">
        <v>38</v>
      </c>
      <c r="F661" t="str">
        <f>VLOOKUP(Ramen_Ratings[[#This Row],[Country]],Country_Region[#All],2,FALSE)</f>
        <v>Asia</v>
      </c>
      <c r="G661">
        <v>2.5</v>
      </c>
      <c r="H661" t="str" cm="1">
        <f t="array" ref="H661">_xlfn.IFS(Ramen_Ratings[[#This Row],[Stars]] = "Unrated", "NA",Ramen_Ratings[[#This Row],[Stars]]&gt;=4, "Good", Ramen_Ratings[[#This Row],[Stars]]&gt;2.5, "Fair", Ramen_Ratings[[#This Row],[Stars]] &gt;= 0, "Bad")</f>
        <v>Bad</v>
      </c>
      <c r="J661" t="str">
        <f>LEFT(Ramen_Ratings[[#This Row],[Top Ten]],4)</f>
        <v/>
      </c>
      <c r="K661" t="str">
        <f>IF(Ramen_Ratings[[#This Row],[Top Ten]]="", "",RIGHT(Ramen_Ratings[[#This Row],[Top Ten]],LEN(Ramen_Ratings[[#This Row],[Top Ten]])-6))</f>
        <v/>
      </c>
    </row>
    <row r="662" spans="1:11" x14ac:dyDescent="0.25">
      <c r="A662">
        <v>267</v>
      </c>
      <c r="B662" t="s">
        <v>897</v>
      </c>
      <c r="C662" t="s">
        <v>2613</v>
      </c>
      <c r="D662" t="s">
        <v>9</v>
      </c>
      <c r="E662" t="s">
        <v>38</v>
      </c>
      <c r="F662" t="str">
        <f>VLOOKUP(Ramen_Ratings[[#This Row],[Country]],Country_Region[#All],2,FALSE)</f>
        <v>Asia</v>
      </c>
      <c r="G662">
        <v>2</v>
      </c>
      <c r="H662" t="str" cm="1">
        <f t="array" ref="H662">_xlfn.IFS(Ramen_Ratings[[#This Row],[Stars]] = "Unrated", "NA",Ramen_Ratings[[#This Row],[Stars]]&gt;=4, "Good", Ramen_Ratings[[#This Row],[Stars]]&gt;2.5, "Fair", Ramen_Ratings[[#This Row],[Stars]] &gt;= 0, "Bad")</f>
        <v>Bad</v>
      </c>
      <c r="J662" t="str">
        <f>LEFT(Ramen_Ratings[[#This Row],[Top Ten]],4)</f>
        <v/>
      </c>
      <c r="K662" t="str">
        <f>IF(Ramen_Ratings[[#This Row],[Top Ten]]="", "",RIGHT(Ramen_Ratings[[#This Row],[Top Ten]],LEN(Ramen_Ratings[[#This Row],[Top Ten]])-6))</f>
        <v/>
      </c>
    </row>
    <row r="663" spans="1:11" x14ac:dyDescent="0.25">
      <c r="A663">
        <v>258</v>
      </c>
      <c r="B663" t="s">
        <v>2575</v>
      </c>
      <c r="C663" t="s">
        <v>2622</v>
      </c>
      <c r="D663" t="s">
        <v>9</v>
      </c>
      <c r="E663" t="s">
        <v>38</v>
      </c>
      <c r="F663" t="str">
        <f>VLOOKUP(Ramen_Ratings[[#This Row],[Country]],Country_Region[#All],2,FALSE)</f>
        <v>Asia</v>
      </c>
      <c r="G663">
        <v>3.25</v>
      </c>
      <c r="H663" t="str" cm="1">
        <f t="array" ref="H663">_xlfn.IFS(Ramen_Ratings[[#This Row],[Stars]] = "Unrated", "NA",Ramen_Ratings[[#This Row],[Stars]]&gt;=4, "Good", Ramen_Ratings[[#This Row],[Stars]]&gt;2.5, "Fair", Ramen_Ratings[[#This Row],[Stars]] &gt;= 0, "Bad")</f>
        <v>Fair</v>
      </c>
      <c r="J663" t="str">
        <f>LEFT(Ramen_Ratings[[#This Row],[Top Ten]],4)</f>
        <v/>
      </c>
      <c r="K663" t="str">
        <f>IF(Ramen_Ratings[[#This Row],[Top Ten]]="", "",RIGHT(Ramen_Ratings[[#This Row],[Top Ten]],LEN(Ramen_Ratings[[#This Row],[Top Ten]])-6))</f>
        <v/>
      </c>
    </row>
    <row r="664" spans="1:11" x14ac:dyDescent="0.25">
      <c r="A664">
        <v>255</v>
      </c>
      <c r="B664" t="s">
        <v>897</v>
      </c>
      <c r="C664" t="s">
        <v>2625</v>
      </c>
      <c r="D664" t="s">
        <v>9</v>
      </c>
      <c r="E664" t="s">
        <v>38</v>
      </c>
      <c r="F664" t="str">
        <f>VLOOKUP(Ramen_Ratings[[#This Row],[Country]],Country_Region[#All],2,FALSE)</f>
        <v>Asia</v>
      </c>
      <c r="G664">
        <v>3.75</v>
      </c>
      <c r="H664" t="str" cm="1">
        <f t="array" ref="H664">_xlfn.IFS(Ramen_Ratings[[#This Row],[Stars]] = "Unrated", "NA",Ramen_Ratings[[#This Row],[Stars]]&gt;=4, "Good", Ramen_Ratings[[#This Row],[Stars]]&gt;2.5, "Fair", Ramen_Ratings[[#This Row],[Stars]] &gt;= 0, "Bad")</f>
        <v>Fair</v>
      </c>
      <c r="J664" t="str">
        <f>LEFT(Ramen_Ratings[[#This Row],[Top Ten]],4)</f>
        <v/>
      </c>
      <c r="K664" t="str">
        <f>IF(Ramen_Ratings[[#This Row],[Top Ten]]="", "",RIGHT(Ramen_Ratings[[#This Row],[Top Ten]],LEN(Ramen_Ratings[[#This Row],[Top Ten]])-6))</f>
        <v/>
      </c>
    </row>
    <row r="665" spans="1:11" x14ac:dyDescent="0.25">
      <c r="A665">
        <v>246</v>
      </c>
      <c r="B665" t="s">
        <v>897</v>
      </c>
      <c r="C665" t="s">
        <v>2633</v>
      </c>
      <c r="D665" t="s">
        <v>13</v>
      </c>
      <c r="E665" t="s">
        <v>38</v>
      </c>
      <c r="F665" t="str">
        <f>VLOOKUP(Ramen_Ratings[[#This Row],[Country]],Country_Region[#All],2,FALSE)</f>
        <v>Asia</v>
      </c>
      <c r="G665">
        <v>3</v>
      </c>
      <c r="H665" t="str" cm="1">
        <f t="array" ref="H665">_xlfn.IFS(Ramen_Ratings[[#This Row],[Stars]] = "Unrated", "NA",Ramen_Ratings[[#This Row],[Stars]]&gt;=4, "Good", Ramen_Ratings[[#This Row],[Stars]]&gt;2.5, "Fair", Ramen_Ratings[[#This Row],[Stars]] &gt;= 0, "Bad")</f>
        <v>Fair</v>
      </c>
      <c r="J665" t="str">
        <f>LEFT(Ramen_Ratings[[#This Row],[Top Ten]],4)</f>
        <v/>
      </c>
      <c r="K665" t="str">
        <f>IF(Ramen_Ratings[[#This Row],[Top Ten]]="", "",RIGHT(Ramen_Ratings[[#This Row],[Top Ten]],LEN(Ramen_Ratings[[#This Row],[Top Ten]])-6))</f>
        <v/>
      </c>
    </row>
    <row r="666" spans="1:11" x14ac:dyDescent="0.25">
      <c r="A666">
        <v>242</v>
      </c>
      <c r="B666" t="s">
        <v>2116</v>
      </c>
      <c r="C666" t="s">
        <v>2637</v>
      </c>
      <c r="D666" t="s">
        <v>44</v>
      </c>
      <c r="E666" t="s">
        <v>38</v>
      </c>
      <c r="F666" t="str">
        <f>VLOOKUP(Ramen_Ratings[[#This Row],[Country]],Country_Region[#All],2,FALSE)</f>
        <v>Asia</v>
      </c>
      <c r="G666">
        <v>2</v>
      </c>
      <c r="H666" t="str" cm="1">
        <f t="array" ref="H666">_xlfn.IFS(Ramen_Ratings[[#This Row],[Stars]] = "Unrated", "NA",Ramen_Ratings[[#This Row],[Stars]]&gt;=4, "Good", Ramen_Ratings[[#This Row],[Stars]]&gt;2.5, "Fair", Ramen_Ratings[[#This Row],[Stars]] &gt;= 0, "Bad")</f>
        <v>Bad</v>
      </c>
      <c r="J666" t="str">
        <f>LEFT(Ramen_Ratings[[#This Row],[Top Ten]],4)</f>
        <v/>
      </c>
      <c r="K666" t="str">
        <f>IF(Ramen_Ratings[[#This Row],[Top Ten]]="", "",RIGHT(Ramen_Ratings[[#This Row],[Top Ten]],LEN(Ramen_Ratings[[#This Row],[Top Ten]])-6))</f>
        <v/>
      </c>
    </row>
    <row r="667" spans="1:11" x14ac:dyDescent="0.25">
      <c r="A667">
        <v>224</v>
      </c>
      <c r="B667" t="s">
        <v>897</v>
      </c>
      <c r="C667" t="s">
        <v>2653</v>
      </c>
      <c r="D667" t="s">
        <v>44</v>
      </c>
      <c r="E667" t="s">
        <v>38</v>
      </c>
      <c r="F667" t="str">
        <f>VLOOKUP(Ramen_Ratings[[#This Row],[Country]],Country_Region[#All],2,FALSE)</f>
        <v>Asia</v>
      </c>
      <c r="G667">
        <v>2.75</v>
      </c>
      <c r="H667" t="str" cm="1">
        <f t="array" ref="H667">_xlfn.IFS(Ramen_Ratings[[#This Row],[Stars]] = "Unrated", "NA",Ramen_Ratings[[#This Row],[Stars]]&gt;=4, "Good", Ramen_Ratings[[#This Row],[Stars]]&gt;2.5, "Fair", Ramen_Ratings[[#This Row],[Stars]] &gt;= 0, "Bad")</f>
        <v>Fair</v>
      </c>
      <c r="J667" t="str">
        <f>LEFT(Ramen_Ratings[[#This Row],[Top Ten]],4)</f>
        <v/>
      </c>
      <c r="K667" t="str">
        <f>IF(Ramen_Ratings[[#This Row],[Top Ten]]="", "",RIGHT(Ramen_Ratings[[#This Row],[Top Ten]],LEN(Ramen_Ratings[[#This Row],[Top Ten]])-6))</f>
        <v/>
      </c>
    </row>
    <row r="668" spans="1:11" x14ac:dyDescent="0.25">
      <c r="A668">
        <v>193</v>
      </c>
      <c r="B668" t="s">
        <v>2682</v>
      </c>
      <c r="C668" t="s">
        <v>2341</v>
      </c>
      <c r="D668" t="s">
        <v>44</v>
      </c>
      <c r="E668" t="s">
        <v>38</v>
      </c>
      <c r="F668" t="str">
        <f>VLOOKUP(Ramen_Ratings[[#This Row],[Country]],Country_Region[#All],2,FALSE)</f>
        <v>Asia</v>
      </c>
      <c r="G668">
        <v>2.5</v>
      </c>
      <c r="H668" t="str" cm="1">
        <f t="array" ref="H668">_xlfn.IFS(Ramen_Ratings[[#This Row],[Stars]] = "Unrated", "NA",Ramen_Ratings[[#This Row],[Stars]]&gt;=4, "Good", Ramen_Ratings[[#This Row],[Stars]]&gt;2.5, "Fair", Ramen_Ratings[[#This Row],[Stars]] &gt;= 0, "Bad")</f>
        <v>Bad</v>
      </c>
      <c r="J668" t="str">
        <f>LEFT(Ramen_Ratings[[#This Row],[Top Ten]],4)</f>
        <v/>
      </c>
      <c r="K668" t="str">
        <f>IF(Ramen_Ratings[[#This Row],[Top Ten]]="", "",RIGHT(Ramen_Ratings[[#This Row],[Top Ten]],LEN(Ramen_Ratings[[#This Row],[Top Ten]])-6))</f>
        <v/>
      </c>
    </row>
    <row r="669" spans="1:11" x14ac:dyDescent="0.25">
      <c r="A669">
        <v>179</v>
      </c>
      <c r="B669" t="s">
        <v>897</v>
      </c>
      <c r="C669" t="s">
        <v>988</v>
      </c>
      <c r="D669" t="s">
        <v>13</v>
      </c>
      <c r="E669" t="s">
        <v>38</v>
      </c>
      <c r="F669" t="str">
        <f>VLOOKUP(Ramen_Ratings[[#This Row],[Country]],Country_Region[#All],2,FALSE)</f>
        <v>Asia</v>
      </c>
      <c r="G669">
        <v>3</v>
      </c>
      <c r="H669" t="str" cm="1">
        <f t="array" ref="H669">_xlfn.IFS(Ramen_Ratings[[#This Row],[Stars]] = "Unrated", "NA",Ramen_Ratings[[#This Row],[Stars]]&gt;=4, "Good", Ramen_Ratings[[#This Row],[Stars]]&gt;2.5, "Fair", Ramen_Ratings[[#This Row],[Stars]] &gt;= 0, "Bad")</f>
        <v>Fair</v>
      </c>
      <c r="J669" t="str">
        <f>LEFT(Ramen_Ratings[[#This Row],[Top Ten]],4)</f>
        <v/>
      </c>
      <c r="K669" t="str">
        <f>IF(Ramen_Ratings[[#This Row],[Top Ten]]="", "",RIGHT(Ramen_Ratings[[#This Row],[Top Ten]],LEN(Ramen_Ratings[[#This Row],[Top Ten]])-6))</f>
        <v/>
      </c>
    </row>
    <row r="670" spans="1:11" x14ac:dyDescent="0.25">
      <c r="A670">
        <v>178</v>
      </c>
      <c r="B670" t="s">
        <v>897</v>
      </c>
      <c r="C670" t="s">
        <v>2696</v>
      </c>
      <c r="D670" t="s">
        <v>13</v>
      </c>
      <c r="E670" t="s">
        <v>38</v>
      </c>
      <c r="F670" t="str">
        <f>VLOOKUP(Ramen_Ratings[[#This Row],[Country]],Country_Region[#All],2,FALSE)</f>
        <v>Asia</v>
      </c>
      <c r="G670">
        <v>2</v>
      </c>
      <c r="H670" t="str" cm="1">
        <f t="array" ref="H670">_xlfn.IFS(Ramen_Ratings[[#This Row],[Stars]] = "Unrated", "NA",Ramen_Ratings[[#This Row],[Stars]]&gt;=4, "Good", Ramen_Ratings[[#This Row],[Stars]]&gt;2.5, "Fair", Ramen_Ratings[[#This Row],[Stars]] &gt;= 0, "Bad")</f>
        <v>Bad</v>
      </c>
      <c r="J670" t="str">
        <f>LEFT(Ramen_Ratings[[#This Row],[Top Ten]],4)</f>
        <v/>
      </c>
      <c r="K670" t="str">
        <f>IF(Ramen_Ratings[[#This Row],[Top Ten]]="", "",RIGHT(Ramen_Ratings[[#This Row],[Top Ten]],LEN(Ramen_Ratings[[#This Row],[Top Ten]])-6))</f>
        <v/>
      </c>
    </row>
    <row r="671" spans="1:11" x14ac:dyDescent="0.25">
      <c r="A671">
        <v>172</v>
      </c>
      <c r="B671" t="s">
        <v>897</v>
      </c>
      <c r="C671" t="s">
        <v>2702</v>
      </c>
      <c r="D671" t="s">
        <v>13</v>
      </c>
      <c r="E671" t="s">
        <v>38</v>
      </c>
      <c r="F671" t="str">
        <f>VLOOKUP(Ramen_Ratings[[#This Row],[Country]],Country_Region[#All],2,FALSE)</f>
        <v>Asia</v>
      </c>
      <c r="G671">
        <v>3.75</v>
      </c>
      <c r="H671" t="str" cm="1">
        <f t="array" ref="H671">_xlfn.IFS(Ramen_Ratings[[#This Row],[Stars]] = "Unrated", "NA",Ramen_Ratings[[#This Row],[Stars]]&gt;=4, "Good", Ramen_Ratings[[#This Row],[Stars]]&gt;2.5, "Fair", Ramen_Ratings[[#This Row],[Stars]] &gt;= 0, "Bad")</f>
        <v>Fair</v>
      </c>
      <c r="J671" t="str">
        <f>LEFT(Ramen_Ratings[[#This Row],[Top Ten]],4)</f>
        <v/>
      </c>
      <c r="K671" t="str">
        <f>IF(Ramen_Ratings[[#This Row],[Top Ten]]="", "",RIGHT(Ramen_Ratings[[#This Row],[Top Ten]],LEN(Ramen_Ratings[[#This Row],[Top Ten]])-6))</f>
        <v/>
      </c>
    </row>
    <row r="672" spans="1:11" x14ac:dyDescent="0.25">
      <c r="A672">
        <v>167</v>
      </c>
      <c r="B672" t="s">
        <v>322</v>
      </c>
      <c r="C672" t="s">
        <v>2707</v>
      </c>
      <c r="D672" t="s">
        <v>13</v>
      </c>
      <c r="E672" t="s">
        <v>38</v>
      </c>
      <c r="F672" t="str">
        <f>VLOOKUP(Ramen_Ratings[[#This Row],[Country]],Country_Region[#All],2,FALSE)</f>
        <v>Asia</v>
      </c>
      <c r="G672">
        <v>2.5</v>
      </c>
      <c r="H672" t="str" cm="1">
        <f t="array" ref="H672">_xlfn.IFS(Ramen_Ratings[[#This Row],[Stars]] = "Unrated", "NA",Ramen_Ratings[[#This Row],[Stars]]&gt;=4, "Good", Ramen_Ratings[[#This Row],[Stars]]&gt;2.5, "Fair", Ramen_Ratings[[#This Row],[Stars]] &gt;= 0, "Bad")</f>
        <v>Bad</v>
      </c>
      <c r="J672" t="str">
        <f>LEFT(Ramen_Ratings[[#This Row],[Top Ten]],4)</f>
        <v/>
      </c>
      <c r="K672" t="str">
        <f>IF(Ramen_Ratings[[#This Row],[Top Ten]]="", "",RIGHT(Ramen_Ratings[[#This Row],[Top Ten]],LEN(Ramen_Ratings[[#This Row],[Top Ten]])-6))</f>
        <v/>
      </c>
    </row>
    <row r="673" spans="1:11" x14ac:dyDescent="0.25">
      <c r="A673">
        <v>159</v>
      </c>
      <c r="B673" t="s">
        <v>897</v>
      </c>
      <c r="C673" t="s">
        <v>2714</v>
      </c>
      <c r="D673" t="s">
        <v>13</v>
      </c>
      <c r="E673" t="s">
        <v>38</v>
      </c>
      <c r="F673" t="str">
        <f>VLOOKUP(Ramen_Ratings[[#This Row],[Country]],Country_Region[#All],2,FALSE)</f>
        <v>Asia</v>
      </c>
      <c r="G673">
        <v>1.75</v>
      </c>
      <c r="H673" t="str" cm="1">
        <f t="array" ref="H673">_xlfn.IFS(Ramen_Ratings[[#This Row],[Stars]] = "Unrated", "NA",Ramen_Ratings[[#This Row],[Stars]]&gt;=4, "Good", Ramen_Ratings[[#This Row],[Stars]]&gt;2.5, "Fair", Ramen_Ratings[[#This Row],[Stars]] &gt;= 0, "Bad")</f>
        <v>Bad</v>
      </c>
      <c r="J673" t="str">
        <f>LEFT(Ramen_Ratings[[#This Row],[Top Ten]],4)</f>
        <v/>
      </c>
      <c r="K673" t="str">
        <f>IF(Ramen_Ratings[[#This Row],[Top Ten]]="", "",RIGHT(Ramen_Ratings[[#This Row],[Top Ten]],LEN(Ramen_Ratings[[#This Row],[Top Ten]])-6))</f>
        <v/>
      </c>
    </row>
    <row r="674" spans="1:11" x14ac:dyDescent="0.25">
      <c r="A674">
        <v>158</v>
      </c>
      <c r="B674" t="s">
        <v>897</v>
      </c>
      <c r="C674" t="s">
        <v>2715</v>
      </c>
      <c r="D674" t="s">
        <v>9</v>
      </c>
      <c r="E674" t="s">
        <v>38</v>
      </c>
      <c r="F674" t="str">
        <f>VLOOKUP(Ramen_Ratings[[#This Row],[Country]],Country_Region[#All],2,FALSE)</f>
        <v>Asia</v>
      </c>
      <c r="G674">
        <v>2.5</v>
      </c>
      <c r="H674" t="str" cm="1">
        <f t="array" ref="H674">_xlfn.IFS(Ramen_Ratings[[#This Row],[Stars]] = "Unrated", "NA",Ramen_Ratings[[#This Row],[Stars]]&gt;=4, "Good", Ramen_Ratings[[#This Row],[Stars]]&gt;2.5, "Fair", Ramen_Ratings[[#This Row],[Stars]] &gt;= 0, "Bad")</f>
        <v>Bad</v>
      </c>
      <c r="J674" t="str">
        <f>LEFT(Ramen_Ratings[[#This Row],[Top Ten]],4)</f>
        <v/>
      </c>
      <c r="K674" t="str">
        <f>IF(Ramen_Ratings[[#This Row],[Top Ten]]="", "",RIGHT(Ramen_Ratings[[#This Row],[Top Ten]],LEN(Ramen_Ratings[[#This Row],[Top Ten]])-6))</f>
        <v/>
      </c>
    </row>
    <row r="675" spans="1:11" x14ac:dyDescent="0.25">
      <c r="A675">
        <v>146</v>
      </c>
      <c r="B675" t="s">
        <v>897</v>
      </c>
      <c r="C675" t="s">
        <v>2729</v>
      </c>
      <c r="D675" t="s">
        <v>13</v>
      </c>
      <c r="E675" t="s">
        <v>38</v>
      </c>
      <c r="F675" t="str">
        <f>VLOOKUP(Ramen_Ratings[[#This Row],[Country]],Country_Region[#All],2,FALSE)</f>
        <v>Asia</v>
      </c>
      <c r="G675">
        <v>2.5</v>
      </c>
      <c r="H675" t="str" cm="1">
        <f t="array" ref="H675">_xlfn.IFS(Ramen_Ratings[[#This Row],[Stars]] = "Unrated", "NA",Ramen_Ratings[[#This Row],[Stars]]&gt;=4, "Good", Ramen_Ratings[[#This Row],[Stars]]&gt;2.5, "Fair", Ramen_Ratings[[#This Row],[Stars]] &gt;= 0, "Bad")</f>
        <v>Bad</v>
      </c>
      <c r="J675" t="str">
        <f>LEFT(Ramen_Ratings[[#This Row],[Top Ten]],4)</f>
        <v/>
      </c>
      <c r="K675" t="str">
        <f>IF(Ramen_Ratings[[#This Row],[Top Ten]]="", "",RIGHT(Ramen_Ratings[[#This Row],[Top Ten]],LEN(Ramen_Ratings[[#This Row],[Top Ten]])-6))</f>
        <v/>
      </c>
    </row>
    <row r="676" spans="1:11" x14ac:dyDescent="0.25">
      <c r="A676">
        <v>143</v>
      </c>
      <c r="B676" t="s">
        <v>897</v>
      </c>
      <c r="C676" t="s">
        <v>2733</v>
      </c>
      <c r="D676" t="s">
        <v>13</v>
      </c>
      <c r="E676" t="s">
        <v>38</v>
      </c>
      <c r="F676" t="str">
        <f>VLOOKUP(Ramen_Ratings[[#This Row],[Country]],Country_Region[#All],2,FALSE)</f>
        <v>Asia</v>
      </c>
      <c r="G676">
        <v>2.75</v>
      </c>
      <c r="H676" t="str" cm="1">
        <f t="array" ref="H676">_xlfn.IFS(Ramen_Ratings[[#This Row],[Stars]] = "Unrated", "NA",Ramen_Ratings[[#This Row],[Stars]]&gt;=4, "Good", Ramen_Ratings[[#This Row],[Stars]]&gt;2.5, "Fair", Ramen_Ratings[[#This Row],[Stars]] &gt;= 0, "Bad")</f>
        <v>Fair</v>
      </c>
      <c r="J676" t="str">
        <f>LEFT(Ramen_Ratings[[#This Row],[Top Ten]],4)</f>
        <v/>
      </c>
      <c r="K676" t="str">
        <f>IF(Ramen_Ratings[[#This Row],[Top Ten]]="", "",RIGHT(Ramen_Ratings[[#This Row],[Top Ten]],LEN(Ramen_Ratings[[#This Row],[Top Ten]])-6))</f>
        <v/>
      </c>
    </row>
    <row r="677" spans="1:11" x14ac:dyDescent="0.25">
      <c r="A677">
        <v>140</v>
      </c>
      <c r="B677" t="s">
        <v>897</v>
      </c>
      <c r="C677" t="s">
        <v>2736</v>
      </c>
      <c r="D677" t="s">
        <v>13</v>
      </c>
      <c r="E677" t="s">
        <v>38</v>
      </c>
      <c r="F677" t="str">
        <f>VLOOKUP(Ramen_Ratings[[#This Row],[Country]],Country_Region[#All],2,FALSE)</f>
        <v>Asia</v>
      </c>
      <c r="G677">
        <v>5</v>
      </c>
      <c r="H677" t="str" cm="1">
        <f t="array" ref="H677">_xlfn.IFS(Ramen_Ratings[[#This Row],[Stars]] = "Unrated", "NA",Ramen_Ratings[[#This Row],[Stars]]&gt;=4, "Good", Ramen_Ratings[[#This Row],[Stars]]&gt;2.5, "Fair", Ramen_Ratings[[#This Row],[Stars]] &gt;= 0, "Bad")</f>
        <v>Good</v>
      </c>
      <c r="J677" t="str">
        <f>LEFT(Ramen_Ratings[[#This Row],[Top Ten]],4)</f>
        <v/>
      </c>
      <c r="K677" t="str">
        <f>IF(Ramen_Ratings[[#This Row],[Top Ten]]="", "",RIGHT(Ramen_Ratings[[#This Row],[Top Ten]],LEN(Ramen_Ratings[[#This Row],[Top Ten]])-6))</f>
        <v/>
      </c>
    </row>
    <row r="678" spans="1:11" x14ac:dyDescent="0.25">
      <c r="A678">
        <v>136</v>
      </c>
      <c r="B678" t="s">
        <v>897</v>
      </c>
      <c r="C678" t="s">
        <v>2740</v>
      </c>
      <c r="D678" t="s">
        <v>13</v>
      </c>
      <c r="E678" t="s">
        <v>38</v>
      </c>
      <c r="F678" t="str">
        <f>VLOOKUP(Ramen_Ratings[[#This Row],[Country]],Country_Region[#All],2,FALSE)</f>
        <v>Asia</v>
      </c>
      <c r="G678">
        <v>5</v>
      </c>
      <c r="H678" t="str" cm="1">
        <f t="array" ref="H678">_xlfn.IFS(Ramen_Ratings[[#This Row],[Stars]] = "Unrated", "NA",Ramen_Ratings[[#This Row],[Stars]]&gt;=4, "Good", Ramen_Ratings[[#This Row],[Stars]]&gt;2.5, "Fair", Ramen_Ratings[[#This Row],[Stars]] &gt;= 0, "Bad")</f>
        <v>Good</v>
      </c>
      <c r="J678" t="str">
        <f>LEFT(Ramen_Ratings[[#This Row],[Top Ten]],4)</f>
        <v/>
      </c>
      <c r="K678" t="str">
        <f>IF(Ramen_Ratings[[#This Row],[Top Ten]]="", "",RIGHT(Ramen_Ratings[[#This Row],[Top Ten]],LEN(Ramen_Ratings[[#This Row],[Top Ten]])-6))</f>
        <v/>
      </c>
    </row>
    <row r="679" spans="1:11" x14ac:dyDescent="0.25">
      <c r="A679">
        <v>128</v>
      </c>
      <c r="B679" t="s">
        <v>897</v>
      </c>
      <c r="C679" t="s">
        <v>2749</v>
      </c>
      <c r="D679" t="s">
        <v>13</v>
      </c>
      <c r="E679" t="s">
        <v>38</v>
      </c>
      <c r="F679" t="str">
        <f>VLOOKUP(Ramen_Ratings[[#This Row],[Country]],Country_Region[#All],2,FALSE)</f>
        <v>Asia</v>
      </c>
      <c r="G679">
        <v>0.1</v>
      </c>
      <c r="H679" t="str" cm="1">
        <f t="array" ref="H679">_xlfn.IFS(Ramen_Ratings[[#This Row],[Stars]] = "Unrated", "NA",Ramen_Ratings[[#This Row],[Stars]]&gt;=4, "Good", Ramen_Ratings[[#This Row],[Stars]]&gt;2.5, "Fair", Ramen_Ratings[[#This Row],[Stars]] &gt;= 0, "Bad")</f>
        <v>Bad</v>
      </c>
      <c r="J679" t="str">
        <f>LEFT(Ramen_Ratings[[#This Row],[Top Ten]],4)</f>
        <v/>
      </c>
      <c r="K679" t="str">
        <f>IF(Ramen_Ratings[[#This Row],[Top Ten]]="", "",RIGHT(Ramen_Ratings[[#This Row],[Top Ten]],LEN(Ramen_Ratings[[#This Row],[Top Ten]])-6))</f>
        <v/>
      </c>
    </row>
    <row r="680" spans="1:11" x14ac:dyDescent="0.25">
      <c r="A680">
        <v>126</v>
      </c>
      <c r="B680" t="s">
        <v>897</v>
      </c>
      <c r="C680" t="s">
        <v>2750</v>
      </c>
      <c r="D680" t="s">
        <v>13</v>
      </c>
      <c r="E680" t="s">
        <v>38</v>
      </c>
      <c r="F680" t="str">
        <f>VLOOKUP(Ramen_Ratings[[#This Row],[Country]],Country_Region[#All],2,FALSE)</f>
        <v>Asia</v>
      </c>
      <c r="G680">
        <v>1.5</v>
      </c>
      <c r="H680" t="str" cm="1">
        <f t="array" ref="H680">_xlfn.IFS(Ramen_Ratings[[#This Row],[Stars]] = "Unrated", "NA",Ramen_Ratings[[#This Row],[Stars]]&gt;=4, "Good", Ramen_Ratings[[#This Row],[Stars]]&gt;2.5, "Fair", Ramen_Ratings[[#This Row],[Stars]] &gt;= 0, "Bad")</f>
        <v>Bad</v>
      </c>
      <c r="J680" t="str">
        <f>LEFT(Ramen_Ratings[[#This Row],[Top Ten]],4)</f>
        <v/>
      </c>
      <c r="K680" t="str">
        <f>IF(Ramen_Ratings[[#This Row],[Top Ten]]="", "",RIGHT(Ramen_Ratings[[#This Row],[Top Ten]],LEN(Ramen_Ratings[[#This Row],[Top Ten]])-6))</f>
        <v/>
      </c>
    </row>
    <row r="681" spans="1:11" x14ac:dyDescent="0.25">
      <c r="A681">
        <v>123</v>
      </c>
      <c r="B681" t="s">
        <v>322</v>
      </c>
      <c r="C681" t="s">
        <v>2753</v>
      </c>
      <c r="D681" t="s">
        <v>13</v>
      </c>
      <c r="E681" t="s">
        <v>38</v>
      </c>
      <c r="F681" t="str">
        <f>VLOOKUP(Ramen_Ratings[[#This Row],[Country]],Country_Region[#All],2,FALSE)</f>
        <v>Asia</v>
      </c>
      <c r="G681">
        <v>3.7</v>
      </c>
      <c r="H681" t="str" cm="1">
        <f t="array" ref="H681">_xlfn.IFS(Ramen_Ratings[[#This Row],[Stars]] = "Unrated", "NA",Ramen_Ratings[[#This Row],[Stars]]&gt;=4, "Good", Ramen_Ratings[[#This Row],[Stars]]&gt;2.5, "Fair", Ramen_Ratings[[#This Row],[Stars]] &gt;= 0, "Bad")</f>
        <v>Fair</v>
      </c>
      <c r="J681" t="str">
        <f>LEFT(Ramen_Ratings[[#This Row],[Top Ten]],4)</f>
        <v/>
      </c>
      <c r="K681" t="str">
        <f>IF(Ramen_Ratings[[#This Row],[Top Ten]]="", "",RIGHT(Ramen_Ratings[[#This Row],[Top Ten]],LEN(Ramen_Ratings[[#This Row],[Top Ten]])-6))</f>
        <v/>
      </c>
    </row>
    <row r="682" spans="1:11" x14ac:dyDescent="0.25">
      <c r="A682">
        <v>116</v>
      </c>
      <c r="B682" t="s">
        <v>897</v>
      </c>
      <c r="C682" t="s">
        <v>2758</v>
      </c>
      <c r="D682" t="s">
        <v>13</v>
      </c>
      <c r="E682" t="s">
        <v>38</v>
      </c>
      <c r="F682" t="str">
        <f>VLOOKUP(Ramen_Ratings[[#This Row],[Country]],Country_Region[#All],2,FALSE)</f>
        <v>Asia</v>
      </c>
      <c r="G682">
        <v>3.6</v>
      </c>
      <c r="H682" t="str" cm="1">
        <f t="array" ref="H682">_xlfn.IFS(Ramen_Ratings[[#This Row],[Stars]] = "Unrated", "NA",Ramen_Ratings[[#This Row],[Stars]]&gt;=4, "Good", Ramen_Ratings[[#This Row],[Stars]]&gt;2.5, "Fair", Ramen_Ratings[[#This Row],[Stars]] &gt;= 0, "Bad")</f>
        <v>Fair</v>
      </c>
      <c r="J682" t="str">
        <f>LEFT(Ramen_Ratings[[#This Row],[Top Ten]],4)</f>
        <v/>
      </c>
      <c r="K682" t="str">
        <f>IF(Ramen_Ratings[[#This Row],[Top Ten]]="", "",RIGHT(Ramen_Ratings[[#This Row],[Top Ten]],LEN(Ramen_Ratings[[#This Row],[Top Ten]])-6))</f>
        <v/>
      </c>
    </row>
    <row r="683" spans="1:11" x14ac:dyDescent="0.25">
      <c r="A683">
        <v>109</v>
      </c>
      <c r="B683" t="s">
        <v>897</v>
      </c>
      <c r="C683" t="s">
        <v>2763</v>
      </c>
      <c r="D683" t="s">
        <v>13</v>
      </c>
      <c r="E683" t="s">
        <v>38</v>
      </c>
      <c r="F683" t="str">
        <f>VLOOKUP(Ramen_Ratings[[#This Row],[Country]],Country_Region[#All],2,FALSE)</f>
        <v>Asia</v>
      </c>
      <c r="G683">
        <v>3.1</v>
      </c>
      <c r="H683" t="str" cm="1">
        <f t="array" ref="H683">_xlfn.IFS(Ramen_Ratings[[#This Row],[Stars]] = "Unrated", "NA",Ramen_Ratings[[#This Row],[Stars]]&gt;=4, "Good", Ramen_Ratings[[#This Row],[Stars]]&gt;2.5, "Fair", Ramen_Ratings[[#This Row],[Stars]] &gt;= 0, "Bad")</f>
        <v>Fair</v>
      </c>
      <c r="J683" t="str">
        <f>LEFT(Ramen_Ratings[[#This Row],[Top Ten]],4)</f>
        <v/>
      </c>
      <c r="K683" t="str">
        <f>IF(Ramen_Ratings[[#This Row],[Top Ten]]="", "",RIGHT(Ramen_Ratings[[#This Row],[Top Ten]],LEN(Ramen_Ratings[[#This Row],[Top Ten]])-6))</f>
        <v/>
      </c>
    </row>
    <row r="684" spans="1:11" x14ac:dyDescent="0.25">
      <c r="A684">
        <v>106</v>
      </c>
      <c r="B684" t="s">
        <v>2094</v>
      </c>
      <c r="C684" t="s">
        <v>2767</v>
      </c>
      <c r="D684" t="s">
        <v>13</v>
      </c>
      <c r="E684" t="s">
        <v>38</v>
      </c>
      <c r="F684" t="str">
        <f>VLOOKUP(Ramen_Ratings[[#This Row],[Country]],Country_Region[#All],2,FALSE)</f>
        <v>Asia</v>
      </c>
      <c r="G684">
        <v>0.5</v>
      </c>
      <c r="H684" t="str" cm="1">
        <f t="array" ref="H684">_xlfn.IFS(Ramen_Ratings[[#This Row],[Stars]] = "Unrated", "NA",Ramen_Ratings[[#This Row],[Stars]]&gt;=4, "Good", Ramen_Ratings[[#This Row],[Stars]]&gt;2.5, "Fair", Ramen_Ratings[[#This Row],[Stars]] &gt;= 0, "Bad")</f>
        <v>Bad</v>
      </c>
      <c r="J684" t="str">
        <f>LEFT(Ramen_Ratings[[#This Row],[Top Ten]],4)</f>
        <v/>
      </c>
      <c r="K684" t="str">
        <f>IF(Ramen_Ratings[[#This Row],[Top Ten]]="", "",RIGHT(Ramen_Ratings[[#This Row],[Top Ten]],LEN(Ramen_Ratings[[#This Row],[Top Ten]])-6))</f>
        <v/>
      </c>
    </row>
    <row r="685" spans="1:11" x14ac:dyDescent="0.25">
      <c r="A685">
        <v>94</v>
      </c>
      <c r="B685" t="s">
        <v>897</v>
      </c>
      <c r="C685" t="s">
        <v>2240</v>
      </c>
      <c r="D685" t="s">
        <v>13</v>
      </c>
      <c r="E685" t="s">
        <v>38</v>
      </c>
      <c r="F685" t="str">
        <f>VLOOKUP(Ramen_Ratings[[#This Row],[Country]],Country_Region[#All],2,FALSE)</f>
        <v>Asia</v>
      </c>
      <c r="G685">
        <v>2.5</v>
      </c>
      <c r="H685" t="str" cm="1">
        <f t="array" ref="H685">_xlfn.IFS(Ramen_Ratings[[#This Row],[Stars]] = "Unrated", "NA",Ramen_Ratings[[#This Row],[Stars]]&gt;=4, "Good", Ramen_Ratings[[#This Row],[Stars]]&gt;2.5, "Fair", Ramen_Ratings[[#This Row],[Stars]] &gt;= 0, "Bad")</f>
        <v>Bad</v>
      </c>
      <c r="J685" t="str">
        <f>LEFT(Ramen_Ratings[[#This Row],[Top Ten]],4)</f>
        <v/>
      </c>
      <c r="K685" t="str">
        <f>IF(Ramen_Ratings[[#This Row],[Top Ten]]="", "",RIGHT(Ramen_Ratings[[#This Row],[Top Ten]],LEN(Ramen_Ratings[[#This Row],[Top Ten]])-6))</f>
        <v/>
      </c>
    </row>
    <row r="686" spans="1:11" x14ac:dyDescent="0.25">
      <c r="A686">
        <v>92</v>
      </c>
      <c r="B686" t="s">
        <v>230</v>
      </c>
      <c r="C686" t="s">
        <v>2440</v>
      </c>
      <c r="D686" t="s">
        <v>44</v>
      </c>
      <c r="E686" t="s">
        <v>38</v>
      </c>
      <c r="F686" t="str">
        <f>VLOOKUP(Ramen_Ratings[[#This Row],[Country]],Country_Region[#All],2,FALSE)</f>
        <v>Asia</v>
      </c>
      <c r="G686">
        <v>2</v>
      </c>
      <c r="H686" t="str" cm="1">
        <f t="array" ref="H686">_xlfn.IFS(Ramen_Ratings[[#This Row],[Stars]] = "Unrated", "NA",Ramen_Ratings[[#This Row],[Stars]]&gt;=4, "Good", Ramen_Ratings[[#This Row],[Stars]]&gt;2.5, "Fair", Ramen_Ratings[[#This Row],[Stars]] &gt;= 0, "Bad")</f>
        <v>Bad</v>
      </c>
      <c r="J686" t="str">
        <f>LEFT(Ramen_Ratings[[#This Row],[Top Ten]],4)</f>
        <v/>
      </c>
      <c r="K686" t="str">
        <f>IF(Ramen_Ratings[[#This Row],[Top Ten]]="", "",RIGHT(Ramen_Ratings[[#This Row],[Top Ten]],LEN(Ramen_Ratings[[#This Row],[Top Ten]])-6))</f>
        <v/>
      </c>
    </row>
    <row r="687" spans="1:11" x14ac:dyDescent="0.25">
      <c r="A687">
        <v>87</v>
      </c>
      <c r="B687" t="s">
        <v>322</v>
      </c>
      <c r="C687" t="s">
        <v>2782</v>
      </c>
      <c r="D687" t="s">
        <v>13</v>
      </c>
      <c r="E687" t="s">
        <v>38</v>
      </c>
      <c r="F687" t="str">
        <f>VLOOKUP(Ramen_Ratings[[#This Row],[Country]],Country_Region[#All],2,FALSE)</f>
        <v>Asia</v>
      </c>
      <c r="G687">
        <v>2.75</v>
      </c>
      <c r="H687" t="str" cm="1">
        <f t="array" ref="H687">_xlfn.IFS(Ramen_Ratings[[#This Row],[Stars]] = "Unrated", "NA",Ramen_Ratings[[#This Row],[Stars]]&gt;=4, "Good", Ramen_Ratings[[#This Row],[Stars]]&gt;2.5, "Fair", Ramen_Ratings[[#This Row],[Stars]] &gt;= 0, "Bad")</f>
        <v>Fair</v>
      </c>
      <c r="J687" t="str">
        <f>LEFT(Ramen_Ratings[[#This Row],[Top Ten]],4)</f>
        <v/>
      </c>
      <c r="K687" t="str">
        <f>IF(Ramen_Ratings[[#This Row],[Top Ten]]="", "",RIGHT(Ramen_Ratings[[#This Row],[Top Ten]],LEN(Ramen_Ratings[[#This Row],[Top Ten]])-6))</f>
        <v/>
      </c>
    </row>
    <row r="688" spans="1:11" x14ac:dyDescent="0.25">
      <c r="A688">
        <v>41</v>
      </c>
      <c r="B688" t="s">
        <v>255</v>
      </c>
      <c r="C688" t="s">
        <v>2823</v>
      </c>
      <c r="D688" t="s">
        <v>44</v>
      </c>
      <c r="E688" t="s">
        <v>38</v>
      </c>
      <c r="F688" t="str">
        <f>VLOOKUP(Ramen_Ratings[[#This Row],[Country]],Country_Region[#All],2,FALSE)</f>
        <v>Asia</v>
      </c>
      <c r="G688">
        <v>0.5</v>
      </c>
      <c r="H688" t="str" cm="1">
        <f t="array" ref="H688">_xlfn.IFS(Ramen_Ratings[[#This Row],[Stars]] = "Unrated", "NA",Ramen_Ratings[[#This Row],[Stars]]&gt;=4, "Good", Ramen_Ratings[[#This Row],[Stars]]&gt;2.5, "Fair", Ramen_Ratings[[#This Row],[Stars]] &gt;= 0, "Bad")</f>
        <v>Bad</v>
      </c>
      <c r="J688" t="str">
        <f>LEFT(Ramen_Ratings[[#This Row],[Top Ten]],4)</f>
        <v/>
      </c>
      <c r="K688" t="str">
        <f>IF(Ramen_Ratings[[#This Row],[Top Ten]]="", "",RIGHT(Ramen_Ratings[[#This Row],[Top Ten]],LEN(Ramen_Ratings[[#This Row],[Top Ten]])-6))</f>
        <v/>
      </c>
    </row>
    <row r="689" spans="1:11" x14ac:dyDescent="0.25">
      <c r="A689">
        <v>35</v>
      </c>
      <c r="B689" t="s">
        <v>897</v>
      </c>
      <c r="C689" t="s">
        <v>2304</v>
      </c>
      <c r="D689" t="s">
        <v>13</v>
      </c>
      <c r="E689" t="s">
        <v>38</v>
      </c>
      <c r="F689" t="str">
        <f>VLOOKUP(Ramen_Ratings[[#This Row],[Country]],Country_Region[#All],2,FALSE)</f>
        <v>Asia</v>
      </c>
      <c r="G689">
        <v>3</v>
      </c>
      <c r="H689" t="str" cm="1">
        <f t="array" ref="H689">_xlfn.IFS(Ramen_Ratings[[#This Row],[Stars]] = "Unrated", "NA",Ramen_Ratings[[#This Row],[Stars]]&gt;=4, "Good", Ramen_Ratings[[#This Row],[Stars]]&gt;2.5, "Fair", Ramen_Ratings[[#This Row],[Stars]] &gt;= 0, "Bad")</f>
        <v>Fair</v>
      </c>
      <c r="J689" t="str">
        <f>LEFT(Ramen_Ratings[[#This Row],[Top Ten]],4)</f>
        <v/>
      </c>
      <c r="K689" t="str">
        <f>IF(Ramen_Ratings[[#This Row],[Top Ten]]="", "",RIGHT(Ramen_Ratings[[#This Row],[Top Ten]],LEN(Ramen_Ratings[[#This Row],[Top Ten]])-6))</f>
        <v/>
      </c>
    </row>
    <row r="690" spans="1:11" x14ac:dyDescent="0.25">
      <c r="A690">
        <v>29</v>
      </c>
      <c r="B690" t="s">
        <v>2181</v>
      </c>
      <c r="C690" t="s">
        <v>2622</v>
      </c>
      <c r="D690" t="s">
        <v>44</v>
      </c>
      <c r="E690" t="s">
        <v>38</v>
      </c>
      <c r="F690" t="str">
        <f>VLOOKUP(Ramen_Ratings[[#This Row],[Country]],Country_Region[#All],2,FALSE)</f>
        <v>Asia</v>
      </c>
      <c r="G690">
        <v>3.5</v>
      </c>
      <c r="H690" t="str" cm="1">
        <f t="array" ref="H690">_xlfn.IFS(Ramen_Ratings[[#This Row],[Stars]] = "Unrated", "NA",Ramen_Ratings[[#This Row],[Stars]]&gt;=4, "Good", Ramen_Ratings[[#This Row],[Stars]]&gt;2.5, "Fair", Ramen_Ratings[[#This Row],[Stars]] &gt;= 0, "Bad")</f>
        <v>Fair</v>
      </c>
      <c r="J690" t="str">
        <f>LEFT(Ramen_Ratings[[#This Row],[Top Ten]],4)</f>
        <v/>
      </c>
      <c r="K690" t="str">
        <f>IF(Ramen_Ratings[[#This Row],[Top Ten]]="", "",RIGHT(Ramen_Ratings[[#This Row],[Top Ten]],LEN(Ramen_Ratings[[#This Row],[Top Ten]])-6))</f>
        <v/>
      </c>
    </row>
    <row r="691" spans="1:11" x14ac:dyDescent="0.25">
      <c r="A691">
        <v>4</v>
      </c>
      <c r="B691" t="s">
        <v>322</v>
      </c>
      <c r="C691" t="s">
        <v>2856</v>
      </c>
      <c r="D691" t="s">
        <v>13</v>
      </c>
      <c r="E691" t="s">
        <v>38</v>
      </c>
      <c r="F691" t="str">
        <f>VLOOKUP(Ramen_Ratings[[#This Row],[Country]],Country_Region[#All],2,FALSE)</f>
        <v>Asia</v>
      </c>
      <c r="G691">
        <v>1</v>
      </c>
      <c r="H691" t="str" cm="1">
        <f t="array" ref="H691">_xlfn.IFS(Ramen_Ratings[[#This Row],[Stars]] = "Unrated", "NA",Ramen_Ratings[[#This Row],[Stars]]&gt;=4, "Good", Ramen_Ratings[[#This Row],[Stars]]&gt;2.5, "Fair", Ramen_Ratings[[#This Row],[Stars]] &gt;= 0, "Bad")</f>
        <v>Bad</v>
      </c>
      <c r="J691" t="str">
        <f>LEFT(Ramen_Ratings[[#This Row],[Top Ten]],4)</f>
        <v/>
      </c>
      <c r="K691" t="str">
        <f>IF(Ramen_Ratings[[#This Row],[Top Ten]]="", "",RIGHT(Ramen_Ratings[[#This Row],[Top Ten]],LEN(Ramen_Ratings[[#This Row],[Top Ten]])-6))</f>
        <v/>
      </c>
    </row>
    <row r="692" spans="1:11" x14ac:dyDescent="0.25">
      <c r="A692">
        <v>3</v>
      </c>
      <c r="B692" t="s">
        <v>322</v>
      </c>
      <c r="C692" t="s">
        <v>2622</v>
      </c>
      <c r="D692" t="s">
        <v>13</v>
      </c>
      <c r="E692" t="s">
        <v>38</v>
      </c>
      <c r="F692" t="str">
        <f>VLOOKUP(Ramen_Ratings[[#This Row],[Country]],Country_Region[#All],2,FALSE)</f>
        <v>Asia</v>
      </c>
      <c r="G692">
        <v>2</v>
      </c>
      <c r="H692" t="str" cm="1">
        <f t="array" ref="H692">_xlfn.IFS(Ramen_Ratings[[#This Row],[Stars]] = "Unrated", "NA",Ramen_Ratings[[#This Row],[Stars]]&gt;=4, "Good", Ramen_Ratings[[#This Row],[Stars]]&gt;2.5, "Fair", Ramen_Ratings[[#This Row],[Stars]] &gt;= 0, "Bad")</f>
        <v>Bad</v>
      </c>
      <c r="J692" t="str">
        <f>LEFT(Ramen_Ratings[[#This Row],[Top Ten]],4)</f>
        <v/>
      </c>
      <c r="K692" t="str">
        <f>IF(Ramen_Ratings[[#This Row],[Top Ten]]="", "",RIGHT(Ramen_Ratings[[#This Row],[Top Ten]],LEN(Ramen_Ratings[[#This Row],[Top Ten]])-6))</f>
        <v/>
      </c>
    </row>
    <row r="693" spans="1:11" x14ac:dyDescent="0.25">
      <c r="A693">
        <v>2</v>
      </c>
      <c r="B693" t="s">
        <v>322</v>
      </c>
      <c r="C693" t="s">
        <v>2857</v>
      </c>
      <c r="D693" t="s">
        <v>13</v>
      </c>
      <c r="E693" t="s">
        <v>38</v>
      </c>
      <c r="F693" t="str">
        <f>VLOOKUP(Ramen_Ratings[[#This Row],[Country]],Country_Region[#All],2,FALSE)</f>
        <v>Asia</v>
      </c>
      <c r="G693">
        <v>2</v>
      </c>
      <c r="H693" t="str" cm="1">
        <f t="array" ref="H693">_xlfn.IFS(Ramen_Ratings[[#This Row],[Stars]] = "Unrated", "NA",Ramen_Ratings[[#This Row],[Stars]]&gt;=4, "Good", Ramen_Ratings[[#This Row],[Stars]]&gt;2.5, "Fair", Ramen_Ratings[[#This Row],[Stars]] &gt;= 0, "Bad")</f>
        <v>Bad</v>
      </c>
      <c r="J693" t="str">
        <f>LEFT(Ramen_Ratings[[#This Row],[Top Ten]],4)</f>
        <v/>
      </c>
      <c r="K693" t="str">
        <f>IF(Ramen_Ratings[[#This Row],[Top Ten]]="", "",RIGHT(Ramen_Ratings[[#This Row],[Top Ten]],LEN(Ramen_Ratings[[#This Row],[Top Ten]])-6))</f>
        <v/>
      </c>
    </row>
    <row r="694" spans="1:11" x14ac:dyDescent="0.25">
      <c r="A694">
        <v>1828</v>
      </c>
      <c r="B694" t="s">
        <v>493</v>
      </c>
      <c r="C694" t="s">
        <v>941</v>
      </c>
      <c r="D694" t="s">
        <v>13</v>
      </c>
      <c r="E694" t="s">
        <v>14</v>
      </c>
      <c r="F694" t="str">
        <f>VLOOKUP(Ramen_Ratings[[#This Row],[Country]],Country_Region[#All],2,FALSE)</f>
        <v>Asia</v>
      </c>
      <c r="G694">
        <v>5</v>
      </c>
      <c r="H694" t="str" cm="1">
        <f t="array" ref="H694">_xlfn.IFS(Ramen_Ratings[[#This Row],[Stars]] = "Unrated", "NA",Ramen_Ratings[[#This Row],[Stars]]&gt;=4, "Good", Ramen_Ratings[[#This Row],[Stars]]&gt;2.5, "Fair", Ramen_Ratings[[#This Row],[Stars]] &gt;= 0, "Bad")</f>
        <v>Good</v>
      </c>
      <c r="I694" t="s">
        <v>942</v>
      </c>
      <c r="J694" t="str">
        <f>LEFT(Ramen_Ratings[[#This Row],[Top Ten]],4)</f>
        <v>2016</v>
      </c>
      <c r="K694" t="str">
        <f>IF(Ramen_Ratings[[#This Row],[Top Ten]]="", "",RIGHT(Ramen_Ratings[[#This Row],[Top Ten]],LEN(Ramen_Ratings[[#This Row],[Top Ten]])-6))</f>
        <v>9</v>
      </c>
    </row>
    <row r="695" spans="1:11" x14ac:dyDescent="0.25">
      <c r="A695">
        <v>1638</v>
      </c>
      <c r="B695" t="s">
        <v>496</v>
      </c>
      <c r="C695" t="s">
        <v>1169</v>
      </c>
      <c r="D695" t="s">
        <v>13</v>
      </c>
      <c r="E695" t="s">
        <v>14</v>
      </c>
      <c r="F695" t="str">
        <f>VLOOKUP(Ramen_Ratings[[#This Row],[Country]],Country_Region[#All],2,FALSE)</f>
        <v>Asia</v>
      </c>
      <c r="G695">
        <v>5</v>
      </c>
      <c r="H695" t="str" cm="1">
        <f t="array" ref="H695">_xlfn.IFS(Ramen_Ratings[[#This Row],[Stars]] = "Unrated", "NA",Ramen_Ratings[[#This Row],[Stars]]&gt;=4, "Good", Ramen_Ratings[[#This Row],[Stars]]&gt;2.5, "Fair", Ramen_Ratings[[#This Row],[Stars]] &gt;= 0, "Bad")</f>
        <v>Good</v>
      </c>
      <c r="I695" t="s">
        <v>1170</v>
      </c>
      <c r="J695" t="str">
        <f>LEFT(Ramen_Ratings[[#This Row],[Top Ten]],4)</f>
        <v>2015</v>
      </c>
      <c r="K695" t="str">
        <f>IF(Ramen_Ratings[[#This Row],[Top Ten]]="", "",RIGHT(Ramen_Ratings[[#This Row],[Top Ten]],LEN(Ramen_Ratings[[#This Row],[Top Ten]])-6))</f>
        <v>10</v>
      </c>
    </row>
    <row r="696" spans="1:11" x14ac:dyDescent="0.25">
      <c r="A696">
        <v>2579</v>
      </c>
      <c r="B696" t="s">
        <v>11</v>
      </c>
      <c r="C696" t="s">
        <v>12</v>
      </c>
      <c r="D696" t="s">
        <v>13</v>
      </c>
      <c r="E696" t="s">
        <v>14</v>
      </c>
      <c r="F696" t="str">
        <f>VLOOKUP(Ramen_Ratings[[#This Row],[Country]],Country_Region[#All],2,FALSE)</f>
        <v>Asia</v>
      </c>
      <c r="G696">
        <v>1</v>
      </c>
      <c r="H696" t="str" cm="1">
        <f t="array" ref="H696">_xlfn.IFS(Ramen_Ratings[[#This Row],[Stars]] = "Unrated", "NA",Ramen_Ratings[[#This Row],[Stars]]&gt;=4, "Good", Ramen_Ratings[[#This Row],[Stars]]&gt;2.5, "Fair", Ramen_Ratings[[#This Row],[Stars]] &gt;= 0, "Bad")</f>
        <v>Bad</v>
      </c>
      <c r="J696" t="str">
        <f>LEFT(Ramen_Ratings[[#This Row],[Top Ten]],4)</f>
        <v/>
      </c>
      <c r="K696" t="str">
        <f>IF(Ramen_Ratings[[#This Row],[Top Ten]]="", "",RIGHT(Ramen_Ratings[[#This Row],[Top Ten]],LEN(Ramen_Ratings[[#This Row],[Top Ten]])-6))</f>
        <v/>
      </c>
    </row>
    <row r="697" spans="1:11" x14ac:dyDescent="0.25">
      <c r="A697">
        <v>2577</v>
      </c>
      <c r="B697" t="s">
        <v>18</v>
      </c>
      <c r="C697" t="s">
        <v>19</v>
      </c>
      <c r="D697" t="s">
        <v>13</v>
      </c>
      <c r="E697" t="s">
        <v>14</v>
      </c>
      <c r="F697" t="str">
        <f>VLOOKUP(Ramen_Ratings[[#This Row],[Country]],Country_Region[#All],2,FALSE)</f>
        <v>Asia</v>
      </c>
      <c r="G697">
        <v>2.75</v>
      </c>
      <c r="H697" t="str" cm="1">
        <f t="array" ref="H697">_xlfn.IFS(Ramen_Ratings[[#This Row],[Stars]] = "Unrated", "NA",Ramen_Ratings[[#This Row],[Stars]]&gt;=4, "Good", Ramen_Ratings[[#This Row],[Stars]]&gt;2.5, "Fair", Ramen_Ratings[[#This Row],[Stars]] &gt;= 0, "Bad")</f>
        <v>Fair</v>
      </c>
      <c r="J697" t="str">
        <f>LEFT(Ramen_Ratings[[#This Row],[Top Ten]],4)</f>
        <v/>
      </c>
      <c r="K697" t="str">
        <f>IF(Ramen_Ratings[[#This Row],[Top Ten]]="", "",RIGHT(Ramen_Ratings[[#This Row],[Top Ten]],LEN(Ramen_Ratings[[#This Row],[Top Ten]])-6))</f>
        <v/>
      </c>
    </row>
    <row r="698" spans="1:11" x14ac:dyDescent="0.25">
      <c r="A698">
        <v>2540</v>
      </c>
      <c r="B698" t="s">
        <v>18</v>
      </c>
      <c r="C698" t="s">
        <v>88</v>
      </c>
      <c r="D698" t="s">
        <v>13</v>
      </c>
      <c r="E698" t="s">
        <v>14</v>
      </c>
      <c r="F698" t="str">
        <f>VLOOKUP(Ramen_Ratings[[#This Row],[Country]],Country_Region[#All],2,FALSE)</f>
        <v>Asia</v>
      </c>
      <c r="G698">
        <v>3.25</v>
      </c>
      <c r="H698" t="str" cm="1">
        <f t="array" ref="H698">_xlfn.IFS(Ramen_Ratings[[#This Row],[Stars]] = "Unrated", "NA",Ramen_Ratings[[#This Row],[Stars]]&gt;=4, "Good", Ramen_Ratings[[#This Row],[Stars]]&gt;2.5, "Fair", Ramen_Ratings[[#This Row],[Stars]] &gt;= 0, "Bad")</f>
        <v>Fair</v>
      </c>
      <c r="J698" t="str">
        <f>LEFT(Ramen_Ratings[[#This Row],[Top Ten]],4)</f>
        <v/>
      </c>
      <c r="K698" t="str">
        <f>IF(Ramen_Ratings[[#This Row],[Top Ten]]="", "",RIGHT(Ramen_Ratings[[#This Row],[Top Ten]],LEN(Ramen_Ratings[[#This Row],[Top Ten]])-6))</f>
        <v/>
      </c>
    </row>
    <row r="699" spans="1:11" x14ac:dyDescent="0.25">
      <c r="A699">
        <v>2515</v>
      </c>
      <c r="B699" t="s">
        <v>99</v>
      </c>
      <c r="C699" t="s">
        <v>122</v>
      </c>
      <c r="D699" t="s">
        <v>44</v>
      </c>
      <c r="E699" t="s">
        <v>14</v>
      </c>
      <c r="F699" t="str">
        <f>VLOOKUP(Ramen_Ratings[[#This Row],[Country]],Country_Region[#All],2,FALSE)</f>
        <v>Asia</v>
      </c>
      <c r="G699">
        <v>5</v>
      </c>
      <c r="H699" t="str" cm="1">
        <f t="array" ref="H699">_xlfn.IFS(Ramen_Ratings[[#This Row],[Stars]] = "Unrated", "NA",Ramen_Ratings[[#This Row],[Stars]]&gt;=4, "Good", Ramen_Ratings[[#This Row],[Stars]]&gt;2.5, "Fair", Ramen_Ratings[[#This Row],[Stars]] &gt;= 0, "Bad")</f>
        <v>Good</v>
      </c>
      <c r="J699" t="str">
        <f>LEFT(Ramen_Ratings[[#This Row],[Top Ten]],4)</f>
        <v/>
      </c>
      <c r="K699" t="str">
        <f>IF(Ramen_Ratings[[#This Row],[Top Ten]]="", "",RIGHT(Ramen_Ratings[[#This Row],[Top Ten]],LEN(Ramen_Ratings[[#This Row],[Top Ten]])-6))</f>
        <v/>
      </c>
    </row>
    <row r="700" spans="1:11" x14ac:dyDescent="0.25">
      <c r="A700">
        <v>2512</v>
      </c>
      <c r="B700" t="s">
        <v>128</v>
      </c>
      <c r="C700" t="s">
        <v>129</v>
      </c>
      <c r="D700" t="s">
        <v>13</v>
      </c>
      <c r="E700" t="s">
        <v>14</v>
      </c>
      <c r="F700" t="str">
        <f>VLOOKUP(Ramen_Ratings[[#This Row],[Country]],Country_Region[#All],2,FALSE)</f>
        <v>Asia</v>
      </c>
      <c r="G700">
        <v>5</v>
      </c>
      <c r="H700" t="str" cm="1">
        <f t="array" ref="H700">_xlfn.IFS(Ramen_Ratings[[#This Row],[Stars]] = "Unrated", "NA",Ramen_Ratings[[#This Row],[Stars]]&gt;=4, "Good", Ramen_Ratings[[#This Row],[Stars]]&gt;2.5, "Fair", Ramen_Ratings[[#This Row],[Stars]] &gt;= 0, "Bad")</f>
        <v>Good</v>
      </c>
      <c r="J700" t="str">
        <f>LEFT(Ramen_Ratings[[#This Row],[Top Ten]],4)</f>
        <v/>
      </c>
      <c r="K700" t="str">
        <f>IF(Ramen_Ratings[[#This Row],[Top Ten]]="", "",RIGHT(Ramen_Ratings[[#This Row],[Top Ten]],LEN(Ramen_Ratings[[#This Row],[Top Ten]])-6))</f>
        <v/>
      </c>
    </row>
    <row r="701" spans="1:11" x14ac:dyDescent="0.25">
      <c r="A701">
        <v>2501</v>
      </c>
      <c r="B701" t="s">
        <v>143</v>
      </c>
      <c r="C701" t="s">
        <v>144</v>
      </c>
      <c r="D701" t="s">
        <v>13</v>
      </c>
      <c r="E701" t="s">
        <v>14</v>
      </c>
      <c r="F701" t="str">
        <f>VLOOKUP(Ramen_Ratings[[#This Row],[Country]],Country_Region[#All],2,FALSE)</f>
        <v>Asia</v>
      </c>
      <c r="G701">
        <v>4</v>
      </c>
      <c r="H701" t="str" cm="1">
        <f t="array" ref="H701">_xlfn.IFS(Ramen_Ratings[[#This Row],[Stars]] = "Unrated", "NA",Ramen_Ratings[[#This Row],[Stars]]&gt;=4, "Good", Ramen_Ratings[[#This Row],[Stars]]&gt;2.5, "Fair", Ramen_Ratings[[#This Row],[Stars]] &gt;= 0, "Bad")</f>
        <v>Good</v>
      </c>
      <c r="J701" t="str">
        <f>LEFT(Ramen_Ratings[[#This Row],[Top Ten]],4)</f>
        <v/>
      </c>
      <c r="K701" t="str">
        <f>IF(Ramen_Ratings[[#This Row],[Top Ten]]="", "",RIGHT(Ramen_Ratings[[#This Row],[Top Ten]],LEN(Ramen_Ratings[[#This Row],[Top Ten]])-6))</f>
        <v/>
      </c>
    </row>
    <row r="702" spans="1:11" x14ac:dyDescent="0.25">
      <c r="A702">
        <v>2482</v>
      </c>
      <c r="B702" t="s">
        <v>166</v>
      </c>
      <c r="C702" t="s">
        <v>167</v>
      </c>
      <c r="D702" t="s">
        <v>13</v>
      </c>
      <c r="E702" t="s">
        <v>14</v>
      </c>
      <c r="F702" t="str">
        <f>VLOOKUP(Ramen_Ratings[[#This Row],[Country]],Country_Region[#All],2,FALSE)</f>
        <v>Asia</v>
      </c>
      <c r="G702">
        <v>4.75</v>
      </c>
      <c r="H702" t="str" cm="1">
        <f t="array" ref="H702">_xlfn.IFS(Ramen_Ratings[[#This Row],[Stars]] = "Unrated", "NA",Ramen_Ratings[[#This Row],[Stars]]&gt;=4, "Good", Ramen_Ratings[[#This Row],[Stars]]&gt;2.5, "Fair", Ramen_Ratings[[#This Row],[Stars]] &gt;= 0, "Bad")</f>
        <v>Good</v>
      </c>
      <c r="J702" t="str">
        <f>LEFT(Ramen_Ratings[[#This Row],[Top Ten]],4)</f>
        <v/>
      </c>
      <c r="K702" t="str">
        <f>IF(Ramen_Ratings[[#This Row],[Top Ten]]="", "",RIGHT(Ramen_Ratings[[#This Row],[Top Ten]],LEN(Ramen_Ratings[[#This Row],[Top Ten]])-6))</f>
        <v/>
      </c>
    </row>
    <row r="703" spans="1:11" x14ac:dyDescent="0.25">
      <c r="A703">
        <v>2478</v>
      </c>
      <c r="B703" t="s">
        <v>172</v>
      </c>
      <c r="C703" t="s">
        <v>173</v>
      </c>
      <c r="D703" t="s">
        <v>13</v>
      </c>
      <c r="E703" t="s">
        <v>14</v>
      </c>
      <c r="F703" t="str">
        <f>VLOOKUP(Ramen_Ratings[[#This Row],[Country]],Country_Region[#All],2,FALSE)</f>
        <v>Asia</v>
      </c>
      <c r="G703">
        <v>5</v>
      </c>
      <c r="H703" t="str" cm="1">
        <f t="array" ref="H703">_xlfn.IFS(Ramen_Ratings[[#This Row],[Stars]] = "Unrated", "NA",Ramen_Ratings[[#This Row],[Stars]]&gt;=4, "Good", Ramen_Ratings[[#This Row],[Stars]]&gt;2.5, "Fair", Ramen_Ratings[[#This Row],[Stars]] &gt;= 0, "Bad")</f>
        <v>Good</v>
      </c>
      <c r="J703" t="str">
        <f>LEFT(Ramen_Ratings[[#This Row],[Top Ten]],4)</f>
        <v/>
      </c>
      <c r="K703" t="str">
        <f>IF(Ramen_Ratings[[#This Row],[Top Ten]]="", "",RIGHT(Ramen_Ratings[[#This Row],[Top Ten]],LEN(Ramen_Ratings[[#This Row],[Top Ten]])-6))</f>
        <v/>
      </c>
    </row>
    <row r="704" spans="1:11" x14ac:dyDescent="0.25">
      <c r="A704">
        <v>2477</v>
      </c>
      <c r="B704" t="s">
        <v>172</v>
      </c>
      <c r="C704" t="s">
        <v>174</v>
      </c>
      <c r="D704" t="s">
        <v>13</v>
      </c>
      <c r="E704" t="s">
        <v>14</v>
      </c>
      <c r="F704" t="str">
        <f>VLOOKUP(Ramen_Ratings[[#This Row],[Country]],Country_Region[#All],2,FALSE)</f>
        <v>Asia</v>
      </c>
      <c r="G704">
        <v>5</v>
      </c>
      <c r="H704" t="str" cm="1">
        <f t="array" ref="H704">_xlfn.IFS(Ramen_Ratings[[#This Row],[Stars]] = "Unrated", "NA",Ramen_Ratings[[#This Row],[Stars]]&gt;=4, "Good", Ramen_Ratings[[#This Row],[Stars]]&gt;2.5, "Fair", Ramen_Ratings[[#This Row],[Stars]] &gt;= 0, "Bad")</f>
        <v>Good</v>
      </c>
      <c r="J704" t="str">
        <f>LEFT(Ramen_Ratings[[#This Row],[Top Ten]],4)</f>
        <v/>
      </c>
      <c r="K704" t="str">
        <f>IF(Ramen_Ratings[[#This Row],[Top Ten]]="", "",RIGHT(Ramen_Ratings[[#This Row],[Top Ten]],LEN(Ramen_Ratings[[#This Row],[Top Ten]])-6))</f>
        <v/>
      </c>
    </row>
    <row r="705" spans="1:11" x14ac:dyDescent="0.25">
      <c r="A705">
        <v>2472</v>
      </c>
      <c r="B705" t="s">
        <v>180</v>
      </c>
      <c r="C705" t="s">
        <v>181</v>
      </c>
      <c r="D705" t="s">
        <v>13</v>
      </c>
      <c r="E705" t="s">
        <v>14</v>
      </c>
      <c r="F705" t="str">
        <f>VLOOKUP(Ramen_Ratings[[#This Row],[Country]],Country_Region[#All],2,FALSE)</f>
        <v>Asia</v>
      </c>
      <c r="G705">
        <v>3.5</v>
      </c>
      <c r="H705" t="str" cm="1">
        <f t="array" ref="H705">_xlfn.IFS(Ramen_Ratings[[#This Row],[Stars]] = "Unrated", "NA",Ramen_Ratings[[#This Row],[Stars]]&gt;=4, "Good", Ramen_Ratings[[#This Row],[Stars]]&gt;2.5, "Fair", Ramen_Ratings[[#This Row],[Stars]] &gt;= 0, "Bad")</f>
        <v>Fair</v>
      </c>
      <c r="J705" t="str">
        <f>LEFT(Ramen_Ratings[[#This Row],[Top Ten]],4)</f>
        <v/>
      </c>
      <c r="K705" t="str">
        <f>IF(Ramen_Ratings[[#This Row],[Top Ten]]="", "",RIGHT(Ramen_Ratings[[#This Row],[Top Ten]],LEN(Ramen_Ratings[[#This Row],[Top Ten]])-6))</f>
        <v/>
      </c>
    </row>
    <row r="706" spans="1:11" x14ac:dyDescent="0.25">
      <c r="A706">
        <v>2462</v>
      </c>
      <c r="B706" t="s">
        <v>166</v>
      </c>
      <c r="C706" t="s">
        <v>194</v>
      </c>
      <c r="D706" t="s">
        <v>44</v>
      </c>
      <c r="E706" t="s">
        <v>14</v>
      </c>
      <c r="F706" t="str">
        <f>VLOOKUP(Ramen_Ratings[[#This Row],[Country]],Country_Region[#All],2,FALSE)</f>
        <v>Asia</v>
      </c>
      <c r="G706">
        <v>5</v>
      </c>
      <c r="H706" t="str" cm="1">
        <f t="array" ref="H706">_xlfn.IFS(Ramen_Ratings[[#This Row],[Stars]] = "Unrated", "NA",Ramen_Ratings[[#This Row],[Stars]]&gt;=4, "Good", Ramen_Ratings[[#This Row],[Stars]]&gt;2.5, "Fair", Ramen_Ratings[[#This Row],[Stars]] &gt;= 0, "Bad")</f>
        <v>Good</v>
      </c>
      <c r="J706" t="str">
        <f>LEFT(Ramen_Ratings[[#This Row],[Top Ten]],4)</f>
        <v/>
      </c>
      <c r="K706" t="str">
        <f>IF(Ramen_Ratings[[#This Row],[Top Ten]]="", "",RIGHT(Ramen_Ratings[[#This Row],[Top Ten]],LEN(Ramen_Ratings[[#This Row],[Top Ten]])-6))</f>
        <v/>
      </c>
    </row>
    <row r="707" spans="1:11" x14ac:dyDescent="0.25">
      <c r="A707">
        <v>2439</v>
      </c>
      <c r="B707" t="s">
        <v>99</v>
      </c>
      <c r="C707" t="s">
        <v>220</v>
      </c>
      <c r="D707" t="s">
        <v>44</v>
      </c>
      <c r="E707" t="s">
        <v>14</v>
      </c>
      <c r="F707" t="str">
        <f>VLOOKUP(Ramen_Ratings[[#This Row],[Country]],Country_Region[#All],2,FALSE)</f>
        <v>Asia</v>
      </c>
      <c r="G707">
        <v>5</v>
      </c>
      <c r="H707" t="str" cm="1">
        <f t="array" ref="H707">_xlfn.IFS(Ramen_Ratings[[#This Row],[Stars]] = "Unrated", "NA",Ramen_Ratings[[#This Row],[Stars]]&gt;=4, "Good", Ramen_Ratings[[#This Row],[Stars]]&gt;2.5, "Fair", Ramen_Ratings[[#This Row],[Stars]] &gt;= 0, "Bad")</f>
        <v>Good</v>
      </c>
      <c r="J707" t="str">
        <f>LEFT(Ramen_Ratings[[#This Row],[Top Ten]],4)</f>
        <v/>
      </c>
      <c r="K707" t="str">
        <f>IF(Ramen_Ratings[[#This Row],[Top Ten]]="", "",RIGHT(Ramen_Ratings[[#This Row],[Top Ten]],LEN(Ramen_Ratings[[#This Row],[Top Ten]])-6))</f>
        <v/>
      </c>
    </row>
    <row r="708" spans="1:11" x14ac:dyDescent="0.25">
      <c r="A708">
        <v>2434</v>
      </c>
      <c r="B708" t="s">
        <v>143</v>
      </c>
      <c r="C708" t="s">
        <v>228</v>
      </c>
      <c r="D708" t="s">
        <v>13</v>
      </c>
      <c r="E708" t="s">
        <v>14</v>
      </c>
      <c r="F708" t="str">
        <f>VLOOKUP(Ramen_Ratings[[#This Row],[Country]],Country_Region[#All],2,FALSE)</f>
        <v>Asia</v>
      </c>
      <c r="G708">
        <v>4.25</v>
      </c>
      <c r="H708" t="str" cm="1">
        <f t="array" ref="H708">_xlfn.IFS(Ramen_Ratings[[#This Row],[Stars]] = "Unrated", "NA",Ramen_Ratings[[#This Row],[Stars]]&gt;=4, "Good", Ramen_Ratings[[#This Row],[Stars]]&gt;2.5, "Fair", Ramen_Ratings[[#This Row],[Stars]] &gt;= 0, "Bad")</f>
        <v>Good</v>
      </c>
      <c r="J708" t="str">
        <f>LEFT(Ramen_Ratings[[#This Row],[Top Ten]],4)</f>
        <v/>
      </c>
      <c r="K708" t="str">
        <f>IF(Ramen_Ratings[[#This Row],[Top Ten]]="", "",RIGHT(Ramen_Ratings[[#This Row],[Top Ten]],LEN(Ramen_Ratings[[#This Row],[Top Ten]])-6))</f>
        <v/>
      </c>
    </row>
    <row r="709" spans="1:11" x14ac:dyDescent="0.25">
      <c r="A709">
        <v>2428</v>
      </c>
      <c r="B709" t="s">
        <v>166</v>
      </c>
      <c r="C709" t="s">
        <v>236</v>
      </c>
      <c r="D709" t="s">
        <v>44</v>
      </c>
      <c r="E709" t="s">
        <v>14</v>
      </c>
      <c r="F709" t="str">
        <f>VLOOKUP(Ramen_Ratings[[#This Row],[Country]],Country_Region[#All],2,FALSE)</f>
        <v>Asia</v>
      </c>
      <c r="G709">
        <v>5</v>
      </c>
      <c r="H709" t="str" cm="1">
        <f t="array" ref="H709">_xlfn.IFS(Ramen_Ratings[[#This Row],[Stars]] = "Unrated", "NA",Ramen_Ratings[[#This Row],[Stars]]&gt;=4, "Good", Ramen_Ratings[[#This Row],[Stars]]&gt;2.5, "Fair", Ramen_Ratings[[#This Row],[Stars]] &gt;= 0, "Bad")</f>
        <v>Good</v>
      </c>
      <c r="J709" t="str">
        <f>LEFT(Ramen_Ratings[[#This Row],[Top Ten]],4)</f>
        <v/>
      </c>
      <c r="K709" t="str">
        <f>IF(Ramen_Ratings[[#This Row],[Top Ten]]="", "",RIGHT(Ramen_Ratings[[#This Row],[Top Ten]],LEN(Ramen_Ratings[[#This Row],[Top Ten]])-6))</f>
        <v/>
      </c>
    </row>
    <row r="710" spans="1:11" x14ac:dyDescent="0.25">
      <c r="A710">
        <v>2423</v>
      </c>
      <c r="B710" t="s">
        <v>243</v>
      </c>
      <c r="C710" t="s">
        <v>244</v>
      </c>
      <c r="D710" t="s">
        <v>13</v>
      </c>
      <c r="E710" t="s">
        <v>14</v>
      </c>
      <c r="F710" t="str">
        <f>VLOOKUP(Ramen_Ratings[[#This Row],[Country]],Country_Region[#All],2,FALSE)</f>
        <v>Asia</v>
      </c>
      <c r="G710">
        <v>3.5</v>
      </c>
      <c r="H710" t="str" cm="1">
        <f t="array" ref="H710">_xlfn.IFS(Ramen_Ratings[[#This Row],[Stars]] = "Unrated", "NA",Ramen_Ratings[[#This Row],[Stars]]&gt;=4, "Good", Ramen_Ratings[[#This Row],[Stars]]&gt;2.5, "Fair", Ramen_Ratings[[#This Row],[Stars]] &gt;= 0, "Bad")</f>
        <v>Fair</v>
      </c>
      <c r="J710" t="str">
        <f>LEFT(Ramen_Ratings[[#This Row],[Top Ten]],4)</f>
        <v/>
      </c>
      <c r="K710" t="str">
        <f>IF(Ramen_Ratings[[#This Row],[Top Ten]]="", "",RIGHT(Ramen_Ratings[[#This Row],[Top Ten]],LEN(Ramen_Ratings[[#This Row],[Top Ten]])-6))</f>
        <v/>
      </c>
    </row>
    <row r="711" spans="1:11" x14ac:dyDescent="0.25">
      <c r="A711">
        <v>2421</v>
      </c>
      <c r="B711" t="s">
        <v>99</v>
      </c>
      <c r="C711" t="s">
        <v>246</v>
      </c>
      <c r="D711" t="s">
        <v>13</v>
      </c>
      <c r="E711" t="s">
        <v>14</v>
      </c>
      <c r="F711" t="str">
        <f>VLOOKUP(Ramen_Ratings[[#This Row],[Country]],Country_Region[#All],2,FALSE)</f>
        <v>Asia</v>
      </c>
      <c r="G711">
        <v>5</v>
      </c>
      <c r="H711" t="str" cm="1">
        <f t="array" ref="H711">_xlfn.IFS(Ramen_Ratings[[#This Row],[Stars]] = "Unrated", "NA",Ramen_Ratings[[#This Row],[Stars]]&gt;=4, "Good", Ramen_Ratings[[#This Row],[Stars]]&gt;2.5, "Fair", Ramen_Ratings[[#This Row],[Stars]] &gt;= 0, "Bad")</f>
        <v>Good</v>
      </c>
      <c r="J711" t="str">
        <f>LEFT(Ramen_Ratings[[#This Row],[Top Ten]],4)</f>
        <v/>
      </c>
      <c r="K711" t="str">
        <f>IF(Ramen_Ratings[[#This Row],[Top Ten]]="", "",RIGHT(Ramen_Ratings[[#This Row],[Top Ten]],LEN(Ramen_Ratings[[#This Row],[Top Ten]])-6))</f>
        <v/>
      </c>
    </row>
    <row r="712" spans="1:11" x14ac:dyDescent="0.25">
      <c r="A712">
        <v>2414</v>
      </c>
      <c r="B712" t="s">
        <v>255</v>
      </c>
      <c r="C712" t="s">
        <v>256</v>
      </c>
      <c r="D712" t="s">
        <v>44</v>
      </c>
      <c r="E712" t="s">
        <v>14</v>
      </c>
      <c r="F712" t="str">
        <f>VLOOKUP(Ramen_Ratings[[#This Row],[Country]],Country_Region[#All],2,FALSE)</f>
        <v>Asia</v>
      </c>
      <c r="G712">
        <v>5</v>
      </c>
      <c r="H712" t="str" cm="1">
        <f t="array" ref="H712">_xlfn.IFS(Ramen_Ratings[[#This Row],[Stars]] = "Unrated", "NA",Ramen_Ratings[[#This Row],[Stars]]&gt;=4, "Good", Ramen_Ratings[[#This Row],[Stars]]&gt;2.5, "Fair", Ramen_Ratings[[#This Row],[Stars]] &gt;= 0, "Bad")</f>
        <v>Good</v>
      </c>
      <c r="J712" t="str">
        <f>LEFT(Ramen_Ratings[[#This Row],[Top Ten]],4)</f>
        <v/>
      </c>
      <c r="K712" t="str">
        <f>IF(Ramen_Ratings[[#This Row],[Top Ten]]="", "",RIGHT(Ramen_Ratings[[#This Row],[Top Ten]],LEN(Ramen_Ratings[[#This Row],[Top Ten]])-6))</f>
        <v/>
      </c>
    </row>
    <row r="713" spans="1:11" x14ac:dyDescent="0.25">
      <c r="A713">
        <v>2407</v>
      </c>
      <c r="B713" t="s">
        <v>11</v>
      </c>
      <c r="C713" t="s">
        <v>265</v>
      </c>
      <c r="D713" t="s">
        <v>13</v>
      </c>
      <c r="E713" t="s">
        <v>14</v>
      </c>
      <c r="F713" t="str">
        <f>VLOOKUP(Ramen_Ratings[[#This Row],[Country]],Country_Region[#All],2,FALSE)</f>
        <v>Asia</v>
      </c>
      <c r="G713">
        <v>4.5</v>
      </c>
      <c r="H713" t="str" cm="1">
        <f t="array" ref="H713">_xlfn.IFS(Ramen_Ratings[[#This Row],[Stars]] = "Unrated", "NA",Ramen_Ratings[[#This Row],[Stars]]&gt;=4, "Good", Ramen_Ratings[[#This Row],[Stars]]&gt;2.5, "Fair", Ramen_Ratings[[#This Row],[Stars]] &gt;= 0, "Bad")</f>
        <v>Good</v>
      </c>
      <c r="J713" t="str">
        <f>LEFT(Ramen_Ratings[[#This Row],[Top Ten]],4)</f>
        <v/>
      </c>
      <c r="K713" t="str">
        <f>IF(Ramen_Ratings[[#This Row],[Top Ten]]="", "",RIGHT(Ramen_Ratings[[#This Row],[Top Ten]],LEN(Ramen_Ratings[[#This Row],[Top Ten]])-6))</f>
        <v/>
      </c>
    </row>
    <row r="714" spans="1:11" x14ac:dyDescent="0.25">
      <c r="A714">
        <v>2385</v>
      </c>
      <c r="B714" t="s">
        <v>99</v>
      </c>
      <c r="C714" t="s">
        <v>293</v>
      </c>
      <c r="D714" t="s">
        <v>44</v>
      </c>
      <c r="E714" t="s">
        <v>14</v>
      </c>
      <c r="F714" t="str">
        <f>VLOOKUP(Ramen_Ratings[[#This Row],[Country]],Country_Region[#All],2,FALSE)</f>
        <v>Asia</v>
      </c>
      <c r="G714">
        <v>4.75</v>
      </c>
      <c r="H714" t="str" cm="1">
        <f t="array" ref="H714">_xlfn.IFS(Ramen_Ratings[[#This Row],[Stars]] = "Unrated", "NA",Ramen_Ratings[[#This Row],[Stars]]&gt;=4, "Good", Ramen_Ratings[[#This Row],[Stars]]&gt;2.5, "Fair", Ramen_Ratings[[#This Row],[Stars]] &gt;= 0, "Bad")</f>
        <v>Good</v>
      </c>
      <c r="J714" t="str">
        <f>LEFT(Ramen_Ratings[[#This Row],[Top Ten]],4)</f>
        <v/>
      </c>
      <c r="K714" t="str">
        <f>IF(Ramen_Ratings[[#This Row],[Top Ten]]="", "",RIGHT(Ramen_Ratings[[#This Row],[Top Ten]],LEN(Ramen_Ratings[[#This Row],[Top Ten]])-6))</f>
        <v/>
      </c>
    </row>
    <row r="715" spans="1:11" x14ac:dyDescent="0.25">
      <c r="A715">
        <v>2375</v>
      </c>
      <c r="B715" t="s">
        <v>99</v>
      </c>
      <c r="C715" t="s">
        <v>304</v>
      </c>
      <c r="D715" t="s">
        <v>44</v>
      </c>
      <c r="E715" t="s">
        <v>14</v>
      </c>
      <c r="F715" t="str">
        <f>VLOOKUP(Ramen_Ratings[[#This Row],[Country]],Country_Region[#All],2,FALSE)</f>
        <v>Asia</v>
      </c>
      <c r="G715">
        <v>5</v>
      </c>
      <c r="H715" t="str" cm="1">
        <f t="array" ref="H715">_xlfn.IFS(Ramen_Ratings[[#This Row],[Stars]] = "Unrated", "NA",Ramen_Ratings[[#This Row],[Stars]]&gt;=4, "Good", Ramen_Ratings[[#This Row],[Stars]]&gt;2.5, "Fair", Ramen_Ratings[[#This Row],[Stars]] &gt;= 0, "Bad")</f>
        <v>Good</v>
      </c>
      <c r="J715" t="str">
        <f>LEFT(Ramen_Ratings[[#This Row],[Top Ten]],4)</f>
        <v/>
      </c>
      <c r="K715" t="str">
        <f>IF(Ramen_Ratings[[#This Row],[Top Ten]]="", "",RIGHT(Ramen_Ratings[[#This Row],[Top Ten]],LEN(Ramen_Ratings[[#This Row],[Top Ten]])-6))</f>
        <v/>
      </c>
    </row>
    <row r="716" spans="1:11" x14ac:dyDescent="0.25">
      <c r="A716">
        <v>2352</v>
      </c>
      <c r="B716" t="s">
        <v>99</v>
      </c>
      <c r="C716" t="s">
        <v>334</v>
      </c>
      <c r="D716" t="s">
        <v>13</v>
      </c>
      <c r="E716" t="s">
        <v>14</v>
      </c>
      <c r="F716" t="str">
        <f>VLOOKUP(Ramen_Ratings[[#This Row],[Country]],Country_Region[#All],2,FALSE)</f>
        <v>Asia</v>
      </c>
      <c r="G716">
        <v>1</v>
      </c>
      <c r="H716" t="str" cm="1">
        <f t="array" ref="H716">_xlfn.IFS(Ramen_Ratings[[#This Row],[Stars]] = "Unrated", "NA",Ramen_Ratings[[#This Row],[Stars]]&gt;=4, "Good", Ramen_Ratings[[#This Row],[Stars]]&gt;2.5, "Fair", Ramen_Ratings[[#This Row],[Stars]] &gt;= 0, "Bad")</f>
        <v>Bad</v>
      </c>
      <c r="J716" t="str">
        <f>LEFT(Ramen_Ratings[[#This Row],[Top Ten]],4)</f>
        <v/>
      </c>
      <c r="K716" t="str">
        <f>IF(Ramen_Ratings[[#This Row],[Top Ten]]="", "",RIGHT(Ramen_Ratings[[#This Row],[Top Ten]],LEN(Ramen_Ratings[[#This Row],[Top Ten]])-6))</f>
        <v/>
      </c>
    </row>
    <row r="717" spans="1:11" x14ac:dyDescent="0.25">
      <c r="A717">
        <v>2330</v>
      </c>
      <c r="B717" t="s">
        <v>243</v>
      </c>
      <c r="C717" t="s">
        <v>362</v>
      </c>
      <c r="D717" t="s">
        <v>13</v>
      </c>
      <c r="E717" t="s">
        <v>14</v>
      </c>
      <c r="F717" t="str">
        <f>VLOOKUP(Ramen_Ratings[[#This Row],[Country]],Country_Region[#All],2,FALSE)</f>
        <v>Asia</v>
      </c>
      <c r="G717">
        <v>4</v>
      </c>
      <c r="H717" t="str" cm="1">
        <f t="array" ref="H717">_xlfn.IFS(Ramen_Ratings[[#This Row],[Stars]] = "Unrated", "NA",Ramen_Ratings[[#This Row],[Stars]]&gt;=4, "Good", Ramen_Ratings[[#This Row],[Stars]]&gt;2.5, "Fair", Ramen_Ratings[[#This Row],[Stars]] &gt;= 0, "Bad")</f>
        <v>Good</v>
      </c>
      <c r="J717" t="str">
        <f>LEFT(Ramen_Ratings[[#This Row],[Top Ten]],4)</f>
        <v/>
      </c>
      <c r="K717" t="str">
        <f>IF(Ramen_Ratings[[#This Row],[Top Ten]]="", "",RIGHT(Ramen_Ratings[[#This Row],[Top Ten]],LEN(Ramen_Ratings[[#This Row],[Top Ten]])-6))</f>
        <v/>
      </c>
    </row>
    <row r="718" spans="1:11" x14ac:dyDescent="0.25">
      <c r="A718">
        <v>2318</v>
      </c>
      <c r="B718" t="s">
        <v>143</v>
      </c>
      <c r="C718" t="s">
        <v>379</v>
      </c>
      <c r="D718" t="s">
        <v>13</v>
      </c>
      <c r="E718" t="s">
        <v>14</v>
      </c>
      <c r="F718" t="str">
        <f>VLOOKUP(Ramen_Ratings[[#This Row],[Country]],Country_Region[#All],2,FALSE)</f>
        <v>Asia</v>
      </c>
      <c r="G718">
        <v>5</v>
      </c>
      <c r="H718" t="str" cm="1">
        <f t="array" ref="H718">_xlfn.IFS(Ramen_Ratings[[#This Row],[Stars]] = "Unrated", "NA",Ramen_Ratings[[#This Row],[Stars]]&gt;=4, "Good", Ramen_Ratings[[#This Row],[Stars]]&gt;2.5, "Fair", Ramen_Ratings[[#This Row],[Stars]] &gt;= 0, "Bad")</f>
        <v>Good</v>
      </c>
      <c r="J718" t="str">
        <f>LEFT(Ramen_Ratings[[#This Row],[Top Ten]],4)</f>
        <v/>
      </c>
      <c r="K718" t="str">
        <f>IF(Ramen_Ratings[[#This Row],[Top Ten]]="", "",RIGHT(Ramen_Ratings[[#This Row],[Top Ten]],LEN(Ramen_Ratings[[#This Row],[Top Ten]])-6))</f>
        <v/>
      </c>
    </row>
    <row r="719" spans="1:11" x14ac:dyDescent="0.25">
      <c r="A719">
        <v>2313</v>
      </c>
      <c r="B719" t="s">
        <v>385</v>
      </c>
      <c r="C719" t="s">
        <v>386</v>
      </c>
      <c r="D719" t="s">
        <v>13</v>
      </c>
      <c r="E719" t="s">
        <v>14</v>
      </c>
      <c r="F719" t="str">
        <f>VLOOKUP(Ramen_Ratings[[#This Row],[Country]],Country_Region[#All],2,FALSE)</f>
        <v>Asia</v>
      </c>
      <c r="G719">
        <v>3.5</v>
      </c>
      <c r="H719" t="str" cm="1">
        <f t="array" ref="H719">_xlfn.IFS(Ramen_Ratings[[#This Row],[Stars]] = "Unrated", "NA",Ramen_Ratings[[#This Row],[Stars]]&gt;=4, "Good", Ramen_Ratings[[#This Row],[Stars]]&gt;2.5, "Fair", Ramen_Ratings[[#This Row],[Stars]] &gt;= 0, "Bad")</f>
        <v>Fair</v>
      </c>
      <c r="J719" t="str">
        <f>LEFT(Ramen_Ratings[[#This Row],[Top Ten]],4)</f>
        <v/>
      </c>
      <c r="K719" t="str">
        <f>IF(Ramen_Ratings[[#This Row],[Top Ten]]="", "",RIGHT(Ramen_Ratings[[#This Row],[Top Ten]],LEN(Ramen_Ratings[[#This Row],[Top Ten]])-6))</f>
        <v/>
      </c>
    </row>
    <row r="720" spans="1:11" x14ac:dyDescent="0.25">
      <c r="A720">
        <v>2312</v>
      </c>
      <c r="B720" t="s">
        <v>385</v>
      </c>
      <c r="C720" t="s">
        <v>387</v>
      </c>
      <c r="D720" t="s">
        <v>13</v>
      </c>
      <c r="E720" t="s">
        <v>14</v>
      </c>
      <c r="F720" t="str">
        <f>VLOOKUP(Ramen_Ratings[[#This Row],[Country]],Country_Region[#All],2,FALSE)</f>
        <v>Asia</v>
      </c>
      <c r="G720">
        <v>5</v>
      </c>
      <c r="H720" t="str" cm="1">
        <f t="array" ref="H720">_xlfn.IFS(Ramen_Ratings[[#This Row],[Stars]] = "Unrated", "NA",Ramen_Ratings[[#This Row],[Stars]]&gt;=4, "Good", Ramen_Ratings[[#This Row],[Stars]]&gt;2.5, "Fair", Ramen_Ratings[[#This Row],[Stars]] &gt;= 0, "Bad")</f>
        <v>Good</v>
      </c>
      <c r="J720" t="str">
        <f>LEFT(Ramen_Ratings[[#This Row],[Top Ten]],4)</f>
        <v/>
      </c>
      <c r="K720" t="str">
        <f>IF(Ramen_Ratings[[#This Row],[Top Ten]]="", "",RIGHT(Ramen_Ratings[[#This Row],[Top Ten]],LEN(Ramen_Ratings[[#This Row],[Top Ten]])-6))</f>
        <v/>
      </c>
    </row>
    <row r="721" spans="1:11" x14ac:dyDescent="0.25">
      <c r="A721">
        <v>2311</v>
      </c>
      <c r="B721" t="s">
        <v>385</v>
      </c>
      <c r="C721" t="s">
        <v>388</v>
      </c>
      <c r="D721" t="s">
        <v>13</v>
      </c>
      <c r="E721" t="s">
        <v>14</v>
      </c>
      <c r="F721" t="str">
        <f>VLOOKUP(Ramen_Ratings[[#This Row],[Country]],Country_Region[#All],2,FALSE)</f>
        <v>Asia</v>
      </c>
      <c r="G721">
        <v>3.8</v>
      </c>
      <c r="H721" t="str" cm="1">
        <f t="array" ref="H721">_xlfn.IFS(Ramen_Ratings[[#This Row],[Stars]] = "Unrated", "NA",Ramen_Ratings[[#This Row],[Stars]]&gt;=4, "Good", Ramen_Ratings[[#This Row],[Stars]]&gt;2.5, "Fair", Ramen_Ratings[[#This Row],[Stars]] &gt;= 0, "Bad")</f>
        <v>Fair</v>
      </c>
      <c r="J721" t="str">
        <f>LEFT(Ramen_Ratings[[#This Row],[Top Ten]],4)</f>
        <v/>
      </c>
      <c r="K721" t="str">
        <f>IF(Ramen_Ratings[[#This Row],[Top Ten]]="", "",RIGHT(Ramen_Ratings[[#This Row],[Top Ten]],LEN(Ramen_Ratings[[#This Row],[Top Ten]])-6))</f>
        <v/>
      </c>
    </row>
    <row r="722" spans="1:11" x14ac:dyDescent="0.25">
      <c r="A722">
        <v>2273</v>
      </c>
      <c r="B722" t="s">
        <v>99</v>
      </c>
      <c r="C722" t="s">
        <v>428</v>
      </c>
      <c r="D722" t="s">
        <v>44</v>
      </c>
      <c r="E722" t="s">
        <v>14</v>
      </c>
      <c r="F722" t="str">
        <f>VLOOKUP(Ramen_Ratings[[#This Row],[Country]],Country_Region[#All],2,FALSE)</f>
        <v>Asia</v>
      </c>
      <c r="G722">
        <v>4</v>
      </c>
      <c r="H722" t="str" cm="1">
        <f t="array" ref="H722">_xlfn.IFS(Ramen_Ratings[[#This Row],[Stars]] = "Unrated", "NA",Ramen_Ratings[[#This Row],[Stars]]&gt;=4, "Good", Ramen_Ratings[[#This Row],[Stars]]&gt;2.5, "Fair", Ramen_Ratings[[#This Row],[Stars]] &gt;= 0, "Bad")</f>
        <v>Good</v>
      </c>
      <c r="J722" t="str">
        <f>LEFT(Ramen_Ratings[[#This Row],[Top Ten]],4)</f>
        <v/>
      </c>
      <c r="K722" t="str">
        <f>IF(Ramen_Ratings[[#This Row],[Top Ten]]="", "",RIGHT(Ramen_Ratings[[#This Row],[Top Ten]],LEN(Ramen_Ratings[[#This Row],[Top Ten]])-6))</f>
        <v/>
      </c>
    </row>
    <row r="723" spans="1:11" x14ac:dyDescent="0.25">
      <c r="A723">
        <v>2264</v>
      </c>
      <c r="B723" t="s">
        <v>436</v>
      </c>
      <c r="C723" t="s">
        <v>437</v>
      </c>
      <c r="D723" t="s">
        <v>13</v>
      </c>
      <c r="E723" t="s">
        <v>14</v>
      </c>
      <c r="F723" t="str">
        <f>VLOOKUP(Ramen_Ratings[[#This Row],[Country]],Country_Region[#All],2,FALSE)</f>
        <v>Asia</v>
      </c>
      <c r="G723">
        <v>1</v>
      </c>
      <c r="H723" t="str" cm="1">
        <f t="array" ref="H723">_xlfn.IFS(Ramen_Ratings[[#This Row],[Stars]] = "Unrated", "NA",Ramen_Ratings[[#This Row],[Stars]]&gt;=4, "Good", Ramen_Ratings[[#This Row],[Stars]]&gt;2.5, "Fair", Ramen_Ratings[[#This Row],[Stars]] &gt;= 0, "Bad")</f>
        <v>Bad</v>
      </c>
      <c r="J723" t="str">
        <f>LEFT(Ramen_Ratings[[#This Row],[Top Ten]],4)</f>
        <v/>
      </c>
      <c r="K723" t="str">
        <f>IF(Ramen_Ratings[[#This Row],[Top Ten]]="", "",RIGHT(Ramen_Ratings[[#This Row],[Top Ten]],LEN(Ramen_Ratings[[#This Row],[Top Ten]])-6))</f>
        <v/>
      </c>
    </row>
    <row r="724" spans="1:11" x14ac:dyDescent="0.25">
      <c r="A724">
        <v>2260</v>
      </c>
      <c r="B724" t="s">
        <v>99</v>
      </c>
      <c r="C724" t="s">
        <v>441</v>
      </c>
      <c r="D724" t="s">
        <v>13</v>
      </c>
      <c r="E724" t="s">
        <v>14</v>
      </c>
      <c r="F724" t="str">
        <f>VLOOKUP(Ramen_Ratings[[#This Row],[Country]],Country_Region[#All],2,FALSE)</f>
        <v>Asia</v>
      </c>
      <c r="G724">
        <v>5</v>
      </c>
      <c r="H724" t="str" cm="1">
        <f t="array" ref="H724">_xlfn.IFS(Ramen_Ratings[[#This Row],[Stars]] = "Unrated", "NA",Ramen_Ratings[[#This Row],[Stars]]&gt;=4, "Good", Ramen_Ratings[[#This Row],[Stars]]&gt;2.5, "Fair", Ramen_Ratings[[#This Row],[Stars]] &gt;= 0, "Bad")</f>
        <v>Good</v>
      </c>
      <c r="J724" t="str">
        <f>LEFT(Ramen_Ratings[[#This Row],[Top Ten]],4)</f>
        <v/>
      </c>
      <c r="K724" t="str">
        <f>IF(Ramen_Ratings[[#This Row],[Top Ten]]="", "",RIGHT(Ramen_Ratings[[#This Row],[Top Ten]],LEN(Ramen_Ratings[[#This Row],[Top Ten]])-6))</f>
        <v/>
      </c>
    </row>
    <row r="725" spans="1:11" x14ac:dyDescent="0.25">
      <c r="A725">
        <v>2249</v>
      </c>
      <c r="B725" t="s">
        <v>455</v>
      </c>
      <c r="C725" t="s">
        <v>456</v>
      </c>
      <c r="D725" t="s">
        <v>13</v>
      </c>
      <c r="E725" t="s">
        <v>14</v>
      </c>
      <c r="F725" t="str">
        <f>VLOOKUP(Ramen_Ratings[[#This Row],[Country]],Country_Region[#All],2,FALSE)</f>
        <v>Asia</v>
      </c>
      <c r="G725">
        <v>4</v>
      </c>
      <c r="H725" t="str" cm="1">
        <f t="array" ref="H725">_xlfn.IFS(Ramen_Ratings[[#This Row],[Stars]] = "Unrated", "NA",Ramen_Ratings[[#This Row],[Stars]]&gt;=4, "Good", Ramen_Ratings[[#This Row],[Stars]]&gt;2.5, "Fair", Ramen_Ratings[[#This Row],[Stars]] &gt;= 0, "Bad")</f>
        <v>Good</v>
      </c>
      <c r="J725" t="str">
        <f>LEFT(Ramen_Ratings[[#This Row],[Top Ten]],4)</f>
        <v/>
      </c>
      <c r="K725" t="str">
        <f>IF(Ramen_Ratings[[#This Row],[Top Ten]]="", "",RIGHT(Ramen_Ratings[[#This Row],[Top Ten]],LEN(Ramen_Ratings[[#This Row],[Top Ten]])-6))</f>
        <v/>
      </c>
    </row>
    <row r="726" spans="1:11" x14ac:dyDescent="0.25">
      <c r="A726">
        <v>2218</v>
      </c>
      <c r="B726" t="s">
        <v>493</v>
      </c>
      <c r="C726" t="s">
        <v>494</v>
      </c>
      <c r="D726" t="s">
        <v>13</v>
      </c>
      <c r="E726" t="s">
        <v>14</v>
      </c>
      <c r="F726" t="str">
        <f>VLOOKUP(Ramen_Ratings[[#This Row],[Country]],Country_Region[#All],2,FALSE)</f>
        <v>Asia</v>
      </c>
      <c r="G726">
        <v>4</v>
      </c>
      <c r="H726" t="str" cm="1">
        <f t="array" ref="H726">_xlfn.IFS(Ramen_Ratings[[#This Row],[Stars]] = "Unrated", "NA",Ramen_Ratings[[#This Row],[Stars]]&gt;=4, "Good", Ramen_Ratings[[#This Row],[Stars]]&gt;2.5, "Fair", Ramen_Ratings[[#This Row],[Stars]] &gt;= 0, "Bad")</f>
        <v>Good</v>
      </c>
      <c r="J726" t="str">
        <f>LEFT(Ramen_Ratings[[#This Row],[Top Ten]],4)</f>
        <v/>
      </c>
      <c r="K726" t="str">
        <f>IF(Ramen_Ratings[[#This Row],[Top Ten]]="", "",RIGHT(Ramen_Ratings[[#This Row],[Top Ten]],LEN(Ramen_Ratings[[#This Row],[Top Ten]])-6))</f>
        <v/>
      </c>
    </row>
    <row r="727" spans="1:11" x14ac:dyDescent="0.25">
      <c r="A727">
        <v>2216</v>
      </c>
      <c r="B727" t="s">
        <v>496</v>
      </c>
      <c r="C727" t="s">
        <v>497</v>
      </c>
      <c r="D727" t="s">
        <v>30</v>
      </c>
      <c r="E727" t="s">
        <v>14</v>
      </c>
      <c r="F727" t="str">
        <f>VLOOKUP(Ramen_Ratings[[#This Row],[Country]],Country_Region[#All],2,FALSE)</f>
        <v>Asia</v>
      </c>
      <c r="G727">
        <v>3</v>
      </c>
      <c r="H727" t="str" cm="1">
        <f t="array" ref="H727">_xlfn.IFS(Ramen_Ratings[[#This Row],[Stars]] = "Unrated", "NA",Ramen_Ratings[[#This Row],[Stars]]&gt;=4, "Good", Ramen_Ratings[[#This Row],[Stars]]&gt;2.5, "Fair", Ramen_Ratings[[#This Row],[Stars]] &gt;= 0, "Bad")</f>
        <v>Fair</v>
      </c>
      <c r="J727" t="str">
        <f>LEFT(Ramen_Ratings[[#This Row],[Top Ten]],4)</f>
        <v/>
      </c>
      <c r="K727" t="str">
        <f>IF(Ramen_Ratings[[#This Row],[Top Ten]]="", "",RIGHT(Ramen_Ratings[[#This Row],[Top Ten]],LEN(Ramen_Ratings[[#This Row],[Top Ten]])-6))</f>
        <v/>
      </c>
    </row>
    <row r="728" spans="1:11" x14ac:dyDescent="0.25">
      <c r="A728">
        <v>2191</v>
      </c>
      <c r="B728" t="s">
        <v>526</v>
      </c>
      <c r="C728" t="s">
        <v>527</v>
      </c>
      <c r="D728" t="s">
        <v>13</v>
      </c>
      <c r="E728" t="s">
        <v>14</v>
      </c>
      <c r="F728" t="str">
        <f>VLOOKUP(Ramen_Ratings[[#This Row],[Country]],Country_Region[#All],2,FALSE)</f>
        <v>Asia</v>
      </c>
      <c r="G728">
        <v>4</v>
      </c>
      <c r="H728" t="str" cm="1">
        <f t="array" ref="H728">_xlfn.IFS(Ramen_Ratings[[#This Row],[Stars]] = "Unrated", "NA",Ramen_Ratings[[#This Row],[Stars]]&gt;=4, "Good", Ramen_Ratings[[#This Row],[Stars]]&gt;2.5, "Fair", Ramen_Ratings[[#This Row],[Stars]] &gt;= 0, "Bad")</f>
        <v>Good</v>
      </c>
      <c r="J728" t="str">
        <f>LEFT(Ramen_Ratings[[#This Row],[Top Ten]],4)</f>
        <v/>
      </c>
      <c r="K728" t="str">
        <f>IF(Ramen_Ratings[[#This Row],[Top Ten]]="", "",RIGHT(Ramen_Ratings[[#This Row],[Top Ten]],LEN(Ramen_Ratings[[#This Row],[Top Ten]])-6))</f>
        <v/>
      </c>
    </row>
    <row r="729" spans="1:11" x14ac:dyDescent="0.25">
      <c r="A729">
        <v>2168</v>
      </c>
      <c r="B729" t="s">
        <v>493</v>
      </c>
      <c r="C729" t="s">
        <v>551</v>
      </c>
      <c r="D729" t="s">
        <v>13</v>
      </c>
      <c r="E729" t="s">
        <v>14</v>
      </c>
      <c r="F729" t="str">
        <f>VLOOKUP(Ramen_Ratings[[#This Row],[Country]],Country_Region[#All],2,FALSE)</f>
        <v>Asia</v>
      </c>
      <c r="G729">
        <v>5</v>
      </c>
      <c r="H729" t="str" cm="1">
        <f t="array" ref="H729">_xlfn.IFS(Ramen_Ratings[[#This Row],[Stars]] = "Unrated", "NA",Ramen_Ratings[[#This Row],[Stars]]&gt;=4, "Good", Ramen_Ratings[[#This Row],[Stars]]&gt;2.5, "Fair", Ramen_Ratings[[#This Row],[Stars]] &gt;= 0, "Bad")</f>
        <v>Good</v>
      </c>
      <c r="J729" t="str">
        <f>LEFT(Ramen_Ratings[[#This Row],[Top Ten]],4)</f>
        <v/>
      </c>
      <c r="K729" t="str">
        <f>IF(Ramen_Ratings[[#This Row],[Top Ten]]="", "",RIGHT(Ramen_Ratings[[#This Row],[Top Ten]],LEN(Ramen_Ratings[[#This Row],[Top Ten]])-6))</f>
        <v/>
      </c>
    </row>
    <row r="730" spans="1:11" x14ac:dyDescent="0.25">
      <c r="A730">
        <v>2164</v>
      </c>
      <c r="B730" t="s">
        <v>493</v>
      </c>
      <c r="C730" t="s">
        <v>555</v>
      </c>
      <c r="D730" t="s">
        <v>13</v>
      </c>
      <c r="E730" t="s">
        <v>14</v>
      </c>
      <c r="F730" t="str">
        <f>VLOOKUP(Ramen_Ratings[[#This Row],[Country]],Country_Region[#All],2,FALSE)</f>
        <v>Asia</v>
      </c>
      <c r="G730">
        <v>5</v>
      </c>
      <c r="H730" t="str" cm="1">
        <f t="array" ref="H730">_xlfn.IFS(Ramen_Ratings[[#This Row],[Stars]] = "Unrated", "NA",Ramen_Ratings[[#This Row],[Stars]]&gt;=4, "Good", Ramen_Ratings[[#This Row],[Stars]]&gt;2.5, "Fair", Ramen_Ratings[[#This Row],[Stars]] &gt;= 0, "Bad")</f>
        <v>Good</v>
      </c>
      <c r="J730" t="str">
        <f>LEFT(Ramen_Ratings[[#This Row],[Top Ten]],4)</f>
        <v/>
      </c>
      <c r="K730" t="str">
        <f>IF(Ramen_Ratings[[#This Row],[Top Ten]]="", "",RIGHT(Ramen_Ratings[[#This Row],[Top Ten]],LEN(Ramen_Ratings[[#This Row],[Top Ten]])-6))</f>
        <v/>
      </c>
    </row>
    <row r="731" spans="1:11" x14ac:dyDescent="0.25">
      <c r="A731">
        <v>2162</v>
      </c>
      <c r="B731" t="s">
        <v>493</v>
      </c>
      <c r="C731" t="s">
        <v>557</v>
      </c>
      <c r="D731" t="s">
        <v>13</v>
      </c>
      <c r="E731" t="s">
        <v>14</v>
      </c>
      <c r="F731" t="str">
        <f>VLOOKUP(Ramen_Ratings[[#This Row],[Country]],Country_Region[#All],2,FALSE)</f>
        <v>Asia</v>
      </c>
      <c r="G731">
        <v>5</v>
      </c>
      <c r="H731" t="str" cm="1">
        <f t="array" ref="H731">_xlfn.IFS(Ramen_Ratings[[#This Row],[Stars]] = "Unrated", "NA",Ramen_Ratings[[#This Row],[Stars]]&gt;=4, "Good", Ramen_Ratings[[#This Row],[Stars]]&gt;2.5, "Fair", Ramen_Ratings[[#This Row],[Stars]] &gt;= 0, "Bad")</f>
        <v>Good</v>
      </c>
      <c r="J731" t="str">
        <f>LEFT(Ramen_Ratings[[#This Row],[Top Ten]],4)</f>
        <v/>
      </c>
      <c r="K731" t="str">
        <f>IF(Ramen_Ratings[[#This Row],[Top Ten]]="", "",RIGHT(Ramen_Ratings[[#This Row],[Top Ten]],LEN(Ramen_Ratings[[#This Row],[Top Ten]])-6))</f>
        <v/>
      </c>
    </row>
    <row r="732" spans="1:11" x14ac:dyDescent="0.25">
      <c r="A732">
        <v>2158</v>
      </c>
      <c r="B732" t="s">
        <v>496</v>
      </c>
      <c r="C732" t="s">
        <v>563</v>
      </c>
      <c r="D732" t="s">
        <v>30</v>
      </c>
      <c r="E732" t="s">
        <v>14</v>
      </c>
      <c r="F732" t="str">
        <f>VLOOKUP(Ramen_Ratings[[#This Row],[Country]],Country_Region[#All],2,FALSE)</f>
        <v>Asia</v>
      </c>
      <c r="G732">
        <v>5</v>
      </c>
      <c r="H732" t="str" cm="1">
        <f t="array" ref="H732">_xlfn.IFS(Ramen_Ratings[[#This Row],[Stars]] = "Unrated", "NA",Ramen_Ratings[[#This Row],[Stars]]&gt;=4, "Good", Ramen_Ratings[[#This Row],[Stars]]&gt;2.5, "Fair", Ramen_Ratings[[#This Row],[Stars]] &gt;= 0, "Bad")</f>
        <v>Good</v>
      </c>
      <c r="J732" t="str">
        <f>LEFT(Ramen_Ratings[[#This Row],[Top Ten]],4)</f>
        <v/>
      </c>
      <c r="K732" t="str">
        <f>IF(Ramen_Ratings[[#This Row],[Top Ten]]="", "",RIGHT(Ramen_Ratings[[#This Row],[Top Ten]],LEN(Ramen_Ratings[[#This Row],[Top Ten]])-6))</f>
        <v/>
      </c>
    </row>
    <row r="733" spans="1:11" x14ac:dyDescent="0.25">
      <c r="A733">
        <v>2156</v>
      </c>
      <c r="B733" t="s">
        <v>496</v>
      </c>
      <c r="C733" t="s">
        <v>565</v>
      </c>
      <c r="D733" t="s">
        <v>30</v>
      </c>
      <c r="E733" t="s">
        <v>14</v>
      </c>
      <c r="F733" t="str">
        <f>VLOOKUP(Ramen_Ratings[[#This Row],[Country]],Country_Region[#All],2,FALSE)</f>
        <v>Asia</v>
      </c>
      <c r="G733">
        <v>2</v>
      </c>
      <c r="H733" t="str" cm="1">
        <f t="array" ref="H733">_xlfn.IFS(Ramen_Ratings[[#This Row],[Stars]] = "Unrated", "NA",Ramen_Ratings[[#This Row],[Stars]]&gt;=4, "Good", Ramen_Ratings[[#This Row],[Stars]]&gt;2.5, "Fair", Ramen_Ratings[[#This Row],[Stars]] &gt;= 0, "Bad")</f>
        <v>Bad</v>
      </c>
      <c r="J733" t="str">
        <f>LEFT(Ramen_Ratings[[#This Row],[Top Ten]],4)</f>
        <v/>
      </c>
      <c r="K733" t="str">
        <f>IF(Ramen_Ratings[[#This Row],[Top Ten]]="", "",RIGHT(Ramen_Ratings[[#This Row],[Top Ten]],LEN(Ramen_Ratings[[#This Row],[Top Ten]])-6))</f>
        <v/>
      </c>
    </row>
    <row r="734" spans="1:11" x14ac:dyDescent="0.25">
      <c r="A734">
        <v>2155</v>
      </c>
      <c r="B734" t="s">
        <v>566</v>
      </c>
      <c r="C734" t="s">
        <v>567</v>
      </c>
      <c r="D734" t="s">
        <v>13</v>
      </c>
      <c r="E734" t="s">
        <v>14</v>
      </c>
      <c r="F734" t="str">
        <f>VLOOKUP(Ramen_Ratings[[#This Row],[Country]],Country_Region[#All],2,FALSE)</f>
        <v>Asia</v>
      </c>
      <c r="G734">
        <v>4</v>
      </c>
      <c r="H734" t="str" cm="1">
        <f t="array" ref="H734">_xlfn.IFS(Ramen_Ratings[[#This Row],[Stars]] = "Unrated", "NA",Ramen_Ratings[[#This Row],[Stars]]&gt;=4, "Good", Ramen_Ratings[[#This Row],[Stars]]&gt;2.5, "Fair", Ramen_Ratings[[#This Row],[Stars]] &gt;= 0, "Bad")</f>
        <v>Good</v>
      </c>
      <c r="J734" t="str">
        <f>LEFT(Ramen_Ratings[[#This Row],[Top Ten]],4)</f>
        <v/>
      </c>
      <c r="K734" t="str">
        <f>IF(Ramen_Ratings[[#This Row],[Top Ten]]="", "",RIGHT(Ramen_Ratings[[#This Row],[Top Ten]],LEN(Ramen_Ratings[[#This Row],[Top Ten]])-6))</f>
        <v/>
      </c>
    </row>
    <row r="735" spans="1:11" x14ac:dyDescent="0.25">
      <c r="A735">
        <v>2154</v>
      </c>
      <c r="B735" t="s">
        <v>566</v>
      </c>
      <c r="C735" t="s">
        <v>568</v>
      </c>
      <c r="D735" t="s">
        <v>13</v>
      </c>
      <c r="E735" t="s">
        <v>14</v>
      </c>
      <c r="F735" t="str">
        <f>VLOOKUP(Ramen_Ratings[[#This Row],[Country]],Country_Region[#All],2,FALSE)</f>
        <v>Asia</v>
      </c>
      <c r="G735">
        <v>4</v>
      </c>
      <c r="H735" t="str" cm="1">
        <f t="array" ref="H735">_xlfn.IFS(Ramen_Ratings[[#This Row],[Stars]] = "Unrated", "NA",Ramen_Ratings[[#This Row],[Stars]]&gt;=4, "Good", Ramen_Ratings[[#This Row],[Stars]]&gt;2.5, "Fair", Ramen_Ratings[[#This Row],[Stars]] &gt;= 0, "Bad")</f>
        <v>Good</v>
      </c>
      <c r="J735" t="str">
        <f>LEFT(Ramen_Ratings[[#This Row],[Top Ten]],4)</f>
        <v/>
      </c>
      <c r="K735" t="str">
        <f>IF(Ramen_Ratings[[#This Row],[Top Ten]]="", "",RIGHT(Ramen_Ratings[[#This Row],[Top Ten]],LEN(Ramen_Ratings[[#This Row],[Top Ten]])-6))</f>
        <v/>
      </c>
    </row>
    <row r="736" spans="1:11" x14ac:dyDescent="0.25">
      <c r="A736">
        <v>2153</v>
      </c>
      <c r="B736" t="s">
        <v>566</v>
      </c>
      <c r="C736" t="s">
        <v>569</v>
      </c>
      <c r="D736" t="s">
        <v>13</v>
      </c>
      <c r="E736" t="s">
        <v>14</v>
      </c>
      <c r="F736" t="str">
        <f>VLOOKUP(Ramen_Ratings[[#This Row],[Country]],Country_Region[#All],2,FALSE)</f>
        <v>Asia</v>
      </c>
      <c r="G736">
        <v>4</v>
      </c>
      <c r="H736" t="str" cm="1">
        <f t="array" ref="H736">_xlfn.IFS(Ramen_Ratings[[#This Row],[Stars]] = "Unrated", "NA",Ramen_Ratings[[#This Row],[Stars]]&gt;=4, "Good", Ramen_Ratings[[#This Row],[Stars]]&gt;2.5, "Fair", Ramen_Ratings[[#This Row],[Stars]] &gt;= 0, "Bad")</f>
        <v>Good</v>
      </c>
      <c r="J736" t="str">
        <f>LEFT(Ramen_Ratings[[#This Row],[Top Ten]],4)</f>
        <v/>
      </c>
      <c r="K736" t="str">
        <f>IF(Ramen_Ratings[[#This Row],[Top Ten]]="", "",RIGHT(Ramen_Ratings[[#This Row],[Top Ten]],LEN(Ramen_Ratings[[#This Row],[Top Ten]])-6))</f>
        <v/>
      </c>
    </row>
    <row r="737" spans="1:11" x14ac:dyDescent="0.25">
      <c r="A737">
        <v>2152</v>
      </c>
      <c r="B737" t="s">
        <v>566</v>
      </c>
      <c r="C737" t="s">
        <v>570</v>
      </c>
      <c r="D737" t="s">
        <v>13</v>
      </c>
      <c r="E737" t="s">
        <v>14</v>
      </c>
      <c r="F737" t="str">
        <f>VLOOKUP(Ramen_Ratings[[#This Row],[Country]],Country_Region[#All],2,FALSE)</f>
        <v>Asia</v>
      </c>
      <c r="G737">
        <v>5</v>
      </c>
      <c r="H737" t="str" cm="1">
        <f t="array" ref="H737">_xlfn.IFS(Ramen_Ratings[[#This Row],[Stars]] = "Unrated", "NA",Ramen_Ratings[[#This Row],[Stars]]&gt;=4, "Good", Ramen_Ratings[[#This Row],[Stars]]&gt;2.5, "Fair", Ramen_Ratings[[#This Row],[Stars]] &gt;= 0, "Bad")</f>
        <v>Good</v>
      </c>
      <c r="J737" t="str">
        <f>LEFT(Ramen_Ratings[[#This Row],[Top Ten]],4)</f>
        <v/>
      </c>
      <c r="K737" t="str">
        <f>IF(Ramen_Ratings[[#This Row],[Top Ten]]="", "",RIGHT(Ramen_Ratings[[#This Row],[Top Ten]],LEN(Ramen_Ratings[[#This Row],[Top Ten]])-6))</f>
        <v/>
      </c>
    </row>
    <row r="738" spans="1:11" x14ac:dyDescent="0.25">
      <c r="A738">
        <v>2151</v>
      </c>
      <c r="B738" t="s">
        <v>566</v>
      </c>
      <c r="C738" t="s">
        <v>571</v>
      </c>
      <c r="D738" t="s">
        <v>13</v>
      </c>
      <c r="E738" t="s">
        <v>14</v>
      </c>
      <c r="F738" t="str">
        <f>VLOOKUP(Ramen_Ratings[[#This Row],[Country]],Country_Region[#All],2,FALSE)</f>
        <v>Asia</v>
      </c>
      <c r="G738">
        <v>5</v>
      </c>
      <c r="H738" t="str" cm="1">
        <f t="array" ref="H738">_xlfn.IFS(Ramen_Ratings[[#This Row],[Stars]] = "Unrated", "NA",Ramen_Ratings[[#This Row],[Stars]]&gt;=4, "Good", Ramen_Ratings[[#This Row],[Stars]]&gt;2.5, "Fair", Ramen_Ratings[[#This Row],[Stars]] &gt;= 0, "Bad")</f>
        <v>Good</v>
      </c>
      <c r="J738" t="str">
        <f>LEFT(Ramen_Ratings[[#This Row],[Top Ten]],4)</f>
        <v/>
      </c>
      <c r="K738" t="str">
        <f>IF(Ramen_Ratings[[#This Row],[Top Ten]]="", "",RIGHT(Ramen_Ratings[[#This Row],[Top Ten]],LEN(Ramen_Ratings[[#This Row],[Top Ten]])-6))</f>
        <v/>
      </c>
    </row>
    <row r="739" spans="1:11" x14ac:dyDescent="0.25">
      <c r="A739">
        <v>2150</v>
      </c>
      <c r="B739" t="s">
        <v>566</v>
      </c>
      <c r="C739" t="s">
        <v>572</v>
      </c>
      <c r="D739" t="s">
        <v>13</v>
      </c>
      <c r="E739" t="s">
        <v>14</v>
      </c>
      <c r="F739" t="str">
        <f>VLOOKUP(Ramen_Ratings[[#This Row],[Country]],Country_Region[#All],2,FALSE)</f>
        <v>Asia</v>
      </c>
      <c r="G739">
        <v>3</v>
      </c>
      <c r="H739" t="str" cm="1">
        <f t="array" ref="H739">_xlfn.IFS(Ramen_Ratings[[#This Row],[Stars]] = "Unrated", "NA",Ramen_Ratings[[#This Row],[Stars]]&gt;=4, "Good", Ramen_Ratings[[#This Row],[Stars]]&gt;2.5, "Fair", Ramen_Ratings[[#This Row],[Stars]] &gt;= 0, "Bad")</f>
        <v>Fair</v>
      </c>
      <c r="J739" t="str">
        <f>LEFT(Ramen_Ratings[[#This Row],[Top Ten]],4)</f>
        <v/>
      </c>
      <c r="K739" t="str">
        <f>IF(Ramen_Ratings[[#This Row],[Top Ten]]="", "",RIGHT(Ramen_Ratings[[#This Row],[Top Ten]],LEN(Ramen_Ratings[[#This Row],[Top Ten]])-6))</f>
        <v/>
      </c>
    </row>
    <row r="740" spans="1:11" x14ac:dyDescent="0.25">
      <c r="A740">
        <v>2149</v>
      </c>
      <c r="B740" t="s">
        <v>566</v>
      </c>
      <c r="C740" t="s">
        <v>573</v>
      </c>
      <c r="D740" t="s">
        <v>13</v>
      </c>
      <c r="E740" t="s">
        <v>14</v>
      </c>
      <c r="F740" t="str">
        <f>VLOOKUP(Ramen_Ratings[[#This Row],[Country]],Country_Region[#All],2,FALSE)</f>
        <v>Asia</v>
      </c>
      <c r="G740">
        <v>5</v>
      </c>
      <c r="H740" t="str" cm="1">
        <f t="array" ref="H740">_xlfn.IFS(Ramen_Ratings[[#This Row],[Stars]] = "Unrated", "NA",Ramen_Ratings[[#This Row],[Stars]]&gt;=4, "Good", Ramen_Ratings[[#This Row],[Stars]]&gt;2.5, "Fair", Ramen_Ratings[[#This Row],[Stars]] &gt;= 0, "Bad")</f>
        <v>Good</v>
      </c>
      <c r="J740" t="str">
        <f>LEFT(Ramen_Ratings[[#This Row],[Top Ten]],4)</f>
        <v/>
      </c>
      <c r="K740" t="str">
        <f>IF(Ramen_Ratings[[#This Row],[Top Ten]]="", "",RIGHT(Ramen_Ratings[[#This Row],[Top Ten]],LEN(Ramen_Ratings[[#This Row],[Top Ten]])-6))</f>
        <v/>
      </c>
    </row>
    <row r="741" spans="1:11" x14ac:dyDescent="0.25">
      <c r="A741">
        <v>2148</v>
      </c>
      <c r="B741" t="s">
        <v>566</v>
      </c>
      <c r="C741" t="s">
        <v>574</v>
      </c>
      <c r="D741" t="s">
        <v>13</v>
      </c>
      <c r="E741" t="s">
        <v>14</v>
      </c>
      <c r="F741" t="str">
        <f>VLOOKUP(Ramen_Ratings[[#This Row],[Country]],Country_Region[#All],2,FALSE)</f>
        <v>Asia</v>
      </c>
      <c r="G741">
        <v>5</v>
      </c>
      <c r="H741" t="str" cm="1">
        <f t="array" ref="H741">_xlfn.IFS(Ramen_Ratings[[#This Row],[Stars]] = "Unrated", "NA",Ramen_Ratings[[#This Row],[Stars]]&gt;=4, "Good", Ramen_Ratings[[#This Row],[Stars]]&gt;2.5, "Fair", Ramen_Ratings[[#This Row],[Stars]] &gt;= 0, "Bad")</f>
        <v>Good</v>
      </c>
      <c r="J741" t="str">
        <f>LEFT(Ramen_Ratings[[#This Row],[Top Ten]],4)</f>
        <v/>
      </c>
      <c r="K741" t="str">
        <f>IF(Ramen_Ratings[[#This Row],[Top Ten]]="", "",RIGHT(Ramen_Ratings[[#This Row],[Top Ten]],LEN(Ramen_Ratings[[#This Row],[Top Ten]])-6))</f>
        <v/>
      </c>
    </row>
    <row r="742" spans="1:11" x14ac:dyDescent="0.25">
      <c r="A742">
        <v>2109</v>
      </c>
      <c r="B742" t="s">
        <v>616</v>
      </c>
      <c r="C742" t="s">
        <v>617</v>
      </c>
      <c r="D742" t="s">
        <v>13</v>
      </c>
      <c r="E742" t="s">
        <v>14</v>
      </c>
      <c r="F742" t="str">
        <f>VLOOKUP(Ramen_Ratings[[#This Row],[Country]],Country_Region[#All],2,FALSE)</f>
        <v>Asia</v>
      </c>
      <c r="G742">
        <v>4.3</v>
      </c>
      <c r="H742" t="str" cm="1">
        <f t="array" ref="H742">_xlfn.IFS(Ramen_Ratings[[#This Row],[Stars]] = "Unrated", "NA",Ramen_Ratings[[#This Row],[Stars]]&gt;=4, "Good", Ramen_Ratings[[#This Row],[Stars]]&gt;2.5, "Fair", Ramen_Ratings[[#This Row],[Stars]] &gt;= 0, "Bad")</f>
        <v>Good</v>
      </c>
      <c r="J742" t="str">
        <f>LEFT(Ramen_Ratings[[#This Row],[Top Ten]],4)</f>
        <v/>
      </c>
      <c r="K742" t="str">
        <f>IF(Ramen_Ratings[[#This Row],[Top Ten]]="", "",RIGHT(Ramen_Ratings[[#This Row],[Top Ten]],LEN(Ramen_Ratings[[#This Row],[Top Ten]])-6))</f>
        <v/>
      </c>
    </row>
    <row r="743" spans="1:11" x14ac:dyDescent="0.25">
      <c r="A743">
        <v>2108</v>
      </c>
      <c r="B743" t="s">
        <v>618</v>
      </c>
      <c r="C743" t="s">
        <v>619</v>
      </c>
      <c r="D743" t="s">
        <v>13</v>
      </c>
      <c r="E743" t="s">
        <v>14</v>
      </c>
      <c r="F743" t="str">
        <f>VLOOKUP(Ramen_Ratings[[#This Row],[Country]],Country_Region[#All],2,FALSE)</f>
        <v>Asia</v>
      </c>
      <c r="G743">
        <v>1</v>
      </c>
      <c r="H743" t="str" cm="1">
        <f t="array" ref="H743">_xlfn.IFS(Ramen_Ratings[[#This Row],[Stars]] = "Unrated", "NA",Ramen_Ratings[[#This Row],[Stars]]&gt;=4, "Good", Ramen_Ratings[[#This Row],[Stars]]&gt;2.5, "Fair", Ramen_Ratings[[#This Row],[Stars]] &gt;= 0, "Bad")</f>
        <v>Bad</v>
      </c>
      <c r="J743" t="str">
        <f>LEFT(Ramen_Ratings[[#This Row],[Top Ten]],4)</f>
        <v/>
      </c>
      <c r="K743" t="str">
        <f>IF(Ramen_Ratings[[#This Row],[Top Ten]]="", "",RIGHT(Ramen_Ratings[[#This Row],[Top Ten]],LEN(Ramen_Ratings[[#This Row],[Top Ten]])-6))</f>
        <v/>
      </c>
    </row>
    <row r="744" spans="1:11" x14ac:dyDescent="0.25">
      <c r="A744">
        <v>2093</v>
      </c>
      <c r="B744" t="s">
        <v>616</v>
      </c>
      <c r="C744" t="s">
        <v>636</v>
      </c>
      <c r="D744" t="s">
        <v>13</v>
      </c>
      <c r="E744" t="s">
        <v>14</v>
      </c>
      <c r="F744" t="str">
        <f>VLOOKUP(Ramen_Ratings[[#This Row],[Country]],Country_Region[#All],2,FALSE)</f>
        <v>Asia</v>
      </c>
      <c r="G744">
        <v>2</v>
      </c>
      <c r="H744" t="str" cm="1">
        <f t="array" ref="H744">_xlfn.IFS(Ramen_Ratings[[#This Row],[Stars]] = "Unrated", "NA",Ramen_Ratings[[#This Row],[Stars]]&gt;=4, "Good", Ramen_Ratings[[#This Row],[Stars]]&gt;2.5, "Fair", Ramen_Ratings[[#This Row],[Stars]] &gt;= 0, "Bad")</f>
        <v>Bad</v>
      </c>
      <c r="J744" t="str">
        <f>LEFT(Ramen_Ratings[[#This Row],[Top Ten]],4)</f>
        <v/>
      </c>
      <c r="K744" t="str">
        <f>IF(Ramen_Ratings[[#This Row],[Top Ten]]="", "",RIGHT(Ramen_Ratings[[#This Row],[Top Ten]],LEN(Ramen_Ratings[[#This Row],[Top Ten]])-6))</f>
        <v/>
      </c>
    </row>
    <row r="745" spans="1:11" x14ac:dyDescent="0.25">
      <c r="A745">
        <v>2071</v>
      </c>
      <c r="B745" t="s">
        <v>496</v>
      </c>
      <c r="C745" t="s">
        <v>659</v>
      </c>
      <c r="D745" t="s">
        <v>13</v>
      </c>
      <c r="E745" t="s">
        <v>14</v>
      </c>
      <c r="F745" t="str">
        <f>VLOOKUP(Ramen_Ratings[[#This Row],[Country]],Country_Region[#All],2,FALSE)</f>
        <v>Asia</v>
      </c>
      <c r="G745">
        <v>5</v>
      </c>
      <c r="H745" t="str" cm="1">
        <f t="array" ref="H745">_xlfn.IFS(Ramen_Ratings[[#This Row],[Stars]] = "Unrated", "NA",Ramen_Ratings[[#This Row],[Stars]]&gt;=4, "Good", Ramen_Ratings[[#This Row],[Stars]]&gt;2.5, "Fair", Ramen_Ratings[[#This Row],[Stars]] &gt;= 0, "Bad")</f>
        <v>Good</v>
      </c>
      <c r="J745" t="str">
        <f>LEFT(Ramen_Ratings[[#This Row],[Top Ten]],4)</f>
        <v/>
      </c>
      <c r="K745" t="str">
        <f>IF(Ramen_Ratings[[#This Row],[Top Ten]]="", "",RIGHT(Ramen_Ratings[[#This Row],[Top Ten]],LEN(Ramen_Ratings[[#This Row],[Top Ten]])-6))</f>
        <v/>
      </c>
    </row>
    <row r="746" spans="1:11" x14ac:dyDescent="0.25">
      <c r="A746">
        <v>2047</v>
      </c>
      <c r="B746" t="s">
        <v>616</v>
      </c>
      <c r="C746" t="s">
        <v>687</v>
      </c>
      <c r="D746" t="s">
        <v>13</v>
      </c>
      <c r="E746" t="s">
        <v>14</v>
      </c>
      <c r="F746" t="str">
        <f>VLOOKUP(Ramen_Ratings[[#This Row],[Country]],Country_Region[#All],2,FALSE)</f>
        <v>Asia</v>
      </c>
      <c r="G746">
        <v>5</v>
      </c>
      <c r="H746" t="str" cm="1">
        <f t="array" ref="H746">_xlfn.IFS(Ramen_Ratings[[#This Row],[Stars]] = "Unrated", "NA",Ramen_Ratings[[#This Row],[Stars]]&gt;=4, "Good", Ramen_Ratings[[#This Row],[Stars]]&gt;2.5, "Fair", Ramen_Ratings[[#This Row],[Stars]] &gt;= 0, "Bad")</f>
        <v>Good</v>
      </c>
      <c r="J746" t="str">
        <f>LEFT(Ramen_Ratings[[#This Row],[Top Ten]],4)</f>
        <v/>
      </c>
      <c r="K746" t="str">
        <f>IF(Ramen_Ratings[[#This Row],[Top Ten]]="", "",RIGHT(Ramen_Ratings[[#This Row],[Top Ten]],LEN(Ramen_Ratings[[#This Row],[Top Ten]])-6))</f>
        <v/>
      </c>
    </row>
    <row r="747" spans="1:11" x14ac:dyDescent="0.25">
      <c r="A747">
        <v>2036</v>
      </c>
      <c r="B747" t="s">
        <v>496</v>
      </c>
      <c r="C747" t="s">
        <v>700</v>
      </c>
      <c r="D747" t="s">
        <v>13</v>
      </c>
      <c r="E747" t="s">
        <v>14</v>
      </c>
      <c r="F747" t="str">
        <f>VLOOKUP(Ramen_Ratings[[#This Row],[Country]],Country_Region[#All],2,FALSE)</f>
        <v>Asia</v>
      </c>
      <c r="G747">
        <v>4.25</v>
      </c>
      <c r="H747" t="str" cm="1">
        <f t="array" ref="H747">_xlfn.IFS(Ramen_Ratings[[#This Row],[Stars]] = "Unrated", "NA",Ramen_Ratings[[#This Row],[Stars]]&gt;=4, "Good", Ramen_Ratings[[#This Row],[Stars]]&gt;2.5, "Fair", Ramen_Ratings[[#This Row],[Stars]] &gt;= 0, "Bad")</f>
        <v>Good</v>
      </c>
      <c r="J747" t="str">
        <f>LEFT(Ramen_Ratings[[#This Row],[Top Ten]],4)</f>
        <v/>
      </c>
      <c r="K747" t="str">
        <f>IF(Ramen_Ratings[[#This Row],[Top Ten]]="", "",RIGHT(Ramen_Ratings[[#This Row],[Top Ten]],LEN(Ramen_Ratings[[#This Row],[Top Ten]])-6))</f>
        <v/>
      </c>
    </row>
    <row r="748" spans="1:11" x14ac:dyDescent="0.25">
      <c r="A748">
        <v>2014</v>
      </c>
      <c r="B748" t="s">
        <v>616</v>
      </c>
      <c r="C748" t="s">
        <v>724</v>
      </c>
      <c r="D748" t="s">
        <v>13</v>
      </c>
      <c r="E748" t="s">
        <v>14</v>
      </c>
      <c r="F748" t="str">
        <f>VLOOKUP(Ramen_Ratings[[#This Row],[Country]],Country_Region[#All],2,FALSE)</f>
        <v>Asia</v>
      </c>
      <c r="G748">
        <v>4.5</v>
      </c>
      <c r="H748" t="str" cm="1">
        <f t="array" ref="H748">_xlfn.IFS(Ramen_Ratings[[#This Row],[Stars]] = "Unrated", "NA",Ramen_Ratings[[#This Row],[Stars]]&gt;=4, "Good", Ramen_Ratings[[#This Row],[Stars]]&gt;2.5, "Fair", Ramen_Ratings[[#This Row],[Stars]] &gt;= 0, "Bad")</f>
        <v>Good</v>
      </c>
      <c r="J748" t="str">
        <f>LEFT(Ramen_Ratings[[#This Row],[Top Ten]],4)</f>
        <v/>
      </c>
      <c r="K748" t="str">
        <f>IF(Ramen_Ratings[[#This Row],[Top Ten]]="", "",RIGHT(Ramen_Ratings[[#This Row],[Top Ten]],LEN(Ramen_Ratings[[#This Row],[Top Ten]])-6))</f>
        <v/>
      </c>
    </row>
    <row r="749" spans="1:11" x14ac:dyDescent="0.25">
      <c r="A749">
        <v>2005</v>
      </c>
      <c r="B749" t="s">
        <v>496</v>
      </c>
      <c r="C749" t="s">
        <v>738</v>
      </c>
      <c r="D749" t="s">
        <v>13</v>
      </c>
      <c r="E749" t="s">
        <v>14</v>
      </c>
      <c r="F749" t="str">
        <f>VLOOKUP(Ramen_Ratings[[#This Row],[Country]],Country_Region[#All],2,FALSE)</f>
        <v>Asia</v>
      </c>
      <c r="G749">
        <v>4.5</v>
      </c>
      <c r="H749" t="str" cm="1">
        <f t="array" ref="H749">_xlfn.IFS(Ramen_Ratings[[#This Row],[Stars]] = "Unrated", "NA",Ramen_Ratings[[#This Row],[Stars]]&gt;=4, "Good", Ramen_Ratings[[#This Row],[Stars]]&gt;2.5, "Fair", Ramen_Ratings[[#This Row],[Stars]] &gt;= 0, "Bad")</f>
        <v>Good</v>
      </c>
      <c r="J749" t="str">
        <f>LEFT(Ramen_Ratings[[#This Row],[Top Ten]],4)</f>
        <v/>
      </c>
      <c r="K749" t="str">
        <f>IF(Ramen_Ratings[[#This Row],[Top Ten]]="", "",RIGHT(Ramen_Ratings[[#This Row],[Top Ten]],LEN(Ramen_Ratings[[#This Row],[Top Ten]])-6))</f>
        <v/>
      </c>
    </row>
    <row r="750" spans="1:11" x14ac:dyDescent="0.25">
      <c r="A750">
        <v>1986</v>
      </c>
      <c r="B750" t="s">
        <v>496</v>
      </c>
      <c r="C750" t="s">
        <v>756</v>
      </c>
      <c r="D750" t="s">
        <v>13</v>
      </c>
      <c r="E750" t="s">
        <v>14</v>
      </c>
      <c r="F750" t="str">
        <f>VLOOKUP(Ramen_Ratings[[#This Row],[Country]],Country_Region[#All],2,FALSE)</f>
        <v>Asia</v>
      </c>
      <c r="G750">
        <v>4.25</v>
      </c>
      <c r="H750" t="str" cm="1">
        <f t="array" ref="H750">_xlfn.IFS(Ramen_Ratings[[#This Row],[Stars]] = "Unrated", "NA",Ramen_Ratings[[#This Row],[Stars]]&gt;=4, "Good", Ramen_Ratings[[#This Row],[Stars]]&gt;2.5, "Fair", Ramen_Ratings[[#This Row],[Stars]] &gt;= 0, "Bad")</f>
        <v>Good</v>
      </c>
      <c r="J750" t="str">
        <f>LEFT(Ramen_Ratings[[#This Row],[Top Ten]],4)</f>
        <v/>
      </c>
      <c r="K750" t="str">
        <f>IF(Ramen_Ratings[[#This Row],[Top Ten]]="", "",RIGHT(Ramen_Ratings[[#This Row],[Top Ten]],LEN(Ramen_Ratings[[#This Row],[Top Ten]])-6))</f>
        <v/>
      </c>
    </row>
    <row r="751" spans="1:11" x14ac:dyDescent="0.25">
      <c r="A751">
        <v>1966</v>
      </c>
      <c r="B751" t="s">
        <v>18</v>
      </c>
      <c r="C751" t="s">
        <v>779</v>
      </c>
      <c r="D751" t="s">
        <v>13</v>
      </c>
      <c r="E751" t="s">
        <v>14</v>
      </c>
      <c r="F751" t="str">
        <f>VLOOKUP(Ramen_Ratings[[#This Row],[Country]],Country_Region[#All],2,FALSE)</f>
        <v>Asia</v>
      </c>
      <c r="G751">
        <v>3.75</v>
      </c>
      <c r="H751" t="str" cm="1">
        <f t="array" ref="H751">_xlfn.IFS(Ramen_Ratings[[#This Row],[Stars]] = "Unrated", "NA",Ramen_Ratings[[#This Row],[Stars]]&gt;=4, "Good", Ramen_Ratings[[#This Row],[Stars]]&gt;2.5, "Fair", Ramen_Ratings[[#This Row],[Stars]] &gt;= 0, "Bad")</f>
        <v>Fair</v>
      </c>
      <c r="J751" t="str">
        <f>LEFT(Ramen_Ratings[[#This Row],[Top Ten]],4)</f>
        <v/>
      </c>
      <c r="K751" t="str">
        <f>IF(Ramen_Ratings[[#This Row],[Top Ten]]="", "",RIGHT(Ramen_Ratings[[#This Row],[Top Ten]],LEN(Ramen_Ratings[[#This Row],[Top Ten]])-6))</f>
        <v/>
      </c>
    </row>
    <row r="752" spans="1:11" x14ac:dyDescent="0.25">
      <c r="A752">
        <v>1952</v>
      </c>
      <c r="B752" t="s">
        <v>243</v>
      </c>
      <c r="C752" t="s">
        <v>797</v>
      </c>
      <c r="D752" t="s">
        <v>13</v>
      </c>
      <c r="E752" t="s">
        <v>14</v>
      </c>
      <c r="F752" t="str">
        <f>VLOOKUP(Ramen_Ratings[[#This Row],[Country]],Country_Region[#All],2,FALSE)</f>
        <v>Asia</v>
      </c>
      <c r="G752">
        <v>3.75</v>
      </c>
      <c r="H752" t="str" cm="1">
        <f t="array" ref="H752">_xlfn.IFS(Ramen_Ratings[[#This Row],[Stars]] = "Unrated", "NA",Ramen_Ratings[[#This Row],[Stars]]&gt;=4, "Good", Ramen_Ratings[[#This Row],[Stars]]&gt;2.5, "Fair", Ramen_Ratings[[#This Row],[Stars]] &gt;= 0, "Bad")</f>
        <v>Fair</v>
      </c>
      <c r="J752" t="str">
        <f>LEFT(Ramen_Ratings[[#This Row],[Top Ten]],4)</f>
        <v/>
      </c>
      <c r="K752" t="str">
        <f>IF(Ramen_Ratings[[#This Row],[Top Ten]]="", "",RIGHT(Ramen_Ratings[[#This Row],[Top Ten]],LEN(Ramen_Ratings[[#This Row],[Top Ten]])-6))</f>
        <v/>
      </c>
    </row>
    <row r="753" spans="1:11" x14ac:dyDescent="0.25">
      <c r="A753">
        <v>1944</v>
      </c>
      <c r="B753" t="s">
        <v>18</v>
      </c>
      <c r="C753" t="s">
        <v>807</v>
      </c>
      <c r="D753" t="s">
        <v>13</v>
      </c>
      <c r="E753" t="s">
        <v>14</v>
      </c>
      <c r="F753" t="str">
        <f>VLOOKUP(Ramen_Ratings[[#This Row],[Country]],Country_Region[#All],2,FALSE)</f>
        <v>Asia</v>
      </c>
      <c r="G753">
        <v>5</v>
      </c>
      <c r="H753" t="str" cm="1">
        <f t="array" ref="H753">_xlfn.IFS(Ramen_Ratings[[#This Row],[Stars]] = "Unrated", "NA",Ramen_Ratings[[#This Row],[Stars]]&gt;=4, "Good", Ramen_Ratings[[#This Row],[Stars]]&gt;2.5, "Fair", Ramen_Ratings[[#This Row],[Stars]] &gt;= 0, "Bad")</f>
        <v>Good</v>
      </c>
      <c r="J753" t="str">
        <f>LEFT(Ramen_Ratings[[#This Row],[Top Ten]],4)</f>
        <v/>
      </c>
      <c r="K753" t="str">
        <f>IF(Ramen_Ratings[[#This Row],[Top Ten]]="", "",RIGHT(Ramen_Ratings[[#This Row],[Top Ten]],LEN(Ramen_Ratings[[#This Row],[Top Ten]])-6))</f>
        <v/>
      </c>
    </row>
    <row r="754" spans="1:11" x14ac:dyDescent="0.25">
      <c r="A754">
        <v>1935</v>
      </c>
      <c r="B754" t="s">
        <v>455</v>
      </c>
      <c r="C754" t="s">
        <v>819</v>
      </c>
      <c r="D754" t="s">
        <v>13</v>
      </c>
      <c r="E754" t="s">
        <v>14</v>
      </c>
      <c r="F754" t="str">
        <f>VLOOKUP(Ramen_Ratings[[#This Row],[Country]],Country_Region[#All],2,FALSE)</f>
        <v>Asia</v>
      </c>
      <c r="G754">
        <v>3.75</v>
      </c>
      <c r="H754" t="str" cm="1">
        <f t="array" ref="H754">_xlfn.IFS(Ramen_Ratings[[#This Row],[Stars]] = "Unrated", "NA",Ramen_Ratings[[#This Row],[Stars]]&gt;=4, "Good", Ramen_Ratings[[#This Row],[Stars]]&gt;2.5, "Fair", Ramen_Ratings[[#This Row],[Stars]] &gt;= 0, "Bad")</f>
        <v>Fair</v>
      </c>
      <c r="J754" t="str">
        <f>LEFT(Ramen_Ratings[[#This Row],[Top Ten]],4)</f>
        <v/>
      </c>
      <c r="K754" t="str">
        <f>IF(Ramen_Ratings[[#This Row],[Top Ten]]="", "",RIGHT(Ramen_Ratings[[#This Row],[Top Ten]],LEN(Ramen_Ratings[[#This Row],[Top Ten]])-6))</f>
        <v/>
      </c>
    </row>
    <row r="755" spans="1:11" x14ac:dyDescent="0.25">
      <c r="A755">
        <v>1934</v>
      </c>
      <c r="B755" t="s">
        <v>455</v>
      </c>
      <c r="C755" t="s">
        <v>820</v>
      </c>
      <c r="D755" t="s">
        <v>13</v>
      </c>
      <c r="E755" t="s">
        <v>14</v>
      </c>
      <c r="F755" t="str">
        <f>VLOOKUP(Ramen_Ratings[[#This Row],[Country]],Country_Region[#All],2,FALSE)</f>
        <v>Asia</v>
      </c>
      <c r="G755">
        <v>5</v>
      </c>
      <c r="H755" t="str" cm="1">
        <f t="array" ref="H755">_xlfn.IFS(Ramen_Ratings[[#This Row],[Stars]] = "Unrated", "NA",Ramen_Ratings[[#This Row],[Stars]]&gt;=4, "Good", Ramen_Ratings[[#This Row],[Stars]]&gt;2.5, "Fair", Ramen_Ratings[[#This Row],[Stars]] &gt;= 0, "Bad")</f>
        <v>Good</v>
      </c>
      <c r="J755" t="str">
        <f>LEFT(Ramen_Ratings[[#This Row],[Top Ten]],4)</f>
        <v/>
      </c>
      <c r="K755" t="str">
        <f>IF(Ramen_Ratings[[#This Row],[Top Ten]]="", "",RIGHT(Ramen_Ratings[[#This Row],[Top Ten]],LEN(Ramen_Ratings[[#This Row],[Top Ten]])-6))</f>
        <v/>
      </c>
    </row>
    <row r="756" spans="1:11" x14ac:dyDescent="0.25">
      <c r="A756">
        <v>1933</v>
      </c>
      <c r="B756" t="s">
        <v>455</v>
      </c>
      <c r="C756" t="s">
        <v>821</v>
      </c>
      <c r="D756" t="s">
        <v>13</v>
      </c>
      <c r="E756" t="s">
        <v>14</v>
      </c>
      <c r="F756" t="str">
        <f>VLOOKUP(Ramen_Ratings[[#This Row],[Country]],Country_Region[#All],2,FALSE)</f>
        <v>Asia</v>
      </c>
      <c r="G756">
        <v>4.5</v>
      </c>
      <c r="H756" t="str" cm="1">
        <f t="array" ref="H756">_xlfn.IFS(Ramen_Ratings[[#This Row],[Stars]] = "Unrated", "NA",Ramen_Ratings[[#This Row],[Stars]]&gt;=4, "Good", Ramen_Ratings[[#This Row],[Stars]]&gt;2.5, "Fair", Ramen_Ratings[[#This Row],[Stars]] &gt;= 0, "Bad")</f>
        <v>Good</v>
      </c>
      <c r="J756" t="str">
        <f>LEFT(Ramen_Ratings[[#This Row],[Top Ten]],4)</f>
        <v/>
      </c>
      <c r="K756" t="str">
        <f>IF(Ramen_Ratings[[#This Row],[Top Ten]]="", "",RIGHT(Ramen_Ratings[[#This Row],[Top Ten]],LEN(Ramen_Ratings[[#This Row],[Top Ten]])-6))</f>
        <v/>
      </c>
    </row>
    <row r="757" spans="1:11" x14ac:dyDescent="0.25">
      <c r="A757">
        <v>1932</v>
      </c>
      <c r="B757" t="s">
        <v>455</v>
      </c>
      <c r="C757" t="s">
        <v>822</v>
      </c>
      <c r="D757" t="s">
        <v>13</v>
      </c>
      <c r="E757" t="s">
        <v>14</v>
      </c>
      <c r="F757" t="str">
        <f>VLOOKUP(Ramen_Ratings[[#This Row],[Country]],Country_Region[#All],2,FALSE)</f>
        <v>Asia</v>
      </c>
      <c r="G757">
        <v>3.75</v>
      </c>
      <c r="H757" t="str" cm="1">
        <f t="array" ref="H757">_xlfn.IFS(Ramen_Ratings[[#This Row],[Stars]] = "Unrated", "NA",Ramen_Ratings[[#This Row],[Stars]]&gt;=4, "Good", Ramen_Ratings[[#This Row],[Stars]]&gt;2.5, "Fair", Ramen_Ratings[[#This Row],[Stars]] &gt;= 0, "Bad")</f>
        <v>Fair</v>
      </c>
      <c r="J757" t="str">
        <f>LEFT(Ramen_Ratings[[#This Row],[Top Ten]],4)</f>
        <v/>
      </c>
      <c r="K757" t="str">
        <f>IF(Ramen_Ratings[[#This Row],[Top Ten]]="", "",RIGHT(Ramen_Ratings[[#This Row],[Top Ten]],LEN(Ramen_Ratings[[#This Row],[Top Ten]])-6))</f>
        <v/>
      </c>
    </row>
    <row r="758" spans="1:11" x14ac:dyDescent="0.25">
      <c r="A758">
        <v>1873</v>
      </c>
      <c r="B758" t="s">
        <v>889</v>
      </c>
      <c r="C758" t="s">
        <v>890</v>
      </c>
      <c r="D758" t="s">
        <v>44</v>
      </c>
      <c r="E758" t="s">
        <v>14</v>
      </c>
      <c r="F758" t="str">
        <f>VLOOKUP(Ramen_Ratings[[#This Row],[Country]],Country_Region[#All],2,FALSE)</f>
        <v>Asia</v>
      </c>
      <c r="G758">
        <v>0</v>
      </c>
      <c r="H758" t="str" cm="1">
        <f t="array" ref="H758">_xlfn.IFS(Ramen_Ratings[[#This Row],[Stars]] = "Unrated", "NA",Ramen_Ratings[[#This Row],[Stars]]&gt;=4, "Good", Ramen_Ratings[[#This Row],[Stars]]&gt;2.5, "Fair", Ramen_Ratings[[#This Row],[Stars]] &gt;= 0, "Bad")</f>
        <v>Bad</v>
      </c>
      <c r="J758" t="str">
        <f>LEFT(Ramen_Ratings[[#This Row],[Top Ten]],4)</f>
        <v/>
      </c>
      <c r="K758" t="str">
        <f>IF(Ramen_Ratings[[#This Row],[Top Ten]]="", "",RIGHT(Ramen_Ratings[[#This Row],[Top Ten]],LEN(Ramen_Ratings[[#This Row],[Top Ten]])-6))</f>
        <v/>
      </c>
    </row>
    <row r="759" spans="1:11" x14ac:dyDescent="0.25">
      <c r="A759">
        <v>1843</v>
      </c>
      <c r="B759" t="s">
        <v>924</v>
      </c>
      <c r="C759" t="s">
        <v>925</v>
      </c>
      <c r="D759" t="s">
        <v>13</v>
      </c>
      <c r="E759" t="s">
        <v>14</v>
      </c>
      <c r="F759" t="str">
        <f>VLOOKUP(Ramen_Ratings[[#This Row],[Country]],Country_Region[#All],2,FALSE)</f>
        <v>Asia</v>
      </c>
      <c r="G759">
        <v>4.5</v>
      </c>
      <c r="H759" t="str" cm="1">
        <f t="array" ref="H759">_xlfn.IFS(Ramen_Ratings[[#This Row],[Stars]] = "Unrated", "NA",Ramen_Ratings[[#This Row],[Stars]]&gt;=4, "Good", Ramen_Ratings[[#This Row],[Stars]]&gt;2.5, "Fair", Ramen_Ratings[[#This Row],[Stars]] &gt;= 0, "Bad")</f>
        <v>Good</v>
      </c>
      <c r="J759" t="str">
        <f>LEFT(Ramen_Ratings[[#This Row],[Top Ten]],4)</f>
        <v/>
      </c>
      <c r="K759" t="str">
        <f>IF(Ramen_Ratings[[#This Row],[Top Ten]]="", "",RIGHT(Ramen_Ratings[[#This Row],[Top Ten]],LEN(Ramen_Ratings[[#This Row],[Top Ten]])-6))</f>
        <v/>
      </c>
    </row>
    <row r="760" spans="1:11" x14ac:dyDescent="0.25">
      <c r="A760">
        <v>1842</v>
      </c>
      <c r="B760" t="s">
        <v>924</v>
      </c>
      <c r="C760" t="s">
        <v>926</v>
      </c>
      <c r="D760" t="s">
        <v>13</v>
      </c>
      <c r="E760" t="s">
        <v>14</v>
      </c>
      <c r="F760" t="str">
        <f>VLOOKUP(Ramen_Ratings[[#This Row],[Country]],Country_Region[#All],2,FALSE)</f>
        <v>Asia</v>
      </c>
      <c r="G760">
        <v>5</v>
      </c>
      <c r="H760" t="str" cm="1">
        <f t="array" ref="H760">_xlfn.IFS(Ramen_Ratings[[#This Row],[Stars]] = "Unrated", "NA",Ramen_Ratings[[#This Row],[Stars]]&gt;=4, "Good", Ramen_Ratings[[#This Row],[Stars]]&gt;2.5, "Fair", Ramen_Ratings[[#This Row],[Stars]] &gt;= 0, "Bad")</f>
        <v>Good</v>
      </c>
      <c r="J760" t="str">
        <f>LEFT(Ramen_Ratings[[#This Row],[Top Ten]],4)</f>
        <v/>
      </c>
      <c r="K760" t="str">
        <f>IF(Ramen_Ratings[[#This Row],[Top Ten]]="", "",RIGHT(Ramen_Ratings[[#This Row],[Top Ten]],LEN(Ramen_Ratings[[#This Row],[Top Ten]])-6))</f>
        <v/>
      </c>
    </row>
    <row r="761" spans="1:11" x14ac:dyDescent="0.25">
      <c r="A761">
        <v>1841</v>
      </c>
      <c r="B761" t="s">
        <v>924</v>
      </c>
      <c r="C761" t="s">
        <v>927</v>
      </c>
      <c r="D761" t="s">
        <v>13</v>
      </c>
      <c r="E761" t="s">
        <v>14</v>
      </c>
      <c r="F761" t="str">
        <f>VLOOKUP(Ramen_Ratings[[#This Row],[Country]],Country_Region[#All],2,FALSE)</f>
        <v>Asia</v>
      </c>
      <c r="G761">
        <v>4</v>
      </c>
      <c r="H761" t="str" cm="1">
        <f t="array" ref="H761">_xlfn.IFS(Ramen_Ratings[[#This Row],[Stars]] = "Unrated", "NA",Ramen_Ratings[[#This Row],[Stars]]&gt;=4, "Good", Ramen_Ratings[[#This Row],[Stars]]&gt;2.5, "Fair", Ramen_Ratings[[#This Row],[Stars]] &gt;= 0, "Bad")</f>
        <v>Good</v>
      </c>
      <c r="J761" t="str">
        <f>LEFT(Ramen_Ratings[[#This Row],[Top Ten]],4)</f>
        <v/>
      </c>
      <c r="K761" t="str">
        <f>IF(Ramen_Ratings[[#This Row],[Top Ten]]="", "",RIGHT(Ramen_Ratings[[#This Row],[Top Ten]],LEN(Ramen_Ratings[[#This Row],[Top Ten]])-6))</f>
        <v/>
      </c>
    </row>
    <row r="762" spans="1:11" x14ac:dyDescent="0.25">
      <c r="A762">
        <v>1840</v>
      </c>
      <c r="B762" t="s">
        <v>924</v>
      </c>
      <c r="C762" t="s">
        <v>928</v>
      </c>
      <c r="D762" t="s">
        <v>13</v>
      </c>
      <c r="E762" t="s">
        <v>14</v>
      </c>
      <c r="F762" t="str">
        <f>VLOOKUP(Ramen_Ratings[[#This Row],[Country]],Country_Region[#All],2,FALSE)</f>
        <v>Asia</v>
      </c>
      <c r="G762">
        <v>3.25</v>
      </c>
      <c r="H762" t="str" cm="1">
        <f t="array" ref="H762">_xlfn.IFS(Ramen_Ratings[[#This Row],[Stars]] = "Unrated", "NA",Ramen_Ratings[[#This Row],[Stars]]&gt;=4, "Good", Ramen_Ratings[[#This Row],[Stars]]&gt;2.5, "Fair", Ramen_Ratings[[#This Row],[Stars]] &gt;= 0, "Bad")</f>
        <v>Fair</v>
      </c>
      <c r="J762" t="str">
        <f>LEFT(Ramen_Ratings[[#This Row],[Top Ten]],4)</f>
        <v/>
      </c>
      <c r="K762" t="str">
        <f>IF(Ramen_Ratings[[#This Row],[Top Ten]]="", "",RIGHT(Ramen_Ratings[[#This Row],[Top Ten]],LEN(Ramen_Ratings[[#This Row],[Top Ten]])-6))</f>
        <v/>
      </c>
    </row>
    <row r="763" spans="1:11" x14ac:dyDescent="0.25">
      <c r="A763">
        <v>1830</v>
      </c>
      <c r="B763" t="s">
        <v>493</v>
      </c>
      <c r="C763" t="s">
        <v>939</v>
      </c>
      <c r="D763" t="s">
        <v>13</v>
      </c>
      <c r="E763" t="s">
        <v>14</v>
      </c>
      <c r="F763" t="str">
        <f>VLOOKUP(Ramen_Ratings[[#This Row],[Country]],Country_Region[#All],2,FALSE)</f>
        <v>Asia</v>
      </c>
      <c r="G763">
        <v>4.75</v>
      </c>
      <c r="H763" t="str" cm="1">
        <f t="array" ref="H763">_xlfn.IFS(Ramen_Ratings[[#This Row],[Stars]] = "Unrated", "NA",Ramen_Ratings[[#This Row],[Stars]]&gt;=4, "Good", Ramen_Ratings[[#This Row],[Stars]]&gt;2.5, "Fair", Ramen_Ratings[[#This Row],[Stars]] &gt;= 0, "Bad")</f>
        <v>Good</v>
      </c>
      <c r="J763" t="str">
        <f>LEFT(Ramen_Ratings[[#This Row],[Top Ten]],4)</f>
        <v/>
      </c>
      <c r="K763" t="str">
        <f>IF(Ramen_Ratings[[#This Row],[Top Ten]]="", "",RIGHT(Ramen_Ratings[[#This Row],[Top Ten]],LEN(Ramen_Ratings[[#This Row],[Top Ten]])-6))</f>
        <v/>
      </c>
    </row>
    <row r="764" spans="1:11" x14ac:dyDescent="0.25">
      <c r="A764">
        <v>1829</v>
      </c>
      <c r="B764" t="s">
        <v>493</v>
      </c>
      <c r="C764" t="s">
        <v>940</v>
      </c>
      <c r="D764" t="s">
        <v>13</v>
      </c>
      <c r="E764" t="s">
        <v>14</v>
      </c>
      <c r="F764" t="str">
        <f>VLOOKUP(Ramen_Ratings[[#This Row],[Country]],Country_Region[#All],2,FALSE)</f>
        <v>Asia</v>
      </c>
      <c r="G764">
        <v>5</v>
      </c>
      <c r="H764" t="str" cm="1">
        <f t="array" ref="H764">_xlfn.IFS(Ramen_Ratings[[#This Row],[Stars]] = "Unrated", "NA",Ramen_Ratings[[#This Row],[Stars]]&gt;=4, "Good", Ramen_Ratings[[#This Row],[Stars]]&gt;2.5, "Fair", Ramen_Ratings[[#This Row],[Stars]] &gt;= 0, "Bad")</f>
        <v>Good</v>
      </c>
      <c r="J764" t="str">
        <f>LEFT(Ramen_Ratings[[#This Row],[Top Ten]],4)</f>
        <v/>
      </c>
      <c r="K764" t="str">
        <f>IF(Ramen_Ratings[[#This Row],[Top Ten]]="", "",RIGHT(Ramen_Ratings[[#This Row],[Top Ten]],LEN(Ramen_Ratings[[#This Row],[Top Ten]])-6))</f>
        <v/>
      </c>
    </row>
    <row r="765" spans="1:11" x14ac:dyDescent="0.25">
      <c r="A765">
        <v>1820</v>
      </c>
      <c r="B765" t="s">
        <v>950</v>
      </c>
      <c r="C765" t="s">
        <v>951</v>
      </c>
      <c r="D765" t="s">
        <v>44</v>
      </c>
      <c r="E765" t="s">
        <v>14</v>
      </c>
      <c r="F765" t="str">
        <f>VLOOKUP(Ramen_Ratings[[#This Row],[Country]],Country_Region[#All],2,FALSE)</f>
        <v>Asia</v>
      </c>
      <c r="G765">
        <v>1.5</v>
      </c>
      <c r="H765" t="str" cm="1">
        <f t="array" ref="H765">_xlfn.IFS(Ramen_Ratings[[#This Row],[Stars]] = "Unrated", "NA",Ramen_Ratings[[#This Row],[Stars]]&gt;=4, "Good", Ramen_Ratings[[#This Row],[Stars]]&gt;2.5, "Fair", Ramen_Ratings[[#This Row],[Stars]] &gt;= 0, "Bad")</f>
        <v>Bad</v>
      </c>
      <c r="J765" t="str">
        <f>LEFT(Ramen_Ratings[[#This Row],[Top Ten]],4)</f>
        <v/>
      </c>
      <c r="K765" t="str">
        <f>IF(Ramen_Ratings[[#This Row],[Top Ten]]="", "",RIGHT(Ramen_Ratings[[#This Row],[Top Ten]],LEN(Ramen_Ratings[[#This Row],[Top Ten]])-6))</f>
        <v/>
      </c>
    </row>
    <row r="766" spans="1:11" x14ac:dyDescent="0.25">
      <c r="A766">
        <v>1779</v>
      </c>
      <c r="B766" t="s">
        <v>1000</v>
      </c>
      <c r="C766" t="s">
        <v>1001</v>
      </c>
      <c r="D766" t="s">
        <v>13</v>
      </c>
      <c r="E766" t="s">
        <v>14</v>
      </c>
      <c r="F766" t="str">
        <f>VLOOKUP(Ramen_Ratings[[#This Row],[Country]],Country_Region[#All],2,FALSE)</f>
        <v>Asia</v>
      </c>
      <c r="G766">
        <v>3.25</v>
      </c>
      <c r="H766" t="str" cm="1">
        <f t="array" ref="H766">_xlfn.IFS(Ramen_Ratings[[#This Row],[Stars]] = "Unrated", "NA",Ramen_Ratings[[#This Row],[Stars]]&gt;=4, "Good", Ramen_Ratings[[#This Row],[Stars]]&gt;2.5, "Fair", Ramen_Ratings[[#This Row],[Stars]] &gt;= 0, "Bad")</f>
        <v>Fair</v>
      </c>
      <c r="J766" t="str">
        <f>LEFT(Ramen_Ratings[[#This Row],[Top Ten]],4)</f>
        <v/>
      </c>
      <c r="K766" t="str">
        <f>IF(Ramen_Ratings[[#This Row],[Top Ten]]="", "",RIGHT(Ramen_Ratings[[#This Row],[Top Ten]],LEN(Ramen_Ratings[[#This Row],[Top Ten]])-6))</f>
        <v/>
      </c>
    </row>
    <row r="767" spans="1:11" x14ac:dyDescent="0.25">
      <c r="A767">
        <v>1762</v>
      </c>
      <c r="B767" t="s">
        <v>128</v>
      </c>
      <c r="C767" t="s">
        <v>1019</v>
      </c>
      <c r="D767" t="s">
        <v>13</v>
      </c>
      <c r="E767" t="s">
        <v>14</v>
      </c>
      <c r="F767" t="str">
        <f>VLOOKUP(Ramen_Ratings[[#This Row],[Country]],Country_Region[#All],2,FALSE)</f>
        <v>Asia</v>
      </c>
      <c r="G767">
        <v>4</v>
      </c>
      <c r="H767" t="str" cm="1">
        <f t="array" ref="H767">_xlfn.IFS(Ramen_Ratings[[#This Row],[Stars]] = "Unrated", "NA",Ramen_Ratings[[#This Row],[Stars]]&gt;=4, "Good", Ramen_Ratings[[#This Row],[Stars]]&gt;2.5, "Fair", Ramen_Ratings[[#This Row],[Stars]] &gt;= 0, "Bad")</f>
        <v>Good</v>
      </c>
      <c r="J767" t="str">
        <f>LEFT(Ramen_Ratings[[#This Row],[Top Ten]],4)</f>
        <v/>
      </c>
      <c r="K767" t="str">
        <f>IF(Ramen_Ratings[[#This Row],[Top Ten]]="", "",RIGHT(Ramen_Ratings[[#This Row],[Top Ten]],LEN(Ramen_Ratings[[#This Row],[Top Ten]])-6))</f>
        <v/>
      </c>
    </row>
    <row r="768" spans="1:11" x14ac:dyDescent="0.25">
      <c r="A768">
        <v>1756</v>
      </c>
      <c r="B768" t="s">
        <v>496</v>
      </c>
      <c r="C768" t="s">
        <v>1024</v>
      </c>
      <c r="D768" t="s">
        <v>13</v>
      </c>
      <c r="E768" t="s">
        <v>14</v>
      </c>
      <c r="F768" t="str">
        <f>VLOOKUP(Ramen_Ratings[[#This Row],[Country]],Country_Region[#All],2,FALSE)</f>
        <v>Asia</v>
      </c>
      <c r="G768">
        <v>4.25</v>
      </c>
      <c r="H768" t="str" cm="1">
        <f t="array" ref="H768">_xlfn.IFS(Ramen_Ratings[[#This Row],[Stars]] = "Unrated", "NA",Ramen_Ratings[[#This Row],[Stars]]&gt;=4, "Good", Ramen_Ratings[[#This Row],[Stars]]&gt;2.5, "Fair", Ramen_Ratings[[#This Row],[Stars]] &gt;= 0, "Bad")</f>
        <v>Good</v>
      </c>
      <c r="J768" t="str">
        <f>LEFT(Ramen_Ratings[[#This Row],[Top Ten]],4)</f>
        <v/>
      </c>
      <c r="K768" t="str">
        <f>IF(Ramen_Ratings[[#This Row],[Top Ten]]="", "",RIGHT(Ramen_Ratings[[#This Row],[Top Ten]],LEN(Ramen_Ratings[[#This Row],[Top Ten]])-6))</f>
        <v/>
      </c>
    </row>
    <row r="769" spans="1:11" x14ac:dyDescent="0.25">
      <c r="A769">
        <v>1751</v>
      </c>
      <c r="B769" t="s">
        <v>128</v>
      </c>
      <c r="C769" t="s">
        <v>1029</v>
      </c>
      <c r="D769" t="s">
        <v>13</v>
      </c>
      <c r="E769" t="s">
        <v>14</v>
      </c>
      <c r="F769" t="str">
        <f>VLOOKUP(Ramen_Ratings[[#This Row],[Country]],Country_Region[#All],2,FALSE)</f>
        <v>Asia</v>
      </c>
      <c r="G769">
        <v>5</v>
      </c>
      <c r="H769" t="str" cm="1">
        <f t="array" ref="H769">_xlfn.IFS(Ramen_Ratings[[#This Row],[Stars]] = "Unrated", "NA",Ramen_Ratings[[#This Row],[Stars]]&gt;=4, "Good", Ramen_Ratings[[#This Row],[Stars]]&gt;2.5, "Fair", Ramen_Ratings[[#This Row],[Stars]] &gt;= 0, "Bad")</f>
        <v>Good</v>
      </c>
      <c r="J769" t="str">
        <f>LEFT(Ramen_Ratings[[#This Row],[Top Ten]],4)</f>
        <v/>
      </c>
      <c r="K769" t="str">
        <f>IF(Ramen_Ratings[[#This Row],[Top Ten]]="", "",RIGHT(Ramen_Ratings[[#This Row],[Top Ten]],LEN(Ramen_Ratings[[#This Row],[Top Ten]])-6))</f>
        <v/>
      </c>
    </row>
    <row r="770" spans="1:11" x14ac:dyDescent="0.25">
      <c r="A770">
        <v>1744</v>
      </c>
      <c r="B770" t="s">
        <v>496</v>
      </c>
      <c r="C770" t="s">
        <v>1036</v>
      </c>
      <c r="D770" t="s">
        <v>13</v>
      </c>
      <c r="E770" t="s">
        <v>14</v>
      </c>
      <c r="F770" t="str">
        <f>VLOOKUP(Ramen_Ratings[[#This Row],[Country]],Country_Region[#All],2,FALSE)</f>
        <v>Asia</v>
      </c>
      <c r="G770">
        <v>5</v>
      </c>
      <c r="H770" t="str" cm="1">
        <f t="array" ref="H770">_xlfn.IFS(Ramen_Ratings[[#This Row],[Stars]] = "Unrated", "NA",Ramen_Ratings[[#This Row],[Stars]]&gt;=4, "Good", Ramen_Ratings[[#This Row],[Stars]]&gt;2.5, "Fair", Ramen_Ratings[[#This Row],[Stars]] &gt;= 0, "Bad")</f>
        <v>Good</v>
      </c>
      <c r="J770" t="str">
        <f>LEFT(Ramen_Ratings[[#This Row],[Top Ten]],4)</f>
        <v/>
      </c>
      <c r="K770" t="str">
        <f>IF(Ramen_Ratings[[#This Row],[Top Ten]]="", "",RIGHT(Ramen_Ratings[[#This Row],[Top Ten]],LEN(Ramen_Ratings[[#This Row],[Top Ten]])-6))</f>
        <v/>
      </c>
    </row>
    <row r="771" spans="1:11" x14ac:dyDescent="0.25">
      <c r="A771">
        <v>1730</v>
      </c>
      <c r="B771" t="s">
        <v>1049</v>
      </c>
      <c r="C771" t="s">
        <v>1050</v>
      </c>
      <c r="D771" t="s">
        <v>13</v>
      </c>
      <c r="E771" t="s">
        <v>14</v>
      </c>
      <c r="F771" t="str">
        <f>VLOOKUP(Ramen_Ratings[[#This Row],[Country]],Country_Region[#All],2,FALSE)</f>
        <v>Asia</v>
      </c>
      <c r="G771">
        <v>4.5</v>
      </c>
      <c r="H771" t="str" cm="1">
        <f t="array" ref="H771">_xlfn.IFS(Ramen_Ratings[[#This Row],[Stars]] = "Unrated", "NA",Ramen_Ratings[[#This Row],[Stars]]&gt;=4, "Good", Ramen_Ratings[[#This Row],[Stars]]&gt;2.5, "Fair", Ramen_Ratings[[#This Row],[Stars]] &gt;= 0, "Bad")</f>
        <v>Good</v>
      </c>
      <c r="J771" t="str">
        <f>LEFT(Ramen_Ratings[[#This Row],[Top Ten]],4)</f>
        <v/>
      </c>
      <c r="K771" t="str">
        <f>IF(Ramen_Ratings[[#This Row],[Top Ten]]="", "",RIGHT(Ramen_Ratings[[#This Row],[Top Ten]],LEN(Ramen_Ratings[[#This Row],[Top Ten]])-6))</f>
        <v/>
      </c>
    </row>
    <row r="772" spans="1:11" x14ac:dyDescent="0.25">
      <c r="A772">
        <v>1729</v>
      </c>
      <c r="B772" t="s">
        <v>889</v>
      </c>
      <c r="C772" t="s">
        <v>1051</v>
      </c>
      <c r="D772" t="s">
        <v>9</v>
      </c>
      <c r="E772" t="s">
        <v>14</v>
      </c>
      <c r="F772" t="str">
        <f>VLOOKUP(Ramen_Ratings[[#This Row],[Country]],Country_Region[#All],2,FALSE)</f>
        <v>Asia</v>
      </c>
      <c r="G772">
        <v>2.75</v>
      </c>
      <c r="H772" t="str" cm="1">
        <f t="array" ref="H772">_xlfn.IFS(Ramen_Ratings[[#This Row],[Stars]] = "Unrated", "NA",Ramen_Ratings[[#This Row],[Stars]]&gt;=4, "Good", Ramen_Ratings[[#This Row],[Stars]]&gt;2.5, "Fair", Ramen_Ratings[[#This Row],[Stars]] &gt;= 0, "Bad")</f>
        <v>Fair</v>
      </c>
      <c r="J772" t="str">
        <f>LEFT(Ramen_Ratings[[#This Row],[Top Ten]],4)</f>
        <v/>
      </c>
      <c r="K772" t="str">
        <f>IF(Ramen_Ratings[[#This Row],[Top Ten]]="", "",RIGHT(Ramen_Ratings[[#This Row],[Top Ten]],LEN(Ramen_Ratings[[#This Row],[Top Ten]])-6))</f>
        <v/>
      </c>
    </row>
    <row r="773" spans="1:11" x14ac:dyDescent="0.25">
      <c r="A773">
        <v>1727</v>
      </c>
      <c r="B773" t="s">
        <v>18</v>
      </c>
      <c r="C773" t="s">
        <v>1054</v>
      </c>
      <c r="D773" t="s">
        <v>44</v>
      </c>
      <c r="E773" t="s">
        <v>14</v>
      </c>
      <c r="F773" t="str">
        <f>VLOOKUP(Ramen_Ratings[[#This Row],[Country]],Country_Region[#All],2,FALSE)</f>
        <v>Asia</v>
      </c>
      <c r="G773">
        <v>5</v>
      </c>
      <c r="H773" t="str" cm="1">
        <f t="array" ref="H773">_xlfn.IFS(Ramen_Ratings[[#This Row],[Stars]] = "Unrated", "NA",Ramen_Ratings[[#This Row],[Stars]]&gt;=4, "Good", Ramen_Ratings[[#This Row],[Stars]]&gt;2.5, "Fair", Ramen_Ratings[[#This Row],[Stars]] &gt;= 0, "Bad")</f>
        <v>Good</v>
      </c>
      <c r="J773" t="str">
        <f>LEFT(Ramen_Ratings[[#This Row],[Top Ten]],4)</f>
        <v/>
      </c>
      <c r="K773" t="str">
        <f>IF(Ramen_Ratings[[#This Row],[Top Ten]]="", "",RIGHT(Ramen_Ratings[[#This Row],[Top Ten]],LEN(Ramen_Ratings[[#This Row],[Top Ten]])-6))</f>
        <v/>
      </c>
    </row>
    <row r="774" spans="1:11" x14ac:dyDescent="0.25">
      <c r="A774">
        <v>1725</v>
      </c>
      <c r="B774" t="s">
        <v>496</v>
      </c>
      <c r="C774" t="s">
        <v>1057</v>
      </c>
      <c r="D774" t="s">
        <v>13</v>
      </c>
      <c r="E774" t="s">
        <v>14</v>
      </c>
      <c r="F774" t="str">
        <f>VLOOKUP(Ramen_Ratings[[#This Row],[Country]],Country_Region[#All],2,FALSE)</f>
        <v>Asia</v>
      </c>
      <c r="G774">
        <v>3.25</v>
      </c>
      <c r="H774" t="str" cm="1">
        <f t="array" ref="H774">_xlfn.IFS(Ramen_Ratings[[#This Row],[Stars]] = "Unrated", "NA",Ramen_Ratings[[#This Row],[Stars]]&gt;=4, "Good", Ramen_Ratings[[#This Row],[Stars]]&gt;2.5, "Fair", Ramen_Ratings[[#This Row],[Stars]] &gt;= 0, "Bad")</f>
        <v>Fair</v>
      </c>
      <c r="J774" t="str">
        <f>LEFT(Ramen_Ratings[[#This Row],[Top Ten]],4)</f>
        <v/>
      </c>
      <c r="K774" t="str">
        <f>IF(Ramen_Ratings[[#This Row],[Top Ten]]="", "",RIGHT(Ramen_Ratings[[#This Row],[Top Ten]],LEN(Ramen_Ratings[[#This Row],[Top Ten]])-6))</f>
        <v/>
      </c>
    </row>
    <row r="775" spans="1:11" x14ac:dyDescent="0.25">
      <c r="A775">
        <v>1710</v>
      </c>
      <c r="B775" t="s">
        <v>1000</v>
      </c>
      <c r="C775" t="s">
        <v>1076</v>
      </c>
      <c r="D775" t="s">
        <v>13</v>
      </c>
      <c r="E775" t="s">
        <v>14</v>
      </c>
      <c r="F775" t="str">
        <f>VLOOKUP(Ramen_Ratings[[#This Row],[Country]],Country_Region[#All],2,FALSE)</f>
        <v>Asia</v>
      </c>
      <c r="G775">
        <v>5</v>
      </c>
      <c r="H775" t="str" cm="1">
        <f t="array" ref="H775">_xlfn.IFS(Ramen_Ratings[[#This Row],[Stars]] = "Unrated", "NA",Ramen_Ratings[[#This Row],[Stars]]&gt;=4, "Good", Ramen_Ratings[[#This Row],[Stars]]&gt;2.5, "Fair", Ramen_Ratings[[#This Row],[Stars]] &gt;= 0, "Bad")</f>
        <v>Good</v>
      </c>
      <c r="J775" t="str">
        <f>LEFT(Ramen_Ratings[[#This Row],[Top Ten]],4)</f>
        <v/>
      </c>
      <c r="K775" t="str">
        <f>IF(Ramen_Ratings[[#This Row],[Top Ten]]="", "",RIGHT(Ramen_Ratings[[#This Row],[Top Ten]],LEN(Ramen_Ratings[[#This Row],[Top Ten]])-6))</f>
        <v/>
      </c>
    </row>
    <row r="776" spans="1:11" x14ac:dyDescent="0.25">
      <c r="A776">
        <v>1700</v>
      </c>
      <c r="B776" t="s">
        <v>496</v>
      </c>
      <c r="C776" t="s">
        <v>1088</v>
      </c>
      <c r="D776" t="s">
        <v>13</v>
      </c>
      <c r="E776" t="s">
        <v>14</v>
      </c>
      <c r="F776" t="str">
        <f>VLOOKUP(Ramen_Ratings[[#This Row],[Country]],Country_Region[#All],2,FALSE)</f>
        <v>Asia</v>
      </c>
      <c r="G776">
        <v>4</v>
      </c>
      <c r="H776" t="str" cm="1">
        <f t="array" ref="H776">_xlfn.IFS(Ramen_Ratings[[#This Row],[Stars]] = "Unrated", "NA",Ramen_Ratings[[#This Row],[Stars]]&gt;=4, "Good", Ramen_Ratings[[#This Row],[Stars]]&gt;2.5, "Fair", Ramen_Ratings[[#This Row],[Stars]] &gt;= 0, "Bad")</f>
        <v>Good</v>
      </c>
      <c r="J776" t="str">
        <f>LEFT(Ramen_Ratings[[#This Row],[Top Ten]],4)</f>
        <v/>
      </c>
      <c r="K776" t="str">
        <f>IF(Ramen_Ratings[[#This Row],[Top Ten]]="", "",RIGHT(Ramen_Ratings[[#This Row],[Top Ten]],LEN(Ramen_Ratings[[#This Row],[Top Ten]])-6))</f>
        <v/>
      </c>
    </row>
    <row r="777" spans="1:11" x14ac:dyDescent="0.25">
      <c r="A777">
        <v>1679</v>
      </c>
      <c r="B777" t="s">
        <v>950</v>
      </c>
      <c r="C777" t="s">
        <v>1109</v>
      </c>
      <c r="D777" t="s">
        <v>44</v>
      </c>
      <c r="E777" t="s">
        <v>14</v>
      </c>
      <c r="F777" t="str">
        <f>VLOOKUP(Ramen_Ratings[[#This Row],[Country]],Country_Region[#All],2,FALSE)</f>
        <v>Asia</v>
      </c>
      <c r="G777">
        <v>3.5</v>
      </c>
      <c r="H777" t="str" cm="1">
        <f t="array" ref="H777">_xlfn.IFS(Ramen_Ratings[[#This Row],[Stars]] = "Unrated", "NA",Ramen_Ratings[[#This Row],[Stars]]&gt;=4, "Good", Ramen_Ratings[[#This Row],[Stars]]&gt;2.5, "Fair", Ramen_Ratings[[#This Row],[Stars]] &gt;= 0, "Bad")</f>
        <v>Fair</v>
      </c>
      <c r="J777" t="str">
        <f>LEFT(Ramen_Ratings[[#This Row],[Top Ten]],4)</f>
        <v/>
      </c>
      <c r="K777" t="str">
        <f>IF(Ramen_Ratings[[#This Row],[Top Ten]]="", "",RIGHT(Ramen_Ratings[[#This Row],[Top Ten]],LEN(Ramen_Ratings[[#This Row],[Top Ten]])-6))</f>
        <v/>
      </c>
    </row>
    <row r="778" spans="1:11" x14ac:dyDescent="0.25">
      <c r="A778">
        <v>1673</v>
      </c>
      <c r="B778" t="s">
        <v>1116</v>
      </c>
      <c r="C778" t="s">
        <v>1117</v>
      </c>
      <c r="D778" t="s">
        <v>13</v>
      </c>
      <c r="E778" t="s">
        <v>14</v>
      </c>
      <c r="F778" t="str">
        <f>VLOOKUP(Ramen_Ratings[[#This Row],[Country]],Country_Region[#All],2,FALSE)</f>
        <v>Asia</v>
      </c>
      <c r="G778">
        <v>3.5</v>
      </c>
      <c r="H778" t="str" cm="1">
        <f t="array" ref="H778">_xlfn.IFS(Ramen_Ratings[[#This Row],[Stars]] = "Unrated", "NA",Ramen_Ratings[[#This Row],[Stars]]&gt;=4, "Good", Ramen_Ratings[[#This Row],[Stars]]&gt;2.5, "Fair", Ramen_Ratings[[#This Row],[Stars]] &gt;= 0, "Bad")</f>
        <v>Fair</v>
      </c>
      <c r="J778" t="str">
        <f>LEFT(Ramen_Ratings[[#This Row],[Top Ten]],4)</f>
        <v/>
      </c>
      <c r="K778" t="str">
        <f>IF(Ramen_Ratings[[#This Row],[Top Ten]]="", "",RIGHT(Ramen_Ratings[[#This Row],[Top Ten]],LEN(Ramen_Ratings[[#This Row],[Top Ten]])-6))</f>
        <v/>
      </c>
    </row>
    <row r="779" spans="1:11" x14ac:dyDescent="0.25">
      <c r="A779">
        <v>1667</v>
      </c>
      <c r="B779" t="s">
        <v>1126</v>
      </c>
      <c r="C779" t="s">
        <v>1127</v>
      </c>
      <c r="D779" t="s">
        <v>13</v>
      </c>
      <c r="E779" t="s">
        <v>14</v>
      </c>
      <c r="F779" t="str">
        <f>VLOOKUP(Ramen_Ratings[[#This Row],[Country]],Country_Region[#All],2,FALSE)</f>
        <v>Asia</v>
      </c>
      <c r="G779">
        <v>5</v>
      </c>
      <c r="H779" t="str" cm="1">
        <f t="array" ref="H779">_xlfn.IFS(Ramen_Ratings[[#This Row],[Stars]] = "Unrated", "NA",Ramen_Ratings[[#This Row],[Stars]]&gt;=4, "Good", Ramen_Ratings[[#This Row],[Stars]]&gt;2.5, "Fair", Ramen_Ratings[[#This Row],[Stars]] &gt;= 0, "Bad")</f>
        <v>Good</v>
      </c>
      <c r="J779" t="str">
        <f>LEFT(Ramen_Ratings[[#This Row],[Top Ten]],4)</f>
        <v/>
      </c>
      <c r="K779" t="str">
        <f>IF(Ramen_Ratings[[#This Row],[Top Ten]]="", "",RIGHT(Ramen_Ratings[[#This Row],[Top Ten]],LEN(Ramen_Ratings[[#This Row],[Top Ten]])-6))</f>
        <v/>
      </c>
    </row>
    <row r="780" spans="1:11" x14ac:dyDescent="0.25">
      <c r="A780">
        <v>1648</v>
      </c>
      <c r="B780" t="s">
        <v>18</v>
      </c>
      <c r="C780" t="s">
        <v>1152</v>
      </c>
      <c r="D780" t="s">
        <v>13</v>
      </c>
      <c r="E780" t="s">
        <v>14</v>
      </c>
      <c r="F780" t="str">
        <f>VLOOKUP(Ramen_Ratings[[#This Row],[Country]],Country_Region[#All],2,FALSE)</f>
        <v>Asia</v>
      </c>
      <c r="G780">
        <v>4.25</v>
      </c>
      <c r="H780" t="str" cm="1">
        <f t="array" ref="H780">_xlfn.IFS(Ramen_Ratings[[#This Row],[Stars]] = "Unrated", "NA",Ramen_Ratings[[#This Row],[Stars]]&gt;=4, "Good", Ramen_Ratings[[#This Row],[Stars]]&gt;2.5, "Fair", Ramen_Ratings[[#This Row],[Stars]] &gt;= 0, "Bad")</f>
        <v>Good</v>
      </c>
      <c r="J780" t="str">
        <f>LEFT(Ramen_Ratings[[#This Row],[Top Ten]],4)</f>
        <v/>
      </c>
      <c r="K780" t="str">
        <f>IF(Ramen_Ratings[[#This Row],[Top Ten]]="", "",RIGHT(Ramen_Ratings[[#This Row],[Top Ten]],LEN(Ramen_Ratings[[#This Row],[Top Ten]])-6))</f>
        <v/>
      </c>
    </row>
    <row r="781" spans="1:11" x14ac:dyDescent="0.25">
      <c r="A781">
        <v>1640</v>
      </c>
      <c r="B781" t="s">
        <v>1166</v>
      </c>
      <c r="C781" t="s">
        <v>1167</v>
      </c>
      <c r="D781" t="s">
        <v>13</v>
      </c>
      <c r="E781" t="s">
        <v>14</v>
      </c>
      <c r="F781" t="str">
        <f>VLOOKUP(Ramen_Ratings[[#This Row],[Country]],Country_Region[#All],2,FALSE)</f>
        <v>Asia</v>
      </c>
      <c r="G781">
        <v>2</v>
      </c>
      <c r="H781" t="str" cm="1">
        <f t="array" ref="H781">_xlfn.IFS(Ramen_Ratings[[#This Row],[Stars]] = "Unrated", "NA",Ramen_Ratings[[#This Row],[Stars]]&gt;=4, "Good", Ramen_Ratings[[#This Row],[Stars]]&gt;2.5, "Fair", Ramen_Ratings[[#This Row],[Stars]] &gt;= 0, "Bad")</f>
        <v>Bad</v>
      </c>
      <c r="J781" t="str">
        <f>LEFT(Ramen_Ratings[[#This Row],[Top Ten]],4)</f>
        <v/>
      </c>
      <c r="K781" t="str">
        <f>IF(Ramen_Ratings[[#This Row],[Top Ten]]="", "",RIGHT(Ramen_Ratings[[#This Row],[Top Ten]],LEN(Ramen_Ratings[[#This Row],[Top Ten]])-6))</f>
        <v/>
      </c>
    </row>
    <row r="782" spans="1:11" x14ac:dyDescent="0.25">
      <c r="A782">
        <v>1627</v>
      </c>
      <c r="B782" t="s">
        <v>889</v>
      </c>
      <c r="C782" t="s">
        <v>1181</v>
      </c>
      <c r="D782" t="s">
        <v>44</v>
      </c>
      <c r="E782" t="s">
        <v>14</v>
      </c>
      <c r="F782" t="str">
        <f>VLOOKUP(Ramen_Ratings[[#This Row],[Country]],Country_Region[#All],2,FALSE)</f>
        <v>Asia</v>
      </c>
      <c r="G782">
        <v>2.5</v>
      </c>
      <c r="H782" t="str" cm="1">
        <f t="array" ref="H782">_xlfn.IFS(Ramen_Ratings[[#This Row],[Stars]] = "Unrated", "NA",Ramen_Ratings[[#This Row],[Stars]]&gt;=4, "Good", Ramen_Ratings[[#This Row],[Stars]]&gt;2.5, "Fair", Ramen_Ratings[[#This Row],[Stars]] &gt;= 0, "Bad")</f>
        <v>Bad</v>
      </c>
      <c r="J782" t="str">
        <f>LEFT(Ramen_Ratings[[#This Row],[Top Ten]],4)</f>
        <v/>
      </c>
      <c r="K782" t="str">
        <f>IF(Ramen_Ratings[[#This Row],[Top Ten]]="", "",RIGHT(Ramen_Ratings[[#This Row],[Top Ten]],LEN(Ramen_Ratings[[#This Row],[Top Ten]])-6))</f>
        <v/>
      </c>
    </row>
    <row r="783" spans="1:11" x14ac:dyDescent="0.25">
      <c r="A783">
        <v>1618</v>
      </c>
      <c r="B783" t="s">
        <v>1126</v>
      </c>
      <c r="C783" t="s">
        <v>1190</v>
      </c>
      <c r="D783" t="s">
        <v>13</v>
      </c>
      <c r="E783" t="s">
        <v>14</v>
      </c>
      <c r="F783" t="str">
        <f>VLOOKUP(Ramen_Ratings[[#This Row],[Country]],Country_Region[#All],2,FALSE)</f>
        <v>Asia</v>
      </c>
      <c r="G783">
        <v>2.5</v>
      </c>
      <c r="H783" t="str" cm="1">
        <f t="array" ref="H783">_xlfn.IFS(Ramen_Ratings[[#This Row],[Stars]] = "Unrated", "NA",Ramen_Ratings[[#This Row],[Stars]]&gt;=4, "Good", Ramen_Ratings[[#This Row],[Stars]]&gt;2.5, "Fair", Ramen_Ratings[[#This Row],[Stars]] &gt;= 0, "Bad")</f>
        <v>Bad</v>
      </c>
      <c r="J783" t="str">
        <f>LEFT(Ramen_Ratings[[#This Row],[Top Ten]],4)</f>
        <v/>
      </c>
      <c r="K783" t="str">
        <f>IF(Ramen_Ratings[[#This Row],[Top Ten]]="", "",RIGHT(Ramen_Ratings[[#This Row],[Top Ten]],LEN(Ramen_Ratings[[#This Row],[Top Ten]])-6))</f>
        <v/>
      </c>
    </row>
    <row r="784" spans="1:11" x14ac:dyDescent="0.25">
      <c r="A784">
        <v>1600</v>
      </c>
      <c r="B784" t="s">
        <v>1000</v>
      </c>
      <c r="C784" t="s">
        <v>1214</v>
      </c>
      <c r="D784" t="s">
        <v>13</v>
      </c>
      <c r="E784" t="s">
        <v>14</v>
      </c>
      <c r="F784" t="str">
        <f>VLOOKUP(Ramen_Ratings[[#This Row],[Country]],Country_Region[#All],2,FALSE)</f>
        <v>Asia</v>
      </c>
      <c r="G784">
        <v>5</v>
      </c>
      <c r="H784" t="str" cm="1">
        <f t="array" ref="H784">_xlfn.IFS(Ramen_Ratings[[#This Row],[Stars]] = "Unrated", "NA",Ramen_Ratings[[#This Row],[Stars]]&gt;=4, "Good", Ramen_Ratings[[#This Row],[Stars]]&gt;2.5, "Fair", Ramen_Ratings[[#This Row],[Stars]] &gt;= 0, "Bad")</f>
        <v>Good</v>
      </c>
      <c r="J784" t="str">
        <f>LEFT(Ramen_Ratings[[#This Row],[Top Ten]],4)</f>
        <v/>
      </c>
      <c r="K784" t="str">
        <f>IF(Ramen_Ratings[[#This Row],[Top Ten]]="", "",RIGHT(Ramen_Ratings[[#This Row],[Top Ten]],LEN(Ramen_Ratings[[#This Row],[Top Ten]])-6))</f>
        <v/>
      </c>
    </row>
    <row r="785" spans="1:11" x14ac:dyDescent="0.25">
      <c r="A785">
        <v>1592</v>
      </c>
      <c r="B785" t="s">
        <v>128</v>
      </c>
      <c r="C785" t="s">
        <v>1223</v>
      </c>
      <c r="D785" t="s">
        <v>13</v>
      </c>
      <c r="E785" t="s">
        <v>14</v>
      </c>
      <c r="F785" t="str">
        <f>VLOOKUP(Ramen_Ratings[[#This Row],[Country]],Country_Region[#All],2,FALSE)</f>
        <v>Asia</v>
      </c>
      <c r="G785">
        <v>5</v>
      </c>
      <c r="H785" t="str" cm="1">
        <f t="array" ref="H785">_xlfn.IFS(Ramen_Ratings[[#This Row],[Stars]] = "Unrated", "NA",Ramen_Ratings[[#This Row],[Stars]]&gt;=4, "Good", Ramen_Ratings[[#This Row],[Stars]]&gt;2.5, "Fair", Ramen_Ratings[[#This Row],[Stars]] &gt;= 0, "Bad")</f>
        <v>Good</v>
      </c>
      <c r="J785" t="str">
        <f>LEFT(Ramen_Ratings[[#This Row],[Top Ten]],4)</f>
        <v/>
      </c>
      <c r="K785" t="str">
        <f>IF(Ramen_Ratings[[#This Row],[Top Ten]]="", "",RIGHT(Ramen_Ratings[[#This Row],[Top Ten]],LEN(Ramen_Ratings[[#This Row],[Top Ten]])-6))</f>
        <v/>
      </c>
    </row>
    <row r="786" spans="1:11" x14ac:dyDescent="0.25">
      <c r="A786">
        <v>1574</v>
      </c>
      <c r="B786" t="s">
        <v>1000</v>
      </c>
      <c r="C786" t="s">
        <v>1245</v>
      </c>
      <c r="D786" t="s">
        <v>13</v>
      </c>
      <c r="E786" t="s">
        <v>14</v>
      </c>
      <c r="F786" t="str">
        <f>VLOOKUP(Ramen_Ratings[[#This Row],[Country]],Country_Region[#All],2,FALSE)</f>
        <v>Asia</v>
      </c>
      <c r="G786">
        <v>3.5</v>
      </c>
      <c r="H786" t="str" cm="1">
        <f t="array" ref="H786">_xlfn.IFS(Ramen_Ratings[[#This Row],[Stars]] = "Unrated", "NA",Ramen_Ratings[[#This Row],[Stars]]&gt;=4, "Good", Ramen_Ratings[[#This Row],[Stars]]&gt;2.5, "Fair", Ramen_Ratings[[#This Row],[Stars]] &gt;= 0, "Bad")</f>
        <v>Fair</v>
      </c>
      <c r="J786" t="str">
        <f>LEFT(Ramen_Ratings[[#This Row],[Top Ten]],4)</f>
        <v/>
      </c>
      <c r="K786" t="str">
        <f>IF(Ramen_Ratings[[#This Row],[Top Ten]]="", "",RIGHT(Ramen_Ratings[[#This Row],[Top Ten]],LEN(Ramen_Ratings[[#This Row],[Top Ten]])-6))</f>
        <v/>
      </c>
    </row>
    <row r="787" spans="1:11" x14ac:dyDescent="0.25">
      <c r="A787">
        <v>1547</v>
      </c>
      <c r="B787" t="s">
        <v>889</v>
      </c>
      <c r="C787" t="s">
        <v>1277</v>
      </c>
      <c r="D787" t="s">
        <v>44</v>
      </c>
      <c r="E787" t="s">
        <v>14</v>
      </c>
      <c r="F787" t="str">
        <f>VLOOKUP(Ramen_Ratings[[#This Row],[Country]],Country_Region[#All],2,FALSE)</f>
        <v>Asia</v>
      </c>
      <c r="G787">
        <v>4.25</v>
      </c>
      <c r="H787" t="str" cm="1">
        <f t="array" ref="H787">_xlfn.IFS(Ramen_Ratings[[#This Row],[Stars]] = "Unrated", "NA",Ramen_Ratings[[#This Row],[Stars]]&gt;=4, "Good", Ramen_Ratings[[#This Row],[Stars]]&gt;2.5, "Fair", Ramen_Ratings[[#This Row],[Stars]] &gt;= 0, "Bad")</f>
        <v>Good</v>
      </c>
      <c r="J787" t="str">
        <f>LEFT(Ramen_Ratings[[#This Row],[Top Ten]],4)</f>
        <v/>
      </c>
      <c r="K787" t="str">
        <f>IF(Ramen_Ratings[[#This Row],[Top Ten]]="", "",RIGHT(Ramen_Ratings[[#This Row],[Top Ten]],LEN(Ramen_Ratings[[#This Row],[Top Ten]])-6))</f>
        <v/>
      </c>
    </row>
    <row r="788" spans="1:11" x14ac:dyDescent="0.25">
      <c r="A788">
        <v>1541</v>
      </c>
      <c r="B788" t="s">
        <v>1049</v>
      </c>
      <c r="C788" t="s">
        <v>1284</v>
      </c>
      <c r="D788" t="s">
        <v>13</v>
      </c>
      <c r="E788" t="s">
        <v>14</v>
      </c>
      <c r="F788" t="str">
        <f>VLOOKUP(Ramen_Ratings[[#This Row],[Country]],Country_Region[#All],2,FALSE)</f>
        <v>Asia</v>
      </c>
      <c r="G788">
        <v>3.75</v>
      </c>
      <c r="H788" t="str" cm="1">
        <f t="array" ref="H788">_xlfn.IFS(Ramen_Ratings[[#This Row],[Stars]] = "Unrated", "NA",Ramen_Ratings[[#This Row],[Stars]]&gt;=4, "Good", Ramen_Ratings[[#This Row],[Stars]]&gt;2.5, "Fair", Ramen_Ratings[[#This Row],[Stars]] &gt;= 0, "Bad")</f>
        <v>Fair</v>
      </c>
      <c r="J788" t="str">
        <f>LEFT(Ramen_Ratings[[#This Row],[Top Ten]],4)</f>
        <v/>
      </c>
      <c r="K788" t="str">
        <f>IF(Ramen_Ratings[[#This Row],[Top Ten]]="", "",RIGHT(Ramen_Ratings[[#This Row],[Top Ten]],LEN(Ramen_Ratings[[#This Row],[Top Ten]])-6))</f>
        <v/>
      </c>
    </row>
    <row r="789" spans="1:11" x14ac:dyDescent="0.25">
      <c r="A789">
        <v>1511</v>
      </c>
      <c r="B789" t="s">
        <v>1166</v>
      </c>
      <c r="C789" t="s">
        <v>1319</v>
      </c>
      <c r="D789" t="s">
        <v>13</v>
      </c>
      <c r="E789" t="s">
        <v>14</v>
      </c>
      <c r="F789" t="str">
        <f>VLOOKUP(Ramen_Ratings[[#This Row],[Country]],Country_Region[#All],2,FALSE)</f>
        <v>Asia</v>
      </c>
      <c r="G789">
        <v>3.25</v>
      </c>
      <c r="H789" t="str" cm="1">
        <f t="array" ref="H789">_xlfn.IFS(Ramen_Ratings[[#This Row],[Stars]] = "Unrated", "NA",Ramen_Ratings[[#This Row],[Stars]]&gt;=4, "Good", Ramen_Ratings[[#This Row],[Stars]]&gt;2.5, "Fair", Ramen_Ratings[[#This Row],[Stars]] &gt;= 0, "Bad")</f>
        <v>Fair</v>
      </c>
      <c r="J789" t="str">
        <f>LEFT(Ramen_Ratings[[#This Row],[Top Ten]],4)</f>
        <v/>
      </c>
      <c r="K789" t="str">
        <f>IF(Ramen_Ratings[[#This Row],[Top Ten]]="", "",RIGHT(Ramen_Ratings[[#This Row],[Top Ten]],LEN(Ramen_Ratings[[#This Row],[Top Ten]])-6))</f>
        <v/>
      </c>
    </row>
    <row r="790" spans="1:11" x14ac:dyDescent="0.25">
      <c r="A790">
        <v>1488</v>
      </c>
      <c r="B790" t="s">
        <v>128</v>
      </c>
      <c r="C790" t="s">
        <v>379</v>
      </c>
      <c r="D790" t="s">
        <v>13</v>
      </c>
      <c r="E790" t="s">
        <v>14</v>
      </c>
      <c r="F790" t="str">
        <f>VLOOKUP(Ramen_Ratings[[#This Row],[Country]],Country_Region[#All],2,FALSE)</f>
        <v>Asia</v>
      </c>
      <c r="G790">
        <v>5</v>
      </c>
      <c r="H790" t="str" cm="1">
        <f t="array" ref="H790">_xlfn.IFS(Ramen_Ratings[[#This Row],[Stars]] = "Unrated", "NA",Ramen_Ratings[[#This Row],[Stars]]&gt;=4, "Good", Ramen_Ratings[[#This Row],[Stars]]&gt;2.5, "Fair", Ramen_Ratings[[#This Row],[Stars]] &gt;= 0, "Bad")</f>
        <v>Good</v>
      </c>
      <c r="J790" t="str">
        <f>LEFT(Ramen_Ratings[[#This Row],[Top Ten]],4)</f>
        <v/>
      </c>
      <c r="K790" t="str">
        <f>IF(Ramen_Ratings[[#This Row],[Top Ten]]="", "",RIGHT(Ramen_Ratings[[#This Row],[Top Ten]],LEN(Ramen_Ratings[[#This Row],[Top Ten]])-6))</f>
        <v/>
      </c>
    </row>
    <row r="791" spans="1:11" x14ac:dyDescent="0.25">
      <c r="A791">
        <v>1486</v>
      </c>
      <c r="B791" t="s">
        <v>128</v>
      </c>
      <c r="C791" t="s">
        <v>1344</v>
      </c>
      <c r="D791" t="s">
        <v>13</v>
      </c>
      <c r="E791" t="s">
        <v>14</v>
      </c>
      <c r="F791" t="str">
        <f>VLOOKUP(Ramen_Ratings[[#This Row],[Country]],Country_Region[#All],2,FALSE)</f>
        <v>Asia</v>
      </c>
      <c r="G791">
        <v>5</v>
      </c>
      <c r="H791" t="str" cm="1">
        <f t="array" ref="H791">_xlfn.IFS(Ramen_Ratings[[#This Row],[Stars]] = "Unrated", "NA",Ramen_Ratings[[#This Row],[Stars]]&gt;=4, "Good", Ramen_Ratings[[#This Row],[Stars]]&gt;2.5, "Fair", Ramen_Ratings[[#This Row],[Stars]] &gt;= 0, "Bad")</f>
        <v>Good</v>
      </c>
      <c r="J791" t="str">
        <f>LEFT(Ramen_Ratings[[#This Row],[Top Ten]],4)</f>
        <v/>
      </c>
      <c r="K791" t="str">
        <f>IF(Ramen_Ratings[[#This Row],[Top Ten]]="", "",RIGHT(Ramen_Ratings[[#This Row],[Top Ten]],LEN(Ramen_Ratings[[#This Row],[Top Ten]])-6))</f>
        <v/>
      </c>
    </row>
    <row r="792" spans="1:11" x14ac:dyDescent="0.25">
      <c r="A792">
        <v>1462</v>
      </c>
      <c r="B792" t="s">
        <v>18</v>
      </c>
      <c r="C792" t="s">
        <v>1370</v>
      </c>
      <c r="D792" t="s">
        <v>44</v>
      </c>
      <c r="E792" t="s">
        <v>14</v>
      </c>
      <c r="F792" t="str">
        <f>VLOOKUP(Ramen_Ratings[[#This Row],[Country]],Country_Region[#All],2,FALSE)</f>
        <v>Asia</v>
      </c>
      <c r="G792">
        <v>2.25</v>
      </c>
      <c r="H792" t="str" cm="1">
        <f t="array" ref="H792">_xlfn.IFS(Ramen_Ratings[[#This Row],[Stars]] = "Unrated", "NA",Ramen_Ratings[[#This Row],[Stars]]&gt;=4, "Good", Ramen_Ratings[[#This Row],[Stars]]&gt;2.5, "Fair", Ramen_Ratings[[#This Row],[Stars]] &gt;= 0, "Bad")</f>
        <v>Bad</v>
      </c>
      <c r="J792" t="str">
        <f>LEFT(Ramen_Ratings[[#This Row],[Top Ten]],4)</f>
        <v/>
      </c>
      <c r="K792" t="str">
        <f>IF(Ramen_Ratings[[#This Row],[Top Ten]]="", "",RIGHT(Ramen_Ratings[[#This Row],[Top Ten]],LEN(Ramen_Ratings[[#This Row],[Top Ten]])-6))</f>
        <v/>
      </c>
    </row>
    <row r="793" spans="1:11" x14ac:dyDescent="0.25">
      <c r="A793">
        <v>1440</v>
      </c>
      <c r="B793" t="s">
        <v>1049</v>
      </c>
      <c r="C793" t="s">
        <v>1387</v>
      </c>
      <c r="D793" t="s">
        <v>13</v>
      </c>
      <c r="E793" t="s">
        <v>14</v>
      </c>
      <c r="F793" t="str">
        <f>VLOOKUP(Ramen_Ratings[[#This Row],[Country]],Country_Region[#All],2,FALSE)</f>
        <v>Asia</v>
      </c>
      <c r="G793">
        <v>3</v>
      </c>
      <c r="H793" t="str" cm="1">
        <f t="array" ref="H793">_xlfn.IFS(Ramen_Ratings[[#This Row],[Stars]] = "Unrated", "NA",Ramen_Ratings[[#This Row],[Stars]]&gt;=4, "Good", Ramen_Ratings[[#This Row],[Stars]]&gt;2.5, "Fair", Ramen_Ratings[[#This Row],[Stars]] &gt;= 0, "Bad")</f>
        <v>Fair</v>
      </c>
      <c r="J793" t="str">
        <f>LEFT(Ramen_Ratings[[#This Row],[Top Ten]],4)</f>
        <v/>
      </c>
      <c r="K793" t="str">
        <f>IF(Ramen_Ratings[[#This Row],[Top Ten]]="", "",RIGHT(Ramen_Ratings[[#This Row],[Top Ten]],LEN(Ramen_Ratings[[#This Row],[Top Ten]])-6))</f>
        <v/>
      </c>
    </row>
    <row r="794" spans="1:11" x14ac:dyDescent="0.25">
      <c r="A794">
        <v>1417</v>
      </c>
      <c r="B794" t="s">
        <v>188</v>
      </c>
      <c r="C794" t="s">
        <v>1411</v>
      </c>
      <c r="D794" t="s">
        <v>13</v>
      </c>
      <c r="E794" t="s">
        <v>14</v>
      </c>
      <c r="F794" t="str">
        <f>VLOOKUP(Ramen_Ratings[[#This Row],[Country]],Country_Region[#All],2,FALSE)</f>
        <v>Asia</v>
      </c>
      <c r="G794">
        <v>1.75</v>
      </c>
      <c r="H794" t="str" cm="1">
        <f t="array" ref="H794">_xlfn.IFS(Ramen_Ratings[[#This Row],[Stars]] = "Unrated", "NA",Ramen_Ratings[[#This Row],[Stars]]&gt;=4, "Good", Ramen_Ratings[[#This Row],[Stars]]&gt;2.5, "Fair", Ramen_Ratings[[#This Row],[Stars]] &gt;= 0, "Bad")</f>
        <v>Bad</v>
      </c>
      <c r="J794" t="str">
        <f>LEFT(Ramen_Ratings[[#This Row],[Top Ten]],4)</f>
        <v/>
      </c>
      <c r="K794" t="str">
        <f>IF(Ramen_Ratings[[#This Row],[Top Ten]]="", "",RIGHT(Ramen_Ratings[[#This Row],[Top Ten]],LEN(Ramen_Ratings[[#This Row],[Top Ten]])-6))</f>
        <v/>
      </c>
    </row>
    <row r="795" spans="1:11" x14ac:dyDescent="0.25">
      <c r="A795">
        <v>1413</v>
      </c>
      <c r="B795" t="s">
        <v>1000</v>
      </c>
      <c r="C795" t="s">
        <v>1415</v>
      </c>
      <c r="D795" t="s">
        <v>13</v>
      </c>
      <c r="E795" t="s">
        <v>14</v>
      </c>
      <c r="F795" t="str">
        <f>VLOOKUP(Ramen_Ratings[[#This Row],[Country]],Country_Region[#All],2,FALSE)</f>
        <v>Asia</v>
      </c>
      <c r="G795">
        <v>5</v>
      </c>
      <c r="H795" t="str" cm="1">
        <f t="array" ref="H795">_xlfn.IFS(Ramen_Ratings[[#This Row],[Stars]] = "Unrated", "NA",Ramen_Ratings[[#This Row],[Stars]]&gt;=4, "Good", Ramen_Ratings[[#This Row],[Stars]]&gt;2.5, "Fair", Ramen_Ratings[[#This Row],[Stars]] &gt;= 0, "Bad")</f>
        <v>Good</v>
      </c>
      <c r="J795" t="str">
        <f>LEFT(Ramen_Ratings[[#This Row],[Top Ten]],4)</f>
        <v/>
      </c>
      <c r="K795" t="str">
        <f>IF(Ramen_Ratings[[#This Row],[Top Ten]]="", "",RIGHT(Ramen_Ratings[[#This Row],[Top Ten]],LEN(Ramen_Ratings[[#This Row],[Top Ten]])-6))</f>
        <v/>
      </c>
    </row>
    <row r="796" spans="1:11" x14ac:dyDescent="0.25">
      <c r="A796">
        <v>1411</v>
      </c>
      <c r="B796" t="s">
        <v>496</v>
      </c>
      <c r="C796" t="s">
        <v>1417</v>
      </c>
      <c r="D796" t="s">
        <v>13</v>
      </c>
      <c r="E796" t="s">
        <v>14</v>
      </c>
      <c r="F796" t="str">
        <f>VLOOKUP(Ramen_Ratings[[#This Row],[Country]],Country_Region[#All],2,FALSE)</f>
        <v>Asia</v>
      </c>
      <c r="G796">
        <v>4</v>
      </c>
      <c r="H796" t="str" cm="1">
        <f t="array" ref="H796">_xlfn.IFS(Ramen_Ratings[[#This Row],[Stars]] = "Unrated", "NA",Ramen_Ratings[[#This Row],[Stars]]&gt;=4, "Good", Ramen_Ratings[[#This Row],[Stars]]&gt;2.5, "Fair", Ramen_Ratings[[#This Row],[Stars]] &gt;= 0, "Bad")</f>
        <v>Good</v>
      </c>
      <c r="J796" t="str">
        <f>LEFT(Ramen_Ratings[[#This Row],[Top Ten]],4)</f>
        <v/>
      </c>
      <c r="K796" t="str">
        <f>IF(Ramen_Ratings[[#This Row],[Top Ten]]="", "",RIGHT(Ramen_Ratings[[#This Row],[Top Ten]],LEN(Ramen_Ratings[[#This Row],[Top Ten]])-6))</f>
        <v/>
      </c>
    </row>
    <row r="797" spans="1:11" x14ac:dyDescent="0.25">
      <c r="A797">
        <v>1397</v>
      </c>
      <c r="B797" t="s">
        <v>1049</v>
      </c>
      <c r="C797" t="s">
        <v>1437</v>
      </c>
      <c r="D797" t="s">
        <v>13</v>
      </c>
      <c r="E797" t="s">
        <v>14</v>
      </c>
      <c r="F797" t="str">
        <f>VLOOKUP(Ramen_Ratings[[#This Row],[Country]],Country_Region[#All],2,FALSE)</f>
        <v>Asia</v>
      </c>
      <c r="G797">
        <v>4</v>
      </c>
      <c r="H797" t="str" cm="1">
        <f t="array" ref="H797">_xlfn.IFS(Ramen_Ratings[[#This Row],[Stars]] = "Unrated", "NA",Ramen_Ratings[[#This Row],[Stars]]&gt;=4, "Good", Ramen_Ratings[[#This Row],[Stars]]&gt;2.5, "Fair", Ramen_Ratings[[#This Row],[Stars]] &gt;= 0, "Bad")</f>
        <v>Good</v>
      </c>
      <c r="J797" t="str">
        <f>LEFT(Ramen_Ratings[[#This Row],[Top Ten]],4)</f>
        <v/>
      </c>
      <c r="K797" t="str">
        <f>IF(Ramen_Ratings[[#This Row],[Top Ten]]="", "",RIGHT(Ramen_Ratings[[#This Row],[Top Ten]],LEN(Ramen_Ratings[[#This Row],[Top Ten]])-6))</f>
        <v/>
      </c>
    </row>
    <row r="798" spans="1:11" x14ac:dyDescent="0.25">
      <c r="A798">
        <v>1369</v>
      </c>
      <c r="B798" t="s">
        <v>496</v>
      </c>
      <c r="C798" t="s">
        <v>1469</v>
      </c>
      <c r="D798" t="s">
        <v>13</v>
      </c>
      <c r="E798" t="s">
        <v>14</v>
      </c>
      <c r="F798" t="str">
        <f>VLOOKUP(Ramen_Ratings[[#This Row],[Country]],Country_Region[#All],2,FALSE)</f>
        <v>Asia</v>
      </c>
      <c r="G798">
        <v>3.25</v>
      </c>
      <c r="H798" t="str" cm="1">
        <f t="array" ref="H798">_xlfn.IFS(Ramen_Ratings[[#This Row],[Stars]] = "Unrated", "NA",Ramen_Ratings[[#This Row],[Stars]]&gt;=4, "Good", Ramen_Ratings[[#This Row],[Stars]]&gt;2.5, "Fair", Ramen_Ratings[[#This Row],[Stars]] &gt;= 0, "Bad")</f>
        <v>Fair</v>
      </c>
      <c r="J798" t="str">
        <f>LEFT(Ramen_Ratings[[#This Row],[Top Ten]],4)</f>
        <v/>
      </c>
      <c r="K798" t="str">
        <f>IF(Ramen_Ratings[[#This Row],[Top Ten]]="", "",RIGHT(Ramen_Ratings[[#This Row],[Top Ten]],LEN(Ramen_Ratings[[#This Row],[Top Ten]])-6))</f>
        <v/>
      </c>
    </row>
    <row r="799" spans="1:11" x14ac:dyDescent="0.25">
      <c r="A799">
        <v>1328</v>
      </c>
      <c r="B799" t="s">
        <v>496</v>
      </c>
      <c r="C799" t="s">
        <v>1515</v>
      </c>
      <c r="D799" t="s">
        <v>13</v>
      </c>
      <c r="E799" t="s">
        <v>14</v>
      </c>
      <c r="F799" t="str">
        <f>VLOOKUP(Ramen_Ratings[[#This Row],[Country]],Country_Region[#All],2,FALSE)</f>
        <v>Asia</v>
      </c>
      <c r="G799">
        <v>3.75</v>
      </c>
      <c r="H799" t="str" cm="1">
        <f t="array" ref="H799">_xlfn.IFS(Ramen_Ratings[[#This Row],[Stars]] = "Unrated", "NA",Ramen_Ratings[[#This Row],[Stars]]&gt;=4, "Good", Ramen_Ratings[[#This Row],[Stars]]&gt;2.5, "Fair", Ramen_Ratings[[#This Row],[Stars]] &gt;= 0, "Bad")</f>
        <v>Fair</v>
      </c>
      <c r="J799" t="str">
        <f>LEFT(Ramen_Ratings[[#This Row],[Top Ten]],4)</f>
        <v/>
      </c>
      <c r="K799" t="str">
        <f>IF(Ramen_Ratings[[#This Row],[Top Ten]]="", "",RIGHT(Ramen_Ratings[[#This Row],[Top Ten]],LEN(Ramen_Ratings[[#This Row],[Top Ten]])-6))</f>
        <v/>
      </c>
    </row>
    <row r="800" spans="1:11" x14ac:dyDescent="0.25">
      <c r="A800">
        <v>1317</v>
      </c>
      <c r="B800" t="s">
        <v>243</v>
      </c>
      <c r="C800" t="s">
        <v>1526</v>
      </c>
      <c r="D800" t="s">
        <v>13</v>
      </c>
      <c r="E800" t="s">
        <v>14</v>
      </c>
      <c r="F800" t="str">
        <f>VLOOKUP(Ramen_Ratings[[#This Row],[Country]],Country_Region[#All],2,FALSE)</f>
        <v>Asia</v>
      </c>
      <c r="G800">
        <v>2.5</v>
      </c>
      <c r="H800" t="str" cm="1">
        <f t="array" ref="H800">_xlfn.IFS(Ramen_Ratings[[#This Row],[Stars]] = "Unrated", "NA",Ramen_Ratings[[#This Row],[Stars]]&gt;=4, "Good", Ramen_Ratings[[#This Row],[Stars]]&gt;2.5, "Fair", Ramen_Ratings[[#This Row],[Stars]] &gt;= 0, "Bad")</f>
        <v>Bad</v>
      </c>
      <c r="J800" t="str">
        <f>LEFT(Ramen_Ratings[[#This Row],[Top Ten]],4)</f>
        <v/>
      </c>
      <c r="K800" t="str">
        <f>IF(Ramen_Ratings[[#This Row],[Top Ten]]="", "",RIGHT(Ramen_Ratings[[#This Row],[Top Ten]],LEN(Ramen_Ratings[[#This Row],[Top Ten]])-6))</f>
        <v/>
      </c>
    </row>
    <row r="801" spans="1:11" x14ac:dyDescent="0.25">
      <c r="A801">
        <v>1305</v>
      </c>
      <c r="B801" t="s">
        <v>496</v>
      </c>
      <c r="C801" t="s">
        <v>1539</v>
      </c>
      <c r="D801" t="s">
        <v>13</v>
      </c>
      <c r="E801" t="s">
        <v>14</v>
      </c>
      <c r="F801" t="str">
        <f>VLOOKUP(Ramen_Ratings[[#This Row],[Country]],Country_Region[#All],2,FALSE)</f>
        <v>Asia</v>
      </c>
      <c r="G801">
        <v>3.75</v>
      </c>
      <c r="H801" t="str" cm="1">
        <f t="array" ref="H801">_xlfn.IFS(Ramen_Ratings[[#This Row],[Stars]] = "Unrated", "NA",Ramen_Ratings[[#This Row],[Stars]]&gt;=4, "Good", Ramen_Ratings[[#This Row],[Stars]]&gt;2.5, "Fair", Ramen_Ratings[[#This Row],[Stars]] &gt;= 0, "Bad")</f>
        <v>Fair</v>
      </c>
      <c r="J801" t="str">
        <f>LEFT(Ramen_Ratings[[#This Row],[Top Ten]],4)</f>
        <v/>
      </c>
      <c r="K801" t="str">
        <f>IF(Ramen_Ratings[[#This Row],[Top Ten]]="", "",RIGHT(Ramen_Ratings[[#This Row],[Top Ten]],LEN(Ramen_Ratings[[#This Row],[Top Ten]])-6))</f>
        <v/>
      </c>
    </row>
    <row r="802" spans="1:11" x14ac:dyDescent="0.25">
      <c r="A802">
        <v>1296</v>
      </c>
      <c r="B802" t="s">
        <v>1049</v>
      </c>
      <c r="C802" t="s">
        <v>1552</v>
      </c>
      <c r="D802" t="s">
        <v>13</v>
      </c>
      <c r="E802" t="s">
        <v>14</v>
      </c>
      <c r="F802" t="str">
        <f>VLOOKUP(Ramen_Ratings[[#This Row],[Country]],Country_Region[#All],2,FALSE)</f>
        <v>Asia</v>
      </c>
      <c r="G802">
        <v>3.5</v>
      </c>
      <c r="H802" t="str" cm="1">
        <f t="array" ref="H802">_xlfn.IFS(Ramen_Ratings[[#This Row],[Stars]] = "Unrated", "NA",Ramen_Ratings[[#This Row],[Stars]]&gt;=4, "Good", Ramen_Ratings[[#This Row],[Stars]]&gt;2.5, "Fair", Ramen_Ratings[[#This Row],[Stars]] &gt;= 0, "Bad")</f>
        <v>Fair</v>
      </c>
      <c r="J802" t="str">
        <f>LEFT(Ramen_Ratings[[#This Row],[Top Ten]],4)</f>
        <v/>
      </c>
      <c r="K802" t="str">
        <f>IF(Ramen_Ratings[[#This Row],[Top Ten]]="", "",RIGHT(Ramen_Ratings[[#This Row],[Top Ten]],LEN(Ramen_Ratings[[#This Row],[Top Ten]])-6))</f>
        <v/>
      </c>
    </row>
    <row r="803" spans="1:11" x14ac:dyDescent="0.25">
      <c r="A803">
        <v>1295</v>
      </c>
      <c r="B803" t="s">
        <v>1049</v>
      </c>
      <c r="C803" t="s">
        <v>1553</v>
      </c>
      <c r="D803" t="s">
        <v>13</v>
      </c>
      <c r="E803" t="s">
        <v>14</v>
      </c>
      <c r="F803" t="str">
        <f>VLOOKUP(Ramen_Ratings[[#This Row],[Country]],Country_Region[#All],2,FALSE)</f>
        <v>Asia</v>
      </c>
      <c r="G803">
        <v>3.25</v>
      </c>
      <c r="H803" t="str" cm="1">
        <f t="array" ref="H803">_xlfn.IFS(Ramen_Ratings[[#This Row],[Stars]] = "Unrated", "NA",Ramen_Ratings[[#This Row],[Stars]]&gt;=4, "Good", Ramen_Ratings[[#This Row],[Stars]]&gt;2.5, "Fair", Ramen_Ratings[[#This Row],[Stars]] &gt;= 0, "Bad")</f>
        <v>Fair</v>
      </c>
      <c r="J803" t="str">
        <f>LEFT(Ramen_Ratings[[#This Row],[Top Ten]],4)</f>
        <v/>
      </c>
      <c r="K803" t="str">
        <f>IF(Ramen_Ratings[[#This Row],[Top Ten]]="", "",RIGHT(Ramen_Ratings[[#This Row],[Top Ten]],LEN(Ramen_Ratings[[#This Row],[Top Ten]])-6))</f>
        <v/>
      </c>
    </row>
    <row r="804" spans="1:11" x14ac:dyDescent="0.25">
      <c r="A804">
        <v>1280</v>
      </c>
      <c r="B804" t="s">
        <v>1126</v>
      </c>
      <c r="C804" t="s">
        <v>1569</v>
      </c>
      <c r="D804" t="s">
        <v>13</v>
      </c>
      <c r="E804" t="s">
        <v>14</v>
      </c>
      <c r="F804" t="str">
        <f>VLOOKUP(Ramen_Ratings[[#This Row],[Country]],Country_Region[#All],2,FALSE)</f>
        <v>Asia</v>
      </c>
      <c r="G804">
        <v>5</v>
      </c>
      <c r="H804" t="str" cm="1">
        <f t="array" ref="H804">_xlfn.IFS(Ramen_Ratings[[#This Row],[Stars]] = "Unrated", "NA",Ramen_Ratings[[#This Row],[Stars]]&gt;=4, "Good", Ramen_Ratings[[#This Row],[Stars]]&gt;2.5, "Fair", Ramen_Ratings[[#This Row],[Stars]] &gt;= 0, "Bad")</f>
        <v>Good</v>
      </c>
      <c r="J804" t="str">
        <f>LEFT(Ramen_Ratings[[#This Row],[Top Ten]],4)</f>
        <v/>
      </c>
      <c r="K804" t="str">
        <f>IF(Ramen_Ratings[[#This Row],[Top Ten]]="", "",RIGHT(Ramen_Ratings[[#This Row],[Top Ten]],LEN(Ramen_Ratings[[#This Row],[Top Ten]])-6))</f>
        <v/>
      </c>
    </row>
    <row r="805" spans="1:11" x14ac:dyDescent="0.25">
      <c r="A805">
        <v>1275</v>
      </c>
      <c r="B805" t="s">
        <v>1049</v>
      </c>
      <c r="C805" t="s">
        <v>1574</v>
      </c>
      <c r="D805" t="s">
        <v>13</v>
      </c>
      <c r="E805" t="s">
        <v>14</v>
      </c>
      <c r="F805" t="str">
        <f>VLOOKUP(Ramen_Ratings[[#This Row],[Country]],Country_Region[#All],2,FALSE)</f>
        <v>Asia</v>
      </c>
      <c r="G805">
        <v>4.5</v>
      </c>
      <c r="H805" t="str" cm="1">
        <f t="array" ref="H805">_xlfn.IFS(Ramen_Ratings[[#This Row],[Stars]] = "Unrated", "NA",Ramen_Ratings[[#This Row],[Stars]]&gt;=4, "Good", Ramen_Ratings[[#This Row],[Stars]]&gt;2.5, "Fair", Ramen_Ratings[[#This Row],[Stars]] &gt;= 0, "Bad")</f>
        <v>Good</v>
      </c>
      <c r="J805" t="str">
        <f>LEFT(Ramen_Ratings[[#This Row],[Top Ten]],4)</f>
        <v/>
      </c>
      <c r="K805" t="str">
        <f>IF(Ramen_Ratings[[#This Row],[Top Ten]]="", "",RIGHT(Ramen_Ratings[[#This Row],[Top Ten]],LEN(Ramen_Ratings[[#This Row],[Top Ten]])-6))</f>
        <v/>
      </c>
    </row>
    <row r="806" spans="1:11" x14ac:dyDescent="0.25">
      <c r="A806">
        <v>1274</v>
      </c>
      <c r="B806" t="s">
        <v>1049</v>
      </c>
      <c r="C806" t="s">
        <v>1575</v>
      </c>
      <c r="D806" t="s">
        <v>13</v>
      </c>
      <c r="E806" t="s">
        <v>14</v>
      </c>
      <c r="F806" t="str">
        <f>VLOOKUP(Ramen_Ratings[[#This Row],[Country]],Country_Region[#All],2,FALSE)</f>
        <v>Asia</v>
      </c>
      <c r="G806">
        <v>3.75</v>
      </c>
      <c r="H806" t="str" cm="1">
        <f t="array" ref="H806">_xlfn.IFS(Ramen_Ratings[[#This Row],[Stars]] = "Unrated", "NA",Ramen_Ratings[[#This Row],[Stars]]&gt;=4, "Good", Ramen_Ratings[[#This Row],[Stars]]&gt;2.5, "Fair", Ramen_Ratings[[#This Row],[Stars]] &gt;= 0, "Bad")</f>
        <v>Fair</v>
      </c>
      <c r="J806" t="str">
        <f>LEFT(Ramen_Ratings[[#This Row],[Top Ten]],4)</f>
        <v/>
      </c>
      <c r="K806" t="str">
        <f>IF(Ramen_Ratings[[#This Row],[Top Ten]]="", "",RIGHT(Ramen_Ratings[[#This Row],[Top Ten]],LEN(Ramen_Ratings[[#This Row],[Top Ten]])-6))</f>
        <v/>
      </c>
    </row>
    <row r="807" spans="1:11" x14ac:dyDescent="0.25">
      <c r="A807">
        <v>1268</v>
      </c>
      <c r="B807" t="s">
        <v>1049</v>
      </c>
      <c r="C807" t="s">
        <v>1582</v>
      </c>
      <c r="D807" t="s">
        <v>13</v>
      </c>
      <c r="E807" t="s">
        <v>14</v>
      </c>
      <c r="F807" t="str">
        <f>VLOOKUP(Ramen_Ratings[[#This Row],[Country]],Country_Region[#All],2,FALSE)</f>
        <v>Asia</v>
      </c>
      <c r="G807">
        <v>3.25</v>
      </c>
      <c r="H807" t="str" cm="1">
        <f t="array" ref="H807">_xlfn.IFS(Ramen_Ratings[[#This Row],[Stars]] = "Unrated", "NA",Ramen_Ratings[[#This Row],[Stars]]&gt;=4, "Good", Ramen_Ratings[[#This Row],[Stars]]&gt;2.5, "Fair", Ramen_Ratings[[#This Row],[Stars]] &gt;= 0, "Bad")</f>
        <v>Fair</v>
      </c>
      <c r="J807" t="str">
        <f>LEFT(Ramen_Ratings[[#This Row],[Top Ten]],4)</f>
        <v/>
      </c>
      <c r="K807" t="str">
        <f>IF(Ramen_Ratings[[#This Row],[Top Ten]]="", "",RIGHT(Ramen_Ratings[[#This Row],[Top Ten]],LEN(Ramen_Ratings[[#This Row],[Top Ten]])-6))</f>
        <v/>
      </c>
    </row>
    <row r="808" spans="1:11" x14ac:dyDescent="0.25">
      <c r="A808">
        <v>1248</v>
      </c>
      <c r="B808" t="s">
        <v>1049</v>
      </c>
      <c r="C808" t="s">
        <v>1604</v>
      </c>
      <c r="D808" t="s">
        <v>13</v>
      </c>
      <c r="E808" t="s">
        <v>14</v>
      </c>
      <c r="F808" t="str">
        <f>VLOOKUP(Ramen_Ratings[[#This Row],[Country]],Country_Region[#All],2,FALSE)</f>
        <v>Asia</v>
      </c>
      <c r="G808">
        <v>4</v>
      </c>
      <c r="H808" t="str" cm="1">
        <f t="array" ref="H808">_xlfn.IFS(Ramen_Ratings[[#This Row],[Stars]] = "Unrated", "NA",Ramen_Ratings[[#This Row],[Stars]]&gt;=4, "Good", Ramen_Ratings[[#This Row],[Stars]]&gt;2.5, "Fair", Ramen_Ratings[[#This Row],[Stars]] &gt;= 0, "Bad")</f>
        <v>Good</v>
      </c>
      <c r="J808" t="str">
        <f>LEFT(Ramen_Ratings[[#This Row],[Top Ten]],4)</f>
        <v/>
      </c>
      <c r="K808" t="str">
        <f>IF(Ramen_Ratings[[#This Row],[Top Ten]]="", "",RIGHT(Ramen_Ratings[[#This Row],[Top Ten]],LEN(Ramen_Ratings[[#This Row],[Top Ten]])-6))</f>
        <v/>
      </c>
    </row>
    <row r="809" spans="1:11" x14ac:dyDescent="0.25">
      <c r="A809">
        <v>1231</v>
      </c>
      <c r="B809" t="s">
        <v>496</v>
      </c>
      <c r="C809" t="s">
        <v>1622</v>
      </c>
      <c r="D809" t="s">
        <v>13</v>
      </c>
      <c r="E809" t="s">
        <v>14</v>
      </c>
      <c r="F809" t="str">
        <f>VLOOKUP(Ramen_Ratings[[#This Row],[Country]],Country_Region[#All],2,FALSE)</f>
        <v>Asia</v>
      </c>
      <c r="G809">
        <v>3.75</v>
      </c>
      <c r="H809" t="str" cm="1">
        <f t="array" ref="H809">_xlfn.IFS(Ramen_Ratings[[#This Row],[Stars]] = "Unrated", "NA",Ramen_Ratings[[#This Row],[Stars]]&gt;=4, "Good", Ramen_Ratings[[#This Row],[Stars]]&gt;2.5, "Fair", Ramen_Ratings[[#This Row],[Stars]] &gt;= 0, "Bad")</f>
        <v>Fair</v>
      </c>
      <c r="J809" t="str">
        <f>LEFT(Ramen_Ratings[[#This Row],[Top Ten]],4)</f>
        <v/>
      </c>
      <c r="K809" t="str">
        <f>IF(Ramen_Ratings[[#This Row],[Top Ten]]="", "",RIGHT(Ramen_Ratings[[#This Row],[Top Ten]],LEN(Ramen_Ratings[[#This Row],[Top Ten]])-6))</f>
        <v/>
      </c>
    </row>
    <row r="810" spans="1:11" x14ac:dyDescent="0.25">
      <c r="A810">
        <v>1210</v>
      </c>
      <c r="B810" t="s">
        <v>496</v>
      </c>
      <c r="C810" t="s">
        <v>1646</v>
      </c>
      <c r="D810" t="s">
        <v>13</v>
      </c>
      <c r="E810" t="s">
        <v>14</v>
      </c>
      <c r="F810" t="str">
        <f>VLOOKUP(Ramen_Ratings[[#This Row],[Country]],Country_Region[#All],2,FALSE)</f>
        <v>Asia</v>
      </c>
      <c r="G810">
        <v>4</v>
      </c>
      <c r="H810" t="str" cm="1">
        <f t="array" ref="H810">_xlfn.IFS(Ramen_Ratings[[#This Row],[Stars]] = "Unrated", "NA",Ramen_Ratings[[#This Row],[Stars]]&gt;=4, "Good", Ramen_Ratings[[#This Row],[Stars]]&gt;2.5, "Fair", Ramen_Ratings[[#This Row],[Stars]] &gt;= 0, "Bad")</f>
        <v>Good</v>
      </c>
      <c r="J810" t="str">
        <f>LEFT(Ramen_Ratings[[#This Row],[Top Ten]],4)</f>
        <v/>
      </c>
      <c r="K810" t="str">
        <f>IF(Ramen_Ratings[[#This Row],[Top Ten]]="", "",RIGHT(Ramen_Ratings[[#This Row],[Top Ten]],LEN(Ramen_Ratings[[#This Row],[Top Ten]])-6))</f>
        <v/>
      </c>
    </row>
    <row r="811" spans="1:11" x14ac:dyDescent="0.25">
      <c r="A811">
        <v>1206</v>
      </c>
      <c r="B811" t="s">
        <v>1650</v>
      </c>
      <c r="C811" t="s">
        <v>1651</v>
      </c>
      <c r="D811" t="s">
        <v>13</v>
      </c>
      <c r="E811" t="s">
        <v>14</v>
      </c>
      <c r="F811" t="str">
        <f>VLOOKUP(Ramen_Ratings[[#This Row],[Country]],Country_Region[#All],2,FALSE)</f>
        <v>Asia</v>
      </c>
      <c r="G811">
        <v>1</v>
      </c>
      <c r="H811" t="str" cm="1">
        <f t="array" ref="H811">_xlfn.IFS(Ramen_Ratings[[#This Row],[Stars]] = "Unrated", "NA",Ramen_Ratings[[#This Row],[Stars]]&gt;=4, "Good", Ramen_Ratings[[#This Row],[Stars]]&gt;2.5, "Fair", Ramen_Ratings[[#This Row],[Stars]] &gt;= 0, "Bad")</f>
        <v>Bad</v>
      </c>
      <c r="J811" t="str">
        <f>LEFT(Ramen_Ratings[[#This Row],[Top Ten]],4)</f>
        <v/>
      </c>
      <c r="K811" t="str">
        <f>IF(Ramen_Ratings[[#This Row],[Top Ten]]="", "",RIGHT(Ramen_Ratings[[#This Row],[Top Ten]],LEN(Ramen_Ratings[[#This Row],[Top Ten]])-6))</f>
        <v/>
      </c>
    </row>
    <row r="812" spans="1:11" x14ac:dyDescent="0.25">
      <c r="A812">
        <v>1201</v>
      </c>
      <c r="B812" t="s">
        <v>496</v>
      </c>
      <c r="C812" t="s">
        <v>1656</v>
      </c>
      <c r="D812" t="s">
        <v>13</v>
      </c>
      <c r="E812" t="s">
        <v>14</v>
      </c>
      <c r="F812" t="str">
        <f>VLOOKUP(Ramen_Ratings[[#This Row],[Country]],Country_Region[#All],2,FALSE)</f>
        <v>Asia</v>
      </c>
      <c r="G812">
        <v>4.25</v>
      </c>
      <c r="H812" t="str" cm="1">
        <f t="array" ref="H812">_xlfn.IFS(Ramen_Ratings[[#This Row],[Stars]] = "Unrated", "NA",Ramen_Ratings[[#This Row],[Stars]]&gt;=4, "Good", Ramen_Ratings[[#This Row],[Stars]]&gt;2.5, "Fair", Ramen_Ratings[[#This Row],[Stars]] &gt;= 0, "Bad")</f>
        <v>Good</v>
      </c>
      <c r="J812" t="str">
        <f>LEFT(Ramen_Ratings[[#This Row],[Top Ten]],4)</f>
        <v/>
      </c>
      <c r="K812" t="str">
        <f>IF(Ramen_Ratings[[#This Row],[Top Ten]]="", "",RIGHT(Ramen_Ratings[[#This Row],[Top Ten]],LEN(Ramen_Ratings[[#This Row],[Top Ten]])-6))</f>
        <v/>
      </c>
    </row>
    <row r="813" spans="1:11" x14ac:dyDescent="0.25">
      <c r="A813">
        <v>1192</v>
      </c>
      <c r="B813" t="s">
        <v>1049</v>
      </c>
      <c r="C813" t="s">
        <v>1665</v>
      </c>
      <c r="D813" t="s">
        <v>13</v>
      </c>
      <c r="E813" t="s">
        <v>14</v>
      </c>
      <c r="F813" t="str">
        <f>VLOOKUP(Ramen_Ratings[[#This Row],[Country]],Country_Region[#All],2,FALSE)</f>
        <v>Asia</v>
      </c>
      <c r="G813">
        <v>3.75</v>
      </c>
      <c r="H813" t="str" cm="1">
        <f t="array" ref="H813">_xlfn.IFS(Ramen_Ratings[[#This Row],[Stars]] = "Unrated", "NA",Ramen_Ratings[[#This Row],[Stars]]&gt;=4, "Good", Ramen_Ratings[[#This Row],[Stars]]&gt;2.5, "Fair", Ramen_Ratings[[#This Row],[Stars]] &gt;= 0, "Bad")</f>
        <v>Fair</v>
      </c>
      <c r="J813" t="str">
        <f>LEFT(Ramen_Ratings[[#This Row],[Top Ten]],4)</f>
        <v/>
      </c>
      <c r="K813" t="str">
        <f>IF(Ramen_Ratings[[#This Row],[Top Ten]]="", "",RIGHT(Ramen_Ratings[[#This Row],[Top Ten]],LEN(Ramen_Ratings[[#This Row],[Top Ten]])-6))</f>
        <v/>
      </c>
    </row>
    <row r="814" spans="1:11" x14ac:dyDescent="0.25">
      <c r="A814">
        <v>1180</v>
      </c>
      <c r="B814" t="s">
        <v>18</v>
      </c>
      <c r="C814" t="s">
        <v>1679</v>
      </c>
      <c r="D814" t="s">
        <v>13</v>
      </c>
      <c r="E814" t="s">
        <v>14</v>
      </c>
      <c r="F814" t="str">
        <f>VLOOKUP(Ramen_Ratings[[#This Row],[Country]],Country_Region[#All],2,FALSE)</f>
        <v>Asia</v>
      </c>
      <c r="G814">
        <v>3.75</v>
      </c>
      <c r="H814" t="str" cm="1">
        <f t="array" ref="H814">_xlfn.IFS(Ramen_Ratings[[#This Row],[Stars]] = "Unrated", "NA",Ramen_Ratings[[#This Row],[Stars]]&gt;=4, "Good", Ramen_Ratings[[#This Row],[Stars]]&gt;2.5, "Fair", Ramen_Ratings[[#This Row],[Stars]] &gt;= 0, "Bad")</f>
        <v>Fair</v>
      </c>
      <c r="J814" t="str">
        <f>LEFT(Ramen_Ratings[[#This Row],[Top Ten]],4)</f>
        <v/>
      </c>
      <c r="K814" t="str">
        <f>IF(Ramen_Ratings[[#This Row],[Top Ten]]="", "",RIGHT(Ramen_Ratings[[#This Row],[Top Ten]],LEN(Ramen_Ratings[[#This Row],[Top Ten]])-6))</f>
        <v/>
      </c>
    </row>
    <row r="815" spans="1:11" x14ac:dyDescent="0.25">
      <c r="A815">
        <v>1166</v>
      </c>
      <c r="B815" t="s">
        <v>1516</v>
      </c>
      <c r="C815" t="s">
        <v>1692</v>
      </c>
      <c r="D815" t="s">
        <v>44</v>
      </c>
      <c r="E815" t="s">
        <v>14</v>
      </c>
      <c r="F815" t="str">
        <f>VLOOKUP(Ramen_Ratings[[#This Row],[Country]],Country_Region[#All],2,FALSE)</f>
        <v>Asia</v>
      </c>
      <c r="G815">
        <v>5</v>
      </c>
      <c r="H815" t="str" cm="1">
        <f t="array" ref="H815">_xlfn.IFS(Ramen_Ratings[[#This Row],[Stars]] = "Unrated", "NA",Ramen_Ratings[[#This Row],[Stars]]&gt;=4, "Good", Ramen_Ratings[[#This Row],[Stars]]&gt;2.5, "Fair", Ramen_Ratings[[#This Row],[Stars]] &gt;= 0, "Bad")</f>
        <v>Good</v>
      </c>
      <c r="J815" t="str">
        <f>LEFT(Ramen_Ratings[[#This Row],[Top Ten]],4)</f>
        <v/>
      </c>
      <c r="K815" t="str">
        <f>IF(Ramen_Ratings[[#This Row],[Top Ten]]="", "",RIGHT(Ramen_Ratings[[#This Row],[Top Ten]],LEN(Ramen_Ratings[[#This Row],[Top Ten]])-6))</f>
        <v/>
      </c>
    </row>
    <row r="816" spans="1:11" x14ac:dyDescent="0.25">
      <c r="A816">
        <v>1153</v>
      </c>
      <c r="B816" t="s">
        <v>1049</v>
      </c>
      <c r="C816" t="s">
        <v>1708</v>
      </c>
      <c r="D816" t="s">
        <v>13</v>
      </c>
      <c r="E816" t="s">
        <v>14</v>
      </c>
      <c r="F816" t="str">
        <f>VLOOKUP(Ramen_Ratings[[#This Row],[Country]],Country_Region[#All],2,FALSE)</f>
        <v>Asia</v>
      </c>
      <c r="G816">
        <v>4</v>
      </c>
      <c r="H816" t="str" cm="1">
        <f t="array" ref="H816">_xlfn.IFS(Ramen_Ratings[[#This Row],[Stars]] = "Unrated", "NA",Ramen_Ratings[[#This Row],[Stars]]&gt;=4, "Good", Ramen_Ratings[[#This Row],[Stars]]&gt;2.5, "Fair", Ramen_Ratings[[#This Row],[Stars]] &gt;= 0, "Bad")</f>
        <v>Good</v>
      </c>
      <c r="J816" t="str">
        <f>LEFT(Ramen_Ratings[[#This Row],[Top Ten]],4)</f>
        <v/>
      </c>
      <c r="K816" t="str">
        <f>IF(Ramen_Ratings[[#This Row],[Top Ten]]="", "",RIGHT(Ramen_Ratings[[#This Row],[Top Ten]],LEN(Ramen_Ratings[[#This Row],[Top Ten]])-6))</f>
        <v/>
      </c>
    </row>
    <row r="817" spans="1:11" x14ac:dyDescent="0.25">
      <c r="A817">
        <v>1131</v>
      </c>
      <c r="B817" t="s">
        <v>18</v>
      </c>
      <c r="C817" t="s">
        <v>1729</v>
      </c>
      <c r="D817" t="s">
        <v>13</v>
      </c>
      <c r="E817" t="s">
        <v>14</v>
      </c>
      <c r="F817" t="str">
        <f>VLOOKUP(Ramen_Ratings[[#This Row],[Country]],Country_Region[#All],2,FALSE)</f>
        <v>Asia</v>
      </c>
      <c r="G817">
        <v>3.75</v>
      </c>
      <c r="H817" t="str" cm="1">
        <f t="array" ref="H817">_xlfn.IFS(Ramen_Ratings[[#This Row],[Stars]] = "Unrated", "NA",Ramen_Ratings[[#This Row],[Stars]]&gt;=4, "Good", Ramen_Ratings[[#This Row],[Stars]]&gt;2.5, "Fair", Ramen_Ratings[[#This Row],[Stars]] &gt;= 0, "Bad")</f>
        <v>Fair</v>
      </c>
      <c r="J817" t="str">
        <f>LEFT(Ramen_Ratings[[#This Row],[Top Ten]],4)</f>
        <v/>
      </c>
      <c r="K817" t="str">
        <f>IF(Ramen_Ratings[[#This Row],[Top Ten]]="", "",RIGHT(Ramen_Ratings[[#This Row],[Top Ten]],LEN(Ramen_Ratings[[#This Row],[Top Ten]])-6))</f>
        <v/>
      </c>
    </row>
    <row r="818" spans="1:11" x14ac:dyDescent="0.25">
      <c r="A818">
        <v>1097</v>
      </c>
      <c r="B818" t="s">
        <v>1767</v>
      </c>
      <c r="C818" t="s">
        <v>1768</v>
      </c>
      <c r="D818" t="s">
        <v>13</v>
      </c>
      <c r="E818" t="s">
        <v>14</v>
      </c>
      <c r="F818" t="str">
        <f>VLOOKUP(Ramen_Ratings[[#This Row],[Country]],Country_Region[#All],2,FALSE)</f>
        <v>Asia</v>
      </c>
      <c r="G818">
        <v>3.75</v>
      </c>
      <c r="H818" t="str" cm="1">
        <f t="array" ref="H818">_xlfn.IFS(Ramen_Ratings[[#This Row],[Stars]] = "Unrated", "NA",Ramen_Ratings[[#This Row],[Stars]]&gt;=4, "Good", Ramen_Ratings[[#This Row],[Stars]]&gt;2.5, "Fair", Ramen_Ratings[[#This Row],[Stars]] &gt;= 0, "Bad")</f>
        <v>Fair</v>
      </c>
      <c r="J818" t="str">
        <f>LEFT(Ramen_Ratings[[#This Row],[Top Ten]],4)</f>
        <v/>
      </c>
      <c r="K818" t="str">
        <f>IF(Ramen_Ratings[[#This Row],[Top Ten]]="", "",RIGHT(Ramen_Ratings[[#This Row],[Top Ten]],LEN(Ramen_Ratings[[#This Row],[Top Ten]])-6))</f>
        <v/>
      </c>
    </row>
    <row r="819" spans="1:11" x14ac:dyDescent="0.25">
      <c r="A819">
        <v>1096</v>
      </c>
      <c r="B819" t="s">
        <v>1767</v>
      </c>
      <c r="C819" t="s">
        <v>1769</v>
      </c>
      <c r="D819" t="s">
        <v>13</v>
      </c>
      <c r="E819" t="s">
        <v>14</v>
      </c>
      <c r="F819" t="str">
        <f>VLOOKUP(Ramen_Ratings[[#This Row],[Country]],Country_Region[#All],2,FALSE)</f>
        <v>Asia</v>
      </c>
      <c r="G819">
        <v>3.5</v>
      </c>
      <c r="H819" t="str" cm="1">
        <f t="array" ref="H819">_xlfn.IFS(Ramen_Ratings[[#This Row],[Stars]] = "Unrated", "NA",Ramen_Ratings[[#This Row],[Stars]]&gt;=4, "Good", Ramen_Ratings[[#This Row],[Stars]]&gt;2.5, "Fair", Ramen_Ratings[[#This Row],[Stars]] &gt;= 0, "Bad")</f>
        <v>Fair</v>
      </c>
      <c r="J819" t="str">
        <f>LEFT(Ramen_Ratings[[#This Row],[Top Ten]],4)</f>
        <v/>
      </c>
      <c r="K819" t="str">
        <f>IF(Ramen_Ratings[[#This Row],[Top Ten]]="", "",RIGHT(Ramen_Ratings[[#This Row],[Top Ten]],LEN(Ramen_Ratings[[#This Row],[Top Ten]])-6))</f>
        <v/>
      </c>
    </row>
    <row r="820" spans="1:11" x14ac:dyDescent="0.25">
      <c r="A820">
        <v>1095</v>
      </c>
      <c r="B820" t="s">
        <v>1767</v>
      </c>
      <c r="C820" t="s">
        <v>1770</v>
      </c>
      <c r="D820" t="s">
        <v>13</v>
      </c>
      <c r="E820" t="s">
        <v>14</v>
      </c>
      <c r="F820" t="str">
        <f>VLOOKUP(Ramen_Ratings[[#This Row],[Country]],Country_Region[#All],2,FALSE)</f>
        <v>Asia</v>
      </c>
      <c r="G820">
        <v>3.25</v>
      </c>
      <c r="H820" t="str" cm="1">
        <f t="array" ref="H820">_xlfn.IFS(Ramen_Ratings[[#This Row],[Stars]] = "Unrated", "NA",Ramen_Ratings[[#This Row],[Stars]]&gt;=4, "Good", Ramen_Ratings[[#This Row],[Stars]]&gt;2.5, "Fair", Ramen_Ratings[[#This Row],[Stars]] &gt;= 0, "Bad")</f>
        <v>Fair</v>
      </c>
      <c r="J820" t="str">
        <f>LEFT(Ramen_Ratings[[#This Row],[Top Ten]],4)</f>
        <v/>
      </c>
      <c r="K820" t="str">
        <f>IF(Ramen_Ratings[[#This Row],[Top Ten]]="", "",RIGHT(Ramen_Ratings[[#This Row],[Top Ten]],LEN(Ramen_Ratings[[#This Row],[Top Ten]])-6))</f>
        <v/>
      </c>
    </row>
    <row r="821" spans="1:11" x14ac:dyDescent="0.25">
      <c r="A821">
        <v>1094</v>
      </c>
      <c r="B821" t="s">
        <v>1767</v>
      </c>
      <c r="C821" t="s">
        <v>1771</v>
      </c>
      <c r="D821" t="s">
        <v>13</v>
      </c>
      <c r="E821" t="s">
        <v>14</v>
      </c>
      <c r="F821" t="str">
        <f>VLOOKUP(Ramen_Ratings[[#This Row],[Country]],Country_Region[#All],2,FALSE)</f>
        <v>Asia</v>
      </c>
      <c r="G821">
        <v>4.25</v>
      </c>
      <c r="H821" t="str" cm="1">
        <f t="array" ref="H821">_xlfn.IFS(Ramen_Ratings[[#This Row],[Stars]] = "Unrated", "NA",Ramen_Ratings[[#This Row],[Stars]]&gt;=4, "Good", Ramen_Ratings[[#This Row],[Stars]]&gt;2.5, "Fair", Ramen_Ratings[[#This Row],[Stars]] &gt;= 0, "Bad")</f>
        <v>Good</v>
      </c>
      <c r="J821" t="str">
        <f>LEFT(Ramen_Ratings[[#This Row],[Top Ten]],4)</f>
        <v/>
      </c>
      <c r="K821" t="str">
        <f>IF(Ramen_Ratings[[#This Row],[Top Ten]]="", "",RIGHT(Ramen_Ratings[[#This Row],[Top Ten]],LEN(Ramen_Ratings[[#This Row],[Top Ten]])-6))</f>
        <v/>
      </c>
    </row>
    <row r="822" spans="1:11" x14ac:dyDescent="0.25">
      <c r="A822">
        <v>1093</v>
      </c>
      <c r="B822" t="s">
        <v>1767</v>
      </c>
      <c r="C822" t="s">
        <v>1772</v>
      </c>
      <c r="D822" t="s">
        <v>13</v>
      </c>
      <c r="E822" t="s">
        <v>14</v>
      </c>
      <c r="F822" t="str">
        <f>VLOOKUP(Ramen_Ratings[[#This Row],[Country]],Country_Region[#All],2,FALSE)</f>
        <v>Asia</v>
      </c>
      <c r="G822">
        <v>4.5</v>
      </c>
      <c r="H822" t="str" cm="1">
        <f t="array" ref="H822">_xlfn.IFS(Ramen_Ratings[[#This Row],[Stars]] = "Unrated", "NA",Ramen_Ratings[[#This Row],[Stars]]&gt;=4, "Good", Ramen_Ratings[[#This Row],[Stars]]&gt;2.5, "Fair", Ramen_Ratings[[#This Row],[Stars]] &gt;= 0, "Bad")</f>
        <v>Good</v>
      </c>
      <c r="J822" t="str">
        <f>LEFT(Ramen_Ratings[[#This Row],[Top Ten]],4)</f>
        <v/>
      </c>
      <c r="K822" t="str">
        <f>IF(Ramen_Ratings[[#This Row],[Top Ten]]="", "",RIGHT(Ramen_Ratings[[#This Row],[Top Ten]],LEN(Ramen_Ratings[[#This Row],[Top Ten]])-6))</f>
        <v/>
      </c>
    </row>
    <row r="823" spans="1:11" x14ac:dyDescent="0.25">
      <c r="A823">
        <v>1092</v>
      </c>
      <c r="B823" t="s">
        <v>1767</v>
      </c>
      <c r="C823" t="s">
        <v>1773</v>
      </c>
      <c r="D823" t="s">
        <v>13</v>
      </c>
      <c r="E823" t="s">
        <v>14</v>
      </c>
      <c r="F823" t="str">
        <f>VLOOKUP(Ramen_Ratings[[#This Row],[Country]],Country_Region[#All],2,FALSE)</f>
        <v>Asia</v>
      </c>
      <c r="G823">
        <v>5</v>
      </c>
      <c r="H823" t="str" cm="1">
        <f t="array" ref="H823">_xlfn.IFS(Ramen_Ratings[[#This Row],[Stars]] = "Unrated", "NA",Ramen_Ratings[[#This Row],[Stars]]&gt;=4, "Good", Ramen_Ratings[[#This Row],[Stars]]&gt;2.5, "Fair", Ramen_Ratings[[#This Row],[Stars]] &gt;= 0, "Bad")</f>
        <v>Good</v>
      </c>
      <c r="J823" t="str">
        <f>LEFT(Ramen_Ratings[[#This Row],[Top Ten]],4)</f>
        <v/>
      </c>
      <c r="K823" t="str">
        <f>IF(Ramen_Ratings[[#This Row],[Top Ten]]="", "",RIGHT(Ramen_Ratings[[#This Row],[Top Ten]],LEN(Ramen_Ratings[[#This Row],[Top Ten]])-6))</f>
        <v/>
      </c>
    </row>
    <row r="824" spans="1:11" x14ac:dyDescent="0.25">
      <c r="A824">
        <v>1091</v>
      </c>
      <c r="B824" t="s">
        <v>1767</v>
      </c>
      <c r="C824" t="s">
        <v>1774</v>
      </c>
      <c r="D824" t="s">
        <v>13</v>
      </c>
      <c r="E824" t="s">
        <v>14</v>
      </c>
      <c r="F824" t="str">
        <f>VLOOKUP(Ramen_Ratings[[#This Row],[Country]],Country_Region[#All],2,FALSE)</f>
        <v>Asia</v>
      </c>
      <c r="G824">
        <v>4</v>
      </c>
      <c r="H824" t="str" cm="1">
        <f t="array" ref="H824">_xlfn.IFS(Ramen_Ratings[[#This Row],[Stars]] = "Unrated", "NA",Ramen_Ratings[[#This Row],[Stars]]&gt;=4, "Good", Ramen_Ratings[[#This Row],[Stars]]&gt;2.5, "Fair", Ramen_Ratings[[#This Row],[Stars]] &gt;= 0, "Bad")</f>
        <v>Good</v>
      </c>
      <c r="J824" t="str">
        <f>LEFT(Ramen_Ratings[[#This Row],[Top Ten]],4)</f>
        <v/>
      </c>
      <c r="K824" t="str">
        <f>IF(Ramen_Ratings[[#This Row],[Top Ten]]="", "",RIGHT(Ramen_Ratings[[#This Row],[Top Ten]],LEN(Ramen_Ratings[[#This Row],[Top Ten]])-6))</f>
        <v/>
      </c>
    </row>
    <row r="825" spans="1:11" x14ac:dyDescent="0.25">
      <c r="A825">
        <v>1090</v>
      </c>
      <c r="B825" t="s">
        <v>1767</v>
      </c>
      <c r="C825" t="s">
        <v>1775</v>
      </c>
      <c r="D825" t="s">
        <v>13</v>
      </c>
      <c r="E825" t="s">
        <v>14</v>
      </c>
      <c r="F825" t="str">
        <f>VLOOKUP(Ramen_Ratings[[#This Row],[Country]],Country_Region[#All],2,FALSE)</f>
        <v>Asia</v>
      </c>
      <c r="G825">
        <v>3.25</v>
      </c>
      <c r="H825" t="str" cm="1">
        <f t="array" ref="H825">_xlfn.IFS(Ramen_Ratings[[#This Row],[Stars]] = "Unrated", "NA",Ramen_Ratings[[#This Row],[Stars]]&gt;=4, "Good", Ramen_Ratings[[#This Row],[Stars]]&gt;2.5, "Fair", Ramen_Ratings[[#This Row],[Stars]] &gt;= 0, "Bad")</f>
        <v>Fair</v>
      </c>
      <c r="J825" t="str">
        <f>LEFT(Ramen_Ratings[[#This Row],[Top Ten]],4)</f>
        <v/>
      </c>
      <c r="K825" t="str">
        <f>IF(Ramen_Ratings[[#This Row],[Top Ten]]="", "",RIGHT(Ramen_Ratings[[#This Row],[Top Ten]],LEN(Ramen_Ratings[[#This Row],[Top Ten]])-6))</f>
        <v/>
      </c>
    </row>
    <row r="826" spans="1:11" x14ac:dyDescent="0.25">
      <c r="A826">
        <v>1089</v>
      </c>
      <c r="B826" t="s">
        <v>1767</v>
      </c>
      <c r="C826" t="s">
        <v>1776</v>
      </c>
      <c r="D826" t="s">
        <v>13</v>
      </c>
      <c r="E826" t="s">
        <v>14</v>
      </c>
      <c r="F826" t="str">
        <f>VLOOKUP(Ramen_Ratings[[#This Row],[Country]],Country_Region[#All],2,FALSE)</f>
        <v>Asia</v>
      </c>
      <c r="G826">
        <v>4.25</v>
      </c>
      <c r="H826" t="str" cm="1">
        <f t="array" ref="H826">_xlfn.IFS(Ramen_Ratings[[#This Row],[Stars]] = "Unrated", "NA",Ramen_Ratings[[#This Row],[Stars]]&gt;=4, "Good", Ramen_Ratings[[#This Row],[Stars]]&gt;2.5, "Fair", Ramen_Ratings[[#This Row],[Stars]] &gt;= 0, "Bad")</f>
        <v>Good</v>
      </c>
      <c r="J826" t="str">
        <f>LEFT(Ramen_Ratings[[#This Row],[Top Ten]],4)</f>
        <v/>
      </c>
      <c r="K826" t="str">
        <f>IF(Ramen_Ratings[[#This Row],[Top Ten]]="", "",RIGHT(Ramen_Ratings[[#This Row],[Top Ten]],LEN(Ramen_Ratings[[#This Row],[Top Ten]])-6))</f>
        <v/>
      </c>
    </row>
    <row r="827" spans="1:11" x14ac:dyDescent="0.25">
      <c r="A827">
        <v>1088</v>
      </c>
      <c r="B827" t="s">
        <v>1767</v>
      </c>
      <c r="C827" t="s">
        <v>1777</v>
      </c>
      <c r="D827" t="s">
        <v>13</v>
      </c>
      <c r="E827" t="s">
        <v>14</v>
      </c>
      <c r="F827" t="str">
        <f>VLOOKUP(Ramen_Ratings[[#This Row],[Country]],Country_Region[#All],2,FALSE)</f>
        <v>Asia</v>
      </c>
      <c r="G827">
        <v>3.75</v>
      </c>
      <c r="H827" t="str" cm="1">
        <f t="array" ref="H827">_xlfn.IFS(Ramen_Ratings[[#This Row],[Stars]] = "Unrated", "NA",Ramen_Ratings[[#This Row],[Stars]]&gt;=4, "Good", Ramen_Ratings[[#This Row],[Stars]]&gt;2.5, "Fair", Ramen_Ratings[[#This Row],[Stars]] &gt;= 0, "Bad")</f>
        <v>Fair</v>
      </c>
      <c r="J827" t="str">
        <f>LEFT(Ramen_Ratings[[#This Row],[Top Ten]],4)</f>
        <v/>
      </c>
      <c r="K827" t="str">
        <f>IF(Ramen_Ratings[[#This Row],[Top Ten]]="", "",RIGHT(Ramen_Ratings[[#This Row],[Top Ten]],LEN(Ramen_Ratings[[#This Row],[Top Ten]])-6))</f>
        <v/>
      </c>
    </row>
    <row r="828" spans="1:11" x14ac:dyDescent="0.25">
      <c r="A828">
        <v>1081</v>
      </c>
      <c r="B828" t="s">
        <v>1126</v>
      </c>
      <c r="C828" t="s">
        <v>1784</v>
      </c>
      <c r="D828" t="s">
        <v>13</v>
      </c>
      <c r="E828" t="s">
        <v>14</v>
      </c>
      <c r="F828" t="str">
        <f>VLOOKUP(Ramen_Ratings[[#This Row],[Country]],Country_Region[#All],2,FALSE)</f>
        <v>Asia</v>
      </c>
      <c r="G828">
        <v>3.25</v>
      </c>
      <c r="H828" t="str" cm="1">
        <f t="array" ref="H828">_xlfn.IFS(Ramen_Ratings[[#This Row],[Stars]] = "Unrated", "NA",Ramen_Ratings[[#This Row],[Stars]]&gt;=4, "Good", Ramen_Ratings[[#This Row],[Stars]]&gt;2.5, "Fair", Ramen_Ratings[[#This Row],[Stars]] &gt;= 0, "Bad")</f>
        <v>Fair</v>
      </c>
      <c r="J828" t="str">
        <f>LEFT(Ramen_Ratings[[#This Row],[Top Ten]],4)</f>
        <v/>
      </c>
      <c r="K828" t="str">
        <f>IF(Ramen_Ratings[[#This Row],[Top Ten]]="", "",RIGHT(Ramen_Ratings[[#This Row],[Top Ten]],LEN(Ramen_Ratings[[#This Row],[Top Ten]])-6))</f>
        <v/>
      </c>
    </row>
    <row r="829" spans="1:11" x14ac:dyDescent="0.25">
      <c r="A829">
        <v>1080</v>
      </c>
      <c r="B829" t="s">
        <v>1126</v>
      </c>
      <c r="C829" t="s">
        <v>1785</v>
      </c>
      <c r="D829" t="s">
        <v>13</v>
      </c>
      <c r="E829" t="s">
        <v>14</v>
      </c>
      <c r="F829" t="str">
        <f>VLOOKUP(Ramen_Ratings[[#This Row],[Country]],Country_Region[#All],2,FALSE)</f>
        <v>Asia</v>
      </c>
      <c r="G829">
        <v>3.5</v>
      </c>
      <c r="H829" t="str" cm="1">
        <f t="array" ref="H829">_xlfn.IFS(Ramen_Ratings[[#This Row],[Stars]] = "Unrated", "NA",Ramen_Ratings[[#This Row],[Stars]]&gt;=4, "Good", Ramen_Ratings[[#This Row],[Stars]]&gt;2.5, "Fair", Ramen_Ratings[[#This Row],[Stars]] &gt;= 0, "Bad")</f>
        <v>Fair</v>
      </c>
      <c r="J829" t="str">
        <f>LEFT(Ramen_Ratings[[#This Row],[Top Ten]],4)</f>
        <v/>
      </c>
      <c r="K829" t="str">
        <f>IF(Ramen_Ratings[[#This Row],[Top Ten]]="", "",RIGHT(Ramen_Ratings[[#This Row],[Top Ten]],LEN(Ramen_Ratings[[#This Row],[Top Ten]])-6))</f>
        <v/>
      </c>
    </row>
    <row r="830" spans="1:11" x14ac:dyDescent="0.25">
      <c r="A830">
        <v>1079</v>
      </c>
      <c r="B830" t="s">
        <v>1126</v>
      </c>
      <c r="C830" t="s">
        <v>1786</v>
      </c>
      <c r="D830" t="s">
        <v>13</v>
      </c>
      <c r="E830" t="s">
        <v>14</v>
      </c>
      <c r="F830" t="str">
        <f>VLOOKUP(Ramen_Ratings[[#This Row],[Country]],Country_Region[#All],2,FALSE)</f>
        <v>Asia</v>
      </c>
      <c r="G830">
        <v>5</v>
      </c>
      <c r="H830" t="str" cm="1">
        <f t="array" ref="H830">_xlfn.IFS(Ramen_Ratings[[#This Row],[Stars]] = "Unrated", "NA",Ramen_Ratings[[#This Row],[Stars]]&gt;=4, "Good", Ramen_Ratings[[#This Row],[Stars]]&gt;2.5, "Fair", Ramen_Ratings[[#This Row],[Stars]] &gt;= 0, "Bad")</f>
        <v>Good</v>
      </c>
      <c r="J830" t="str">
        <f>LEFT(Ramen_Ratings[[#This Row],[Top Ten]],4)</f>
        <v/>
      </c>
      <c r="K830" t="str">
        <f>IF(Ramen_Ratings[[#This Row],[Top Ten]]="", "",RIGHT(Ramen_Ratings[[#This Row],[Top Ten]],LEN(Ramen_Ratings[[#This Row],[Top Ten]])-6))</f>
        <v/>
      </c>
    </row>
    <row r="831" spans="1:11" x14ac:dyDescent="0.25">
      <c r="A831">
        <v>1078</v>
      </c>
      <c r="B831" t="s">
        <v>1126</v>
      </c>
      <c r="C831" t="s">
        <v>1787</v>
      </c>
      <c r="D831" t="s">
        <v>13</v>
      </c>
      <c r="E831" t="s">
        <v>14</v>
      </c>
      <c r="F831" t="str">
        <f>VLOOKUP(Ramen_Ratings[[#This Row],[Country]],Country_Region[#All],2,FALSE)</f>
        <v>Asia</v>
      </c>
      <c r="G831">
        <v>3.75</v>
      </c>
      <c r="H831" t="str" cm="1">
        <f t="array" ref="H831">_xlfn.IFS(Ramen_Ratings[[#This Row],[Stars]] = "Unrated", "NA",Ramen_Ratings[[#This Row],[Stars]]&gt;=4, "Good", Ramen_Ratings[[#This Row],[Stars]]&gt;2.5, "Fair", Ramen_Ratings[[#This Row],[Stars]] &gt;= 0, "Bad")</f>
        <v>Fair</v>
      </c>
      <c r="J831" t="str">
        <f>LEFT(Ramen_Ratings[[#This Row],[Top Ten]],4)</f>
        <v/>
      </c>
      <c r="K831" t="str">
        <f>IF(Ramen_Ratings[[#This Row],[Top Ten]]="", "",RIGHT(Ramen_Ratings[[#This Row],[Top Ten]],LEN(Ramen_Ratings[[#This Row],[Top Ten]])-6))</f>
        <v/>
      </c>
    </row>
    <row r="832" spans="1:11" x14ac:dyDescent="0.25">
      <c r="A832">
        <v>1077</v>
      </c>
      <c r="B832" t="s">
        <v>1126</v>
      </c>
      <c r="C832" t="s">
        <v>1788</v>
      </c>
      <c r="D832" t="s">
        <v>13</v>
      </c>
      <c r="E832" t="s">
        <v>14</v>
      </c>
      <c r="F832" t="str">
        <f>VLOOKUP(Ramen_Ratings[[#This Row],[Country]],Country_Region[#All],2,FALSE)</f>
        <v>Asia</v>
      </c>
      <c r="G832">
        <v>5</v>
      </c>
      <c r="H832" t="str" cm="1">
        <f t="array" ref="H832">_xlfn.IFS(Ramen_Ratings[[#This Row],[Stars]] = "Unrated", "NA",Ramen_Ratings[[#This Row],[Stars]]&gt;=4, "Good", Ramen_Ratings[[#This Row],[Stars]]&gt;2.5, "Fair", Ramen_Ratings[[#This Row],[Stars]] &gt;= 0, "Bad")</f>
        <v>Good</v>
      </c>
      <c r="J832" t="str">
        <f>LEFT(Ramen_Ratings[[#This Row],[Top Ten]],4)</f>
        <v/>
      </c>
      <c r="K832" t="str">
        <f>IF(Ramen_Ratings[[#This Row],[Top Ten]]="", "",RIGHT(Ramen_Ratings[[#This Row],[Top Ten]],LEN(Ramen_Ratings[[#This Row],[Top Ten]])-6))</f>
        <v/>
      </c>
    </row>
    <row r="833" spans="1:11" x14ac:dyDescent="0.25">
      <c r="A833">
        <v>1076</v>
      </c>
      <c r="B833" t="s">
        <v>1126</v>
      </c>
      <c r="C833" t="s">
        <v>1789</v>
      </c>
      <c r="D833" t="s">
        <v>13</v>
      </c>
      <c r="E833" t="s">
        <v>14</v>
      </c>
      <c r="F833" t="str">
        <f>VLOOKUP(Ramen_Ratings[[#This Row],[Country]],Country_Region[#All],2,FALSE)</f>
        <v>Asia</v>
      </c>
      <c r="G833">
        <v>3.75</v>
      </c>
      <c r="H833" t="str" cm="1">
        <f t="array" ref="H833">_xlfn.IFS(Ramen_Ratings[[#This Row],[Stars]] = "Unrated", "NA",Ramen_Ratings[[#This Row],[Stars]]&gt;=4, "Good", Ramen_Ratings[[#This Row],[Stars]]&gt;2.5, "Fair", Ramen_Ratings[[#This Row],[Stars]] &gt;= 0, "Bad")</f>
        <v>Fair</v>
      </c>
      <c r="J833" t="str">
        <f>LEFT(Ramen_Ratings[[#This Row],[Top Ten]],4)</f>
        <v/>
      </c>
      <c r="K833" t="str">
        <f>IF(Ramen_Ratings[[#This Row],[Top Ten]]="", "",RIGHT(Ramen_Ratings[[#This Row],[Top Ten]],LEN(Ramen_Ratings[[#This Row],[Top Ten]])-6))</f>
        <v/>
      </c>
    </row>
    <row r="834" spans="1:11" x14ac:dyDescent="0.25">
      <c r="A834">
        <v>1075</v>
      </c>
      <c r="B834" t="s">
        <v>1126</v>
      </c>
      <c r="C834" t="s">
        <v>1790</v>
      </c>
      <c r="D834" t="s">
        <v>13</v>
      </c>
      <c r="E834" t="s">
        <v>14</v>
      </c>
      <c r="F834" t="str">
        <f>VLOOKUP(Ramen_Ratings[[#This Row],[Country]],Country_Region[#All],2,FALSE)</f>
        <v>Asia</v>
      </c>
      <c r="G834">
        <v>5</v>
      </c>
      <c r="H834" t="str" cm="1">
        <f t="array" ref="H834">_xlfn.IFS(Ramen_Ratings[[#This Row],[Stars]] = "Unrated", "NA",Ramen_Ratings[[#This Row],[Stars]]&gt;=4, "Good", Ramen_Ratings[[#This Row],[Stars]]&gt;2.5, "Fair", Ramen_Ratings[[#This Row],[Stars]] &gt;= 0, "Bad")</f>
        <v>Good</v>
      </c>
      <c r="J834" t="str">
        <f>LEFT(Ramen_Ratings[[#This Row],[Top Ten]],4)</f>
        <v/>
      </c>
      <c r="K834" t="str">
        <f>IF(Ramen_Ratings[[#This Row],[Top Ten]]="", "",RIGHT(Ramen_Ratings[[#This Row],[Top Ten]],LEN(Ramen_Ratings[[#This Row],[Top Ten]])-6))</f>
        <v/>
      </c>
    </row>
    <row r="835" spans="1:11" x14ac:dyDescent="0.25">
      <c r="A835">
        <v>1074</v>
      </c>
      <c r="B835" t="s">
        <v>1126</v>
      </c>
      <c r="C835" t="s">
        <v>1791</v>
      </c>
      <c r="D835" t="s">
        <v>13</v>
      </c>
      <c r="E835" t="s">
        <v>14</v>
      </c>
      <c r="F835" t="str">
        <f>VLOOKUP(Ramen_Ratings[[#This Row],[Country]],Country_Region[#All],2,FALSE)</f>
        <v>Asia</v>
      </c>
      <c r="G835">
        <v>4.25</v>
      </c>
      <c r="H835" t="str" cm="1">
        <f t="array" ref="H835">_xlfn.IFS(Ramen_Ratings[[#This Row],[Stars]] = "Unrated", "NA",Ramen_Ratings[[#This Row],[Stars]]&gt;=4, "Good", Ramen_Ratings[[#This Row],[Stars]]&gt;2.5, "Fair", Ramen_Ratings[[#This Row],[Stars]] &gt;= 0, "Bad")</f>
        <v>Good</v>
      </c>
      <c r="J835" t="str">
        <f>LEFT(Ramen_Ratings[[#This Row],[Top Ten]],4)</f>
        <v/>
      </c>
      <c r="K835" t="str">
        <f>IF(Ramen_Ratings[[#This Row],[Top Ten]]="", "",RIGHT(Ramen_Ratings[[#This Row],[Top Ten]],LEN(Ramen_Ratings[[#This Row],[Top Ten]])-6))</f>
        <v/>
      </c>
    </row>
    <row r="836" spans="1:11" x14ac:dyDescent="0.25">
      <c r="A836">
        <v>1073</v>
      </c>
      <c r="B836" t="s">
        <v>1126</v>
      </c>
      <c r="C836" t="s">
        <v>1792</v>
      </c>
      <c r="D836" t="s">
        <v>13</v>
      </c>
      <c r="E836" t="s">
        <v>14</v>
      </c>
      <c r="F836" t="str">
        <f>VLOOKUP(Ramen_Ratings[[#This Row],[Country]],Country_Region[#All],2,FALSE)</f>
        <v>Asia</v>
      </c>
      <c r="G836">
        <v>3.75</v>
      </c>
      <c r="H836" t="str" cm="1">
        <f t="array" ref="H836">_xlfn.IFS(Ramen_Ratings[[#This Row],[Stars]] = "Unrated", "NA",Ramen_Ratings[[#This Row],[Stars]]&gt;=4, "Good", Ramen_Ratings[[#This Row],[Stars]]&gt;2.5, "Fair", Ramen_Ratings[[#This Row],[Stars]] &gt;= 0, "Bad")</f>
        <v>Fair</v>
      </c>
      <c r="J836" t="str">
        <f>LEFT(Ramen_Ratings[[#This Row],[Top Ten]],4)</f>
        <v/>
      </c>
      <c r="K836" t="str">
        <f>IF(Ramen_Ratings[[#This Row],[Top Ten]]="", "",RIGHT(Ramen_Ratings[[#This Row],[Top Ten]],LEN(Ramen_Ratings[[#This Row],[Top Ten]])-6))</f>
        <v/>
      </c>
    </row>
    <row r="837" spans="1:11" x14ac:dyDescent="0.25">
      <c r="A837">
        <v>1072</v>
      </c>
      <c r="B837" t="s">
        <v>1126</v>
      </c>
      <c r="C837" t="s">
        <v>1793</v>
      </c>
      <c r="D837" t="s">
        <v>13</v>
      </c>
      <c r="E837" t="s">
        <v>14</v>
      </c>
      <c r="F837" t="str">
        <f>VLOOKUP(Ramen_Ratings[[#This Row],[Country]],Country_Region[#All],2,FALSE)</f>
        <v>Asia</v>
      </c>
      <c r="G837">
        <v>4</v>
      </c>
      <c r="H837" t="str" cm="1">
        <f t="array" ref="H837">_xlfn.IFS(Ramen_Ratings[[#This Row],[Stars]] = "Unrated", "NA",Ramen_Ratings[[#This Row],[Stars]]&gt;=4, "Good", Ramen_Ratings[[#This Row],[Stars]]&gt;2.5, "Fair", Ramen_Ratings[[#This Row],[Stars]] &gt;= 0, "Bad")</f>
        <v>Good</v>
      </c>
      <c r="J837" t="str">
        <f>LEFT(Ramen_Ratings[[#This Row],[Top Ten]],4)</f>
        <v/>
      </c>
      <c r="K837" t="str">
        <f>IF(Ramen_Ratings[[#This Row],[Top Ten]]="", "",RIGHT(Ramen_Ratings[[#This Row],[Top Ten]],LEN(Ramen_Ratings[[#This Row],[Top Ten]])-6))</f>
        <v/>
      </c>
    </row>
    <row r="838" spans="1:11" x14ac:dyDescent="0.25">
      <c r="A838">
        <v>1058</v>
      </c>
      <c r="B838" t="s">
        <v>496</v>
      </c>
      <c r="C838" t="s">
        <v>1808</v>
      </c>
      <c r="D838" t="s">
        <v>13</v>
      </c>
      <c r="E838" t="s">
        <v>14</v>
      </c>
      <c r="F838" t="str">
        <f>VLOOKUP(Ramen_Ratings[[#This Row],[Country]],Country_Region[#All],2,FALSE)</f>
        <v>Asia</v>
      </c>
      <c r="G838">
        <v>4</v>
      </c>
      <c r="H838" t="str" cm="1">
        <f t="array" ref="H838">_xlfn.IFS(Ramen_Ratings[[#This Row],[Stars]] = "Unrated", "NA",Ramen_Ratings[[#This Row],[Stars]]&gt;=4, "Good", Ramen_Ratings[[#This Row],[Stars]]&gt;2.5, "Fair", Ramen_Ratings[[#This Row],[Stars]] &gt;= 0, "Bad")</f>
        <v>Good</v>
      </c>
      <c r="J838" t="str">
        <f>LEFT(Ramen_Ratings[[#This Row],[Top Ten]],4)</f>
        <v/>
      </c>
      <c r="K838" t="str">
        <f>IF(Ramen_Ratings[[#This Row],[Top Ten]]="", "",RIGHT(Ramen_Ratings[[#This Row],[Top Ten]],LEN(Ramen_Ratings[[#This Row],[Top Ten]])-6))</f>
        <v/>
      </c>
    </row>
    <row r="839" spans="1:11" x14ac:dyDescent="0.25">
      <c r="A839">
        <v>1057</v>
      </c>
      <c r="B839" t="s">
        <v>496</v>
      </c>
      <c r="C839" t="s">
        <v>1809</v>
      </c>
      <c r="D839" t="s">
        <v>13</v>
      </c>
      <c r="E839" t="s">
        <v>14</v>
      </c>
      <c r="F839" t="str">
        <f>VLOOKUP(Ramen_Ratings[[#This Row],[Country]],Country_Region[#All],2,FALSE)</f>
        <v>Asia</v>
      </c>
      <c r="G839">
        <v>3.5</v>
      </c>
      <c r="H839" t="str" cm="1">
        <f t="array" ref="H839">_xlfn.IFS(Ramen_Ratings[[#This Row],[Stars]] = "Unrated", "NA",Ramen_Ratings[[#This Row],[Stars]]&gt;=4, "Good", Ramen_Ratings[[#This Row],[Stars]]&gt;2.5, "Fair", Ramen_Ratings[[#This Row],[Stars]] &gt;= 0, "Bad")</f>
        <v>Fair</v>
      </c>
      <c r="J839" t="str">
        <f>LEFT(Ramen_Ratings[[#This Row],[Top Ten]],4)</f>
        <v/>
      </c>
      <c r="K839" t="str">
        <f>IF(Ramen_Ratings[[#This Row],[Top Ten]]="", "",RIGHT(Ramen_Ratings[[#This Row],[Top Ten]],LEN(Ramen_Ratings[[#This Row],[Top Ten]])-6))</f>
        <v/>
      </c>
    </row>
    <row r="840" spans="1:11" x14ac:dyDescent="0.25">
      <c r="A840">
        <v>1056</v>
      </c>
      <c r="B840" t="s">
        <v>496</v>
      </c>
      <c r="C840" t="s">
        <v>1810</v>
      </c>
      <c r="D840" t="s">
        <v>13</v>
      </c>
      <c r="E840" t="s">
        <v>14</v>
      </c>
      <c r="F840" t="str">
        <f>VLOOKUP(Ramen_Ratings[[#This Row],[Country]],Country_Region[#All],2,FALSE)</f>
        <v>Asia</v>
      </c>
      <c r="G840">
        <v>5</v>
      </c>
      <c r="H840" t="str" cm="1">
        <f t="array" ref="H840">_xlfn.IFS(Ramen_Ratings[[#This Row],[Stars]] = "Unrated", "NA",Ramen_Ratings[[#This Row],[Stars]]&gt;=4, "Good", Ramen_Ratings[[#This Row],[Stars]]&gt;2.5, "Fair", Ramen_Ratings[[#This Row],[Stars]] &gt;= 0, "Bad")</f>
        <v>Good</v>
      </c>
      <c r="J840" t="str">
        <f>LEFT(Ramen_Ratings[[#This Row],[Top Ten]],4)</f>
        <v/>
      </c>
      <c r="K840" t="str">
        <f>IF(Ramen_Ratings[[#This Row],[Top Ten]]="", "",RIGHT(Ramen_Ratings[[#This Row],[Top Ten]],LEN(Ramen_Ratings[[#This Row],[Top Ten]])-6))</f>
        <v/>
      </c>
    </row>
    <row r="841" spans="1:11" x14ac:dyDescent="0.25">
      <c r="A841">
        <v>1055</v>
      </c>
      <c r="B841" t="s">
        <v>496</v>
      </c>
      <c r="C841" t="s">
        <v>1811</v>
      </c>
      <c r="D841" t="s">
        <v>13</v>
      </c>
      <c r="E841" t="s">
        <v>14</v>
      </c>
      <c r="F841" t="str">
        <f>VLOOKUP(Ramen_Ratings[[#This Row],[Country]],Country_Region[#All],2,FALSE)</f>
        <v>Asia</v>
      </c>
      <c r="G841">
        <v>5</v>
      </c>
      <c r="H841" t="str" cm="1">
        <f t="array" ref="H841">_xlfn.IFS(Ramen_Ratings[[#This Row],[Stars]] = "Unrated", "NA",Ramen_Ratings[[#This Row],[Stars]]&gt;=4, "Good", Ramen_Ratings[[#This Row],[Stars]]&gt;2.5, "Fair", Ramen_Ratings[[#This Row],[Stars]] &gt;= 0, "Bad")</f>
        <v>Good</v>
      </c>
      <c r="J841" t="str">
        <f>LEFT(Ramen_Ratings[[#This Row],[Top Ten]],4)</f>
        <v/>
      </c>
      <c r="K841" t="str">
        <f>IF(Ramen_Ratings[[#This Row],[Top Ten]]="", "",RIGHT(Ramen_Ratings[[#This Row],[Top Ten]],LEN(Ramen_Ratings[[#This Row],[Top Ten]])-6))</f>
        <v/>
      </c>
    </row>
    <row r="842" spans="1:11" x14ac:dyDescent="0.25">
      <c r="A842">
        <v>1054</v>
      </c>
      <c r="B842" t="s">
        <v>496</v>
      </c>
      <c r="C842" t="s">
        <v>1812</v>
      </c>
      <c r="D842" t="s">
        <v>13</v>
      </c>
      <c r="E842" t="s">
        <v>14</v>
      </c>
      <c r="F842" t="str">
        <f>VLOOKUP(Ramen_Ratings[[#This Row],[Country]],Country_Region[#All],2,FALSE)</f>
        <v>Asia</v>
      </c>
      <c r="G842">
        <v>3.75</v>
      </c>
      <c r="H842" t="str" cm="1">
        <f t="array" ref="H842">_xlfn.IFS(Ramen_Ratings[[#This Row],[Stars]] = "Unrated", "NA",Ramen_Ratings[[#This Row],[Stars]]&gt;=4, "Good", Ramen_Ratings[[#This Row],[Stars]]&gt;2.5, "Fair", Ramen_Ratings[[#This Row],[Stars]] &gt;= 0, "Bad")</f>
        <v>Fair</v>
      </c>
      <c r="J842" t="str">
        <f>LEFT(Ramen_Ratings[[#This Row],[Top Ten]],4)</f>
        <v/>
      </c>
      <c r="K842" t="str">
        <f>IF(Ramen_Ratings[[#This Row],[Top Ten]]="", "",RIGHT(Ramen_Ratings[[#This Row],[Top Ten]],LEN(Ramen_Ratings[[#This Row],[Top Ten]])-6))</f>
        <v/>
      </c>
    </row>
    <row r="843" spans="1:11" x14ac:dyDescent="0.25">
      <c r="A843">
        <v>1053</v>
      </c>
      <c r="B843" t="s">
        <v>496</v>
      </c>
      <c r="C843" t="s">
        <v>1813</v>
      </c>
      <c r="D843" t="s">
        <v>13</v>
      </c>
      <c r="E843" t="s">
        <v>14</v>
      </c>
      <c r="F843" t="str">
        <f>VLOOKUP(Ramen_Ratings[[#This Row],[Country]],Country_Region[#All],2,FALSE)</f>
        <v>Asia</v>
      </c>
      <c r="G843">
        <v>4</v>
      </c>
      <c r="H843" t="str" cm="1">
        <f t="array" ref="H843">_xlfn.IFS(Ramen_Ratings[[#This Row],[Stars]] = "Unrated", "NA",Ramen_Ratings[[#This Row],[Stars]]&gt;=4, "Good", Ramen_Ratings[[#This Row],[Stars]]&gt;2.5, "Fair", Ramen_Ratings[[#This Row],[Stars]] &gt;= 0, "Bad")</f>
        <v>Good</v>
      </c>
      <c r="J843" t="str">
        <f>LEFT(Ramen_Ratings[[#This Row],[Top Ten]],4)</f>
        <v/>
      </c>
      <c r="K843" t="str">
        <f>IF(Ramen_Ratings[[#This Row],[Top Ten]]="", "",RIGHT(Ramen_Ratings[[#This Row],[Top Ten]],LEN(Ramen_Ratings[[#This Row],[Top Ten]])-6))</f>
        <v/>
      </c>
    </row>
    <row r="844" spans="1:11" x14ac:dyDescent="0.25">
      <c r="A844">
        <v>1052</v>
      </c>
      <c r="B844" t="s">
        <v>496</v>
      </c>
      <c r="C844" t="s">
        <v>1814</v>
      </c>
      <c r="D844" t="s">
        <v>13</v>
      </c>
      <c r="E844" t="s">
        <v>14</v>
      </c>
      <c r="F844" t="str">
        <f>VLOOKUP(Ramen_Ratings[[#This Row],[Country]],Country_Region[#All],2,FALSE)</f>
        <v>Asia</v>
      </c>
      <c r="G844">
        <v>4.25</v>
      </c>
      <c r="H844" t="str" cm="1">
        <f t="array" ref="H844">_xlfn.IFS(Ramen_Ratings[[#This Row],[Stars]] = "Unrated", "NA",Ramen_Ratings[[#This Row],[Stars]]&gt;=4, "Good", Ramen_Ratings[[#This Row],[Stars]]&gt;2.5, "Fair", Ramen_Ratings[[#This Row],[Stars]] &gt;= 0, "Bad")</f>
        <v>Good</v>
      </c>
      <c r="J844" t="str">
        <f>LEFT(Ramen_Ratings[[#This Row],[Top Ten]],4)</f>
        <v/>
      </c>
      <c r="K844" t="str">
        <f>IF(Ramen_Ratings[[#This Row],[Top Ten]]="", "",RIGHT(Ramen_Ratings[[#This Row],[Top Ten]],LEN(Ramen_Ratings[[#This Row],[Top Ten]])-6))</f>
        <v/>
      </c>
    </row>
    <row r="845" spans="1:11" x14ac:dyDescent="0.25">
      <c r="A845">
        <v>1035</v>
      </c>
      <c r="B845" t="s">
        <v>18</v>
      </c>
      <c r="C845" t="s">
        <v>1829</v>
      </c>
      <c r="D845" t="s">
        <v>44</v>
      </c>
      <c r="E845" t="s">
        <v>14</v>
      </c>
      <c r="F845" t="str">
        <f>VLOOKUP(Ramen_Ratings[[#This Row],[Country]],Country_Region[#All],2,FALSE)</f>
        <v>Asia</v>
      </c>
      <c r="G845">
        <v>3.5</v>
      </c>
      <c r="H845" t="str" cm="1">
        <f t="array" ref="H845">_xlfn.IFS(Ramen_Ratings[[#This Row],[Stars]] = "Unrated", "NA",Ramen_Ratings[[#This Row],[Stars]]&gt;=4, "Good", Ramen_Ratings[[#This Row],[Stars]]&gt;2.5, "Fair", Ramen_Ratings[[#This Row],[Stars]] &gt;= 0, "Bad")</f>
        <v>Fair</v>
      </c>
      <c r="J845" t="str">
        <f>LEFT(Ramen_Ratings[[#This Row],[Top Ten]],4)</f>
        <v/>
      </c>
      <c r="K845" t="str">
        <f>IF(Ramen_Ratings[[#This Row],[Top Ten]]="", "",RIGHT(Ramen_Ratings[[#This Row],[Top Ten]],LEN(Ramen_Ratings[[#This Row],[Top Ten]])-6))</f>
        <v/>
      </c>
    </row>
    <row r="846" spans="1:11" x14ac:dyDescent="0.25">
      <c r="A846">
        <v>864</v>
      </c>
      <c r="B846" t="s">
        <v>1985</v>
      </c>
      <c r="C846" t="s">
        <v>2016</v>
      </c>
      <c r="D846" t="s">
        <v>13</v>
      </c>
      <c r="E846" t="s">
        <v>14</v>
      </c>
      <c r="F846" t="str">
        <f>VLOOKUP(Ramen_Ratings[[#This Row],[Country]],Country_Region[#All],2,FALSE)</f>
        <v>Asia</v>
      </c>
      <c r="G846">
        <v>3.5</v>
      </c>
      <c r="H846" t="str" cm="1">
        <f t="array" ref="H846">_xlfn.IFS(Ramen_Ratings[[#This Row],[Stars]] = "Unrated", "NA",Ramen_Ratings[[#This Row],[Stars]]&gt;=4, "Good", Ramen_Ratings[[#This Row],[Stars]]&gt;2.5, "Fair", Ramen_Ratings[[#This Row],[Stars]] &gt;= 0, "Bad")</f>
        <v>Fair</v>
      </c>
      <c r="J846" t="str">
        <f>LEFT(Ramen_Ratings[[#This Row],[Top Ten]],4)</f>
        <v/>
      </c>
      <c r="K846" t="str">
        <f>IF(Ramen_Ratings[[#This Row],[Top Ten]]="", "",RIGHT(Ramen_Ratings[[#This Row],[Top Ten]],LEN(Ramen_Ratings[[#This Row],[Top Ten]])-6))</f>
        <v/>
      </c>
    </row>
    <row r="847" spans="1:11" x14ac:dyDescent="0.25">
      <c r="A847">
        <v>817</v>
      </c>
      <c r="B847" t="s">
        <v>2065</v>
      </c>
      <c r="C847" t="s">
        <v>2066</v>
      </c>
      <c r="D847" t="s">
        <v>44</v>
      </c>
      <c r="E847" t="s">
        <v>14</v>
      </c>
      <c r="F847" t="str">
        <f>VLOOKUP(Ramen_Ratings[[#This Row],[Country]],Country_Region[#All],2,FALSE)</f>
        <v>Asia</v>
      </c>
      <c r="G847">
        <v>3.75</v>
      </c>
      <c r="H847" t="str" cm="1">
        <f t="array" ref="H847">_xlfn.IFS(Ramen_Ratings[[#This Row],[Stars]] = "Unrated", "NA",Ramen_Ratings[[#This Row],[Stars]]&gt;=4, "Good", Ramen_Ratings[[#This Row],[Stars]]&gt;2.5, "Fair", Ramen_Ratings[[#This Row],[Stars]] &gt;= 0, "Bad")</f>
        <v>Fair</v>
      </c>
      <c r="J847" t="str">
        <f>LEFT(Ramen_Ratings[[#This Row],[Top Ten]],4)</f>
        <v/>
      </c>
      <c r="K847" t="str">
        <f>IF(Ramen_Ratings[[#This Row],[Top Ten]]="", "",RIGHT(Ramen_Ratings[[#This Row],[Top Ten]],LEN(Ramen_Ratings[[#This Row],[Top Ten]])-6))</f>
        <v/>
      </c>
    </row>
    <row r="848" spans="1:11" x14ac:dyDescent="0.25">
      <c r="A848">
        <v>788</v>
      </c>
      <c r="B848" t="s">
        <v>99</v>
      </c>
      <c r="C848" t="s">
        <v>2097</v>
      </c>
      <c r="D848" t="s">
        <v>13</v>
      </c>
      <c r="E848" t="s">
        <v>14</v>
      </c>
      <c r="F848" t="str">
        <f>VLOOKUP(Ramen_Ratings[[#This Row],[Country]],Country_Region[#All],2,FALSE)</f>
        <v>Asia</v>
      </c>
      <c r="G848">
        <v>4.75</v>
      </c>
      <c r="H848" t="str" cm="1">
        <f t="array" ref="H848">_xlfn.IFS(Ramen_Ratings[[#This Row],[Stars]] = "Unrated", "NA",Ramen_Ratings[[#This Row],[Stars]]&gt;=4, "Good", Ramen_Ratings[[#This Row],[Stars]]&gt;2.5, "Fair", Ramen_Ratings[[#This Row],[Stars]] &gt;= 0, "Bad")</f>
        <v>Good</v>
      </c>
      <c r="J848" t="str">
        <f>LEFT(Ramen_Ratings[[#This Row],[Top Ten]],4)</f>
        <v/>
      </c>
      <c r="K848" t="str">
        <f>IF(Ramen_Ratings[[#This Row],[Top Ten]]="", "",RIGHT(Ramen_Ratings[[#This Row],[Top Ten]],LEN(Ramen_Ratings[[#This Row],[Top Ten]])-6))</f>
        <v/>
      </c>
    </row>
    <row r="849" spans="1:11" x14ac:dyDescent="0.25">
      <c r="A849">
        <v>762</v>
      </c>
      <c r="B849" t="s">
        <v>1976</v>
      </c>
      <c r="C849" t="s">
        <v>2121</v>
      </c>
      <c r="D849" t="s">
        <v>13</v>
      </c>
      <c r="E849" t="s">
        <v>14</v>
      </c>
      <c r="F849" t="str">
        <f>VLOOKUP(Ramen_Ratings[[#This Row],[Country]],Country_Region[#All],2,FALSE)</f>
        <v>Asia</v>
      </c>
      <c r="G849">
        <v>1.5</v>
      </c>
      <c r="H849" t="str" cm="1">
        <f t="array" ref="H849">_xlfn.IFS(Ramen_Ratings[[#This Row],[Stars]] = "Unrated", "NA",Ramen_Ratings[[#This Row],[Stars]]&gt;=4, "Good", Ramen_Ratings[[#This Row],[Stars]]&gt;2.5, "Fair", Ramen_Ratings[[#This Row],[Stars]] &gt;= 0, "Bad")</f>
        <v>Bad</v>
      </c>
      <c r="J849" t="str">
        <f>LEFT(Ramen_Ratings[[#This Row],[Top Ten]],4)</f>
        <v/>
      </c>
      <c r="K849" t="str">
        <f>IF(Ramen_Ratings[[#This Row],[Top Ten]]="", "",RIGHT(Ramen_Ratings[[#This Row],[Top Ten]],LEN(Ramen_Ratings[[#This Row],[Top Ten]])-6))</f>
        <v/>
      </c>
    </row>
    <row r="850" spans="1:11" x14ac:dyDescent="0.25">
      <c r="A850">
        <v>741</v>
      </c>
      <c r="B850" t="s">
        <v>18</v>
      </c>
      <c r="C850" t="s">
        <v>2144</v>
      </c>
      <c r="D850" t="s">
        <v>13</v>
      </c>
      <c r="E850" t="s">
        <v>14</v>
      </c>
      <c r="F850" t="str">
        <f>VLOOKUP(Ramen_Ratings[[#This Row],[Country]],Country_Region[#All],2,FALSE)</f>
        <v>Asia</v>
      </c>
      <c r="G850">
        <v>2.75</v>
      </c>
      <c r="H850" t="str" cm="1">
        <f t="array" ref="H850">_xlfn.IFS(Ramen_Ratings[[#This Row],[Stars]] = "Unrated", "NA",Ramen_Ratings[[#This Row],[Stars]]&gt;=4, "Good", Ramen_Ratings[[#This Row],[Stars]]&gt;2.5, "Fair", Ramen_Ratings[[#This Row],[Stars]] &gt;= 0, "Bad")</f>
        <v>Fair</v>
      </c>
      <c r="J850" t="str">
        <f>LEFT(Ramen_Ratings[[#This Row],[Top Ten]],4)</f>
        <v/>
      </c>
      <c r="K850" t="str">
        <f>IF(Ramen_Ratings[[#This Row],[Top Ten]]="", "",RIGHT(Ramen_Ratings[[#This Row],[Top Ten]],LEN(Ramen_Ratings[[#This Row],[Top Ten]])-6))</f>
        <v/>
      </c>
    </row>
    <row r="851" spans="1:11" x14ac:dyDescent="0.25">
      <c r="A851">
        <v>708</v>
      </c>
      <c r="B851" t="s">
        <v>2179</v>
      </c>
      <c r="C851" t="s">
        <v>2180</v>
      </c>
      <c r="D851" t="s">
        <v>13</v>
      </c>
      <c r="E851" t="s">
        <v>14</v>
      </c>
      <c r="F851" t="str">
        <f>VLOOKUP(Ramen_Ratings[[#This Row],[Country]],Country_Region[#All],2,FALSE)</f>
        <v>Asia</v>
      </c>
      <c r="G851">
        <v>2.75</v>
      </c>
      <c r="H851" t="str" cm="1">
        <f t="array" ref="H851">_xlfn.IFS(Ramen_Ratings[[#This Row],[Stars]] = "Unrated", "NA",Ramen_Ratings[[#This Row],[Stars]]&gt;=4, "Good", Ramen_Ratings[[#This Row],[Stars]]&gt;2.5, "Fair", Ramen_Ratings[[#This Row],[Stars]] &gt;= 0, "Bad")</f>
        <v>Fair</v>
      </c>
      <c r="J851" t="str">
        <f>LEFT(Ramen_Ratings[[#This Row],[Top Ten]],4)</f>
        <v/>
      </c>
      <c r="K851" t="str">
        <f>IF(Ramen_Ratings[[#This Row],[Top Ten]]="", "",RIGHT(Ramen_Ratings[[#This Row],[Top Ten]],LEN(Ramen_Ratings[[#This Row],[Top Ten]])-6))</f>
        <v/>
      </c>
    </row>
    <row r="852" spans="1:11" x14ac:dyDescent="0.25">
      <c r="A852">
        <v>706</v>
      </c>
      <c r="B852" t="s">
        <v>1516</v>
      </c>
      <c r="C852" t="s">
        <v>2183</v>
      </c>
      <c r="D852" t="s">
        <v>44</v>
      </c>
      <c r="E852" t="s">
        <v>14</v>
      </c>
      <c r="F852" t="str">
        <f>VLOOKUP(Ramen_Ratings[[#This Row],[Country]],Country_Region[#All],2,FALSE)</f>
        <v>Asia</v>
      </c>
      <c r="G852">
        <v>4.25</v>
      </c>
      <c r="H852" t="str" cm="1">
        <f t="array" ref="H852">_xlfn.IFS(Ramen_Ratings[[#This Row],[Stars]] = "Unrated", "NA",Ramen_Ratings[[#This Row],[Stars]]&gt;=4, "Good", Ramen_Ratings[[#This Row],[Stars]]&gt;2.5, "Fair", Ramen_Ratings[[#This Row],[Stars]] &gt;= 0, "Bad")</f>
        <v>Good</v>
      </c>
      <c r="J852" t="str">
        <f>LEFT(Ramen_Ratings[[#This Row],[Top Ten]],4)</f>
        <v/>
      </c>
      <c r="K852" t="str">
        <f>IF(Ramen_Ratings[[#This Row],[Top Ten]]="", "",RIGHT(Ramen_Ratings[[#This Row],[Top Ten]],LEN(Ramen_Ratings[[#This Row],[Top Ten]])-6))</f>
        <v/>
      </c>
    </row>
    <row r="853" spans="1:11" x14ac:dyDescent="0.25">
      <c r="A853">
        <v>666</v>
      </c>
      <c r="B853" t="s">
        <v>2223</v>
      </c>
      <c r="C853" t="s">
        <v>2224</v>
      </c>
      <c r="D853" t="s">
        <v>13</v>
      </c>
      <c r="E853" t="s">
        <v>14</v>
      </c>
      <c r="F853" t="str">
        <f>VLOOKUP(Ramen_Ratings[[#This Row],[Country]],Country_Region[#All],2,FALSE)</f>
        <v>Asia</v>
      </c>
      <c r="G853">
        <v>1.5</v>
      </c>
      <c r="H853" t="str" cm="1">
        <f t="array" ref="H853">_xlfn.IFS(Ramen_Ratings[[#This Row],[Stars]] = "Unrated", "NA",Ramen_Ratings[[#This Row],[Stars]]&gt;=4, "Good", Ramen_Ratings[[#This Row],[Stars]]&gt;2.5, "Fair", Ramen_Ratings[[#This Row],[Stars]] &gt;= 0, "Bad")</f>
        <v>Bad</v>
      </c>
      <c r="J853" t="str">
        <f>LEFT(Ramen_Ratings[[#This Row],[Top Ten]],4)</f>
        <v/>
      </c>
      <c r="K853" t="str">
        <f>IF(Ramen_Ratings[[#This Row],[Top Ten]]="", "",RIGHT(Ramen_Ratings[[#This Row],[Top Ten]],LEN(Ramen_Ratings[[#This Row],[Top Ten]])-6))</f>
        <v/>
      </c>
    </row>
    <row r="854" spans="1:11" x14ac:dyDescent="0.25">
      <c r="A854">
        <v>643</v>
      </c>
      <c r="B854" t="s">
        <v>2247</v>
      </c>
      <c r="C854" t="s">
        <v>2248</v>
      </c>
      <c r="D854" t="s">
        <v>13</v>
      </c>
      <c r="E854" t="s">
        <v>14</v>
      </c>
      <c r="F854" t="str">
        <f>VLOOKUP(Ramen_Ratings[[#This Row],[Country]],Country_Region[#All],2,FALSE)</f>
        <v>Asia</v>
      </c>
      <c r="G854">
        <v>3.25</v>
      </c>
      <c r="H854" t="str" cm="1">
        <f t="array" ref="H854">_xlfn.IFS(Ramen_Ratings[[#This Row],[Stars]] = "Unrated", "NA",Ramen_Ratings[[#This Row],[Stars]]&gt;=4, "Good", Ramen_Ratings[[#This Row],[Stars]]&gt;2.5, "Fair", Ramen_Ratings[[#This Row],[Stars]] &gt;= 0, "Bad")</f>
        <v>Fair</v>
      </c>
      <c r="J854" t="str">
        <f>LEFT(Ramen_Ratings[[#This Row],[Top Ten]],4)</f>
        <v/>
      </c>
      <c r="K854" t="str">
        <f>IF(Ramen_Ratings[[#This Row],[Top Ten]]="", "",RIGHT(Ramen_Ratings[[#This Row],[Top Ten]],LEN(Ramen_Ratings[[#This Row],[Top Ten]])-6))</f>
        <v/>
      </c>
    </row>
    <row r="855" spans="1:11" x14ac:dyDescent="0.25">
      <c r="A855">
        <v>630</v>
      </c>
      <c r="B855" t="s">
        <v>243</v>
      </c>
      <c r="C855" t="s">
        <v>2260</v>
      </c>
      <c r="D855" t="s">
        <v>44</v>
      </c>
      <c r="E855" t="s">
        <v>14</v>
      </c>
      <c r="F855" t="str">
        <f>VLOOKUP(Ramen_Ratings[[#This Row],[Country]],Country_Region[#All],2,FALSE)</f>
        <v>Asia</v>
      </c>
      <c r="G855">
        <v>1.25</v>
      </c>
      <c r="H855" t="str" cm="1">
        <f t="array" ref="H855">_xlfn.IFS(Ramen_Ratings[[#This Row],[Stars]] = "Unrated", "NA",Ramen_Ratings[[#This Row],[Stars]]&gt;=4, "Good", Ramen_Ratings[[#This Row],[Stars]]&gt;2.5, "Fair", Ramen_Ratings[[#This Row],[Stars]] &gt;= 0, "Bad")</f>
        <v>Bad</v>
      </c>
      <c r="J855" t="str">
        <f>LEFT(Ramen_Ratings[[#This Row],[Top Ten]],4)</f>
        <v/>
      </c>
      <c r="K855" t="str">
        <f>IF(Ramen_Ratings[[#This Row],[Top Ten]]="", "",RIGHT(Ramen_Ratings[[#This Row],[Top Ten]],LEN(Ramen_Ratings[[#This Row],[Top Ten]])-6))</f>
        <v/>
      </c>
    </row>
    <row r="856" spans="1:11" x14ac:dyDescent="0.25">
      <c r="A856">
        <v>623</v>
      </c>
      <c r="B856" t="s">
        <v>2268</v>
      </c>
      <c r="C856" t="s">
        <v>2269</v>
      </c>
      <c r="D856" t="s">
        <v>13</v>
      </c>
      <c r="E856" t="s">
        <v>14</v>
      </c>
      <c r="F856" t="str">
        <f>VLOOKUP(Ramen_Ratings[[#This Row],[Country]],Country_Region[#All],2,FALSE)</f>
        <v>Asia</v>
      </c>
      <c r="G856">
        <v>3.25</v>
      </c>
      <c r="H856" t="str" cm="1">
        <f t="array" ref="H856">_xlfn.IFS(Ramen_Ratings[[#This Row],[Stars]] = "Unrated", "NA",Ramen_Ratings[[#This Row],[Stars]]&gt;=4, "Good", Ramen_Ratings[[#This Row],[Stars]]&gt;2.5, "Fair", Ramen_Ratings[[#This Row],[Stars]] &gt;= 0, "Bad")</f>
        <v>Fair</v>
      </c>
      <c r="J856" t="str">
        <f>LEFT(Ramen_Ratings[[#This Row],[Top Ten]],4)</f>
        <v/>
      </c>
      <c r="K856" t="str">
        <f>IF(Ramen_Ratings[[#This Row],[Top Ten]]="", "",RIGHT(Ramen_Ratings[[#This Row],[Top Ten]],LEN(Ramen_Ratings[[#This Row],[Top Ten]])-6))</f>
        <v/>
      </c>
    </row>
    <row r="857" spans="1:11" x14ac:dyDescent="0.25">
      <c r="A857">
        <v>610</v>
      </c>
      <c r="B857" t="s">
        <v>2268</v>
      </c>
      <c r="C857" t="s">
        <v>2282</v>
      </c>
      <c r="D857" t="s">
        <v>13</v>
      </c>
      <c r="E857" t="s">
        <v>14</v>
      </c>
      <c r="F857" t="str">
        <f>VLOOKUP(Ramen_Ratings[[#This Row],[Country]],Country_Region[#All],2,FALSE)</f>
        <v>Asia</v>
      </c>
      <c r="G857">
        <v>3.25</v>
      </c>
      <c r="H857" t="str" cm="1">
        <f t="array" ref="H857">_xlfn.IFS(Ramen_Ratings[[#This Row],[Stars]] = "Unrated", "NA",Ramen_Ratings[[#This Row],[Stars]]&gt;=4, "Good", Ramen_Ratings[[#This Row],[Stars]]&gt;2.5, "Fair", Ramen_Ratings[[#This Row],[Stars]] &gt;= 0, "Bad")</f>
        <v>Fair</v>
      </c>
      <c r="J857" t="str">
        <f>LEFT(Ramen_Ratings[[#This Row],[Top Ten]],4)</f>
        <v/>
      </c>
      <c r="K857" t="str">
        <f>IF(Ramen_Ratings[[#This Row],[Top Ten]]="", "",RIGHT(Ramen_Ratings[[#This Row],[Top Ten]],LEN(Ramen_Ratings[[#This Row],[Top Ten]])-6))</f>
        <v/>
      </c>
    </row>
    <row r="858" spans="1:11" x14ac:dyDescent="0.25">
      <c r="A858">
        <v>609</v>
      </c>
      <c r="B858" t="s">
        <v>2268</v>
      </c>
      <c r="C858" t="s">
        <v>2283</v>
      </c>
      <c r="D858" t="s">
        <v>13</v>
      </c>
      <c r="E858" t="s">
        <v>14</v>
      </c>
      <c r="F858" t="str">
        <f>VLOOKUP(Ramen_Ratings[[#This Row],[Country]],Country_Region[#All],2,FALSE)</f>
        <v>Asia</v>
      </c>
      <c r="G858">
        <v>3.75</v>
      </c>
      <c r="H858" t="str" cm="1">
        <f t="array" ref="H858">_xlfn.IFS(Ramen_Ratings[[#This Row],[Stars]] = "Unrated", "NA",Ramen_Ratings[[#This Row],[Stars]]&gt;=4, "Good", Ramen_Ratings[[#This Row],[Stars]]&gt;2.5, "Fair", Ramen_Ratings[[#This Row],[Stars]] &gt;= 0, "Bad")</f>
        <v>Fair</v>
      </c>
      <c r="J858" t="str">
        <f>LEFT(Ramen_Ratings[[#This Row],[Top Ten]],4)</f>
        <v/>
      </c>
      <c r="K858" t="str">
        <f>IF(Ramen_Ratings[[#This Row],[Top Ten]]="", "",RIGHT(Ramen_Ratings[[#This Row],[Top Ten]],LEN(Ramen_Ratings[[#This Row],[Top Ten]])-6))</f>
        <v/>
      </c>
    </row>
    <row r="859" spans="1:11" x14ac:dyDescent="0.25">
      <c r="A859">
        <v>603</v>
      </c>
      <c r="B859" t="s">
        <v>18</v>
      </c>
      <c r="C859" t="s">
        <v>2291</v>
      </c>
      <c r="D859" t="s">
        <v>13</v>
      </c>
      <c r="E859" t="s">
        <v>14</v>
      </c>
      <c r="F859" t="str">
        <f>VLOOKUP(Ramen_Ratings[[#This Row],[Country]],Country_Region[#All],2,FALSE)</f>
        <v>Asia</v>
      </c>
      <c r="G859">
        <v>3.75</v>
      </c>
      <c r="H859" t="str" cm="1">
        <f t="array" ref="H859">_xlfn.IFS(Ramen_Ratings[[#This Row],[Stars]] = "Unrated", "NA",Ramen_Ratings[[#This Row],[Stars]]&gt;=4, "Good", Ramen_Ratings[[#This Row],[Stars]]&gt;2.5, "Fair", Ramen_Ratings[[#This Row],[Stars]] &gt;= 0, "Bad")</f>
        <v>Fair</v>
      </c>
      <c r="J859" t="str">
        <f>LEFT(Ramen_Ratings[[#This Row],[Top Ten]],4)</f>
        <v/>
      </c>
      <c r="K859" t="str">
        <f>IF(Ramen_Ratings[[#This Row],[Top Ten]]="", "",RIGHT(Ramen_Ratings[[#This Row],[Top Ten]],LEN(Ramen_Ratings[[#This Row],[Top Ten]])-6))</f>
        <v/>
      </c>
    </row>
    <row r="860" spans="1:11" x14ac:dyDescent="0.25">
      <c r="A860">
        <v>601</v>
      </c>
      <c r="B860" t="s">
        <v>2247</v>
      </c>
      <c r="C860" t="s">
        <v>2293</v>
      </c>
      <c r="D860" t="s">
        <v>13</v>
      </c>
      <c r="E860" t="s">
        <v>14</v>
      </c>
      <c r="F860" t="str">
        <f>VLOOKUP(Ramen_Ratings[[#This Row],[Country]],Country_Region[#All],2,FALSE)</f>
        <v>Asia</v>
      </c>
      <c r="G860">
        <v>4</v>
      </c>
      <c r="H860" t="str" cm="1">
        <f t="array" ref="H860">_xlfn.IFS(Ramen_Ratings[[#This Row],[Stars]] = "Unrated", "NA",Ramen_Ratings[[#This Row],[Stars]]&gt;=4, "Good", Ramen_Ratings[[#This Row],[Stars]]&gt;2.5, "Fair", Ramen_Ratings[[#This Row],[Stars]] &gt;= 0, "Bad")</f>
        <v>Good</v>
      </c>
      <c r="J860" t="str">
        <f>LEFT(Ramen_Ratings[[#This Row],[Top Ten]],4)</f>
        <v/>
      </c>
      <c r="K860" t="str">
        <f>IF(Ramen_Ratings[[#This Row],[Top Ten]]="", "",RIGHT(Ramen_Ratings[[#This Row],[Top Ten]],LEN(Ramen_Ratings[[#This Row],[Top Ten]])-6))</f>
        <v/>
      </c>
    </row>
    <row r="861" spans="1:11" x14ac:dyDescent="0.25">
      <c r="A861">
        <v>587</v>
      </c>
      <c r="B861" t="s">
        <v>2307</v>
      </c>
      <c r="C861" t="s">
        <v>2308</v>
      </c>
      <c r="D861" t="s">
        <v>13</v>
      </c>
      <c r="E861" t="s">
        <v>14</v>
      </c>
      <c r="F861" t="str">
        <f>VLOOKUP(Ramen_Ratings[[#This Row],[Country]],Country_Region[#All],2,FALSE)</f>
        <v>Asia</v>
      </c>
      <c r="G861">
        <v>2.1</v>
      </c>
      <c r="H861" t="str" cm="1">
        <f t="array" ref="H861">_xlfn.IFS(Ramen_Ratings[[#This Row],[Stars]] = "Unrated", "NA",Ramen_Ratings[[#This Row],[Stars]]&gt;=4, "Good", Ramen_Ratings[[#This Row],[Stars]]&gt;2.5, "Fair", Ramen_Ratings[[#This Row],[Stars]] &gt;= 0, "Bad")</f>
        <v>Bad</v>
      </c>
      <c r="J861" t="str">
        <f>LEFT(Ramen_Ratings[[#This Row],[Top Ten]],4)</f>
        <v/>
      </c>
      <c r="K861" t="str">
        <f>IF(Ramen_Ratings[[#This Row],[Top Ten]]="", "",RIGHT(Ramen_Ratings[[#This Row],[Top Ten]],LEN(Ramen_Ratings[[#This Row],[Top Ten]])-6))</f>
        <v/>
      </c>
    </row>
    <row r="862" spans="1:11" x14ac:dyDescent="0.25">
      <c r="A862">
        <v>586</v>
      </c>
      <c r="B862" t="s">
        <v>889</v>
      </c>
      <c r="C862" t="s">
        <v>2309</v>
      </c>
      <c r="D862" t="s">
        <v>13</v>
      </c>
      <c r="E862" t="s">
        <v>14</v>
      </c>
      <c r="F862" t="str">
        <f>VLOOKUP(Ramen_Ratings[[#This Row],[Country]],Country_Region[#All],2,FALSE)</f>
        <v>Asia</v>
      </c>
      <c r="G862">
        <v>3.25</v>
      </c>
      <c r="H862" t="str" cm="1">
        <f t="array" ref="H862">_xlfn.IFS(Ramen_Ratings[[#This Row],[Stars]] = "Unrated", "NA",Ramen_Ratings[[#This Row],[Stars]]&gt;=4, "Good", Ramen_Ratings[[#This Row],[Stars]]&gt;2.5, "Fair", Ramen_Ratings[[#This Row],[Stars]] &gt;= 0, "Bad")</f>
        <v>Fair</v>
      </c>
      <c r="J862" t="str">
        <f>LEFT(Ramen_Ratings[[#This Row],[Top Ten]],4)</f>
        <v/>
      </c>
      <c r="K862" t="str">
        <f>IF(Ramen_Ratings[[#This Row],[Top Ten]]="", "",RIGHT(Ramen_Ratings[[#This Row],[Top Ten]],LEN(Ramen_Ratings[[#This Row],[Top Ten]])-6))</f>
        <v/>
      </c>
    </row>
    <row r="863" spans="1:11" x14ac:dyDescent="0.25">
      <c r="A863">
        <v>585</v>
      </c>
      <c r="B863" t="s">
        <v>243</v>
      </c>
      <c r="C863" t="s">
        <v>2310</v>
      </c>
      <c r="D863" t="s">
        <v>44</v>
      </c>
      <c r="E863" t="s">
        <v>14</v>
      </c>
      <c r="F863" t="str">
        <f>VLOOKUP(Ramen_Ratings[[#This Row],[Country]],Country_Region[#All],2,FALSE)</f>
        <v>Asia</v>
      </c>
      <c r="G863">
        <v>1.5</v>
      </c>
      <c r="H863" t="str" cm="1">
        <f t="array" ref="H863">_xlfn.IFS(Ramen_Ratings[[#This Row],[Stars]] = "Unrated", "NA",Ramen_Ratings[[#This Row],[Stars]]&gt;=4, "Good", Ramen_Ratings[[#This Row],[Stars]]&gt;2.5, "Fair", Ramen_Ratings[[#This Row],[Stars]] &gt;= 0, "Bad")</f>
        <v>Bad</v>
      </c>
      <c r="J863" t="str">
        <f>LEFT(Ramen_Ratings[[#This Row],[Top Ten]],4)</f>
        <v/>
      </c>
      <c r="K863" t="str">
        <f>IF(Ramen_Ratings[[#This Row],[Top Ten]]="", "",RIGHT(Ramen_Ratings[[#This Row],[Top Ten]],LEN(Ramen_Ratings[[#This Row],[Top Ten]])-6))</f>
        <v/>
      </c>
    </row>
    <row r="864" spans="1:11" x14ac:dyDescent="0.25">
      <c r="A864">
        <v>564</v>
      </c>
      <c r="B864" t="s">
        <v>99</v>
      </c>
      <c r="C864" t="s">
        <v>2331</v>
      </c>
      <c r="D864" t="s">
        <v>9</v>
      </c>
      <c r="E864" t="s">
        <v>14</v>
      </c>
      <c r="F864" t="str">
        <f>VLOOKUP(Ramen_Ratings[[#This Row],[Country]],Country_Region[#All],2,FALSE)</f>
        <v>Asia</v>
      </c>
      <c r="G864">
        <v>3.75</v>
      </c>
      <c r="H864" t="str" cm="1">
        <f t="array" ref="H864">_xlfn.IFS(Ramen_Ratings[[#This Row],[Stars]] = "Unrated", "NA",Ramen_Ratings[[#This Row],[Stars]]&gt;=4, "Good", Ramen_Ratings[[#This Row],[Stars]]&gt;2.5, "Fair", Ramen_Ratings[[#This Row],[Stars]] &gt;= 0, "Bad")</f>
        <v>Fair</v>
      </c>
      <c r="J864" t="str">
        <f>LEFT(Ramen_Ratings[[#This Row],[Top Ten]],4)</f>
        <v/>
      </c>
      <c r="K864" t="str">
        <f>IF(Ramen_Ratings[[#This Row],[Top Ten]]="", "",RIGHT(Ramen_Ratings[[#This Row],[Top Ten]],LEN(Ramen_Ratings[[#This Row],[Top Ten]])-6))</f>
        <v/>
      </c>
    </row>
    <row r="865" spans="1:11" x14ac:dyDescent="0.25">
      <c r="A865">
        <v>520</v>
      </c>
      <c r="B865" t="s">
        <v>2368</v>
      </c>
      <c r="C865" t="s">
        <v>2369</v>
      </c>
      <c r="D865" t="s">
        <v>44</v>
      </c>
      <c r="E865" t="s">
        <v>14</v>
      </c>
      <c r="F865" t="str">
        <f>VLOOKUP(Ramen_Ratings[[#This Row],[Country]],Country_Region[#All],2,FALSE)</f>
        <v>Asia</v>
      </c>
      <c r="G865">
        <v>0.25</v>
      </c>
      <c r="H865" t="str" cm="1">
        <f t="array" ref="H865">_xlfn.IFS(Ramen_Ratings[[#This Row],[Stars]] = "Unrated", "NA",Ramen_Ratings[[#This Row],[Stars]]&gt;=4, "Good", Ramen_Ratings[[#This Row],[Stars]]&gt;2.5, "Fair", Ramen_Ratings[[#This Row],[Stars]] &gt;= 0, "Bad")</f>
        <v>Bad</v>
      </c>
      <c r="J865" t="str">
        <f>LEFT(Ramen_Ratings[[#This Row],[Top Ten]],4)</f>
        <v/>
      </c>
      <c r="K865" t="str">
        <f>IF(Ramen_Ratings[[#This Row],[Top Ten]]="", "",RIGHT(Ramen_Ratings[[#This Row],[Top Ten]],LEN(Ramen_Ratings[[#This Row],[Top Ten]])-6))</f>
        <v/>
      </c>
    </row>
    <row r="866" spans="1:11" x14ac:dyDescent="0.25">
      <c r="A866">
        <v>509</v>
      </c>
      <c r="B866" t="s">
        <v>243</v>
      </c>
      <c r="C866" t="s">
        <v>2378</v>
      </c>
      <c r="D866" t="s">
        <v>44</v>
      </c>
      <c r="E866" t="s">
        <v>14</v>
      </c>
      <c r="F866" t="str">
        <f>VLOOKUP(Ramen_Ratings[[#This Row],[Country]],Country_Region[#All],2,FALSE)</f>
        <v>Asia</v>
      </c>
      <c r="G866">
        <v>4</v>
      </c>
      <c r="H866" t="str" cm="1">
        <f t="array" ref="H866">_xlfn.IFS(Ramen_Ratings[[#This Row],[Stars]] = "Unrated", "NA",Ramen_Ratings[[#This Row],[Stars]]&gt;=4, "Good", Ramen_Ratings[[#This Row],[Stars]]&gt;2.5, "Fair", Ramen_Ratings[[#This Row],[Stars]] &gt;= 0, "Bad")</f>
        <v>Good</v>
      </c>
      <c r="J866" t="str">
        <f>LEFT(Ramen_Ratings[[#This Row],[Top Ten]],4)</f>
        <v/>
      </c>
      <c r="K866" t="str">
        <f>IF(Ramen_Ratings[[#This Row],[Top Ten]]="", "",RIGHT(Ramen_Ratings[[#This Row],[Top Ten]],LEN(Ramen_Ratings[[#This Row],[Top Ten]])-6))</f>
        <v/>
      </c>
    </row>
    <row r="867" spans="1:11" x14ac:dyDescent="0.25">
      <c r="A867">
        <v>498</v>
      </c>
      <c r="B867" t="s">
        <v>2386</v>
      </c>
      <c r="C867" t="s">
        <v>2387</v>
      </c>
      <c r="D867" t="s">
        <v>13</v>
      </c>
      <c r="E867" t="s">
        <v>14</v>
      </c>
      <c r="F867" t="str">
        <f>VLOOKUP(Ramen_Ratings[[#This Row],[Country]],Country_Region[#All],2,FALSE)</f>
        <v>Asia</v>
      </c>
      <c r="G867">
        <v>0</v>
      </c>
      <c r="H867" t="str" cm="1">
        <f t="array" ref="H867">_xlfn.IFS(Ramen_Ratings[[#This Row],[Stars]] = "Unrated", "NA",Ramen_Ratings[[#This Row],[Stars]]&gt;=4, "Good", Ramen_Ratings[[#This Row],[Stars]]&gt;2.5, "Fair", Ramen_Ratings[[#This Row],[Stars]] &gt;= 0, "Bad")</f>
        <v>Bad</v>
      </c>
      <c r="J867" t="str">
        <f>LEFT(Ramen_Ratings[[#This Row],[Top Ten]],4)</f>
        <v/>
      </c>
      <c r="K867" t="str">
        <f>IF(Ramen_Ratings[[#This Row],[Top Ten]]="", "",RIGHT(Ramen_Ratings[[#This Row],[Top Ten]],LEN(Ramen_Ratings[[#This Row],[Top Ten]])-6))</f>
        <v/>
      </c>
    </row>
    <row r="868" spans="1:11" x14ac:dyDescent="0.25">
      <c r="A868">
        <v>478</v>
      </c>
      <c r="B868" t="s">
        <v>889</v>
      </c>
      <c r="C868" t="s">
        <v>2405</v>
      </c>
      <c r="D868" t="s">
        <v>13</v>
      </c>
      <c r="E868" t="s">
        <v>14</v>
      </c>
      <c r="F868" t="str">
        <f>VLOOKUP(Ramen_Ratings[[#This Row],[Country]],Country_Region[#All],2,FALSE)</f>
        <v>Asia</v>
      </c>
      <c r="G868">
        <v>1.75</v>
      </c>
      <c r="H868" t="str" cm="1">
        <f t="array" ref="H868">_xlfn.IFS(Ramen_Ratings[[#This Row],[Stars]] = "Unrated", "NA",Ramen_Ratings[[#This Row],[Stars]]&gt;=4, "Good", Ramen_Ratings[[#This Row],[Stars]]&gt;2.5, "Fair", Ramen_Ratings[[#This Row],[Stars]] &gt;= 0, "Bad")</f>
        <v>Bad</v>
      </c>
      <c r="J868" t="str">
        <f>LEFT(Ramen_Ratings[[#This Row],[Top Ten]],4)</f>
        <v/>
      </c>
      <c r="K868" t="str">
        <f>IF(Ramen_Ratings[[#This Row],[Top Ten]]="", "",RIGHT(Ramen_Ratings[[#This Row],[Top Ten]],LEN(Ramen_Ratings[[#This Row],[Top Ten]])-6))</f>
        <v/>
      </c>
    </row>
    <row r="869" spans="1:11" x14ac:dyDescent="0.25">
      <c r="A869">
        <v>458</v>
      </c>
      <c r="B869" t="s">
        <v>243</v>
      </c>
      <c r="C869" t="s">
        <v>2420</v>
      </c>
      <c r="D869" t="s">
        <v>44</v>
      </c>
      <c r="E869" t="s">
        <v>14</v>
      </c>
      <c r="F869" t="str">
        <f>VLOOKUP(Ramen_Ratings[[#This Row],[Country]],Country_Region[#All],2,FALSE)</f>
        <v>Asia</v>
      </c>
      <c r="G869">
        <v>3.75</v>
      </c>
      <c r="H869" t="str" cm="1">
        <f t="array" ref="H869">_xlfn.IFS(Ramen_Ratings[[#This Row],[Stars]] = "Unrated", "NA",Ramen_Ratings[[#This Row],[Stars]]&gt;=4, "Good", Ramen_Ratings[[#This Row],[Stars]]&gt;2.5, "Fair", Ramen_Ratings[[#This Row],[Stars]] &gt;= 0, "Bad")</f>
        <v>Fair</v>
      </c>
      <c r="J869" t="str">
        <f>LEFT(Ramen_Ratings[[#This Row],[Top Ten]],4)</f>
        <v/>
      </c>
      <c r="K869" t="str">
        <f>IF(Ramen_Ratings[[#This Row],[Top Ten]]="", "",RIGHT(Ramen_Ratings[[#This Row],[Top Ten]],LEN(Ramen_Ratings[[#This Row],[Top Ten]])-6))</f>
        <v/>
      </c>
    </row>
    <row r="870" spans="1:11" x14ac:dyDescent="0.25">
      <c r="A870">
        <v>456</v>
      </c>
      <c r="B870" t="s">
        <v>243</v>
      </c>
      <c r="C870" t="s">
        <v>2422</v>
      </c>
      <c r="D870" t="s">
        <v>44</v>
      </c>
      <c r="E870" t="s">
        <v>14</v>
      </c>
      <c r="F870" t="str">
        <f>VLOOKUP(Ramen_Ratings[[#This Row],[Country]],Country_Region[#All],2,FALSE)</f>
        <v>Asia</v>
      </c>
      <c r="G870">
        <v>3.75</v>
      </c>
      <c r="H870" t="str" cm="1">
        <f t="array" ref="H870">_xlfn.IFS(Ramen_Ratings[[#This Row],[Stars]] = "Unrated", "NA",Ramen_Ratings[[#This Row],[Stars]]&gt;=4, "Good", Ramen_Ratings[[#This Row],[Stars]]&gt;2.5, "Fair", Ramen_Ratings[[#This Row],[Stars]] &gt;= 0, "Bad")</f>
        <v>Fair</v>
      </c>
      <c r="J870" t="str">
        <f>LEFT(Ramen_Ratings[[#This Row],[Top Ten]],4)</f>
        <v/>
      </c>
      <c r="K870" t="str">
        <f>IF(Ramen_Ratings[[#This Row],[Top Ten]]="", "",RIGHT(Ramen_Ratings[[#This Row],[Top Ten]],LEN(Ramen_Ratings[[#This Row],[Top Ten]])-6))</f>
        <v/>
      </c>
    </row>
    <row r="871" spans="1:11" x14ac:dyDescent="0.25">
      <c r="A871">
        <v>449</v>
      </c>
      <c r="B871" t="s">
        <v>2179</v>
      </c>
      <c r="C871" t="s">
        <v>2429</v>
      </c>
      <c r="D871" t="s">
        <v>13</v>
      </c>
      <c r="E871" t="s">
        <v>14</v>
      </c>
      <c r="F871" t="str">
        <f>VLOOKUP(Ramen_Ratings[[#This Row],[Country]],Country_Region[#All],2,FALSE)</f>
        <v>Asia</v>
      </c>
      <c r="G871">
        <v>4.25</v>
      </c>
      <c r="H871" t="str" cm="1">
        <f t="array" ref="H871">_xlfn.IFS(Ramen_Ratings[[#This Row],[Stars]] = "Unrated", "NA",Ramen_Ratings[[#This Row],[Stars]]&gt;=4, "Good", Ramen_Ratings[[#This Row],[Stars]]&gt;2.5, "Fair", Ramen_Ratings[[#This Row],[Stars]] &gt;= 0, "Bad")</f>
        <v>Good</v>
      </c>
      <c r="J871" t="str">
        <f>LEFT(Ramen_Ratings[[#This Row],[Top Ten]],4)</f>
        <v/>
      </c>
      <c r="K871" t="str">
        <f>IF(Ramen_Ratings[[#This Row],[Top Ten]]="", "",RIGHT(Ramen_Ratings[[#This Row],[Top Ten]],LEN(Ramen_Ratings[[#This Row],[Top Ten]])-6))</f>
        <v/>
      </c>
    </row>
    <row r="872" spans="1:11" x14ac:dyDescent="0.25">
      <c r="A872">
        <v>448</v>
      </c>
      <c r="B872" t="s">
        <v>243</v>
      </c>
      <c r="C872" t="s">
        <v>2430</v>
      </c>
      <c r="D872" t="s">
        <v>44</v>
      </c>
      <c r="E872" t="s">
        <v>14</v>
      </c>
      <c r="F872" t="str">
        <f>VLOOKUP(Ramen_Ratings[[#This Row],[Country]],Country_Region[#All],2,FALSE)</f>
        <v>Asia</v>
      </c>
      <c r="G872">
        <v>3.75</v>
      </c>
      <c r="H872" t="str" cm="1">
        <f t="array" ref="H872">_xlfn.IFS(Ramen_Ratings[[#This Row],[Stars]] = "Unrated", "NA",Ramen_Ratings[[#This Row],[Stars]]&gt;=4, "Good", Ramen_Ratings[[#This Row],[Stars]]&gt;2.5, "Fair", Ramen_Ratings[[#This Row],[Stars]] &gt;= 0, "Bad")</f>
        <v>Fair</v>
      </c>
      <c r="J872" t="str">
        <f>LEFT(Ramen_Ratings[[#This Row],[Top Ten]],4)</f>
        <v/>
      </c>
      <c r="K872" t="str">
        <f>IF(Ramen_Ratings[[#This Row],[Top Ten]]="", "",RIGHT(Ramen_Ratings[[#This Row],[Top Ten]],LEN(Ramen_Ratings[[#This Row],[Top Ten]])-6))</f>
        <v/>
      </c>
    </row>
    <row r="873" spans="1:11" x14ac:dyDescent="0.25">
      <c r="A873">
        <v>445</v>
      </c>
      <c r="B873" t="s">
        <v>2434</v>
      </c>
      <c r="C873" t="s">
        <v>2435</v>
      </c>
      <c r="D873" t="s">
        <v>13</v>
      </c>
      <c r="E873" t="s">
        <v>14</v>
      </c>
      <c r="F873" t="str">
        <f>VLOOKUP(Ramen_Ratings[[#This Row],[Country]],Country_Region[#All],2,FALSE)</f>
        <v>Asia</v>
      </c>
      <c r="G873">
        <v>2.25</v>
      </c>
      <c r="H873" t="str" cm="1">
        <f t="array" ref="H873">_xlfn.IFS(Ramen_Ratings[[#This Row],[Stars]] = "Unrated", "NA",Ramen_Ratings[[#This Row],[Stars]]&gt;=4, "Good", Ramen_Ratings[[#This Row],[Stars]]&gt;2.5, "Fair", Ramen_Ratings[[#This Row],[Stars]] &gt;= 0, "Bad")</f>
        <v>Bad</v>
      </c>
      <c r="J873" t="str">
        <f>LEFT(Ramen_Ratings[[#This Row],[Top Ten]],4)</f>
        <v/>
      </c>
      <c r="K873" t="str">
        <f>IF(Ramen_Ratings[[#This Row],[Top Ten]]="", "",RIGHT(Ramen_Ratings[[#This Row],[Top Ten]],LEN(Ramen_Ratings[[#This Row],[Top Ten]])-6))</f>
        <v/>
      </c>
    </row>
    <row r="874" spans="1:11" x14ac:dyDescent="0.25">
      <c r="A874">
        <v>436</v>
      </c>
      <c r="B874" t="s">
        <v>1516</v>
      </c>
      <c r="C874" t="s">
        <v>2442</v>
      </c>
      <c r="D874" t="s">
        <v>44</v>
      </c>
      <c r="E874" t="s">
        <v>14</v>
      </c>
      <c r="F874" t="str">
        <f>VLOOKUP(Ramen_Ratings[[#This Row],[Country]],Country_Region[#All],2,FALSE)</f>
        <v>Asia</v>
      </c>
      <c r="G874">
        <v>3.75</v>
      </c>
      <c r="H874" t="str" cm="1">
        <f t="array" ref="H874">_xlfn.IFS(Ramen_Ratings[[#This Row],[Stars]] = "Unrated", "NA",Ramen_Ratings[[#This Row],[Stars]]&gt;=4, "Good", Ramen_Ratings[[#This Row],[Stars]]&gt;2.5, "Fair", Ramen_Ratings[[#This Row],[Stars]] &gt;= 0, "Bad")</f>
        <v>Fair</v>
      </c>
      <c r="J874" t="str">
        <f>LEFT(Ramen_Ratings[[#This Row],[Top Ten]],4)</f>
        <v/>
      </c>
      <c r="K874" t="str">
        <f>IF(Ramen_Ratings[[#This Row],[Top Ten]]="", "",RIGHT(Ramen_Ratings[[#This Row],[Top Ten]],LEN(Ramen_Ratings[[#This Row],[Top Ten]])-6))</f>
        <v/>
      </c>
    </row>
    <row r="875" spans="1:11" x14ac:dyDescent="0.25">
      <c r="A875">
        <v>432</v>
      </c>
      <c r="B875" t="s">
        <v>243</v>
      </c>
      <c r="C875" t="s">
        <v>2447</v>
      </c>
      <c r="D875" t="s">
        <v>44</v>
      </c>
      <c r="E875" t="s">
        <v>14</v>
      </c>
      <c r="F875" t="str">
        <f>VLOOKUP(Ramen_Ratings[[#This Row],[Country]],Country_Region[#All],2,FALSE)</f>
        <v>Asia</v>
      </c>
      <c r="G875">
        <v>2.5</v>
      </c>
      <c r="H875" t="str" cm="1">
        <f t="array" ref="H875">_xlfn.IFS(Ramen_Ratings[[#This Row],[Stars]] = "Unrated", "NA",Ramen_Ratings[[#This Row],[Stars]]&gt;=4, "Good", Ramen_Ratings[[#This Row],[Stars]]&gt;2.5, "Fair", Ramen_Ratings[[#This Row],[Stars]] &gt;= 0, "Bad")</f>
        <v>Bad</v>
      </c>
      <c r="J875" t="str">
        <f>LEFT(Ramen_Ratings[[#This Row],[Top Ten]],4)</f>
        <v/>
      </c>
      <c r="K875" t="str">
        <f>IF(Ramen_Ratings[[#This Row],[Top Ten]]="", "",RIGHT(Ramen_Ratings[[#This Row],[Top Ten]],LEN(Ramen_Ratings[[#This Row],[Top Ten]])-6))</f>
        <v/>
      </c>
    </row>
    <row r="876" spans="1:11" x14ac:dyDescent="0.25">
      <c r="A876">
        <v>431</v>
      </c>
      <c r="B876" t="s">
        <v>1985</v>
      </c>
      <c r="C876" t="s">
        <v>2448</v>
      </c>
      <c r="D876" t="s">
        <v>13</v>
      </c>
      <c r="E876" t="s">
        <v>14</v>
      </c>
      <c r="F876" t="str">
        <f>VLOOKUP(Ramen_Ratings[[#This Row],[Country]],Country_Region[#All],2,FALSE)</f>
        <v>Asia</v>
      </c>
      <c r="G876">
        <v>2.75</v>
      </c>
      <c r="H876" t="str" cm="1">
        <f t="array" ref="H876">_xlfn.IFS(Ramen_Ratings[[#This Row],[Stars]] = "Unrated", "NA",Ramen_Ratings[[#This Row],[Stars]]&gt;=4, "Good", Ramen_Ratings[[#This Row],[Stars]]&gt;2.5, "Fair", Ramen_Ratings[[#This Row],[Stars]] &gt;= 0, "Bad")</f>
        <v>Fair</v>
      </c>
      <c r="J876" t="str">
        <f>LEFT(Ramen_Ratings[[#This Row],[Top Ten]],4)</f>
        <v/>
      </c>
      <c r="K876" t="str">
        <f>IF(Ramen_Ratings[[#This Row],[Top Ten]]="", "",RIGHT(Ramen_Ratings[[#This Row],[Top Ten]],LEN(Ramen_Ratings[[#This Row],[Top Ten]])-6))</f>
        <v/>
      </c>
    </row>
    <row r="877" spans="1:11" x14ac:dyDescent="0.25">
      <c r="A877">
        <v>424</v>
      </c>
      <c r="B877" t="s">
        <v>2457</v>
      </c>
      <c r="C877" t="s">
        <v>2458</v>
      </c>
      <c r="D877" t="s">
        <v>13</v>
      </c>
      <c r="E877" t="s">
        <v>14</v>
      </c>
      <c r="F877" t="str">
        <f>VLOOKUP(Ramen_Ratings[[#This Row],[Country]],Country_Region[#All],2,FALSE)</f>
        <v>Asia</v>
      </c>
      <c r="G877">
        <v>3.25</v>
      </c>
      <c r="H877" t="str" cm="1">
        <f t="array" ref="H877">_xlfn.IFS(Ramen_Ratings[[#This Row],[Stars]] = "Unrated", "NA",Ramen_Ratings[[#This Row],[Stars]]&gt;=4, "Good", Ramen_Ratings[[#This Row],[Stars]]&gt;2.5, "Fair", Ramen_Ratings[[#This Row],[Stars]] &gt;= 0, "Bad")</f>
        <v>Fair</v>
      </c>
      <c r="J877" t="str">
        <f>LEFT(Ramen_Ratings[[#This Row],[Top Ten]],4)</f>
        <v/>
      </c>
      <c r="K877" t="str">
        <f>IF(Ramen_Ratings[[#This Row],[Top Ten]]="", "",RIGHT(Ramen_Ratings[[#This Row],[Top Ten]],LEN(Ramen_Ratings[[#This Row],[Top Ten]])-6))</f>
        <v/>
      </c>
    </row>
    <row r="878" spans="1:11" x14ac:dyDescent="0.25">
      <c r="A878">
        <v>418</v>
      </c>
      <c r="B878" t="s">
        <v>2434</v>
      </c>
      <c r="C878" t="s">
        <v>2465</v>
      </c>
      <c r="D878" t="s">
        <v>13</v>
      </c>
      <c r="E878" t="s">
        <v>14</v>
      </c>
      <c r="F878" t="str">
        <f>VLOOKUP(Ramen_Ratings[[#This Row],[Country]],Country_Region[#All],2,FALSE)</f>
        <v>Asia</v>
      </c>
      <c r="G878">
        <v>3.75</v>
      </c>
      <c r="H878" t="str" cm="1">
        <f t="array" ref="H878">_xlfn.IFS(Ramen_Ratings[[#This Row],[Stars]] = "Unrated", "NA",Ramen_Ratings[[#This Row],[Stars]]&gt;=4, "Good", Ramen_Ratings[[#This Row],[Stars]]&gt;2.5, "Fair", Ramen_Ratings[[#This Row],[Stars]] &gt;= 0, "Bad")</f>
        <v>Fair</v>
      </c>
      <c r="J878" t="str">
        <f>LEFT(Ramen_Ratings[[#This Row],[Top Ten]],4)</f>
        <v/>
      </c>
      <c r="K878" t="str">
        <f>IF(Ramen_Ratings[[#This Row],[Top Ten]]="", "",RIGHT(Ramen_Ratings[[#This Row],[Top Ten]],LEN(Ramen_Ratings[[#This Row],[Top Ten]])-6))</f>
        <v/>
      </c>
    </row>
    <row r="879" spans="1:11" x14ac:dyDescent="0.25">
      <c r="A879">
        <v>415</v>
      </c>
      <c r="B879" t="s">
        <v>243</v>
      </c>
      <c r="C879" t="s">
        <v>2467</v>
      </c>
      <c r="D879" t="s">
        <v>44</v>
      </c>
      <c r="E879" t="s">
        <v>14</v>
      </c>
      <c r="F879" t="str">
        <f>VLOOKUP(Ramen_Ratings[[#This Row],[Country]],Country_Region[#All],2,FALSE)</f>
        <v>Asia</v>
      </c>
      <c r="G879">
        <v>3.75</v>
      </c>
      <c r="H879" t="str" cm="1">
        <f t="array" ref="H879">_xlfn.IFS(Ramen_Ratings[[#This Row],[Stars]] = "Unrated", "NA",Ramen_Ratings[[#This Row],[Stars]]&gt;=4, "Good", Ramen_Ratings[[#This Row],[Stars]]&gt;2.5, "Fair", Ramen_Ratings[[#This Row],[Stars]] &gt;= 0, "Bad")</f>
        <v>Fair</v>
      </c>
      <c r="J879" t="str">
        <f>LEFT(Ramen_Ratings[[#This Row],[Top Ten]],4)</f>
        <v/>
      </c>
      <c r="K879" t="str">
        <f>IF(Ramen_Ratings[[#This Row],[Top Ten]]="", "",RIGHT(Ramen_Ratings[[#This Row],[Top Ten]],LEN(Ramen_Ratings[[#This Row],[Top Ten]])-6))</f>
        <v/>
      </c>
    </row>
    <row r="880" spans="1:11" x14ac:dyDescent="0.25">
      <c r="A880">
        <v>413</v>
      </c>
      <c r="B880" t="s">
        <v>2065</v>
      </c>
      <c r="C880" t="s">
        <v>2469</v>
      </c>
      <c r="D880" t="s">
        <v>13</v>
      </c>
      <c r="E880" t="s">
        <v>14</v>
      </c>
      <c r="F880" t="str">
        <f>VLOOKUP(Ramen_Ratings[[#This Row],[Country]],Country_Region[#All],2,FALSE)</f>
        <v>Asia</v>
      </c>
      <c r="G880">
        <v>4.25</v>
      </c>
      <c r="H880" t="str" cm="1">
        <f t="array" ref="H880">_xlfn.IFS(Ramen_Ratings[[#This Row],[Stars]] = "Unrated", "NA",Ramen_Ratings[[#This Row],[Stars]]&gt;=4, "Good", Ramen_Ratings[[#This Row],[Stars]]&gt;2.5, "Fair", Ramen_Ratings[[#This Row],[Stars]] &gt;= 0, "Bad")</f>
        <v>Good</v>
      </c>
      <c r="J880" t="str">
        <f>LEFT(Ramen_Ratings[[#This Row],[Top Ten]],4)</f>
        <v/>
      </c>
      <c r="K880" t="str">
        <f>IF(Ramen_Ratings[[#This Row],[Top Ten]]="", "",RIGHT(Ramen_Ratings[[#This Row],[Top Ten]],LEN(Ramen_Ratings[[#This Row],[Top Ten]])-6))</f>
        <v/>
      </c>
    </row>
    <row r="881" spans="1:11" x14ac:dyDescent="0.25">
      <c r="A881">
        <v>385</v>
      </c>
      <c r="B881" t="s">
        <v>243</v>
      </c>
      <c r="C881" t="s">
        <v>2499</v>
      </c>
      <c r="D881" t="s">
        <v>44</v>
      </c>
      <c r="E881" t="s">
        <v>14</v>
      </c>
      <c r="F881" t="str">
        <f>VLOOKUP(Ramen_Ratings[[#This Row],[Country]],Country_Region[#All],2,FALSE)</f>
        <v>Asia</v>
      </c>
      <c r="G881">
        <v>1.25</v>
      </c>
      <c r="H881" t="str" cm="1">
        <f t="array" ref="H881">_xlfn.IFS(Ramen_Ratings[[#This Row],[Stars]] = "Unrated", "NA",Ramen_Ratings[[#This Row],[Stars]]&gt;=4, "Good", Ramen_Ratings[[#This Row],[Stars]]&gt;2.5, "Fair", Ramen_Ratings[[#This Row],[Stars]] &gt;= 0, "Bad")</f>
        <v>Bad</v>
      </c>
      <c r="J881" t="str">
        <f>LEFT(Ramen_Ratings[[#This Row],[Top Ten]],4)</f>
        <v/>
      </c>
      <c r="K881" t="str">
        <f>IF(Ramen_Ratings[[#This Row],[Top Ten]]="", "",RIGHT(Ramen_Ratings[[#This Row],[Top Ten]],LEN(Ramen_Ratings[[#This Row],[Top Ten]])-6))</f>
        <v/>
      </c>
    </row>
    <row r="882" spans="1:11" x14ac:dyDescent="0.25">
      <c r="A882">
        <v>378</v>
      </c>
      <c r="B882" t="s">
        <v>243</v>
      </c>
      <c r="C882" t="s">
        <v>2506</v>
      </c>
      <c r="D882" t="s">
        <v>44</v>
      </c>
      <c r="E882" t="s">
        <v>14</v>
      </c>
      <c r="F882" t="str">
        <f>VLOOKUP(Ramen_Ratings[[#This Row],[Country]],Country_Region[#All],2,FALSE)</f>
        <v>Asia</v>
      </c>
      <c r="G882">
        <v>3.75</v>
      </c>
      <c r="H882" t="str" cm="1">
        <f t="array" ref="H882">_xlfn.IFS(Ramen_Ratings[[#This Row],[Stars]] = "Unrated", "NA",Ramen_Ratings[[#This Row],[Stars]]&gt;=4, "Good", Ramen_Ratings[[#This Row],[Stars]]&gt;2.5, "Fair", Ramen_Ratings[[#This Row],[Stars]] &gt;= 0, "Bad")</f>
        <v>Fair</v>
      </c>
      <c r="J882" t="str">
        <f>LEFT(Ramen_Ratings[[#This Row],[Top Ten]],4)</f>
        <v/>
      </c>
      <c r="K882" t="str">
        <f>IF(Ramen_Ratings[[#This Row],[Top Ten]]="", "",RIGHT(Ramen_Ratings[[#This Row],[Top Ten]],LEN(Ramen_Ratings[[#This Row],[Top Ten]])-6))</f>
        <v/>
      </c>
    </row>
    <row r="883" spans="1:11" x14ac:dyDescent="0.25">
      <c r="A883">
        <v>347</v>
      </c>
      <c r="B883" t="s">
        <v>2538</v>
      </c>
      <c r="C883" t="s">
        <v>2045</v>
      </c>
      <c r="D883" t="s">
        <v>13</v>
      </c>
      <c r="E883" t="s">
        <v>14</v>
      </c>
      <c r="F883" t="str">
        <f>VLOOKUP(Ramen_Ratings[[#This Row],[Country]],Country_Region[#All],2,FALSE)</f>
        <v>Asia</v>
      </c>
      <c r="G883">
        <v>1.75</v>
      </c>
      <c r="H883" t="str" cm="1">
        <f t="array" ref="H883">_xlfn.IFS(Ramen_Ratings[[#This Row],[Stars]] = "Unrated", "NA",Ramen_Ratings[[#This Row],[Stars]]&gt;=4, "Good", Ramen_Ratings[[#This Row],[Stars]]&gt;2.5, "Fair", Ramen_Ratings[[#This Row],[Stars]] &gt;= 0, "Bad")</f>
        <v>Bad</v>
      </c>
      <c r="J883" t="str">
        <f>LEFT(Ramen_Ratings[[#This Row],[Top Ten]],4)</f>
        <v/>
      </c>
      <c r="K883" t="str">
        <f>IF(Ramen_Ratings[[#This Row],[Top Ten]]="", "",RIGHT(Ramen_Ratings[[#This Row],[Top Ten]],LEN(Ramen_Ratings[[#This Row],[Top Ten]])-6))</f>
        <v/>
      </c>
    </row>
    <row r="884" spans="1:11" x14ac:dyDescent="0.25">
      <c r="A884">
        <v>322</v>
      </c>
      <c r="B884" t="s">
        <v>1516</v>
      </c>
      <c r="C884" t="s">
        <v>2561</v>
      </c>
      <c r="D884" t="s">
        <v>44</v>
      </c>
      <c r="E884" t="s">
        <v>14</v>
      </c>
      <c r="F884" t="str">
        <f>VLOOKUP(Ramen_Ratings[[#This Row],[Country]],Country_Region[#All],2,FALSE)</f>
        <v>Asia</v>
      </c>
      <c r="G884">
        <v>3.75</v>
      </c>
      <c r="H884" t="str" cm="1">
        <f t="array" ref="H884">_xlfn.IFS(Ramen_Ratings[[#This Row],[Stars]] = "Unrated", "NA",Ramen_Ratings[[#This Row],[Stars]]&gt;=4, "Good", Ramen_Ratings[[#This Row],[Stars]]&gt;2.5, "Fair", Ramen_Ratings[[#This Row],[Stars]] &gt;= 0, "Bad")</f>
        <v>Fair</v>
      </c>
      <c r="J884" t="str">
        <f>LEFT(Ramen_Ratings[[#This Row],[Top Ten]],4)</f>
        <v/>
      </c>
      <c r="K884" t="str">
        <f>IF(Ramen_Ratings[[#This Row],[Top Ten]]="", "",RIGHT(Ramen_Ratings[[#This Row],[Top Ten]],LEN(Ramen_Ratings[[#This Row],[Top Ten]])-6))</f>
        <v/>
      </c>
    </row>
    <row r="885" spans="1:11" x14ac:dyDescent="0.25">
      <c r="A885">
        <v>318</v>
      </c>
      <c r="B885" t="s">
        <v>1516</v>
      </c>
      <c r="C885" t="s">
        <v>2565</v>
      </c>
      <c r="D885" t="s">
        <v>44</v>
      </c>
      <c r="E885" t="s">
        <v>14</v>
      </c>
      <c r="F885" t="str">
        <f>VLOOKUP(Ramen_Ratings[[#This Row],[Country]],Country_Region[#All],2,FALSE)</f>
        <v>Asia</v>
      </c>
      <c r="G885">
        <v>3.25</v>
      </c>
      <c r="H885" t="str" cm="1">
        <f t="array" ref="H885">_xlfn.IFS(Ramen_Ratings[[#This Row],[Stars]] = "Unrated", "NA",Ramen_Ratings[[#This Row],[Stars]]&gt;=4, "Good", Ramen_Ratings[[#This Row],[Stars]]&gt;2.5, "Fair", Ramen_Ratings[[#This Row],[Stars]] &gt;= 0, "Bad")</f>
        <v>Fair</v>
      </c>
      <c r="J885" t="str">
        <f>LEFT(Ramen_Ratings[[#This Row],[Top Ten]],4)</f>
        <v/>
      </c>
      <c r="K885" t="str">
        <f>IF(Ramen_Ratings[[#This Row],[Top Ten]]="", "",RIGHT(Ramen_Ratings[[#This Row],[Top Ten]],LEN(Ramen_Ratings[[#This Row],[Top Ten]])-6))</f>
        <v/>
      </c>
    </row>
    <row r="886" spans="1:11" x14ac:dyDescent="0.25">
      <c r="A886">
        <v>316</v>
      </c>
      <c r="B886" t="s">
        <v>1516</v>
      </c>
      <c r="C886" t="s">
        <v>2567</v>
      </c>
      <c r="D886" t="s">
        <v>44</v>
      </c>
      <c r="E886" t="s">
        <v>14</v>
      </c>
      <c r="F886" t="str">
        <f>VLOOKUP(Ramen_Ratings[[#This Row],[Country]],Country_Region[#All],2,FALSE)</f>
        <v>Asia</v>
      </c>
      <c r="G886">
        <v>3.5</v>
      </c>
      <c r="H886" t="str" cm="1">
        <f t="array" ref="H886">_xlfn.IFS(Ramen_Ratings[[#This Row],[Stars]] = "Unrated", "NA",Ramen_Ratings[[#This Row],[Stars]]&gt;=4, "Good", Ramen_Ratings[[#This Row],[Stars]]&gt;2.5, "Fair", Ramen_Ratings[[#This Row],[Stars]] &gt;= 0, "Bad")</f>
        <v>Fair</v>
      </c>
      <c r="J886" t="str">
        <f>LEFT(Ramen_Ratings[[#This Row],[Top Ten]],4)</f>
        <v/>
      </c>
      <c r="K886" t="str">
        <f>IF(Ramen_Ratings[[#This Row],[Top Ten]]="", "",RIGHT(Ramen_Ratings[[#This Row],[Top Ten]],LEN(Ramen_Ratings[[#This Row],[Top Ten]])-6))</f>
        <v/>
      </c>
    </row>
    <row r="887" spans="1:11" x14ac:dyDescent="0.25">
      <c r="A887">
        <v>315</v>
      </c>
      <c r="B887" t="s">
        <v>1516</v>
      </c>
      <c r="C887" t="s">
        <v>2568</v>
      </c>
      <c r="D887" t="s">
        <v>44</v>
      </c>
      <c r="E887" t="s">
        <v>14</v>
      </c>
      <c r="F887" t="str">
        <f>VLOOKUP(Ramen_Ratings[[#This Row],[Country]],Country_Region[#All],2,FALSE)</f>
        <v>Asia</v>
      </c>
      <c r="G887">
        <v>2.75</v>
      </c>
      <c r="H887" t="str" cm="1">
        <f t="array" ref="H887">_xlfn.IFS(Ramen_Ratings[[#This Row],[Stars]] = "Unrated", "NA",Ramen_Ratings[[#This Row],[Stars]]&gt;=4, "Good", Ramen_Ratings[[#This Row],[Stars]]&gt;2.5, "Fair", Ramen_Ratings[[#This Row],[Stars]] &gt;= 0, "Bad")</f>
        <v>Fair</v>
      </c>
      <c r="J887" t="str">
        <f>LEFT(Ramen_Ratings[[#This Row],[Top Ten]],4)</f>
        <v/>
      </c>
      <c r="K887" t="str">
        <f>IF(Ramen_Ratings[[#This Row],[Top Ten]]="", "",RIGHT(Ramen_Ratings[[#This Row],[Top Ten]],LEN(Ramen_Ratings[[#This Row],[Top Ten]])-6))</f>
        <v/>
      </c>
    </row>
    <row r="888" spans="1:11" x14ac:dyDescent="0.25">
      <c r="A888">
        <v>300</v>
      </c>
      <c r="B888" t="s">
        <v>2179</v>
      </c>
      <c r="C888" t="s">
        <v>2581</v>
      </c>
      <c r="D888" t="s">
        <v>13</v>
      </c>
      <c r="E888" t="s">
        <v>14</v>
      </c>
      <c r="F888" t="str">
        <f>VLOOKUP(Ramen_Ratings[[#This Row],[Country]],Country_Region[#All],2,FALSE)</f>
        <v>Asia</v>
      </c>
      <c r="G888">
        <v>5</v>
      </c>
      <c r="H888" t="str" cm="1">
        <f t="array" ref="H888">_xlfn.IFS(Ramen_Ratings[[#This Row],[Stars]] = "Unrated", "NA",Ramen_Ratings[[#This Row],[Stars]]&gt;=4, "Good", Ramen_Ratings[[#This Row],[Stars]]&gt;2.5, "Fair", Ramen_Ratings[[#This Row],[Stars]] &gt;= 0, "Bad")</f>
        <v>Good</v>
      </c>
      <c r="J888" t="str">
        <f>LEFT(Ramen_Ratings[[#This Row],[Top Ten]],4)</f>
        <v/>
      </c>
      <c r="K888" t="str">
        <f>IF(Ramen_Ratings[[#This Row],[Top Ten]]="", "",RIGHT(Ramen_Ratings[[#This Row],[Top Ten]],LEN(Ramen_Ratings[[#This Row],[Top Ten]])-6))</f>
        <v/>
      </c>
    </row>
    <row r="889" spans="1:11" x14ac:dyDescent="0.25">
      <c r="A889">
        <v>293</v>
      </c>
      <c r="B889" t="s">
        <v>2588</v>
      </c>
      <c r="C889" t="s">
        <v>2589</v>
      </c>
      <c r="D889" t="s">
        <v>44</v>
      </c>
      <c r="E889" t="s">
        <v>14</v>
      </c>
      <c r="F889" t="str">
        <f>VLOOKUP(Ramen_Ratings[[#This Row],[Country]],Country_Region[#All],2,FALSE)</f>
        <v>Asia</v>
      </c>
      <c r="G889">
        <v>0</v>
      </c>
      <c r="H889" t="str" cm="1">
        <f t="array" ref="H889">_xlfn.IFS(Ramen_Ratings[[#This Row],[Stars]] = "Unrated", "NA",Ramen_Ratings[[#This Row],[Stars]]&gt;=4, "Good", Ramen_Ratings[[#This Row],[Stars]]&gt;2.5, "Fair", Ramen_Ratings[[#This Row],[Stars]] &gt;= 0, "Bad")</f>
        <v>Bad</v>
      </c>
      <c r="J889" t="str">
        <f>LEFT(Ramen_Ratings[[#This Row],[Top Ten]],4)</f>
        <v/>
      </c>
      <c r="K889" t="str">
        <f>IF(Ramen_Ratings[[#This Row],[Top Ten]]="", "",RIGHT(Ramen_Ratings[[#This Row],[Top Ten]],LEN(Ramen_Ratings[[#This Row],[Top Ten]])-6))</f>
        <v/>
      </c>
    </row>
    <row r="890" spans="1:11" x14ac:dyDescent="0.25">
      <c r="A890">
        <v>274</v>
      </c>
      <c r="B890" t="s">
        <v>243</v>
      </c>
      <c r="C890" t="s">
        <v>2606</v>
      </c>
      <c r="D890" t="s">
        <v>13</v>
      </c>
      <c r="E890" t="s">
        <v>14</v>
      </c>
      <c r="F890" t="str">
        <f>VLOOKUP(Ramen_Ratings[[#This Row],[Country]],Country_Region[#All],2,FALSE)</f>
        <v>Asia</v>
      </c>
      <c r="G890">
        <v>4</v>
      </c>
      <c r="H890" t="str" cm="1">
        <f t="array" ref="H890">_xlfn.IFS(Ramen_Ratings[[#This Row],[Stars]] = "Unrated", "NA",Ramen_Ratings[[#This Row],[Stars]]&gt;=4, "Good", Ramen_Ratings[[#This Row],[Stars]]&gt;2.5, "Fair", Ramen_Ratings[[#This Row],[Stars]] &gt;= 0, "Bad")</f>
        <v>Good</v>
      </c>
      <c r="J890" t="str">
        <f>LEFT(Ramen_Ratings[[#This Row],[Top Ten]],4)</f>
        <v/>
      </c>
      <c r="K890" t="str">
        <f>IF(Ramen_Ratings[[#This Row],[Top Ten]]="", "",RIGHT(Ramen_Ratings[[#This Row],[Top Ten]],LEN(Ramen_Ratings[[#This Row],[Top Ten]])-6))</f>
        <v/>
      </c>
    </row>
    <row r="891" spans="1:11" x14ac:dyDescent="0.25">
      <c r="A891">
        <v>270</v>
      </c>
      <c r="B891" t="s">
        <v>2179</v>
      </c>
      <c r="C891" t="s">
        <v>2610</v>
      </c>
      <c r="D891" t="s">
        <v>13</v>
      </c>
      <c r="E891" t="s">
        <v>14</v>
      </c>
      <c r="F891" t="str">
        <f>VLOOKUP(Ramen_Ratings[[#This Row],[Country]],Country_Region[#All],2,FALSE)</f>
        <v>Asia</v>
      </c>
      <c r="G891">
        <v>2</v>
      </c>
      <c r="H891" t="str" cm="1">
        <f t="array" ref="H891">_xlfn.IFS(Ramen_Ratings[[#This Row],[Stars]] = "Unrated", "NA",Ramen_Ratings[[#This Row],[Stars]]&gt;=4, "Good", Ramen_Ratings[[#This Row],[Stars]]&gt;2.5, "Fair", Ramen_Ratings[[#This Row],[Stars]] &gt;= 0, "Bad")</f>
        <v>Bad</v>
      </c>
      <c r="J891" t="str">
        <f>LEFT(Ramen_Ratings[[#This Row],[Top Ten]],4)</f>
        <v/>
      </c>
      <c r="K891" t="str">
        <f>IF(Ramen_Ratings[[#This Row],[Top Ten]]="", "",RIGHT(Ramen_Ratings[[#This Row],[Top Ten]],LEN(Ramen_Ratings[[#This Row],[Top Ten]])-6))</f>
        <v/>
      </c>
    </row>
    <row r="892" spans="1:11" x14ac:dyDescent="0.25">
      <c r="A892">
        <v>250</v>
      </c>
      <c r="B892" t="s">
        <v>2179</v>
      </c>
      <c r="C892" t="s">
        <v>2630</v>
      </c>
      <c r="D892" t="s">
        <v>13</v>
      </c>
      <c r="E892" t="s">
        <v>14</v>
      </c>
      <c r="F892" t="str">
        <f>VLOOKUP(Ramen_Ratings[[#This Row],[Country]],Country_Region[#All],2,FALSE)</f>
        <v>Asia</v>
      </c>
      <c r="G892">
        <v>3.75</v>
      </c>
      <c r="H892" t="str" cm="1">
        <f t="array" ref="H892">_xlfn.IFS(Ramen_Ratings[[#This Row],[Stars]] = "Unrated", "NA",Ramen_Ratings[[#This Row],[Stars]]&gt;=4, "Good", Ramen_Ratings[[#This Row],[Stars]]&gt;2.5, "Fair", Ramen_Ratings[[#This Row],[Stars]] &gt;= 0, "Bad")</f>
        <v>Fair</v>
      </c>
      <c r="J892" t="str">
        <f>LEFT(Ramen_Ratings[[#This Row],[Top Ten]],4)</f>
        <v/>
      </c>
      <c r="K892" t="str">
        <f>IF(Ramen_Ratings[[#This Row],[Top Ten]]="", "",RIGHT(Ramen_Ratings[[#This Row],[Top Ten]],LEN(Ramen_Ratings[[#This Row],[Top Ten]])-6))</f>
        <v/>
      </c>
    </row>
    <row r="893" spans="1:11" x14ac:dyDescent="0.25">
      <c r="A893">
        <v>249</v>
      </c>
      <c r="B893" t="s">
        <v>1516</v>
      </c>
      <c r="C893" t="s">
        <v>2631</v>
      </c>
      <c r="D893" t="s">
        <v>13</v>
      </c>
      <c r="E893" t="s">
        <v>14</v>
      </c>
      <c r="F893" t="str">
        <f>VLOOKUP(Ramen_Ratings[[#This Row],[Country]],Country_Region[#All],2,FALSE)</f>
        <v>Asia</v>
      </c>
      <c r="G893">
        <v>3.75</v>
      </c>
      <c r="H893" t="str" cm="1">
        <f t="array" ref="H893">_xlfn.IFS(Ramen_Ratings[[#This Row],[Stars]] = "Unrated", "NA",Ramen_Ratings[[#This Row],[Stars]]&gt;=4, "Good", Ramen_Ratings[[#This Row],[Stars]]&gt;2.5, "Fair", Ramen_Ratings[[#This Row],[Stars]] &gt;= 0, "Bad")</f>
        <v>Fair</v>
      </c>
      <c r="J893" t="str">
        <f>LEFT(Ramen_Ratings[[#This Row],[Top Ten]],4)</f>
        <v/>
      </c>
      <c r="K893" t="str">
        <f>IF(Ramen_Ratings[[#This Row],[Top Ten]]="", "",RIGHT(Ramen_Ratings[[#This Row],[Top Ten]],LEN(Ramen_Ratings[[#This Row],[Top Ten]])-6))</f>
        <v/>
      </c>
    </row>
    <row r="894" spans="1:11" x14ac:dyDescent="0.25">
      <c r="A894">
        <v>220</v>
      </c>
      <c r="B894" t="s">
        <v>18</v>
      </c>
      <c r="C894" t="s">
        <v>2656</v>
      </c>
      <c r="D894" t="s">
        <v>13</v>
      </c>
      <c r="E894" t="s">
        <v>14</v>
      </c>
      <c r="F894" t="str">
        <f>VLOOKUP(Ramen_Ratings[[#This Row],[Country]],Country_Region[#All],2,FALSE)</f>
        <v>Asia</v>
      </c>
      <c r="G894">
        <v>3</v>
      </c>
      <c r="H894" t="str" cm="1">
        <f t="array" ref="H894">_xlfn.IFS(Ramen_Ratings[[#This Row],[Stars]] = "Unrated", "NA",Ramen_Ratings[[#This Row],[Stars]]&gt;=4, "Good", Ramen_Ratings[[#This Row],[Stars]]&gt;2.5, "Fair", Ramen_Ratings[[#This Row],[Stars]] &gt;= 0, "Bad")</f>
        <v>Fair</v>
      </c>
      <c r="J894" t="str">
        <f>LEFT(Ramen_Ratings[[#This Row],[Top Ten]],4)</f>
        <v/>
      </c>
      <c r="K894" t="str">
        <f>IF(Ramen_Ratings[[#This Row],[Top Ten]]="", "",RIGHT(Ramen_Ratings[[#This Row],[Top Ten]],LEN(Ramen_Ratings[[#This Row],[Top Ten]])-6))</f>
        <v/>
      </c>
    </row>
    <row r="895" spans="1:11" x14ac:dyDescent="0.25">
      <c r="A895">
        <v>191</v>
      </c>
      <c r="B895" t="s">
        <v>2179</v>
      </c>
      <c r="C895" t="s">
        <v>2684</v>
      </c>
      <c r="D895" t="s">
        <v>13</v>
      </c>
      <c r="E895" t="s">
        <v>14</v>
      </c>
      <c r="F895" t="str">
        <f>VLOOKUP(Ramen_Ratings[[#This Row],[Country]],Country_Region[#All],2,FALSE)</f>
        <v>Asia</v>
      </c>
      <c r="G895">
        <v>3.25</v>
      </c>
      <c r="H895" t="str" cm="1">
        <f t="array" ref="H895">_xlfn.IFS(Ramen_Ratings[[#This Row],[Stars]] = "Unrated", "NA",Ramen_Ratings[[#This Row],[Stars]]&gt;=4, "Good", Ramen_Ratings[[#This Row],[Stars]]&gt;2.5, "Fair", Ramen_Ratings[[#This Row],[Stars]] &gt;= 0, "Bad")</f>
        <v>Fair</v>
      </c>
      <c r="J895" t="str">
        <f>LEFT(Ramen_Ratings[[#This Row],[Top Ten]],4)</f>
        <v/>
      </c>
      <c r="K895" t="str">
        <f>IF(Ramen_Ratings[[#This Row],[Top Ten]]="", "",RIGHT(Ramen_Ratings[[#This Row],[Top Ten]],LEN(Ramen_Ratings[[#This Row],[Top Ten]])-6))</f>
        <v/>
      </c>
    </row>
    <row r="896" spans="1:11" x14ac:dyDescent="0.25">
      <c r="A896">
        <v>173</v>
      </c>
      <c r="B896" t="s">
        <v>1985</v>
      </c>
      <c r="C896" t="s">
        <v>2701</v>
      </c>
      <c r="D896" t="s">
        <v>13</v>
      </c>
      <c r="E896" t="s">
        <v>14</v>
      </c>
      <c r="F896" t="str">
        <f>VLOOKUP(Ramen_Ratings[[#This Row],[Country]],Country_Region[#All],2,FALSE)</f>
        <v>Asia</v>
      </c>
      <c r="G896">
        <v>1.5</v>
      </c>
      <c r="H896" t="str" cm="1">
        <f t="array" ref="H896">_xlfn.IFS(Ramen_Ratings[[#This Row],[Stars]] = "Unrated", "NA",Ramen_Ratings[[#This Row],[Stars]]&gt;=4, "Good", Ramen_Ratings[[#This Row],[Stars]]&gt;2.5, "Fair", Ramen_Ratings[[#This Row],[Stars]] &gt;= 0, "Bad")</f>
        <v>Bad</v>
      </c>
      <c r="J896" t="str">
        <f>LEFT(Ramen_Ratings[[#This Row],[Top Ten]],4)</f>
        <v/>
      </c>
      <c r="K896" t="str">
        <f>IF(Ramen_Ratings[[#This Row],[Top Ten]]="", "",RIGHT(Ramen_Ratings[[#This Row],[Top Ten]],LEN(Ramen_Ratings[[#This Row],[Top Ten]])-6))</f>
        <v/>
      </c>
    </row>
    <row r="897" spans="1:11" x14ac:dyDescent="0.25">
      <c r="A897">
        <v>164</v>
      </c>
      <c r="B897" t="s">
        <v>1985</v>
      </c>
      <c r="C897" t="s">
        <v>2468</v>
      </c>
      <c r="D897" t="s">
        <v>13</v>
      </c>
      <c r="E897" t="s">
        <v>14</v>
      </c>
      <c r="F897" t="str">
        <f>VLOOKUP(Ramen_Ratings[[#This Row],[Country]],Country_Region[#All],2,FALSE)</f>
        <v>Asia</v>
      </c>
      <c r="G897">
        <v>3.75</v>
      </c>
      <c r="H897" t="str" cm="1">
        <f t="array" ref="H897">_xlfn.IFS(Ramen_Ratings[[#This Row],[Stars]] = "Unrated", "NA",Ramen_Ratings[[#This Row],[Stars]]&gt;=4, "Good", Ramen_Ratings[[#This Row],[Stars]]&gt;2.5, "Fair", Ramen_Ratings[[#This Row],[Stars]] &gt;= 0, "Bad")</f>
        <v>Fair</v>
      </c>
      <c r="J897" t="str">
        <f>LEFT(Ramen_Ratings[[#This Row],[Top Ten]],4)</f>
        <v/>
      </c>
      <c r="K897" t="str">
        <f>IF(Ramen_Ratings[[#This Row],[Top Ten]]="", "",RIGHT(Ramen_Ratings[[#This Row],[Top Ten]],LEN(Ramen_Ratings[[#This Row],[Top Ten]])-6))</f>
        <v/>
      </c>
    </row>
    <row r="898" spans="1:11" x14ac:dyDescent="0.25">
      <c r="A898">
        <v>152</v>
      </c>
      <c r="B898" t="s">
        <v>2179</v>
      </c>
      <c r="C898" t="s">
        <v>2721</v>
      </c>
      <c r="D898" t="s">
        <v>13</v>
      </c>
      <c r="E898" t="s">
        <v>14</v>
      </c>
      <c r="F898" t="str">
        <f>VLOOKUP(Ramen_Ratings[[#This Row],[Country]],Country_Region[#All],2,FALSE)</f>
        <v>Asia</v>
      </c>
      <c r="G898">
        <v>4.5</v>
      </c>
      <c r="H898" t="str" cm="1">
        <f t="array" ref="H898">_xlfn.IFS(Ramen_Ratings[[#This Row],[Stars]] = "Unrated", "NA",Ramen_Ratings[[#This Row],[Stars]]&gt;=4, "Good", Ramen_Ratings[[#This Row],[Stars]]&gt;2.5, "Fair", Ramen_Ratings[[#This Row],[Stars]] &gt;= 0, "Bad")</f>
        <v>Good</v>
      </c>
      <c r="J898" t="str">
        <f>LEFT(Ramen_Ratings[[#This Row],[Top Ten]],4)</f>
        <v/>
      </c>
      <c r="K898" t="str">
        <f>IF(Ramen_Ratings[[#This Row],[Top Ten]]="", "",RIGHT(Ramen_Ratings[[#This Row],[Top Ten]],LEN(Ramen_Ratings[[#This Row],[Top Ten]])-6))</f>
        <v/>
      </c>
    </row>
    <row r="899" spans="1:11" x14ac:dyDescent="0.25">
      <c r="A899">
        <v>138</v>
      </c>
      <c r="B899" t="s">
        <v>1516</v>
      </c>
      <c r="C899" t="s">
        <v>2738</v>
      </c>
      <c r="E899" t="s">
        <v>14</v>
      </c>
      <c r="F899" t="str">
        <f>VLOOKUP(Ramen_Ratings[[#This Row],[Country]],Country_Region[#All],2,FALSE)</f>
        <v>Asia</v>
      </c>
      <c r="G899">
        <v>3</v>
      </c>
      <c r="H899" t="str" cm="1">
        <f t="array" ref="H899">_xlfn.IFS(Ramen_Ratings[[#This Row],[Stars]] = "Unrated", "NA",Ramen_Ratings[[#This Row],[Stars]]&gt;=4, "Good", Ramen_Ratings[[#This Row],[Stars]]&gt;2.5, "Fair", Ramen_Ratings[[#This Row],[Stars]] &gt;= 0, "Bad")</f>
        <v>Fair</v>
      </c>
      <c r="J899" t="str">
        <f>LEFT(Ramen_Ratings[[#This Row],[Top Ten]],4)</f>
        <v/>
      </c>
      <c r="K899" t="str">
        <f>IF(Ramen_Ratings[[#This Row],[Top Ten]]="", "",RIGHT(Ramen_Ratings[[#This Row],[Top Ten]],LEN(Ramen_Ratings[[#This Row],[Top Ten]])-6))</f>
        <v/>
      </c>
    </row>
    <row r="900" spans="1:11" x14ac:dyDescent="0.25">
      <c r="A900">
        <v>135</v>
      </c>
      <c r="B900" t="s">
        <v>1985</v>
      </c>
      <c r="C900" t="s">
        <v>2741</v>
      </c>
      <c r="D900" t="s">
        <v>13</v>
      </c>
      <c r="E900" t="s">
        <v>14</v>
      </c>
      <c r="F900" t="str">
        <f>VLOOKUP(Ramen_Ratings[[#This Row],[Country]],Country_Region[#All],2,FALSE)</f>
        <v>Asia</v>
      </c>
      <c r="G900">
        <v>3.25</v>
      </c>
      <c r="H900" t="str" cm="1">
        <f t="array" ref="H900">_xlfn.IFS(Ramen_Ratings[[#This Row],[Stars]] = "Unrated", "NA",Ramen_Ratings[[#This Row],[Stars]]&gt;=4, "Good", Ramen_Ratings[[#This Row],[Stars]]&gt;2.5, "Fair", Ramen_Ratings[[#This Row],[Stars]] &gt;= 0, "Bad")</f>
        <v>Fair</v>
      </c>
      <c r="J900" t="str">
        <f>LEFT(Ramen_Ratings[[#This Row],[Top Ten]],4)</f>
        <v/>
      </c>
      <c r="K900" t="str">
        <f>IF(Ramen_Ratings[[#This Row],[Top Ten]]="", "",RIGHT(Ramen_Ratings[[#This Row],[Top Ten]],LEN(Ramen_Ratings[[#This Row],[Top Ten]])-6))</f>
        <v/>
      </c>
    </row>
    <row r="901" spans="1:11" x14ac:dyDescent="0.25">
      <c r="A901">
        <v>132</v>
      </c>
      <c r="B901" t="s">
        <v>243</v>
      </c>
      <c r="C901" t="s">
        <v>2745</v>
      </c>
      <c r="D901" t="s">
        <v>13</v>
      </c>
      <c r="E901" t="s">
        <v>14</v>
      </c>
      <c r="F901" t="str">
        <f>VLOOKUP(Ramen_Ratings[[#This Row],[Country]],Country_Region[#All],2,FALSE)</f>
        <v>Asia</v>
      </c>
      <c r="G901">
        <v>3.5</v>
      </c>
      <c r="H901" t="str" cm="1">
        <f t="array" ref="H901">_xlfn.IFS(Ramen_Ratings[[#This Row],[Stars]] = "Unrated", "NA",Ramen_Ratings[[#This Row],[Stars]]&gt;=4, "Good", Ramen_Ratings[[#This Row],[Stars]]&gt;2.5, "Fair", Ramen_Ratings[[#This Row],[Stars]] &gt;= 0, "Bad")</f>
        <v>Fair</v>
      </c>
      <c r="J901" t="str">
        <f>LEFT(Ramen_Ratings[[#This Row],[Top Ten]],4)</f>
        <v/>
      </c>
      <c r="K901" t="str">
        <f>IF(Ramen_Ratings[[#This Row],[Top Ten]]="", "",RIGHT(Ramen_Ratings[[#This Row],[Top Ten]],LEN(Ramen_Ratings[[#This Row],[Top Ten]])-6))</f>
        <v/>
      </c>
    </row>
    <row r="902" spans="1:11" x14ac:dyDescent="0.25">
      <c r="A902">
        <v>131</v>
      </c>
      <c r="B902" t="s">
        <v>1516</v>
      </c>
      <c r="C902" t="s">
        <v>2746</v>
      </c>
      <c r="D902" t="s">
        <v>13</v>
      </c>
      <c r="E902" t="s">
        <v>14</v>
      </c>
      <c r="F902" t="str">
        <f>VLOOKUP(Ramen_Ratings[[#This Row],[Country]],Country_Region[#All],2,FALSE)</f>
        <v>Asia</v>
      </c>
      <c r="G902">
        <v>3.25</v>
      </c>
      <c r="H902" t="str" cm="1">
        <f t="array" ref="H902">_xlfn.IFS(Ramen_Ratings[[#This Row],[Stars]] = "Unrated", "NA",Ramen_Ratings[[#This Row],[Stars]]&gt;=4, "Good", Ramen_Ratings[[#This Row],[Stars]]&gt;2.5, "Fair", Ramen_Ratings[[#This Row],[Stars]] &gt;= 0, "Bad")</f>
        <v>Fair</v>
      </c>
      <c r="J902" t="str">
        <f>LEFT(Ramen_Ratings[[#This Row],[Top Ten]],4)</f>
        <v/>
      </c>
      <c r="K902" t="str">
        <f>IF(Ramen_Ratings[[#This Row],[Top Ten]]="", "",RIGHT(Ramen_Ratings[[#This Row],[Top Ten]],LEN(Ramen_Ratings[[#This Row],[Top Ten]])-6))</f>
        <v/>
      </c>
    </row>
    <row r="903" spans="1:11" x14ac:dyDescent="0.25">
      <c r="A903">
        <v>119</v>
      </c>
      <c r="B903" t="s">
        <v>243</v>
      </c>
      <c r="C903" t="s">
        <v>2756</v>
      </c>
      <c r="D903" t="s">
        <v>13</v>
      </c>
      <c r="E903" t="s">
        <v>14</v>
      </c>
      <c r="F903" t="str">
        <f>VLOOKUP(Ramen_Ratings[[#This Row],[Country]],Country_Region[#All],2,FALSE)</f>
        <v>Asia</v>
      </c>
      <c r="G903">
        <v>3.4</v>
      </c>
      <c r="H903" t="str" cm="1">
        <f t="array" ref="H903">_xlfn.IFS(Ramen_Ratings[[#This Row],[Stars]] = "Unrated", "NA",Ramen_Ratings[[#This Row],[Stars]]&gt;=4, "Good", Ramen_Ratings[[#This Row],[Stars]]&gt;2.5, "Fair", Ramen_Ratings[[#This Row],[Stars]] &gt;= 0, "Bad")</f>
        <v>Fair</v>
      </c>
      <c r="J903" t="str">
        <f>LEFT(Ramen_Ratings[[#This Row],[Top Ten]],4)</f>
        <v/>
      </c>
      <c r="K903" t="str">
        <f>IF(Ramen_Ratings[[#This Row],[Top Ten]]="", "",RIGHT(Ramen_Ratings[[#This Row],[Top Ten]],LEN(Ramen_Ratings[[#This Row],[Top Ten]])-6))</f>
        <v/>
      </c>
    </row>
    <row r="904" spans="1:11" x14ac:dyDescent="0.25">
      <c r="A904">
        <v>103</v>
      </c>
      <c r="B904" t="s">
        <v>243</v>
      </c>
      <c r="C904" t="s">
        <v>2731</v>
      </c>
      <c r="D904" t="s">
        <v>13</v>
      </c>
      <c r="E904" t="s">
        <v>14</v>
      </c>
      <c r="F904" t="str">
        <f>VLOOKUP(Ramen_Ratings[[#This Row],[Country]],Country_Region[#All],2,FALSE)</f>
        <v>Asia</v>
      </c>
      <c r="G904">
        <v>3</v>
      </c>
      <c r="H904" t="str" cm="1">
        <f t="array" ref="H904">_xlfn.IFS(Ramen_Ratings[[#This Row],[Stars]] = "Unrated", "NA",Ramen_Ratings[[#This Row],[Stars]]&gt;=4, "Good", Ramen_Ratings[[#This Row],[Stars]]&gt;2.5, "Fair", Ramen_Ratings[[#This Row],[Stars]] &gt;= 0, "Bad")</f>
        <v>Fair</v>
      </c>
      <c r="J904" t="str">
        <f>LEFT(Ramen_Ratings[[#This Row],[Top Ten]],4)</f>
        <v/>
      </c>
      <c r="K904" t="str">
        <f>IF(Ramen_Ratings[[#This Row],[Top Ten]]="", "",RIGHT(Ramen_Ratings[[#This Row],[Top Ten]],LEN(Ramen_Ratings[[#This Row],[Top Ten]])-6))</f>
        <v/>
      </c>
    </row>
    <row r="905" spans="1:11" x14ac:dyDescent="0.25">
      <c r="A905">
        <v>101</v>
      </c>
      <c r="B905" t="s">
        <v>243</v>
      </c>
      <c r="C905" t="s">
        <v>2772</v>
      </c>
      <c r="D905" t="s">
        <v>13</v>
      </c>
      <c r="E905" t="s">
        <v>14</v>
      </c>
      <c r="F905" t="str">
        <f>VLOOKUP(Ramen_Ratings[[#This Row],[Country]],Country_Region[#All],2,FALSE)</f>
        <v>Asia</v>
      </c>
      <c r="G905">
        <v>4.25</v>
      </c>
      <c r="H905" t="str" cm="1">
        <f t="array" ref="H905">_xlfn.IFS(Ramen_Ratings[[#This Row],[Stars]] = "Unrated", "NA",Ramen_Ratings[[#This Row],[Stars]]&gt;=4, "Good", Ramen_Ratings[[#This Row],[Stars]]&gt;2.5, "Fair", Ramen_Ratings[[#This Row],[Stars]] &gt;= 0, "Bad")</f>
        <v>Good</v>
      </c>
      <c r="J905" t="str">
        <f>LEFT(Ramen_Ratings[[#This Row],[Top Ten]],4)</f>
        <v/>
      </c>
      <c r="K905" t="str">
        <f>IF(Ramen_Ratings[[#This Row],[Top Ten]]="", "",RIGHT(Ramen_Ratings[[#This Row],[Top Ten]],LEN(Ramen_Ratings[[#This Row],[Top Ten]])-6))</f>
        <v/>
      </c>
    </row>
    <row r="906" spans="1:11" x14ac:dyDescent="0.25">
      <c r="A906">
        <v>100</v>
      </c>
      <c r="B906" t="s">
        <v>1985</v>
      </c>
      <c r="C906" t="s">
        <v>2773</v>
      </c>
      <c r="D906" t="s">
        <v>13</v>
      </c>
      <c r="E906" t="s">
        <v>14</v>
      </c>
      <c r="F906" t="str">
        <f>VLOOKUP(Ramen_Ratings[[#This Row],[Country]],Country_Region[#All],2,FALSE)</f>
        <v>Asia</v>
      </c>
      <c r="G906">
        <v>2.85</v>
      </c>
      <c r="H906" t="str" cm="1">
        <f t="array" ref="H906">_xlfn.IFS(Ramen_Ratings[[#This Row],[Stars]] = "Unrated", "NA",Ramen_Ratings[[#This Row],[Stars]]&gt;=4, "Good", Ramen_Ratings[[#This Row],[Stars]]&gt;2.5, "Fair", Ramen_Ratings[[#This Row],[Stars]] &gt;= 0, "Bad")</f>
        <v>Fair</v>
      </c>
      <c r="J906" t="str">
        <f>LEFT(Ramen_Ratings[[#This Row],[Top Ten]],4)</f>
        <v/>
      </c>
      <c r="K906" t="str">
        <f>IF(Ramen_Ratings[[#This Row],[Top Ten]]="", "",RIGHT(Ramen_Ratings[[#This Row],[Top Ten]],LEN(Ramen_Ratings[[#This Row],[Top Ten]])-6))</f>
        <v/>
      </c>
    </row>
    <row r="907" spans="1:11" x14ac:dyDescent="0.25">
      <c r="A907">
        <v>99</v>
      </c>
      <c r="B907" t="s">
        <v>243</v>
      </c>
      <c r="C907" t="s">
        <v>2774</v>
      </c>
      <c r="D907" t="s">
        <v>13</v>
      </c>
      <c r="E907" t="s">
        <v>14</v>
      </c>
      <c r="F907" t="str">
        <f>VLOOKUP(Ramen_Ratings[[#This Row],[Country]],Country_Region[#All],2,FALSE)</f>
        <v>Asia</v>
      </c>
      <c r="G907">
        <v>2.75</v>
      </c>
      <c r="H907" t="str" cm="1">
        <f t="array" ref="H907">_xlfn.IFS(Ramen_Ratings[[#This Row],[Stars]] = "Unrated", "NA",Ramen_Ratings[[#This Row],[Stars]]&gt;=4, "Good", Ramen_Ratings[[#This Row],[Stars]]&gt;2.5, "Fair", Ramen_Ratings[[#This Row],[Stars]] &gt;= 0, "Bad")</f>
        <v>Fair</v>
      </c>
      <c r="J907" t="str">
        <f>LEFT(Ramen_Ratings[[#This Row],[Top Ten]],4)</f>
        <v/>
      </c>
      <c r="K907" t="str">
        <f>IF(Ramen_Ratings[[#This Row],[Top Ten]]="", "",RIGHT(Ramen_Ratings[[#This Row],[Top Ten]],LEN(Ramen_Ratings[[#This Row],[Top Ten]])-6))</f>
        <v/>
      </c>
    </row>
    <row r="908" spans="1:11" x14ac:dyDescent="0.25">
      <c r="A908">
        <v>98</v>
      </c>
      <c r="B908" t="s">
        <v>1985</v>
      </c>
      <c r="C908" t="s">
        <v>2775</v>
      </c>
      <c r="D908" t="s">
        <v>13</v>
      </c>
      <c r="E908" t="s">
        <v>14</v>
      </c>
      <c r="F908" t="str">
        <f>VLOOKUP(Ramen_Ratings[[#This Row],[Country]],Country_Region[#All],2,FALSE)</f>
        <v>Asia</v>
      </c>
      <c r="G908">
        <v>2.5</v>
      </c>
      <c r="H908" t="str" cm="1">
        <f t="array" ref="H908">_xlfn.IFS(Ramen_Ratings[[#This Row],[Stars]] = "Unrated", "NA",Ramen_Ratings[[#This Row],[Stars]]&gt;=4, "Good", Ramen_Ratings[[#This Row],[Stars]]&gt;2.5, "Fair", Ramen_Ratings[[#This Row],[Stars]] &gt;= 0, "Bad")</f>
        <v>Bad</v>
      </c>
      <c r="J908" t="str">
        <f>LEFT(Ramen_Ratings[[#This Row],[Top Ten]],4)</f>
        <v/>
      </c>
      <c r="K908" t="str">
        <f>IF(Ramen_Ratings[[#This Row],[Top Ten]]="", "",RIGHT(Ramen_Ratings[[#This Row],[Top Ten]],LEN(Ramen_Ratings[[#This Row],[Top Ten]])-6))</f>
        <v/>
      </c>
    </row>
    <row r="909" spans="1:11" x14ac:dyDescent="0.25">
      <c r="A909">
        <v>95</v>
      </c>
      <c r="B909" t="s">
        <v>18</v>
      </c>
      <c r="C909" t="s">
        <v>2468</v>
      </c>
      <c r="D909" t="s">
        <v>13</v>
      </c>
      <c r="E909" t="s">
        <v>14</v>
      </c>
      <c r="F909" t="str">
        <f>VLOOKUP(Ramen_Ratings[[#This Row],[Country]],Country_Region[#All],2,FALSE)</f>
        <v>Asia</v>
      </c>
      <c r="G909">
        <v>1</v>
      </c>
      <c r="H909" t="str" cm="1">
        <f t="array" ref="H909">_xlfn.IFS(Ramen_Ratings[[#This Row],[Stars]] = "Unrated", "NA",Ramen_Ratings[[#This Row],[Stars]]&gt;=4, "Good", Ramen_Ratings[[#This Row],[Stars]]&gt;2.5, "Fair", Ramen_Ratings[[#This Row],[Stars]] &gt;= 0, "Bad")</f>
        <v>Bad</v>
      </c>
      <c r="J909" t="str">
        <f>LEFT(Ramen_Ratings[[#This Row],[Top Ten]],4)</f>
        <v/>
      </c>
      <c r="K909" t="str">
        <f>IF(Ramen_Ratings[[#This Row],[Top Ten]]="", "",RIGHT(Ramen_Ratings[[#This Row],[Top Ten]],LEN(Ramen_Ratings[[#This Row],[Top Ten]])-6))</f>
        <v/>
      </c>
    </row>
    <row r="910" spans="1:11" x14ac:dyDescent="0.25">
      <c r="A910">
        <v>89</v>
      </c>
      <c r="B910" t="s">
        <v>1516</v>
      </c>
      <c r="C910" t="s">
        <v>2780</v>
      </c>
      <c r="D910" t="s">
        <v>13</v>
      </c>
      <c r="E910" t="s">
        <v>14</v>
      </c>
      <c r="F910" t="str">
        <f>VLOOKUP(Ramen_Ratings[[#This Row],[Country]],Country_Region[#All],2,FALSE)</f>
        <v>Asia</v>
      </c>
      <c r="G910">
        <v>3.2</v>
      </c>
      <c r="H910" t="str" cm="1">
        <f t="array" ref="H910">_xlfn.IFS(Ramen_Ratings[[#This Row],[Stars]] = "Unrated", "NA",Ramen_Ratings[[#This Row],[Stars]]&gt;=4, "Good", Ramen_Ratings[[#This Row],[Stars]]&gt;2.5, "Fair", Ramen_Ratings[[#This Row],[Stars]] &gt;= 0, "Bad")</f>
        <v>Fair</v>
      </c>
      <c r="J910" t="str">
        <f>LEFT(Ramen_Ratings[[#This Row],[Top Ten]],4)</f>
        <v/>
      </c>
      <c r="K910" t="str">
        <f>IF(Ramen_Ratings[[#This Row],[Top Ten]]="", "",RIGHT(Ramen_Ratings[[#This Row],[Top Ten]],LEN(Ramen_Ratings[[#This Row],[Top Ten]])-6))</f>
        <v/>
      </c>
    </row>
    <row r="911" spans="1:11" x14ac:dyDescent="0.25">
      <c r="A911">
        <v>86</v>
      </c>
      <c r="B911" t="s">
        <v>1985</v>
      </c>
      <c r="C911" t="s">
        <v>2783</v>
      </c>
      <c r="D911" t="s">
        <v>13</v>
      </c>
      <c r="E911" t="s">
        <v>14</v>
      </c>
      <c r="F911" t="str">
        <f>VLOOKUP(Ramen_Ratings[[#This Row],[Country]],Country_Region[#All],2,FALSE)</f>
        <v>Asia</v>
      </c>
      <c r="G911">
        <v>3.65</v>
      </c>
      <c r="H911" t="str" cm="1">
        <f t="array" ref="H911">_xlfn.IFS(Ramen_Ratings[[#This Row],[Stars]] = "Unrated", "NA",Ramen_Ratings[[#This Row],[Stars]]&gt;=4, "Good", Ramen_Ratings[[#This Row],[Stars]]&gt;2.5, "Fair", Ramen_Ratings[[#This Row],[Stars]] &gt;= 0, "Bad")</f>
        <v>Fair</v>
      </c>
      <c r="J911" t="str">
        <f>LEFT(Ramen_Ratings[[#This Row],[Top Ten]],4)</f>
        <v/>
      </c>
      <c r="K911" t="str">
        <f>IF(Ramen_Ratings[[#This Row],[Top Ten]]="", "",RIGHT(Ramen_Ratings[[#This Row],[Top Ten]],LEN(Ramen_Ratings[[#This Row],[Top Ten]])-6))</f>
        <v/>
      </c>
    </row>
    <row r="912" spans="1:11" x14ac:dyDescent="0.25">
      <c r="A912">
        <v>81</v>
      </c>
      <c r="B912" t="s">
        <v>1985</v>
      </c>
      <c r="C912" t="s">
        <v>2146</v>
      </c>
      <c r="D912" t="s">
        <v>13</v>
      </c>
      <c r="E912" t="s">
        <v>14</v>
      </c>
      <c r="F912" t="str">
        <f>VLOOKUP(Ramen_Ratings[[#This Row],[Country]],Country_Region[#All],2,FALSE)</f>
        <v>Asia</v>
      </c>
      <c r="G912">
        <v>3.5</v>
      </c>
      <c r="H912" t="str" cm="1">
        <f t="array" ref="H912">_xlfn.IFS(Ramen_Ratings[[#This Row],[Stars]] = "Unrated", "NA",Ramen_Ratings[[#This Row],[Stars]]&gt;=4, "Good", Ramen_Ratings[[#This Row],[Stars]]&gt;2.5, "Fair", Ramen_Ratings[[#This Row],[Stars]] &gt;= 0, "Bad")</f>
        <v>Fair</v>
      </c>
      <c r="J912" t="str">
        <f>LEFT(Ramen_Ratings[[#This Row],[Top Ten]],4)</f>
        <v/>
      </c>
      <c r="K912" t="str">
        <f>IF(Ramen_Ratings[[#This Row],[Top Ten]]="", "",RIGHT(Ramen_Ratings[[#This Row],[Top Ten]],LEN(Ramen_Ratings[[#This Row],[Top Ten]])-6))</f>
        <v/>
      </c>
    </row>
    <row r="913" spans="1:11" x14ac:dyDescent="0.25">
      <c r="A913">
        <v>80</v>
      </c>
      <c r="B913" t="s">
        <v>1985</v>
      </c>
      <c r="C913" t="s">
        <v>2240</v>
      </c>
      <c r="D913" t="s">
        <v>13</v>
      </c>
      <c r="E913" t="s">
        <v>14</v>
      </c>
      <c r="F913" t="str">
        <f>VLOOKUP(Ramen_Ratings[[#This Row],[Country]],Country_Region[#All],2,FALSE)</f>
        <v>Asia</v>
      </c>
      <c r="G913">
        <v>3.5</v>
      </c>
      <c r="H913" t="str" cm="1">
        <f t="array" ref="H913">_xlfn.IFS(Ramen_Ratings[[#This Row],[Stars]] = "Unrated", "NA",Ramen_Ratings[[#This Row],[Stars]]&gt;=4, "Good", Ramen_Ratings[[#This Row],[Stars]]&gt;2.5, "Fair", Ramen_Ratings[[#This Row],[Stars]] &gt;= 0, "Bad")</f>
        <v>Fair</v>
      </c>
      <c r="J913" t="str">
        <f>LEFT(Ramen_Ratings[[#This Row],[Top Ten]],4)</f>
        <v/>
      </c>
      <c r="K913" t="str">
        <f>IF(Ramen_Ratings[[#This Row],[Top Ten]]="", "",RIGHT(Ramen_Ratings[[#This Row],[Top Ten]],LEN(Ramen_Ratings[[#This Row],[Top Ten]])-6))</f>
        <v/>
      </c>
    </row>
    <row r="914" spans="1:11" x14ac:dyDescent="0.25">
      <c r="A914">
        <v>68</v>
      </c>
      <c r="B914" t="s">
        <v>18</v>
      </c>
      <c r="C914" t="s">
        <v>2798</v>
      </c>
      <c r="D914" t="s">
        <v>13</v>
      </c>
      <c r="E914" t="s">
        <v>14</v>
      </c>
      <c r="F914" t="str">
        <f>VLOOKUP(Ramen_Ratings[[#This Row],[Country]],Country_Region[#All],2,FALSE)</f>
        <v>Asia</v>
      </c>
      <c r="G914">
        <v>4</v>
      </c>
      <c r="H914" t="str" cm="1">
        <f t="array" ref="H914">_xlfn.IFS(Ramen_Ratings[[#This Row],[Stars]] = "Unrated", "NA",Ramen_Ratings[[#This Row],[Stars]]&gt;=4, "Good", Ramen_Ratings[[#This Row],[Stars]]&gt;2.5, "Fair", Ramen_Ratings[[#This Row],[Stars]] &gt;= 0, "Bad")</f>
        <v>Good</v>
      </c>
      <c r="J914" t="str">
        <f>LEFT(Ramen_Ratings[[#This Row],[Top Ten]],4)</f>
        <v/>
      </c>
      <c r="K914" t="str">
        <f>IF(Ramen_Ratings[[#This Row],[Top Ten]]="", "",RIGHT(Ramen_Ratings[[#This Row],[Top Ten]],LEN(Ramen_Ratings[[#This Row],[Top Ten]])-6))</f>
        <v/>
      </c>
    </row>
    <row r="915" spans="1:11" x14ac:dyDescent="0.25">
      <c r="A915">
        <v>58</v>
      </c>
      <c r="B915" t="s">
        <v>243</v>
      </c>
      <c r="C915" t="s">
        <v>2807</v>
      </c>
      <c r="D915" t="s">
        <v>13</v>
      </c>
      <c r="E915" t="s">
        <v>14</v>
      </c>
      <c r="F915" t="str">
        <f>VLOOKUP(Ramen_Ratings[[#This Row],[Country]],Country_Region[#All],2,FALSE)</f>
        <v>Asia</v>
      </c>
      <c r="G915">
        <v>3</v>
      </c>
      <c r="H915" t="str" cm="1">
        <f t="array" ref="H915">_xlfn.IFS(Ramen_Ratings[[#This Row],[Stars]] = "Unrated", "NA",Ramen_Ratings[[#This Row],[Stars]]&gt;=4, "Good", Ramen_Ratings[[#This Row],[Stars]]&gt;2.5, "Fair", Ramen_Ratings[[#This Row],[Stars]] &gt;= 0, "Bad")</f>
        <v>Fair</v>
      </c>
      <c r="J915" t="str">
        <f>LEFT(Ramen_Ratings[[#This Row],[Top Ten]],4)</f>
        <v/>
      </c>
      <c r="K915" t="str">
        <f>IF(Ramen_Ratings[[#This Row],[Top Ten]]="", "",RIGHT(Ramen_Ratings[[#This Row],[Top Ten]],LEN(Ramen_Ratings[[#This Row],[Top Ten]])-6))</f>
        <v/>
      </c>
    </row>
    <row r="916" spans="1:11" x14ac:dyDescent="0.25">
      <c r="A916">
        <v>43</v>
      </c>
      <c r="B916" t="s">
        <v>2820</v>
      </c>
      <c r="C916" t="s">
        <v>2821</v>
      </c>
      <c r="D916" t="s">
        <v>44</v>
      </c>
      <c r="E916" t="s">
        <v>14</v>
      </c>
      <c r="F916" t="str">
        <f>VLOOKUP(Ramen_Ratings[[#This Row],[Country]],Country_Region[#All],2,FALSE)</f>
        <v>Asia</v>
      </c>
      <c r="G916">
        <v>0</v>
      </c>
      <c r="H916" t="str" cm="1">
        <f t="array" ref="H916">_xlfn.IFS(Ramen_Ratings[[#This Row],[Stars]] = "Unrated", "NA",Ramen_Ratings[[#This Row],[Stars]]&gt;=4, "Good", Ramen_Ratings[[#This Row],[Stars]]&gt;2.5, "Fair", Ramen_Ratings[[#This Row],[Stars]] &gt;= 0, "Bad")</f>
        <v>Bad</v>
      </c>
      <c r="J916" t="str">
        <f>LEFT(Ramen_Ratings[[#This Row],[Top Ten]],4)</f>
        <v/>
      </c>
      <c r="K916" t="str">
        <f>IF(Ramen_Ratings[[#This Row],[Top Ten]]="", "",RIGHT(Ramen_Ratings[[#This Row],[Top Ten]],LEN(Ramen_Ratings[[#This Row],[Top Ten]])-6))</f>
        <v/>
      </c>
    </row>
    <row r="917" spans="1:11" x14ac:dyDescent="0.25">
      <c r="A917">
        <v>8</v>
      </c>
      <c r="B917" t="s">
        <v>2852</v>
      </c>
      <c r="C917" t="s">
        <v>2853</v>
      </c>
      <c r="D917" t="s">
        <v>13</v>
      </c>
      <c r="E917" t="s">
        <v>14</v>
      </c>
      <c r="F917" t="str">
        <f>VLOOKUP(Ramen_Ratings[[#This Row],[Country]],Country_Region[#All],2,FALSE)</f>
        <v>Asia</v>
      </c>
      <c r="G917">
        <v>3</v>
      </c>
      <c r="H917" t="str" cm="1">
        <f t="array" ref="H917">_xlfn.IFS(Ramen_Ratings[[#This Row],[Stars]] = "Unrated", "NA",Ramen_Ratings[[#This Row],[Stars]]&gt;=4, "Good", Ramen_Ratings[[#This Row],[Stars]]&gt;2.5, "Fair", Ramen_Ratings[[#This Row],[Stars]] &gt;= 0, "Bad")</f>
        <v>Fair</v>
      </c>
      <c r="J917" t="str">
        <f>LEFT(Ramen_Ratings[[#This Row],[Top Ten]],4)</f>
        <v/>
      </c>
      <c r="K917" t="str">
        <f>IF(Ramen_Ratings[[#This Row],[Top Ten]]="", "",RIGHT(Ramen_Ratings[[#This Row],[Top Ten]],LEN(Ramen_Ratings[[#This Row],[Top Ten]])-6))</f>
        <v/>
      </c>
    </row>
    <row r="918" spans="1:11" x14ac:dyDescent="0.25">
      <c r="A918">
        <v>1554</v>
      </c>
      <c r="B918" t="s">
        <v>1268</v>
      </c>
      <c r="C918" t="s">
        <v>1269</v>
      </c>
      <c r="D918" t="s">
        <v>13</v>
      </c>
      <c r="E918" t="s">
        <v>1270</v>
      </c>
      <c r="F918" t="str">
        <f>VLOOKUP(Ramen_Ratings[[#This Row],[Country]],Country_Region[#All],2,FALSE)</f>
        <v>Europe</v>
      </c>
      <c r="G918">
        <v>3</v>
      </c>
      <c r="H918" t="str" cm="1">
        <f t="array" ref="H918">_xlfn.IFS(Ramen_Ratings[[#This Row],[Stars]] = "Unrated", "NA",Ramen_Ratings[[#This Row],[Stars]]&gt;=4, "Good", Ramen_Ratings[[#This Row],[Stars]]&gt;2.5, "Fair", Ramen_Ratings[[#This Row],[Stars]] &gt;= 0, "Bad")</f>
        <v>Fair</v>
      </c>
      <c r="J918" t="str">
        <f>LEFT(Ramen_Ratings[[#This Row],[Top Ten]],4)</f>
        <v/>
      </c>
      <c r="K918" t="str">
        <f>IF(Ramen_Ratings[[#This Row],[Top Ten]]="", "",RIGHT(Ramen_Ratings[[#This Row],[Top Ten]],LEN(Ramen_Ratings[[#This Row],[Top Ten]])-6))</f>
        <v/>
      </c>
    </row>
    <row r="919" spans="1:11" x14ac:dyDescent="0.25">
      <c r="A919">
        <v>1517</v>
      </c>
      <c r="B919" t="s">
        <v>1310</v>
      </c>
      <c r="C919" t="s">
        <v>1311</v>
      </c>
      <c r="D919" t="s">
        <v>13</v>
      </c>
      <c r="E919" t="s">
        <v>1270</v>
      </c>
      <c r="F919" t="str">
        <f>VLOOKUP(Ramen_Ratings[[#This Row],[Country]],Country_Region[#All],2,FALSE)</f>
        <v>Europe</v>
      </c>
      <c r="G919">
        <v>3.5</v>
      </c>
      <c r="H919" t="str" cm="1">
        <f t="array" ref="H919">_xlfn.IFS(Ramen_Ratings[[#This Row],[Stars]] = "Unrated", "NA",Ramen_Ratings[[#This Row],[Stars]]&gt;=4, "Good", Ramen_Ratings[[#This Row],[Stars]]&gt;2.5, "Fair", Ramen_Ratings[[#This Row],[Stars]] &gt;= 0, "Bad")</f>
        <v>Fair</v>
      </c>
      <c r="J919" t="str">
        <f>LEFT(Ramen_Ratings[[#This Row],[Top Ten]],4)</f>
        <v/>
      </c>
      <c r="K919" t="str">
        <f>IF(Ramen_Ratings[[#This Row],[Top Ten]]="", "",RIGHT(Ramen_Ratings[[#This Row],[Top Ten]],LEN(Ramen_Ratings[[#This Row],[Top Ten]])-6))</f>
        <v/>
      </c>
    </row>
    <row r="920" spans="1:11" x14ac:dyDescent="0.25">
      <c r="A920">
        <v>1487</v>
      </c>
      <c r="B920" t="s">
        <v>1268</v>
      </c>
      <c r="C920" t="s">
        <v>1343</v>
      </c>
      <c r="D920" t="s">
        <v>13</v>
      </c>
      <c r="E920" t="s">
        <v>1270</v>
      </c>
      <c r="F920" t="str">
        <f>VLOOKUP(Ramen_Ratings[[#This Row],[Country]],Country_Region[#All],2,FALSE)</f>
        <v>Europe</v>
      </c>
      <c r="G920">
        <v>3.25</v>
      </c>
      <c r="H920" t="str" cm="1">
        <f t="array" ref="H920">_xlfn.IFS(Ramen_Ratings[[#This Row],[Stars]] = "Unrated", "NA",Ramen_Ratings[[#This Row],[Stars]]&gt;=4, "Good", Ramen_Ratings[[#This Row],[Stars]]&gt;2.5, "Fair", Ramen_Ratings[[#This Row],[Stars]] &gt;= 0, "Bad")</f>
        <v>Fair</v>
      </c>
      <c r="J920" t="str">
        <f>LEFT(Ramen_Ratings[[#This Row],[Top Ten]],4)</f>
        <v/>
      </c>
      <c r="K920" t="str">
        <f>IF(Ramen_Ratings[[#This Row],[Top Ten]]="", "",RIGHT(Ramen_Ratings[[#This Row],[Top Ten]],LEN(Ramen_Ratings[[#This Row],[Top Ten]])-6))</f>
        <v/>
      </c>
    </row>
    <row r="921" spans="1:11" x14ac:dyDescent="0.25">
      <c r="A921">
        <v>1308</v>
      </c>
      <c r="B921" t="s">
        <v>41</v>
      </c>
      <c r="C921" t="s">
        <v>946</v>
      </c>
      <c r="D921" t="s">
        <v>13</v>
      </c>
      <c r="E921" t="s">
        <v>25</v>
      </c>
      <c r="F921" t="str">
        <f>VLOOKUP(Ramen_Ratings[[#This Row],[Country]],Country_Region[#All],2,FALSE)</f>
        <v>Asia</v>
      </c>
      <c r="G921">
        <v>5</v>
      </c>
      <c r="H921" t="str" cm="1">
        <f t="array" ref="H921">_xlfn.IFS(Ramen_Ratings[[#This Row],[Stars]] = "Unrated", "NA",Ramen_Ratings[[#This Row],[Stars]]&gt;=4, "Good", Ramen_Ratings[[#This Row],[Stars]]&gt;2.5, "Fair", Ramen_Ratings[[#This Row],[Stars]] &gt;= 0, "Bad")</f>
        <v>Good</v>
      </c>
      <c r="I921" t="s">
        <v>1536</v>
      </c>
      <c r="J921" t="str">
        <f>LEFT(Ramen_Ratings[[#This Row],[Top Ten]],4)</f>
        <v>2014</v>
      </c>
      <c r="K921" t="str">
        <f>IF(Ramen_Ratings[[#This Row],[Top Ten]]="", "",RIGHT(Ramen_Ratings[[#This Row],[Top Ten]],LEN(Ramen_Ratings[[#This Row],[Top Ten]])-6))</f>
        <v>9</v>
      </c>
    </row>
    <row r="922" spans="1:11" x14ac:dyDescent="0.25">
      <c r="A922">
        <v>823</v>
      </c>
      <c r="B922" t="s">
        <v>54</v>
      </c>
      <c r="C922" t="s">
        <v>1936</v>
      </c>
      <c r="D922" t="s">
        <v>13</v>
      </c>
      <c r="E922" t="s">
        <v>25</v>
      </c>
      <c r="F922" t="str">
        <f>VLOOKUP(Ramen_Ratings[[#This Row],[Country]],Country_Region[#All],2,FALSE)</f>
        <v>Asia</v>
      </c>
      <c r="G922">
        <v>5</v>
      </c>
      <c r="H922" t="str" cm="1">
        <f t="array" ref="H922">_xlfn.IFS(Ramen_Ratings[[#This Row],[Stars]] = "Unrated", "NA",Ramen_Ratings[[#This Row],[Stars]]&gt;=4, "Good", Ramen_Ratings[[#This Row],[Stars]]&gt;2.5, "Fair", Ramen_Ratings[[#This Row],[Stars]] &gt;= 0, "Bad")</f>
        <v>Good</v>
      </c>
      <c r="I922" t="s">
        <v>2059</v>
      </c>
      <c r="J922" t="str">
        <f>LEFT(Ramen_Ratings[[#This Row],[Top Ten]],4)</f>
        <v>2013</v>
      </c>
      <c r="K922" t="str">
        <f>IF(Ramen_Ratings[[#This Row],[Top Ten]]="", "",RIGHT(Ramen_Ratings[[#This Row],[Top Ten]],LEN(Ramen_Ratings[[#This Row],[Top Ten]])-6))</f>
        <v>9</v>
      </c>
    </row>
    <row r="923" spans="1:11" x14ac:dyDescent="0.25">
      <c r="A923">
        <v>578</v>
      </c>
      <c r="B923" t="s">
        <v>41</v>
      </c>
      <c r="C923" t="s">
        <v>97</v>
      </c>
      <c r="D923" t="s">
        <v>13</v>
      </c>
      <c r="E923" t="s">
        <v>25</v>
      </c>
      <c r="F923" t="str">
        <f>VLOOKUP(Ramen_Ratings[[#This Row],[Country]],Country_Region[#All],2,FALSE)</f>
        <v>Asia</v>
      </c>
      <c r="G923">
        <v>4.75</v>
      </c>
      <c r="H923" t="str" cm="1">
        <f t="array" ref="H923">_xlfn.IFS(Ramen_Ratings[[#This Row],[Stars]] = "Unrated", "NA",Ramen_Ratings[[#This Row],[Stars]]&gt;=4, "Good", Ramen_Ratings[[#This Row],[Stars]]&gt;2.5, "Fair", Ramen_Ratings[[#This Row],[Stars]] &gt;= 0, "Bad")</f>
        <v>Good</v>
      </c>
      <c r="I923" t="s">
        <v>2317</v>
      </c>
      <c r="J923" t="str">
        <f>LEFT(Ramen_Ratings[[#This Row],[Top Ten]],4)</f>
        <v>2012</v>
      </c>
      <c r="K923" t="str">
        <f>IF(Ramen_Ratings[[#This Row],[Top Ten]]="", "",RIGHT(Ramen_Ratings[[#This Row],[Top Ten]],LEN(Ramen_Ratings[[#This Row],[Top Ten]])-6))</f>
        <v>7</v>
      </c>
    </row>
    <row r="924" spans="1:11" x14ac:dyDescent="0.25">
      <c r="A924">
        <v>1183</v>
      </c>
      <c r="B924" t="s">
        <v>54</v>
      </c>
      <c r="C924" t="s">
        <v>1675</v>
      </c>
      <c r="D924" t="s">
        <v>13</v>
      </c>
      <c r="E924" t="s">
        <v>25</v>
      </c>
      <c r="F924" t="str">
        <f>VLOOKUP(Ramen_Ratings[[#This Row],[Country]],Country_Region[#All],2,FALSE)</f>
        <v>Asia</v>
      </c>
      <c r="G924">
        <v>5</v>
      </c>
      <c r="H924" t="str" cm="1">
        <f t="array" ref="H924">_xlfn.IFS(Ramen_Ratings[[#This Row],[Stars]] = "Unrated", "NA",Ramen_Ratings[[#This Row],[Stars]]&gt;=4, "Good", Ramen_Ratings[[#This Row],[Stars]]&gt;2.5, "Fair", Ramen_Ratings[[#This Row],[Stars]] &gt;= 0, "Bad")</f>
        <v>Good</v>
      </c>
      <c r="I924" t="s">
        <v>1676</v>
      </c>
      <c r="J924" t="str">
        <f>LEFT(Ramen_Ratings[[#This Row],[Top Ten]],4)</f>
        <v>2014</v>
      </c>
      <c r="K924" t="str">
        <f>IF(Ramen_Ratings[[#This Row],[Top Ten]]="", "",RIGHT(Ramen_Ratings[[#This Row],[Top Ten]],LEN(Ramen_Ratings[[#This Row],[Top Ten]])-6))</f>
        <v>6</v>
      </c>
    </row>
    <row r="925" spans="1:11" x14ac:dyDescent="0.25">
      <c r="A925">
        <v>1198</v>
      </c>
      <c r="B925" t="s">
        <v>23</v>
      </c>
      <c r="C925" t="s">
        <v>1658</v>
      </c>
      <c r="D925" t="s">
        <v>13</v>
      </c>
      <c r="E925" t="s">
        <v>25</v>
      </c>
      <c r="F925" t="str">
        <f>VLOOKUP(Ramen_Ratings[[#This Row],[Country]],Country_Region[#All],2,FALSE)</f>
        <v>Asia</v>
      </c>
      <c r="G925">
        <v>5</v>
      </c>
      <c r="H925" t="str" cm="1">
        <f t="array" ref="H925">_xlfn.IFS(Ramen_Ratings[[#This Row],[Stars]] = "Unrated", "NA",Ramen_Ratings[[#This Row],[Stars]]&gt;=4, "Good", Ramen_Ratings[[#This Row],[Stars]]&gt;2.5, "Fair", Ramen_Ratings[[#This Row],[Stars]] &gt;= 0, "Bad")</f>
        <v>Good</v>
      </c>
      <c r="I925" t="s">
        <v>1659</v>
      </c>
      <c r="J925" t="str">
        <f>LEFT(Ramen_Ratings[[#This Row],[Top Ten]],4)</f>
        <v>2014</v>
      </c>
      <c r="K925" t="str">
        <f>IF(Ramen_Ratings[[#This Row],[Top Ten]]="", "",RIGHT(Ramen_Ratings[[#This Row],[Top Ten]],LEN(Ramen_Ratings[[#This Row],[Top Ten]])-6))</f>
        <v>5</v>
      </c>
    </row>
    <row r="926" spans="1:11" x14ac:dyDescent="0.25">
      <c r="A926">
        <v>910</v>
      </c>
      <c r="B926" t="s">
        <v>54</v>
      </c>
      <c r="C926" t="s">
        <v>1959</v>
      </c>
      <c r="D926" t="s">
        <v>44</v>
      </c>
      <c r="E926" t="s">
        <v>25</v>
      </c>
      <c r="F926" t="str">
        <f>VLOOKUP(Ramen_Ratings[[#This Row],[Country]],Country_Region[#All],2,FALSE)</f>
        <v>Asia</v>
      </c>
      <c r="G926">
        <v>4.25</v>
      </c>
      <c r="H926" t="str" cm="1">
        <f t="array" ref="H926">_xlfn.IFS(Ramen_Ratings[[#This Row],[Stars]] = "Unrated", "NA",Ramen_Ratings[[#This Row],[Stars]]&gt;=4, "Good", Ramen_Ratings[[#This Row],[Stars]]&gt;2.5, "Fair", Ramen_Ratings[[#This Row],[Stars]] &gt;= 0, "Bad")</f>
        <v>Good</v>
      </c>
      <c r="I926" s="1"/>
      <c r="J926" t="str">
        <f>LEFT(Ramen_Ratings[[#This Row],[Top Ten]],4)</f>
        <v/>
      </c>
      <c r="K926" t="str">
        <f>IF(Ramen_Ratings[[#This Row],[Top Ten]]="", "",RIGHT(Ramen_Ratings[[#This Row],[Top Ten]],LEN(Ramen_Ratings[[#This Row],[Top Ten]])-6))</f>
        <v/>
      </c>
    </row>
    <row r="927" spans="1:11" x14ac:dyDescent="0.25">
      <c r="A927">
        <v>332</v>
      </c>
      <c r="B927" t="s">
        <v>41</v>
      </c>
      <c r="C927" t="s">
        <v>2553</v>
      </c>
      <c r="D927" t="s">
        <v>9</v>
      </c>
      <c r="E927" t="s">
        <v>25</v>
      </c>
      <c r="F927" t="str">
        <f>VLOOKUP(Ramen_Ratings[[#This Row],[Country]],Country_Region[#All],2,FALSE)</f>
        <v>Asia</v>
      </c>
      <c r="G927">
        <v>3.75</v>
      </c>
      <c r="H927" t="str" cm="1">
        <f t="array" ref="H927">_xlfn.IFS(Ramen_Ratings[[#This Row],[Stars]] = "Unrated", "NA",Ramen_Ratings[[#This Row],[Stars]]&gt;=4, "Good", Ramen_Ratings[[#This Row],[Stars]]&gt;2.5, "Fair", Ramen_Ratings[[#This Row],[Stars]] &gt;= 0, "Bad")</f>
        <v>Fair</v>
      </c>
      <c r="I927" s="1"/>
      <c r="J927" t="str">
        <f>LEFT(Ramen_Ratings[[#This Row],[Top Ten]],4)</f>
        <v/>
      </c>
      <c r="K927" t="str">
        <f>IF(Ramen_Ratings[[#This Row],[Top Ten]]="", "",RIGHT(Ramen_Ratings[[#This Row],[Top Ten]],LEN(Ramen_Ratings[[#This Row],[Top Ten]])-6))</f>
        <v/>
      </c>
    </row>
    <row r="928" spans="1:11" x14ac:dyDescent="0.25">
      <c r="A928">
        <v>2575</v>
      </c>
      <c r="B928" t="s">
        <v>23</v>
      </c>
      <c r="C928" t="s">
        <v>24</v>
      </c>
      <c r="D928" t="s">
        <v>13</v>
      </c>
      <c r="E928" t="s">
        <v>25</v>
      </c>
      <c r="F928" t="str">
        <f>VLOOKUP(Ramen_Ratings[[#This Row],[Country]],Country_Region[#All],2,FALSE)</f>
        <v>Asia</v>
      </c>
      <c r="G928">
        <v>4.75</v>
      </c>
      <c r="H928" t="str" cm="1">
        <f t="array" ref="H928">_xlfn.IFS(Ramen_Ratings[[#This Row],[Stars]] = "Unrated", "NA",Ramen_Ratings[[#This Row],[Stars]]&gt;=4, "Good", Ramen_Ratings[[#This Row],[Stars]]&gt;2.5, "Fair", Ramen_Ratings[[#This Row],[Stars]] &gt;= 0, "Bad")</f>
        <v>Good</v>
      </c>
      <c r="J928" t="str">
        <f>LEFT(Ramen_Ratings[[#This Row],[Top Ten]],4)</f>
        <v/>
      </c>
      <c r="K928" t="str">
        <f>IF(Ramen_Ratings[[#This Row],[Top Ten]]="", "",RIGHT(Ramen_Ratings[[#This Row],[Top Ten]],LEN(Ramen_Ratings[[#This Row],[Top Ten]])-6))</f>
        <v/>
      </c>
    </row>
    <row r="929" spans="1:11" x14ac:dyDescent="0.25">
      <c r="A929">
        <v>2568</v>
      </c>
      <c r="B929" t="s">
        <v>41</v>
      </c>
      <c r="C929" t="s">
        <v>42</v>
      </c>
      <c r="D929" t="s">
        <v>13</v>
      </c>
      <c r="E929" t="s">
        <v>25</v>
      </c>
      <c r="F929" t="str">
        <f>VLOOKUP(Ramen_Ratings[[#This Row],[Country]],Country_Region[#All],2,FALSE)</f>
        <v>Asia</v>
      </c>
      <c r="G929">
        <v>4.25</v>
      </c>
      <c r="H929" t="str" cm="1">
        <f t="array" ref="H929">_xlfn.IFS(Ramen_Ratings[[#This Row],[Stars]] = "Unrated", "NA",Ramen_Ratings[[#This Row],[Stars]]&gt;=4, "Good", Ramen_Ratings[[#This Row],[Stars]]&gt;2.5, "Fair", Ramen_Ratings[[#This Row],[Stars]] &gt;= 0, "Bad")</f>
        <v>Good</v>
      </c>
      <c r="J929" t="str">
        <f>LEFT(Ramen_Ratings[[#This Row],[Top Ten]],4)</f>
        <v/>
      </c>
      <c r="K929" t="str">
        <f>IF(Ramen_Ratings[[#This Row],[Top Ten]]="", "",RIGHT(Ramen_Ratings[[#This Row],[Top Ten]],LEN(Ramen_Ratings[[#This Row],[Top Ten]])-6))</f>
        <v/>
      </c>
    </row>
    <row r="930" spans="1:11" x14ac:dyDescent="0.25">
      <c r="A930">
        <v>2561</v>
      </c>
      <c r="B930" t="s">
        <v>54</v>
      </c>
      <c r="C930" t="s">
        <v>55</v>
      </c>
      <c r="D930" t="s">
        <v>13</v>
      </c>
      <c r="E930" t="s">
        <v>25</v>
      </c>
      <c r="F930" t="str">
        <f>VLOOKUP(Ramen_Ratings[[#This Row],[Country]],Country_Region[#All],2,FALSE)</f>
        <v>Asia</v>
      </c>
      <c r="G930">
        <v>4</v>
      </c>
      <c r="H930" t="str" cm="1">
        <f t="array" ref="H930">_xlfn.IFS(Ramen_Ratings[[#This Row],[Stars]] = "Unrated", "NA",Ramen_Ratings[[#This Row],[Stars]]&gt;=4, "Good", Ramen_Ratings[[#This Row],[Stars]]&gt;2.5, "Fair", Ramen_Ratings[[#This Row],[Stars]] &gt;= 0, "Bad")</f>
        <v>Good</v>
      </c>
      <c r="J930" t="str">
        <f>LEFT(Ramen_Ratings[[#This Row],[Top Ten]],4)</f>
        <v/>
      </c>
      <c r="K930" t="str">
        <f>IF(Ramen_Ratings[[#This Row],[Top Ten]]="", "",RIGHT(Ramen_Ratings[[#This Row],[Top Ten]],LEN(Ramen_Ratings[[#This Row],[Top Ten]])-6))</f>
        <v/>
      </c>
    </row>
    <row r="931" spans="1:11" x14ac:dyDescent="0.25">
      <c r="A931">
        <v>2555</v>
      </c>
      <c r="B931" t="s">
        <v>23</v>
      </c>
      <c r="C931" t="s">
        <v>62</v>
      </c>
      <c r="D931" t="s">
        <v>44</v>
      </c>
      <c r="E931" t="s">
        <v>25</v>
      </c>
      <c r="F931" t="str">
        <f>VLOOKUP(Ramen_Ratings[[#This Row],[Country]],Country_Region[#All],2,FALSE)</f>
        <v>Asia</v>
      </c>
      <c r="G931">
        <v>4.25</v>
      </c>
      <c r="H931" t="str" cm="1">
        <f t="array" ref="H931">_xlfn.IFS(Ramen_Ratings[[#This Row],[Stars]] = "Unrated", "NA",Ramen_Ratings[[#This Row],[Stars]]&gt;=4, "Good", Ramen_Ratings[[#This Row],[Stars]]&gt;2.5, "Fair", Ramen_Ratings[[#This Row],[Stars]] &gt;= 0, "Bad")</f>
        <v>Good</v>
      </c>
      <c r="J931" t="str">
        <f>LEFT(Ramen_Ratings[[#This Row],[Top Ten]],4)</f>
        <v/>
      </c>
      <c r="K931" t="str">
        <f>IF(Ramen_Ratings[[#This Row],[Top Ten]]="", "",RIGHT(Ramen_Ratings[[#This Row],[Top Ten]],LEN(Ramen_Ratings[[#This Row],[Top Ten]])-6))</f>
        <v/>
      </c>
    </row>
    <row r="932" spans="1:11" x14ac:dyDescent="0.25">
      <c r="A932">
        <v>2550</v>
      </c>
      <c r="B932" t="s">
        <v>23</v>
      </c>
      <c r="C932" t="s">
        <v>71</v>
      </c>
      <c r="D932" t="s">
        <v>13</v>
      </c>
      <c r="E932" t="s">
        <v>25</v>
      </c>
      <c r="F932" t="str">
        <f>VLOOKUP(Ramen_Ratings[[#This Row],[Country]],Country_Region[#All],2,FALSE)</f>
        <v>Asia</v>
      </c>
      <c r="G932">
        <v>5</v>
      </c>
      <c r="H932" t="str" cm="1">
        <f t="array" ref="H932">_xlfn.IFS(Ramen_Ratings[[#This Row],[Stars]] = "Unrated", "NA",Ramen_Ratings[[#This Row],[Stars]]&gt;=4, "Good", Ramen_Ratings[[#This Row],[Stars]]&gt;2.5, "Fair", Ramen_Ratings[[#This Row],[Stars]] &gt;= 0, "Bad")</f>
        <v>Good</v>
      </c>
      <c r="J932" t="str">
        <f>LEFT(Ramen_Ratings[[#This Row],[Top Ten]],4)</f>
        <v/>
      </c>
      <c r="K932" t="str">
        <f>IF(Ramen_Ratings[[#This Row],[Top Ten]]="", "",RIGHT(Ramen_Ratings[[#This Row],[Top Ten]],LEN(Ramen_Ratings[[#This Row],[Top Ten]])-6))</f>
        <v/>
      </c>
    </row>
    <row r="933" spans="1:11" x14ac:dyDescent="0.25">
      <c r="A933">
        <v>2548</v>
      </c>
      <c r="B933" t="s">
        <v>74</v>
      </c>
      <c r="C933" t="s">
        <v>75</v>
      </c>
      <c r="D933" t="s">
        <v>13</v>
      </c>
      <c r="E933" t="s">
        <v>25</v>
      </c>
      <c r="F933" t="str">
        <f>VLOOKUP(Ramen_Ratings[[#This Row],[Country]],Country_Region[#All],2,FALSE)</f>
        <v>Asia</v>
      </c>
      <c r="G933" t="s">
        <v>76</v>
      </c>
      <c r="H933" t="str" cm="1">
        <f t="array" ref="H933">_xlfn.IFS(Ramen_Ratings[[#This Row],[Stars]] = "Unrated", "NA",Ramen_Ratings[[#This Row],[Stars]]&gt;=4, "Good", Ramen_Ratings[[#This Row],[Stars]]&gt;2.5, "Fair", Ramen_Ratings[[#This Row],[Stars]] &gt;= 0, "Bad")</f>
        <v>NA</v>
      </c>
      <c r="J933" t="str">
        <f>LEFT(Ramen_Ratings[[#This Row],[Top Ten]],4)</f>
        <v/>
      </c>
      <c r="K933" t="str">
        <f>IF(Ramen_Ratings[[#This Row],[Top Ten]]="", "",RIGHT(Ramen_Ratings[[#This Row],[Top Ten]],LEN(Ramen_Ratings[[#This Row],[Top Ten]])-6))</f>
        <v/>
      </c>
    </row>
    <row r="934" spans="1:11" x14ac:dyDescent="0.25">
      <c r="A934">
        <v>2533</v>
      </c>
      <c r="B934" t="s">
        <v>41</v>
      </c>
      <c r="C934" t="s">
        <v>97</v>
      </c>
      <c r="D934" t="s">
        <v>13</v>
      </c>
      <c r="E934" t="s">
        <v>25</v>
      </c>
      <c r="F934" t="str">
        <f>VLOOKUP(Ramen_Ratings[[#This Row],[Country]],Country_Region[#All],2,FALSE)</f>
        <v>Asia</v>
      </c>
      <c r="G934">
        <v>5</v>
      </c>
      <c r="H934" t="str" cm="1">
        <f t="array" ref="H934">_xlfn.IFS(Ramen_Ratings[[#This Row],[Stars]] = "Unrated", "NA",Ramen_Ratings[[#This Row],[Stars]]&gt;=4, "Good", Ramen_Ratings[[#This Row],[Stars]]&gt;2.5, "Fair", Ramen_Ratings[[#This Row],[Stars]] &gt;= 0, "Bad")</f>
        <v>Good</v>
      </c>
      <c r="J934" t="str">
        <f>LEFT(Ramen_Ratings[[#This Row],[Top Ten]],4)</f>
        <v/>
      </c>
      <c r="K934" t="str">
        <f>IF(Ramen_Ratings[[#This Row],[Top Ten]]="", "",RIGHT(Ramen_Ratings[[#This Row],[Top Ten]],LEN(Ramen_Ratings[[#This Row],[Top Ten]])-6))</f>
        <v/>
      </c>
    </row>
    <row r="935" spans="1:11" x14ac:dyDescent="0.25">
      <c r="A935">
        <v>2530</v>
      </c>
      <c r="B935" t="s">
        <v>74</v>
      </c>
      <c r="C935" t="s">
        <v>101</v>
      </c>
      <c r="D935" t="s">
        <v>13</v>
      </c>
      <c r="E935" t="s">
        <v>25</v>
      </c>
      <c r="F935" t="str">
        <f>VLOOKUP(Ramen_Ratings[[#This Row],[Country]],Country_Region[#All],2,FALSE)</f>
        <v>Asia</v>
      </c>
      <c r="G935">
        <v>2</v>
      </c>
      <c r="H935" t="str" cm="1">
        <f t="array" ref="H935">_xlfn.IFS(Ramen_Ratings[[#This Row],[Stars]] = "Unrated", "NA",Ramen_Ratings[[#This Row],[Stars]]&gt;=4, "Good", Ramen_Ratings[[#This Row],[Stars]]&gt;2.5, "Fair", Ramen_Ratings[[#This Row],[Stars]] &gt;= 0, "Bad")</f>
        <v>Bad</v>
      </c>
      <c r="J935" t="str">
        <f>LEFT(Ramen_Ratings[[#This Row],[Top Ten]],4)</f>
        <v/>
      </c>
      <c r="K935" t="str">
        <f>IF(Ramen_Ratings[[#This Row],[Top Ten]]="", "",RIGHT(Ramen_Ratings[[#This Row],[Top Ten]],LEN(Ramen_Ratings[[#This Row],[Top Ten]])-6))</f>
        <v/>
      </c>
    </row>
    <row r="936" spans="1:11" x14ac:dyDescent="0.25">
      <c r="A936">
        <v>2526</v>
      </c>
      <c r="B936" t="s">
        <v>23</v>
      </c>
      <c r="C936" t="s">
        <v>107</v>
      </c>
      <c r="D936" t="s">
        <v>44</v>
      </c>
      <c r="E936" t="s">
        <v>25</v>
      </c>
      <c r="F936" t="str">
        <f>VLOOKUP(Ramen_Ratings[[#This Row],[Country]],Country_Region[#All],2,FALSE)</f>
        <v>Asia</v>
      </c>
      <c r="G936">
        <v>4.5</v>
      </c>
      <c r="H936" t="str" cm="1">
        <f t="array" ref="H936">_xlfn.IFS(Ramen_Ratings[[#This Row],[Stars]] = "Unrated", "NA",Ramen_Ratings[[#This Row],[Stars]]&gt;=4, "Good", Ramen_Ratings[[#This Row],[Stars]]&gt;2.5, "Fair", Ramen_Ratings[[#This Row],[Stars]] &gt;= 0, "Bad")</f>
        <v>Good</v>
      </c>
      <c r="J936" t="str">
        <f>LEFT(Ramen_Ratings[[#This Row],[Top Ten]],4)</f>
        <v/>
      </c>
      <c r="K936" t="str">
        <f>IF(Ramen_Ratings[[#This Row],[Top Ten]]="", "",RIGHT(Ramen_Ratings[[#This Row],[Top Ten]],LEN(Ramen_Ratings[[#This Row],[Top Ten]])-6))</f>
        <v/>
      </c>
    </row>
    <row r="937" spans="1:11" x14ac:dyDescent="0.25">
      <c r="A937">
        <v>2523</v>
      </c>
      <c r="B937" t="s">
        <v>41</v>
      </c>
      <c r="C937" t="s">
        <v>111</v>
      </c>
      <c r="D937" t="s">
        <v>13</v>
      </c>
      <c r="E937" t="s">
        <v>25</v>
      </c>
      <c r="F937" t="str">
        <f>VLOOKUP(Ramen_Ratings[[#This Row],[Country]],Country_Region[#All],2,FALSE)</f>
        <v>Asia</v>
      </c>
      <c r="G937">
        <v>4.5</v>
      </c>
      <c r="H937" t="str" cm="1">
        <f t="array" ref="H937">_xlfn.IFS(Ramen_Ratings[[#This Row],[Stars]] = "Unrated", "NA",Ramen_Ratings[[#This Row],[Stars]]&gt;=4, "Good", Ramen_Ratings[[#This Row],[Stars]]&gt;2.5, "Fair", Ramen_Ratings[[#This Row],[Stars]] &gt;= 0, "Bad")</f>
        <v>Good</v>
      </c>
      <c r="J937" t="str">
        <f>LEFT(Ramen_Ratings[[#This Row],[Top Ten]],4)</f>
        <v/>
      </c>
      <c r="K937" t="str">
        <f>IF(Ramen_Ratings[[#This Row],[Top Ten]]="", "",RIGHT(Ramen_Ratings[[#This Row],[Top Ten]],LEN(Ramen_Ratings[[#This Row],[Top Ten]])-6))</f>
        <v/>
      </c>
    </row>
    <row r="938" spans="1:11" x14ac:dyDescent="0.25">
      <c r="A938">
        <v>2519</v>
      </c>
      <c r="B938" t="s">
        <v>116</v>
      </c>
      <c r="C938" t="s">
        <v>117</v>
      </c>
      <c r="D938" t="s">
        <v>30</v>
      </c>
      <c r="E938" t="s">
        <v>25</v>
      </c>
      <c r="F938" t="str">
        <f>VLOOKUP(Ramen_Ratings[[#This Row],[Country]],Country_Region[#All],2,FALSE)</f>
        <v>Asia</v>
      </c>
      <c r="G938">
        <v>1</v>
      </c>
      <c r="H938" t="str" cm="1">
        <f t="array" ref="H938">_xlfn.IFS(Ramen_Ratings[[#This Row],[Stars]] = "Unrated", "NA",Ramen_Ratings[[#This Row],[Stars]]&gt;=4, "Good", Ramen_Ratings[[#This Row],[Stars]]&gt;2.5, "Fair", Ramen_Ratings[[#This Row],[Stars]] &gt;= 0, "Bad")</f>
        <v>Bad</v>
      </c>
      <c r="J938" t="str">
        <f>LEFT(Ramen_Ratings[[#This Row],[Top Ten]],4)</f>
        <v/>
      </c>
      <c r="K938" t="str">
        <f>IF(Ramen_Ratings[[#This Row],[Top Ten]]="", "",RIGHT(Ramen_Ratings[[#This Row],[Top Ten]],LEN(Ramen_Ratings[[#This Row],[Top Ten]])-6))</f>
        <v/>
      </c>
    </row>
    <row r="939" spans="1:11" x14ac:dyDescent="0.25">
      <c r="A939">
        <v>2511</v>
      </c>
      <c r="B939" t="s">
        <v>23</v>
      </c>
      <c r="C939" t="s">
        <v>130</v>
      </c>
      <c r="D939" t="s">
        <v>44</v>
      </c>
      <c r="E939" t="s">
        <v>25</v>
      </c>
      <c r="F939" t="str">
        <f>VLOOKUP(Ramen_Ratings[[#This Row],[Country]],Country_Region[#All],2,FALSE)</f>
        <v>Asia</v>
      </c>
      <c r="G939">
        <v>5</v>
      </c>
      <c r="H939" t="str" cm="1">
        <f t="array" ref="H939">_xlfn.IFS(Ramen_Ratings[[#This Row],[Stars]] = "Unrated", "NA",Ramen_Ratings[[#This Row],[Stars]]&gt;=4, "Good", Ramen_Ratings[[#This Row],[Stars]]&gt;2.5, "Fair", Ramen_Ratings[[#This Row],[Stars]] &gt;= 0, "Bad")</f>
        <v>Good</v>
      </c>
      <c r="J939" t="str">
        <f>LEFT(Ramen_Ratings[[#This Row],[Top Ten]],4)</f>
        <v/>
      </c>
      <c r="K939" t="str">
        <f>IF(Ramen_Ratings[[#This Row],[Top Ten]]="", "",RIGHT(Ramen_Ratings[[#This Row],[Top Ten]],LEN(Ramen_Ratings[[#This Row],[Top Ten]])-6))</f>
        <v/>
      </c>
    </row>
    <row r="940" spans="1:11" x14ac:dyDescent="0.25">
      <c r="A940">
        <v>2508</v>
      </c>
      <c r="B940" t="s">
        <v>23</v>
      </c>
      <c r="C940" t="s">
        <v>134</v>
      </c>
      <c r="D940" t="s">
        <v>13</v>
      </c>
      <c r="E940" t="s">
        <v>25</v>
      </c>
      <c r="F940" t="str">
        <f>VLOOKUP(Ramen_Ratings[[#This Row],[Country]],Country_Region[#All],2,FALSE)</f>
        <v>Asia</v>
      </c>
      <c r="G940">
        <v>3.75</v>
      </c>
      <c r="H940" t="str" cm="1">
        <f t="array" ref="H940">_xlfn.IFS(Ramen_Ratings[[#This Row],[Stars]] = "Unrated", "NA",Ramen_Ratings[[#This Row],[Stars]]&gt;=4, "Good", Ramen_Ratings[[#This Row],[Stars]]&gt;2.5, "Fair", Ramen_Ratings[[#This Row],[Stars]] &gt;= 0, "Bad")</f>
        <v>Fair</v>
      </c>
      <c r="J940" t="str">
        <f>LEFT(Ramen_Ratings[[#This Row],[Top Ten]],4)</f>
        <v/>
      </c>
      <c r="K940" t="str">
        <f>IF(Ramen_Ratings[[#This Row],[Top Ten]]="", "",RIGHT(Ramen_Ratings[[#This Row],[Top Ten]],LEN(Ramen_Ratings[[#This Row],[Top Ten]])-6))</f>
        <v/>
      </c>
    </row>
    <row r="941" spans="1:11" x14ac:dyDescent="0.25">
      <c r="A941">
        <v>2504</v>
      </c>
      <c r="B941" t="s">
        <v>41</v>
      </c>
      <c r="C941" t="s">
        <v>139</v>
      </c>
      <c r="D941" t="s">
        <v>13</v>
      </c>
      <c r="E941" t="s">
        <v>25</v>
      </c>
      <c r="F941" t="str">
        <f>VLOOKUP(Ramen_Ratings[[#This Row],[Country]],Country_Region[#All],2,FALSE)</f>
        <v>Asia</v>
      </c>
      <c r="G941">
        <v>3</v>
      </c>
      <c r="H941" t="str" cm="1">
        <f t="array" ref="H941">_xlfn.IFS(Ramen_Ratings[[#This Row],[Stars]] = "Unrated", "NA",Ramen_Ratings[[#This Row],[Stars]]&gt;=4, "Good", Ramen_Ratings[[#This Row],[Stars]]&gt;2.5, "Fair", Ramen_Ratings[[#This Row],[Stars]] &gt;= 0, "Bad")</f>
        <v>Fair</v>
      </c>
      <c r="J941" t="str">
        <f>LEFT(Ramen_Ratings[[#This Row],[Top Ten]],4)</f>
        <v/>
      </c>
      <c r="K941" t="str">
        <f>IF(Ramen_Ratings[[#This Row],[Top Ten]]="", "",RIGHT(Ramen_Ratings[[#This Row],[Top Ten]],LEN(Ramen_Ratings[[#This Row],[Top Ten]])-6))</f>
        <v/>
      </c>
    </row>
    <row r="942" spans="1:11" x14ac:dyDescent="0.25">
      <c r="A942">
        <v>2483</v>
      </c>
      <c r="B942" t="s">
        <v>54</v>
      </c>
      <c r="C942" t="s">
        <v>165</v>
      </c>
      <c r="D942" t="s">
        <v>44</v>
      </c>
      <c r="E942" t="s">
        <v>25</v>
      </c>
      <c r="F942" t="str">
        <f>VLOOKUP(Ramen_Ratings[[#This Row],[Country]],Country_Region[#All],2,FALSE)</f>
        <v>Asia</v>
      </c>
      <c r="G942">
        <v>5</v>
      </c>
      <c r="H942" t="str" cm="1">
        <f t="array" ref="H942">_xlfn.IFS(Ramen_Ratings[[#This Row],[Stars]] = "Unrated", "NA",Ramen_Ratings[[#This Row],[Stars]]&gt;=4, "Good", Ramen_Ratings[[#This Row],[Stars]]&gt;2.5, "Fair", Ramen_Ratings[[#This Row],[Stars]] &gt;= 0, "Bad")</f>
        <v>Good</v>
      </c>
      <c r="J942" t="str">
        <f>LEFT(Ramen_Ratings[[#This Row],[Top Ten]],4)</f>
        <v/>
      </c>
      <c r="K942" t="str">
        <f>IF(Ramen_Ratings[[#This Row],[Top Ten]]="", "",RIGHT(Ramen_Ratings[[#This Row],[Top Ten]],LEN(Ramen_Ratings[[#This Row],[Top Ten]])-6))</f>
        <v/>
      </c>
    </row>
    <row r="943" spans="1:11" x14ac:dyDescent="0.25">
      <c r="A943">
        <v>2481</v>
      </c>
      <c r="B943" t="s">
        <v>23</v>
      </c>
      <c r="C943" t="s">
        <v>168</v>
      </c>
      <c r="D943" t="s">
        <v>9</v>
      </c>
      <c r="E943" t="s">
        <v>25</v>
      </c>
      <c r="F943" t="str">
        <f>VLOOKUP(Ramen_Ratings[[#This Row],[Country]],Country_Region[#All],2,FALSE)</f>
        <v>Asia</v>
      </c>
      <c r="G943">
        <v>3.75</v>
      </c>
      <c r="H943" t="str" cm="1">
        <f t="array" ref="H943">_xlfn.IFS(Ramen_Ratings[[#This Row],[Stars]] = "Unrated", "NA",Ramen_Ratings[[#This Row],[Stars]]&gt;=4, "Good", Ramen_Ratings[[#This Row],[Stars]]&gt;2.5, "Fair", Ramen_Ratings[[#This Row],[Stars]] &gt;= 0, "Bad")</f>
        <v>Fair</v>
      </c>
      <c r="J943" t="str">
        <f>LEFT(Ramen_Ratings[[#This Row],[Top Ten]],4)</f>
        <v/>
      </c>
      <c r="K943" t="str">
        <f>IF(Ramen_Ratings[[#This Row],[Top Ten]]="", "",RIGHT(Ramen_Ratings[[#This Row],[Top Ten]],LEN(Ramen_Ratings[[#This Row],[Top Ten]])-6))</f>
        <v/>
      </c>
    </row>
    <row r="944" spans="1:11" x14ac:dyDescent="0.25">
      <c r="A944">
        <v>2476</v>
      </c>
      <c r="B944" t="s">
        <v>23</v>
      </c>
      <c r="C944" t="s">
        <v>175</v>
      </c>
      <c r="D944" t="s">
        <v>44</v>
      </c>
      <c r="E944" t="s">
        <v>25</v>
      </c>
      <c r="F944" t="str">
        <f>VLOOKUP(Ramen_Ratings[[#This Row],[Country]],Country_Region[#All],2,FALSE)</f>
        <v>Asia</v>
      </c>
      <c r="G944">
        <v>4</v>
      </c>
      <c r="H944" t="str" cm="1">
        <f t="array" ref="H944">_xlfn.IFS(Ramen_Ratings[[#This Row],[Stars]] = "Unrated", "NA",Ramen_Ratings[[#This Row],[Stars]]&gt;=4, "Good", Ramen_Ratings[[#This Row],[Stars]]&gt;2.5, "Fair", Ramen_Ratings[[#This Row],[Stars]] &gt;= 0, "Bad")</f>
        <v>Good</v>
      </c>
      <c r="J944" t="str">
        <f>LEFT(Ramen_Ratings[[#This Row],[Top Ten]],4)</f>
        <v/>
      </c>
      <c r="K944" t="str">
        <f>IF(Ramen_Ratings[[#This Row],[Top Ten]]="", "",RIGHT(Ramen_Ratings[[#This Row],[Top Ten]],LEN(Ramen_Ratings[[#This Row],[Top Ten]])-6))</f>
        <v/>
      </c>
    </row>
    <row r="945" spans="1:11" x14ac:dyDescent="0.25">
      <c r="A945">
        <v>2474</v>
      </c>
      <c r="B945" t="s">
        <v>74</v>
      </c>
      <c r="C945" t="s">
        <v>177</v>
      </c>
      <c r="D945" t="s">
        <v>13</v>
      </c>
      <c r="E945" t="s">
        <v>25</v>
      </c>
      <c r="F945" t="str">
        <f>VLOOKUP(Ramen_Ratings[[#This Row],[Country]],Country_Region[#All],2,FALSE)</f>
        <v>Asia</v>
      </c>
      <c r="G945">
        <v>4.25</v>
      </c>
      <c r="H945" t="str" cm="1">
        <f t="array" ref="H945">_xlfn.IFS(Ramen_Ratings[[#This Row],[Stars]] = "Unrated", "NA",Ramen_Ratings[[#This Row],[Stars]]&gt;=4, "Good", Ramen_Ratings[[#This Row],[Stars]]&gt;2.5, "Fair", Ramen_Ratings[[#This Row],[Stars]] &gt;= 0, "Bad")</f>
        <v>Good</v>
      </c>
      <c r="J945" t="str">
        <f>LEFT(Ramen_Ratings[[#This Row],[Top Ten]],4)</f>
        <v/>
      </c>
      <c r="K945" t="str">
        <f>IF(Ramen_Ratings[[#This Row],[Top Ten]]="", "",RIGHT(Ramen_Ratings[[#This Row],[Top Ten]],LEN(Ramen_Ratings[[#This Row],[Top Ten]])-6))</f>
        <v/>
      </c>
    </row>
    <row r="946" spans="1:11" x14ac:dyDescent="0.25">
      <c r="A946">
        <v>2467</v>
      </c>
      <c r="B946" t="s">
        <v>54</v>
      </c>
      <c r="C946" t="s">
        <v>187</v>
      </c>
      <c r="D946" t="s">
        <v>13</v>
      </c>
      <c r="E946" t="s">
        <v>25</v>
      </c>
      <c r="F946" t="str">
        <f>VLOOKUP(Ramen_Ratings[[#This Row],[Country]],Country_Region[#All],2,FALSE)</f>
        <v>Asia</v>
      </c>
      <c r="G946">
        <v>3.5</v>
      </c>
      <c r="H946" t="str" cm="1">
        <f t="array" ref="H946">_xlfn.IFS(Ramen_Ratings[[#This Row],[Stars]] = "Unrated", "NA",Ramen_Ratings[[#This Row],[Stars]]&gt;=4, "Good", Ramen_Ratings[[#This Row],[Stars]]&gt;2.5, "Fair", Ramen_Ratings[[#This Row],[Stars]] &gt;= 0, "Bad")</f>
        <v>Fair</v>
      </c>
      <c r="J946" t="str">
        <f>LEFT(Ramen_Ratings[[#This Row],[Top Ten]],4)</f>
        <v/>
      </c>
      <c r="K946" t="str">
        <f>IF(Ramen_Ratings[[#This Row],[Top Ten]]="", "",RIGHT(Ramen_Ratings[[#This Row],[Top Ten]],LEN(Ramen_Ratings[[#This Row],[Top Ten]])-6))</f>
        <v/>
      </c>
    </row>
    <row r="947" spans="1:11" x14ac:dyDescent="0.25">
      <c r="A947">
        <v>2464</v>
      </c>
      <c r="B947" t="s">
        <v>191</v>
      </c>
      <c r="C947" t="s">
        <v>192</v>
      </c>
      <c r="D947" t="s">
        <v>44</v>
      </c>
      <c r="E947" t="s">
        <v>25</v>
      </c>
      <c r="F947" t="str">
        <f>VLOOKUP(Ramen_Ratings[[#This Row],[Country]],Country_Region[#All],2,FALSE)</f>
        <v>Asia</v>
      </c>
      <c r="G947">
        <v>2</v>
      </c>
      <c r="H947" t="str" cm="1">
        <f t="array" ref="H947">_xlfn.IFS(Ramen_Ratings[[#This Row],[Stars]] = "Unrated", "NA",Ramen_Ratings[[#This Row],[Stars]]&gt;=4, "Good", Ramen_Ratings[[#This Row],[Stars]]&gt;2.5, "Fair", Ramen_Ratings[[#This Row],[Stars]] &gt;= 0, "Bad")</f>
        <v>Bad</v>
      </c>
      <c r="J947" t="str">
        <f>LEFT(Ramen_Ratings[[#This Row],[Top Ten]],4)</f>
        <v/>
      </c>
      <c r="K947" t="str">
        <f>IF(Ramen_Ratings[[#This Row],[Top Ten]]="", "",RIGHT(Ramen_Ratings[[#This Row],[Top Ten]],LEN(Ramen_Ratings[[#This Row],[Top Ten]])-6))</f>
        <v/>
      </c>
    </row>
    <row r="948" spans="1:11" x14ac:dyDescent="0.25">
      <c r="A948">
        <v>2458</v>
      </c>
      <c r="B948" t="s">
        <v>23</v>
      </c>
      <c r="C948" t="s">
        <v>199</v>
      </c>
      <c r="D948" t="s">
        <v>13</v>
      </c>
      <c r="E948" t="s">
        <v>25</v>
      </c>
      <c r="F948" t="str">
        <f>VLOOKUP(Ramen_Ratings[[#This Row],[Country]],Country_Region[#All],2,FALSE)</f>
        <v>Asia</v>
      </c>
      <c r="G948" t="s">
        <v>76</v>
      </c>
      <c r="H948" t="str" cm="1">
        <f t="array" ref="H948">_xlfn.IFS(Ramen_Ratings[[#This Row],[Stars]] = "Unrated", "NA",Ramen_Ratings[[#This Row],[Stars]]&gt;=4, "Good", Ramen_Ratings[[#This Row],[Stars]]&gt;2.5, "Fair", Ramen_Ratings[[#This Row],[Stars]] &gt;= 0, "Bad")</f>
        <v>NA</v>
      </c>
      <c r="J948" t="str">
        <f>LEFT(Ramen_Ratings[[#This Row],[Top Ten]],4)</f>
        <v/>
      </c>
      <c r="K948" t="str">
        <f>IF(Ramen_Ratings[[#This Row],[Top Ten]]="", "",RIGHT(Ramen_Ratings[[#This Row],[Top Ten]],LEN(Ramen_Ratings[[#This Row],[Top Ten]])-6))</f>
        <v/>
      </c>
    </row>
    <row r="949" spans="1:11" x14ac:dyDescent="0.25">
      <c r="A949">
        <v>2424</v>
      </c>
      <c r="B949" t="s">
        <v>23</v>
      </c>
      <c r="C949" t="s">
        <v>242</v>
      </c>
      <c r="D949" t="s">
        <v>13</v>
      </c>
      <c r="E949" t="s">
        <v>25</v>
      </c>
      <c r="F949" t="str">
        <f>VLOOKUP(Ramen_Ratings[[#This Row],[Country]],Country_Region[#All],2,FALSE)</f>
        <v>Asia</v>
      </c>
      <c r="G949">
        <v>3.75</v>
      </c>
      <c r="H949" t="str" cm="1">
        <f t="array" ref="H949">_xlfn.IFS(Ramen_Ratings[[#This Row],[Stars]] = "Unrated", "NA",Ramen_Ratings[[#This Row],[Stars]]&gt;=4, "Good", Ramen_Ratings[[#This Row],[Stars]]&gt;2.5, "Fair", Ramen_Ratings[[#This Row],[Stars]] &gt;= 0, "Bad")</f>
        <v>Fair</v>
      </c>
      <c r="J949" t="str">
        <f>LEFT(Ramen_Ratings[[#This Row],[Top Ten]],4)</f>
        <v/>
      </c>
      <c r="K949" t="str">
        <f>IF(Ramen_Ratings[[#This Row],[Top Ten]]="", "",RIGHT(Ramen_Ratings[[#This Row],[Top Ten]],LEN(Ramen_Ratings[[#This Row],[Top Ten]])-6))</f>
        <v/>
      </c>
    </row>
    <row r="950" spans="1:11" x14ac:dyDescent="0.25">
      <c r="A950">
        <v>2397</v>
      </c>
      <c r="B950" t="s">
        <v>23</v>
      </c>
      <c r="C950" t="s">
        <v>278</v>
      </c>
      <c r="D950" t="s">
        <v>44</v>
      </c>
      <c r="E950" t="s">
        <v>25</v>
      </c>
      <c r="F950" t="str">
        <f>VLOOKUP(Ramen_Ratings[[#This Row],[Country]],Country_Region[#All],2,FALSE)</f>
        <v>Asia</v>
      </c>
      <c r="G950">
        <v>4</v>
      </c>
      <c r="H950" t="str" cm="1">
        <f t="array" ref="H950">_xlfn.IFS(Ramen_Ratings[[#This Row],[Stars]] = "Unrated", "NA",Ramen_Ratings[[#This Row],[Stars]]&gt;=4, "Good", Ramen_Ratings[[#This Row],[Stars]]&gt;2.5, "Fair", Ramen_Ratings[[#This Row],[Stars]] &gt;= 0, "Bad")</f>
        <v>Good</v>
      </c>
      <c r="J950" t="str">
        <f>LEFT(Ramen_Ratings[[#This Row],[Top Ten]],4)</f>
        <v/>
      </c>
      <c r="K950" t="str">
        <f>IF(Ramen_Ratings[[#This Row],[Top Ten]]="", "",RIGHT(Ramen_Ratings[[#This Row],[Top Ten]],LEN(Ramen_Ratings[[#This Row],[Top Ten]])-6))</f>
        <v/>
      </c>
    </row>
    <row r="951" spans="1:11" x14ac:dyDescent="0.25">
      <c r="A951">
        <v>2391</v>
      </c>
      <c r="B951" t="s">
        <v>74</v>
      </c>
      <c r="C951" t="s">
        <v>285</v>
      </c>
      <c r="D951" t="s">
        <v>13</v>
      </c>
      <c r="E951" t="s">
        <v>25</v>
      </c>
      <c r="F951" t="str">
        <f>VLOOKUP(Ramen_Ratings[[#This Row],[Country]],Country_Region[#All],2,FALSE)</f>
        <v>Asia</v>
      </c>
      <c r="G951">
        <v>5</v>
      </c>
      <c r="H951" t="str" cm="1">
        <f t="array" ref="H951">_xlfn.IFS(Ramen_Ratings[[#This Row],[Stars]] = "Unrated", "NA",Ramen_Ratings[[#This Row],[Stars]]&gt;=4, "Good", Ramen_Ratings[[#This Row],[Stars]]&gt;2.5, "Fair", Ramen_Ratings[[#This Row],[Stars]] &gt;= 0, "Bad")</f>
        <v>Good</v>
      </c>
      <c r="J951" t="str">
        <f>LEFT(Ramen_Ratings[[#This Row],[Top Ten]],4)</f>
        <v/>
      </c>
      <c r="K951" t="str">
        <f>IF(Ramen_Ratings[[#This Row],[Top Ten]]="", "",RIGHT(Ramen_Ratings[[#This Row],[Top Ten]],LEN(Ramen_Ratings[[#This Row],[Top Ten]])-6))</f>
        <v/>
      </c>
    </row>
    <row r="952" spans="1:11" x14ac:dyDescent="0.25">
      <c r="A952">
        <v>2382</v>
      </c>
      <c r="B952" t="s">
        <v>41</v>
      </c>
      <c r="C952" t="s">
        <v>296</v>
      </c>
      <c r="D952" t="s">
        <v>9</v>
      </c>
      <c r="E952" t="s">
        <v>25</v>
      </c>
      <c r="F952" t="str">
        <f>VLOOKUP(Ramen_Ratings[[#This Row],[Country]],Country_Region[#All],2,FALSE)</f>
        <v>Asia</v>
      </c>
      <c r="G952">
        <v>0.5</v>
      </c>
      <c r="H952" t="str" cm="1">
        <f t="array" ref="H952">_xlfn.IFS(Ramen_Ratings[[#This Row],[Stars]] = "Unrated", "NA",Ramen_Ratings[[#This Row],[Stars]]&gt;=4, "Good", Ramen_Ratings[[#This Row],[Stars]]&gt;2.5, "Fair", Ramen_Ratings[[#This Row],[Stars]] &gt;= 0, "Bad")</f>
        <v>Bad</v>
      </c>
      <c r="J952" t="str">
        <f>LEFT(Ramen_Ratings[[#This Row],[Top Ten]],4)</f>
        <v/>
      </c>
      <c r="K952" t="str">
        <f>IF(Ramen_Ratings[[#This Row],[Top Ten]]="", "",RIGHT(Ramen_Ratings[[#This Row],[Top Ten]],LEN(Ramen_Ratings[[#This Row],[Top Ten]])-6))</f>
        <v/>
      </c>
    </row>
    <row r="953" spans="1:11" x14ac:dyDescent="0.25">
      <c r="A953">
        <v>2380</v>
      </c>
      <c r="B953" t="s">
        <v>298</v>
      </c>
      <c r="C953" t="s">
        <v>299</v>
      </c>
      <c r="D953" t="s">
        <v>13</v>
      </c>
      <c r="E953" t="s">
        <v>25</v>
      </c>
      <c r="F953" t="str">
        <f>VLOOKUP(Ramen_Ratings[[#This Row],[Country]],Country_Region[#All],2,FALSE)</f>
        <v>Asia</v>
      </c>
      <c r="G953">
        <v>3.75</v>
      </c>
      <c r="H953" t="str" cm="1">
        <f t="array" ref="H953">_xlfn.IFS(Ramen_Ratings[[#This Row],[Stars]] = "Unrated", "NA",Ramen_Ratings[[#This Row],[Stars]]&gt;=4, "Good", Ramen_Ratings[[#This Row],[Stars]]&gt;2.5, "Fair", Ramen_Ratings[[#This Row],[Stars]] &gt;= 0, "Bad")</f>
        <v>Fair</v>
      </c>
      <c r="J953" t="str">
        <f>LEFT(Ramen_Ratings[[#This Row],[Top Ten]],4)</f>
        <v/>
      </c>
      <c r="K953" t="str">
        <f>IF(Ramen_Ratings[[#This Row],[Top Ten]]="", "",RIGHT(Ramen_Ratings[[#This Row],[Top Ten]],LEN(Ramen_Ratings[[#This Row],[Top Ten]])-6))</f>
        <v/>
      </c>
    </row>
    <row r="954" spans="1:11" x14ac:dyDescent="0.25">
      <c r="A954">
        <v>2370</v>
      </c>
      <c r="B954" t="s">
        <v>23</v>
      </c>
      <c r="C954" t="s">
        <v>311</v>
      </c>
      <c r="D954" t="s">
        <v>13</v>
      </c>
      <c r="E954" t="s">
        <v>25</v>
      </c>
      <c r="F954" t="str">
        <f>VLOOKUP(Ramen_Ratings[[#This Row],[Country]],Country_Region[#All],2,FALSE)</f>
        <v>Asia</v>
      </c>
      <c r="G954">
        <v>4.5</v>
      </c>
      <c r="H954" t="str" cm="1">
        <f t="array" ref="H954">_xlfn.IFS(Ramen_Ratings[[#This Row],[Stars]] = "Unrated", "NA",Ramen_Ratings[[#This Row],[Stars]]&gt;=4, "Good", Ramen_Ratings[[#This Row],[Stars]]&gt;2.5, "Fair", Ramen_Ratings[[#This Row],[Stars]] &gt;= 0, "Bad")</f>
        <v>Good</v>
      </c>
      <c r="J954" t="str">
        <f>LEFT(Ramen_Ratings[[#This Row],[Top Ten]],4)</f>
        <v/>
      </c>
      <c r="K954" t="str">
        <f>IF(Ramen_Ratings[[#This Row],[Top Ten]]="", "",RIGHT(Ramen_Ratings[[#This Row],[Top Ten]],LEN(Ramen_Ratings[[#This Row],[Top Ten]])-6))</f>
        <v/>
      </c>
    </row>
    <row r="955" spans="1:11" x14ac:dyDescent="0.25">
      <c r="A955">
        <v>2369</v>
      </c>
      <c r="B955" t="s">
        <v>23</v>
      </c>
      <c r="C955" t="s">
        <v>312</v>
      </c>
      <c r="D955" t="s">
        <v>13</v>
      </c>
      <c r="E955" t="s">
        <v>25</v>
      </c>
      <c r="F955" t="str">
        <f>VLOOKUP(Ramen_Ratings[[#This Row],[Country]],Country_Region[#All],2,FALSE)</f>
        <v>Asia</v>
      </c>
      <c r="G955">
        <v>4.25</v>
      </c>
      <c r="H955" t="str" cm="1">
        <f t="array" ref="H955">_xlfn.IFS(Ramen_Ratings[[#This Row],[Stars]] = "Unrated", "NA",Ramen_Ratings[[#This Row],[Stars]]&gt;=4, "Good", Ramen_Ratings[[#This Row],[Stars]]&gt;2.5, "Fair", Ramen_Ratings[[#This Row],[Stars]] &gt;= 0, "Bad")</f>
        <v>Good</v>
      </c>
      <c r="J955" t="str">
        <f>LEFT(Ramen_Ratings[[#This Row],[Top Ten]],4)</f>
        <v/>
      </c>
      <c r="K955" t="str">
        <f>IF(Ramen_Ratings[[#This Row],[Top Ten]]="", "",RIGHT(Ramen_Ratings[[#This Row],[Top Ten]],LEN(Ramen_Ratings[[#This Row],[Top Ten]])-6))</f>
        <v/>
      </c>
    </row>
    <row r="956" spans="1:11" x14ac:dyDescent="0.25">
      <c r="A956">
        <v>2368</v>
      </c>
      <c r="B956" t="s">
        <v>23</v>
      </c>
      <c r="C956" t="s">
        <v>313</v>
      </c>
      <c r="D956" t="s">
        <v>13</v>
      </c>
      <c r="E956" t="s">
        <v>25</v>
      </c>
      <c r="F956" t="str">
        <f>VLOOKUP(Ramen_Ratings[[#This Row],[Country]],Country_Region[#All],2,FALSE)</f>
        <v>Asia</v>
      </c>
      <c r="G956">
        <v>3.75</v>
      </c>
      <c r="H956" t="str" cm="1">
        <f t="array" ref="H956">_xlfn.IFS(Ramen_Ratings[[#This Row],[Stars]] = "Unrated", "NA",Ramen_Ratings[[#This Row],[Stars]]&gt;=4, "Good", Ramen_Ratings[[#This Row],[Stars]]&gt;2.5, "Fair", Ramen_Ratings[[#This Row],[Stars]] &gt;= 0, "Bad")</f>
        <v>Fair</v>
      </c>
      <c r="J956" t="str">
        <f>LEFT(Ramen_Ratings[[#This Row],[Top Ten]],4)</f>
        <v/>
      </c>
      <c r="K956" t="str">
        <f>IF(Ramen_Ratings[[#This Row],[Top Ten]]="", "",RIGHT(Ramen_Ratings[[#This Row],[Top Ten]],LEN(Ramen_Ratings[[#This Row],[Top Ten]])-6))</f>
        <v/>
      </c>
    </row>
    <row r="957" spans="1:11" x14ac:dyDescent="0.25">
      <c r="A957">
        <v>2367</v>
      </c>
      <c r="B957" t="s">
        <v>23</v>
      </c>
      <c r="C957" t="s">
        <v>314</v>
      </c>
      <c r="D957" t="s">
        <v>13</v>
      </c>
      <c r="E957" t="s">
        <v>25</v>
      </c>
      <c r="F957" t="str">
        <f>VLOOKUP(Ramen_Ratings[[#This Row],[Country]],Country_Region[#All],2,FALSE)</f>
        <v>Asia</v>
      </c>
      <c r="G957">
        <v>4</v>
      </c>
      <c r="H957" t="str" cm="1">
        <f t="array" ref="H957">_xlfn.IFS(Ramen_Ratings[[#This Row],[Stars]] = "Unrated", "NA",Ramen_Ratings[[#This Row],[Stars]]&gt;=4, "Good", Ramen_Ratings[[#This Row],[Stars]]&gt;2.5, "Fair", Ramen_Ratings[[#This Row],[Stars]] &gt;= 0, "Bad")</f>
        <v>Good</v>
      </c>
      <c r="J957" t="str">
        <f>LEFT(Ramen_Ratings[[#This Row],[Top Ten]],4)</f>
        <v/>
      </c>
      <c r="K957" t="str">
        <f>IF(Ramen_Ratings[[#This Row],[Top Ten]]="", "",RIGHT(Ramen_Ratings[[#This Row],[Top Ten]],LEN(Ramen_Ratings[[#This Row],[Top Ten]])-6))</f>
        <v/>
      </c>
    </row>
    <row r="958" spans="1:11" x14ac:dyDescent="0.25">
      <c r="A958">
        <v>2366</v>
      </c>
      <c r="B958" t="s">
        <v>23</v>
      </c>
      <c r="C958" t="s">
        <v>315</v>
      </c>
      <c r="D958" t="s">
        <v>13</v>
      </c>
      <c r="E958" t="s">
        <v>25</v>
      </c>
      <c r="F958" t="str">
        <f>VLOOKUP(Ramen_Ratings[[#This Row],[Country]],Country_Region[#All],2,FALSE)</f>
        <v>Asia</v>
      </c>
      <c r="G958">
        <v>5</v>
      </c>
      <c r="H958" t="str" cm="1">
        <f t="array" ref="H958">_xlfn.IFS(Ramen_Ratings[[#This Row],[Stars]] = "Unrated", "NA",Ramen_Ratings[[#This Row],[Stars]]&gt;=4, "Good", Ramen_Ratings[[#This Row],[Stars]]&gt;2.5, "Fair", Ramen_Ratings[[#This Row],[Stars]] &gt;= 0, "Bad")</f>
        <v>Good</v>
      </c>
      <c r="J958" t="str">
        <f>LEFT(Ramen_Ratings[[#This Row],[Top Ten]],4)</f>
        <v/>
      </c>
      <c r="K958" t="str">
        <f>IF(Ramen_Ratings[[#This Row],[Top Ten]]="", "",RIGHT(Ramen_Ratings[[#This Row],[Top Ten]],LEN(Ramen_Ratings[[#This Row],[Top Ten]])-6))</f>
        <v/>
      </c>
    </row>
    <row r="959" spans="1:11" x14ac:dyDescent="0.25">
      <c r="A959">
        <v>2365</v>
      </c>
      <c r="B959" t="s">
        <v>23</v>
      </c>
      <c r="C959" t="s">
        <v>316</v>
      </c>
      <c r="D959" t="s">
        <v>13</v>
      </c>
      <c r="E959" t="s">
        <v>25</v>
      </c>
      <c r="F959" t="str">
        <f>VLOOKUP(Ramen_Ratings[[#This Row],[Country]],Country_Region[#All],2,FALSE)</f>
        <v>Asia</v>
      </c>
      <c r="G959">
        <v>5</v>
      </c>
      <c r="H959" t="str" cm="1">
        <f t="array" ref="H959">_xlfn.IFS(Ramen_Ratings[[#This Row],[Stars]] = "Unrated", "NA",Ramen_Ratings[[#This Row],[Stars]]&gt;=4, "Good", Ramen_Ratings[[#This Row],[Stars]]&gt;2.5, "Fair", Ramen_Ratings[[#This Row],[Stars]] &gt;= 0, "Bad")</f>
        <v>Good</v>
      </c>
      <c r="J959" t="str">
        <f>LEFT(Ramen_Ratings[[#This Row],[Top Ten]],4)</f>
        <v/>
      </c>
      <c r="K959" t="str">
        <f>IF(Ramen_Ratings[[#This Row],[Top Ten]]="", "",RIGHT(Ramen_Ratings[[#This Row],[Top Ten]],LEN(Ramen_Ratings[[#This Row],[Top Ten]])-6))</f>
        <v/>
      </c>
    </row>
    <row r="960" spans="1:11" x14ac:dyDescent="0.25">
      <c r="A960">
        <v>2364</v>
      </c>
      <c r="B960" t="s">
        <v>23</v>
      </c>
      <c r="C960" t="s">
        <v>317</v>
      </c>
      <c r="D960" t="s">
        <v>13</v>
      </c>
      <c r="E960" t="s">
        <v>25</v>
      </c>
      <c r="F960" t="str">
        <f>VLOOKUP(Ramen_Ratings[[#This Row],[Country]],Country_Region[#All],2,FALSE)</f>
        <v>Asia</v>
      </c>
      <c r="G960">
        <v>4</v>
      </c>
      <c r="H960" t="str" cm="1">
        <f t="array" ref="H960">_xlfn.IFS(Ramen_Ratings[[#This Row],[Stars]] = "Unrated", "NA",Ramen_Ratings[[#This Row],[Stars]]&gt;=4, "Good", Ramen_Ratings[[#This Row],[Stars]]&gt;2.5, "Fair", Ramen_Ratings[[#This Row],[Stars]] &gt;= 0, "Bad")</f>
        <v>Good</v>
      </c>
      <c r="J960" t="str">
        <f>LEFT(Ramen_Ratings[[#This Row],[Top Ten]],4)</f>
        <v/>
      </c>
      <c r="K960" t="str">
        <f>IF(Ramen_Ratings[[#This Row],[Top Ten]]="", "",RIGHT(Ramen_Ratings[[#This Row],[Top Ten]],LEN(Ramen_Ratings[[#This Row],[Top Ten]])-6))</f>
        <v/>
      </c>
    </row>
    <row r="961" spans="1:11" x14ac:dyDescent="0.25">
      <c r="A961">
        <v>2363</v>
      </c>
      <c r="B961" t="s">
        <v>23</v>
      </c>
      <c r="C961" t="s">
        <v>318</v>
      </c>
      <c r="D961" t="s">
        <v>13</v>
      </c>
      <c r="E961" t="s">
        <v>25</v>
      </c>
      <c r="F961" t="str">
        <f>VLOOKUP(Ramen_Ratings[[#This Row],[Country]],Country_Region[#All],2,FALSE)</f>
        <v>Asia</v>
      </c>
      <c r="G961">
        <v>4</v>
      </c>
      <c r="H961" t="str" cm="1">
        <f t="array" ref="H961">_xlfn.IFS(Ramen_Ratings[[#This Row],[Stars]] = "Unrated", "NA",Ramen_Ratings[[#This Row],[Stars]]&gt;=4, "Good", Ramen_Ratings[[#This Row],[Stars]]&gt;2.5, "Fair", Ramen_Ratings[[#This Row],[Stars]] &gt;= 0, "Bad")</f>
        <v>Good</v>
      </c>
      <c r="J961" t="str">
        <f>LEFT(Ramen_Ratings[[#This Row],[Top Ten]],4)</f>
        <v/>
      </c>
      <c r="K961" t="str">
        <f>IF(Ramen_Ratings[[#This Row],[Top Ten]]="", "",RIGHT(Ramen_Ratings[[#This Row],[Top Ten]],LEN(Ramen_Ratings[[#This Row],[Top Ten]])-6))</f>
        <v/>
      </c>
    </row>
    <row r="962" spans="1:11" x14ac:dyDescent="0.25">
      <c r="A962">
        <v>2356</v>
      </c>
      <c r="B962" t="s">
        <v>41</v>
      </c>
      <c r="C962" t="s">
        <v>328</v>
      </c>
      <c r="D962" t="s">
        <v>9</v>
      </c>
      <c r="E962" t="s">
        <v>25</v>
      </c>
      <c r="F962" t="str">
        <f>VLOOKUP(Ramen_Ratings[[#This Row],[Country]],Country_Region[#All],2,FALSE)</f>
        <v>Asia</v>
      </c>
      <c r="G962">
        <v>4</v>
      </c>
      <c r="H962" t="str" cm="1">
        <f t="array" ref="H962">_xlfn.IFS(Ramen_Ratings[[#This Row],[Stars]] = "Unrated", "NA",Ramen_Ratings[[#This Row],[Stars]]&gt;=4, "Good", Ramen_Ratings[[#This Row],[Stars]]&gt;2.5, "Fair", Ramen_Ratings[[#This Row],[Stars]] &gt;= 0, "Bad")</f>
        <v>Good</v>
      </c>
      <c r="J962" t="str">
        <f>LEFT(Ramen_Ratings[[#This Row],[Top Ten]],4)</f>
        <v/>
      </c>
      <c r="K962" t="str">
        <f>IF(Ramen_Ratings[[#This Row],[Top Ten]]="", "",RIGHT(Ramen_Ratings[[#This Row],[Top Ten]],LEN(Ramen_Ratings[[#This Row],[Top Ten]])-6))</f>
        <v/>
      </c>
    </row>
    <row r="963" spans="1:11" x14ac:dyDescent="0.25">
      <c r="A963">
        <v>2345</v>
      </c>
      <c r="B963" t="s">
        <v>346</v>
      </c>
      <c r="C963" t="s">
        <v>347</v>
      </c>
      <c r="D963" t="s">
        <v>13</v>
      </c>
      <c r="E963" t="s">
        <v>25</v>
      </c>
      <c r="F963" t="str">
        <f>VLOOKUP(Ramen_Ratings[[#This Row],[Country]],Country_Region[#All],2,FALSE)</f>
        <v>Asia</v>
      </c>
      <c r="G963">
        <v>5</v>
      </c>
      <c r="H963" t="str" cm="1">
        <f t="array" ref="H963">_xlfn.IFS(Ramen_Ratings[[#This Row],[Stars]] = "Unrated", "NA",Ramen_Ratings[[#This Row],[Stars]]&gt;=4, "Good", Ramen_Ratings[[#This Row],[Stars]]&gt;2.5, "Fair", Ramen_Ratings[[#This Row],[Stars]] &gt;= 0, "Bad")</f>
        <v>Good</v>
      </c>
      <c r="J963" t="str">
        <f>LEFT(Ramen_Ratings[[#This Row],[Top Ten]],4)</f>
        <v/>
      </c>
      <c r="K963" t="str">
        <f>IF(Ramen_Ratings[[#This Row],[Top Ten]]="", "",RIGHT(Ramen_Ratings[[#This Row],[Top Ten]],LEN(Ramen_Ratings[[#This Row],[Top Ten]])-6))</f>
        <v/>
      </c>
    </row>
    <row r="964" spans="1:11" x14ac:dyDescent="0.25">
      <c r="A964">
        <v>2324</v>
      </c>
      <c r="B964" t="s">
        <v>54</v>
      </c>
      <c r="C964" t="s">
        <v>372</v>
      </c>
      <c r="D964" t="s">
        <v>13</v>
      </c>
      <c r="E964" t="s">
        <v>25</v>
      </c>
      <c r="F964" t="str">
        <f>VLOOKUP(Ramen_Ratings[[#This Row],[Country]],Country_Region[#All],2,FALSE)</f>
        <v>Asia</v>
      </c>
      <c r="G964">
        <v>5</v>
      </c>
      <c r="H964" t="str" cm="1">
        <f t="array" ref="H964">_xlfn.IFS(Ramen_Ratings[[#This Row],[Stars]] = "Unrated", "NA",Ramen_Ratings[[#This Row],[Stars]]&gt;=4, "Good", Ramen_Ratings[[#This Row],[Stars]]&gt;2.5, "Fair", Ramen_Ratings[[#This Row],[Stars]] &gt;= 0, "Bad")</f>
        <v>Good</v>
      </c>
      <c r="J964" t="str">
        <f>LEFT(Ramen_Ratings[[#This Row],[Top Ten]],4)</f>
        <v/>
      </c>
      <c r="K964" t="str">
        <f>IF(Ramen_Ratings[[#This Row],[Top Ten]]="", "",RIGHT(Ramen_Ratings[[#This Row],[Top Ten]],LEN(Ramen_Ratings[[#This Row],[Top Ten]])-6))</f>
        <v/>
      </c>
    </row>
    <row r="965" spans="1:11" x14ac:dyDescent="0.25">
      <c r="A965">
        <v>2319</v>
      </c>
      <c r="B965" t="s">
        <v>41</v>
      </c>
      <c r="C965" t="s">
        <v>378</v>
      </c>
      <c r="D965" t="s">
        <v>44</v>
      </c>
      <c r="E965" t="s">
        <v>25</v>
      </c>
      <c r="F965" t="str">
        <f>VLOOKUP(Ramen_Ratings[[#This Row],[Country]],Country_Region[#All],2,FALSE)</f>
        <v>Asia</v>
      </c>
      <c r="G965">
        <v>3.5</v>
      </c>
      <c r="H965" t="str" cm="1">
        <f t="array" ref="H965">_xlfn.IFS(Ramen_Ratings[[#This Row],[Stars]] = "Unrated", "NA",Ramen_Ratings[[#This Row],[Stars]]&gt;=4, "Good", Ramen_Ratings[[#This Row],[Stars]]&gt;2.5, "Fair", Ramen_Ratings[[#This Row],[Stars]] &gt;= 0, "Bad")</f>
        <v>Fair</v>
      </c>
      <c r="J965" t="str">
        <f>LEFT(Ramen_Ratings[[#This Row],[Top Ten]],4)</f>
        <v/>
      </c>
      <c r="K965" t="str">
        <f>IF(Ramen_Ratings[[#This Row],[Top Ten]]="", "",RIGHT(Ramen_Ratings[[#This Row],[Top Ten]],LEN(Ramen_Ratings[[#This Row],[Top Ten]])-6))</f>
        <v/>
      </c>
    </row>
    <row r="966" spans="1:11" x14ac:dyDescent="0.25">
      <c r="A966">
        <v>2291</v>
      </c>
      <c r="B966" t="s">
        <v>23</v>
      </c>
      <c r="C966" t="s">
        <v>410</v>
      </c>
      <c r="D966" t="s">
        <v>13</v>
      </c>
      <c r="E966" t="s">
        <v>25</v>
      </c>
      <c r="F966" t="str">
        <f>VLOOKUP(Ramen_Ratings[[#This Row],[Country]],Country_Region[#All],2,FALSE)</f>
        <v>Asia</v>
      </c>
      <c r="G966">
        <v>4</v>
      </c>
      <c r="H966" t="str" cm="1">
        <f t="array" ref="H966">_xlfn.IFS(Ramen_Ratings[[#This Row],[Stars]] = "Unrated", "NA",Ramen_Ratings[[#This Row],[Stars]]&gt;=4, "Good", Ramen_Ratings[[#This Row],[Stars]]&gt;2.5, "Fair", Ramen_Ratings[[#This Row],[Stars]] &gt;= 0, "Bad")</f>
        <v>Good</v>
      </c>
      <c r="J966" t="str">
        <f>LEFT(Ramen_Ratings[[#This Row],[Top Ten]],4)</f>
        <v/>
      </c>
      <c r="K966" t="str">
        <f>IF(Ramen_Ratings[[#This Row],[Top Ten]]="", "",RIGHT(Ramen_Ratings[[#This Row],[Top Ten]],LEN(Ramen_Ratings[[#This Row],[Top Ten]])-6))</f>
        <v/>
      </c>
    </row>
    <row r="967" spans="1:11" x14ac:dyDescent="0.25">
      <c r="A967">
        <v>2282</v>
      </c>
      <c r="B967" t="s">
        <v>23</v>
      </c>
      <c r="C967" t="s">
        <v>419</v>
      </c>
      <c r="D967" t="s">
        <v>13</v>
      </c>
      <c r="E967" t="s">
        <v>25</v>
      </c>
      <c r="F967" t="str">
        <f>VLOOKUP(Ramen_Ratings[[#This Row],[Country]],Country_Region[#All],2,FALSE)</f>
        <v>Asia</v>
      </c>
      <c r="G967">
        <v>5</v>
      </c>
      <c r="H967" t="str" cm="1">
        <f t="array" ref="H967">_xlfn.IFS(Ramen_Ratings[[#This Row],[Stars]] = "Unrated", "NA",Ramen_Ratings[[#This Row],[Stars]]&gt;=4, "Good", Ramen_Ratings[[#This Row],[Stars]]&gt;2.5, "Fair", Ramen_Ratings[[#This Row],[Stars]] &gt;= 0, "Bad")</f>
        <v>Good</v>
      </c>
      <c r="J967" t="str">
        <f>LEFT(Ramen_Ratings[[#This Row],[Top Ten]],4)</f>
        <v/>
      </c>
      <c r="K967" t="str">
        <f>IF(Ramen_Ratings[[#This Row],[Top Ten]]="", "",RIGHT(Ramen_Ratings[[#This Row],[Top Ten]],LEN(Ramen_Ratings[[#This Row],[Top Ten]])-6))</f>
        <v/>
      </c>
    </row>
    <row r="968" spans="1:11" x14ac:dyDescent="0.25">
      <c r="A968">
        <v>2270</v>
      </c>
      <c r="B968" t="s">
        <v>23</v>
      </c>
      <c r="C968" t="s">
        <v>430</v>
      </c>
      <c r="D968" t="s">
        <v>13</v>
      </c>
      <c r="E968" t="s">
        <v>25</v>
      </c>
      <c r="F968" t="str">
        <f>VLOOKUP(Ramen_Ratings[[#This Row],[Country]],Country_Region[#All],2,FALSE)</f>
        <v>Asia</v>
      </c>
      <c r="G968">
        <v>4</v>
      </c>
      <c r="H968" t="str" cm="1">
        <f t="array" ref="H968">_xlfn.IFS(Ramen_Ratings[[#This Row],[Stars]] = "Unrated", "NA",Ramen_Ratings[[#This Row],[Stars]]&gt;=4, "Good", Ramen_Ratings[[#This Row],[Stars]]&gt;2.5, "Fair", Ramen_Ratings[[#This Row],[Stars]] &gt;= 0, "Bad")</f>
        <v>Good</v>
      </c>
      <c r="J968" t="str">
        <f>LEFT(Ramen_Ratings[[#This Row],[Top Ten]],4)</f>
        <v/>
      </c>
      <c r="K968" t="str">
        <f>IF(Ramen_Ratings[[#This Row],[Top Ten]]="", "",RIGHT(Ramen_Ratings[[#This Row],[Top Ten]],LEN(Ramen_Ratings[[#This Row],[Top Ten]])-6))</f>
        <v/>
      </c>
    </row>
    <row r="969" spans="1:11" x14ac:dyDescent="0.25">
      <c r="A969">
        <v>2240</v>
      </c>
      <c r="B969" t="s">
        <v>191</v>
      </c>
      <c r="C969" t="s">
        <v>467</v>
      </c>
      <c r="D969" t="s">
        <v>44</v>
      </c>
      <c r="E969" t="s">
        <v>25</v>
      </c>
      <c r="F969" t="str">
        <f>VLOOKUP(Ramen_Ratings[[#This Row],[Country]],Country_Region[#All],2,FALSE)</f>
        <v>Asia</v>
      </c>
      <c r="G969">
        <v>3</v>
      </c>
      <c r="H969" t="str" cm="1">
        <f t="array" ref="H969">_xlfn.IFS(Ramen_Ratings[[#This Row],[Stars]] = "Unrated", "NA",Ramen_Ratings[[#This Row],[Stars]]&gt;=4, "Good", Ramen_Ratings[[#This Row],[Stars]]&gt;2.5, "Fair", Ramen_Ratings[[#This Row],[Stars]] &gt;= 0, "Bad")</f>
        <v>Fair</v>
      </c>
      <c r="J969" t="str">
        <f>LEFT(Ramen_Ratings[[#This Row],[Top Ten]],4)</f>
        <v/>
      </c>
      <c r="K969" t="str">
        <f>IF(Ramen_Ratings[[#This Row],[Top Ten]]="", "",RIGHT(Ramen_Ratings[[#This Row],[Top Ten]],LEN(Ramen_Ratings[[#This Row],[Top Ten]])-6))</f>
        <v/>
      </c>
    </row>
    <row r="970" spans="1:11" x14ac:dyDescent="0.25">
      <c r="A970">
        <v>2234</v>
      </c>
      <c r="B970" t="s">
        <v>54</v>
      </c>
      <c r="C970" t="s">
        <v>475</v>
      </c>
      <c r="D970" t="s">
        <v>44</v>
      </c>
      <c r="E970" t="s">
        <v>25</v>
      </c>
      <c r="F970" t="str">
        <f>VLOOKUP(Ramen_Ratings[[#This Row],[Country]],Country_Region[#All],2,FALSE)</f>
        <v>Asia</v>
      </c>
      <c r="G970">
        <v>5</v>
      </c>
      <c r="H970" t="str" cm="1">
        <f t="array" ref="H970">_xlfn.IFS(Ramen_Ratings[[#This Row],[Stars]] = "Unrated", "NA",Ramen_Ratings[[#This Row],[Stars]]&gt;=4, "Good", Ramen_Ratings[[#This Row],[Stars]]&gt;2.5, "Fair", Ramen_Ratings[[#This Row],[Stars]] &gt;= 0, "Bad")</f>
        <v>Good</v>
      </c>
      <c r="J970" t="str">
        <f>LEFT(Ramen_Ratings[[#This Row],[Top Ten]],4)</f>
        <v/>
      </c>
      <c r="K970" t="str">
        <f>IF(Ramen_Ratings[[#This Row],[Top Ten]]="", "",RIGHT(Ramen_Ratings[[#This Row],[Top Ten]],LEN(Ramen_Ratings[[#This Row],[Top Ten]])-6))</f>
        <v/>
      </c>
    </row>
    <row r="971" spans="1:11" x14ac:dyDescent="0.25">
      <c r="A971">
        <v>2220</v>
      </c>
      <c r="B971" t="s">
        <v>54</v>
      </c>
      <c r="C971" t="s">
        <v>491</v>
      </c>
      <c r="D971" t="s">
        <v>13</v>
      </c>
      <c r="E971" t="s">
        <v>25</v>
      </c>
      <c r="F971" t="str">
        <f>VLOOKUP(Ramen_Ratings[[#This Row],[Country]],Country_Region[#All],2,FALSE)</f>
        <v>Asia</v>
      </c>
      <c r="G971">
        <v>5</v>
      </c>
      <c r="H971" t="str" cm="1">
        <f t="array" ref="H971">_xlfn.IFS(Ramen_Ratings[[#This Row],[Stars]] = "Unrated", "NA",Ramen_Ratings[[#This Row],[Stars]]&gt;=4, "Good", Ramen_Ratings[[#This Row],[Stars]]&gt;2.5, "Fair", Ramen_Ratings[[#This Row],[Stars]] &gt;= 0, "Bad")</f>
        <v>Good</v>
      </c>
      <c r="J971" t="str">
        <f>LEFT(Ramen_Ratings[[#This Row],[Top Ten]],4)</f>
        <v/>
      </c>
      <c r="K971" t="str">
        <f>IF(Ramen_Ratings[[#This Row],[Top Ten]]="", "",RIGHT(Ramen_Ratings[[#This Row],[Top Ten]],LEN(Ramen_Ratings[[#This Row],[Top Ten]])-6))</f>
        <v/>
      </c>
    </row>
    <row r="972" spans="1:11" x14ac:dyDescent="0.25">
      <c r="A972">
        <v>2212</v>
      </c>
      <c r="B972" t="s">
        <v>54</v>
      </c>
      <c r="C972" t="s">
        <v>165</v>
      </c>
      <c r="D972" t="s">
        <v>13</v>
      </c>
      <c r="E972" t="s">
        <v>25</v>
      </c>
      <c r="F972" t="str">
        <f>VLOOKUP(Ramen_Ratings[[#This Row],[Country]],Country_Region[#All],2,FALSE)</f>
        <v>Asia</v>
      </c>
      <c r="G972">
        <v>4</v>
      </c>
      <c r="H972" t="str" cm="1">
        <f t="array" ref="H972">_xlfn.IFS(Ramen_Ratings[[#This Row],[Stars]] = "Unrated", "NA",Ramen_Ratings[[#This Row],[Stars]]&gt;=4, "Good", Ramen_Ratings[[#This Row],[Stars]]&gt;2.5, "Fair", Ramen_Ratings[[#This Row],[Stars]] &gt;= 0, "Bad")</f>
        <v>Good</v>
      </c>
      <c r="J972" t="str">
        <f>LEFT(Ramen_Ratings[[#This Row],[Top Ten]],4)</f>
        <v/>
      </c>
      <c r="K972" t="str">
        <f>IF(Ramen_Ratings[[#This Row],[Top Ten]]="", "",RIGHT(Ramen_Ratings[[#This Row],[Top Ten]],LEN(Ramen_Ratings[[#This Row],[Top Ten]])-6))</f>
        <v/>
      </c>
    </row>
    <row r="973" spans="1:11" x14ac:dyDescent="0.25">
      <c r="A973">
        <v>2187</v>
      </c>
      <c r="B973" t="s">
        <v>298</v>
      </c>
      <c r="C973" t="s">
        <v>530</v>
      </c>
      <c r="D973" t="s">
        <v>13</v>
      </c>
      <c r="E973" t="s">
        <v>25</v>
      </c>
      <c r="F973" t="str">
        <f>VLOOKUP(Ramen_Ratings[[#This Row],[Country]],Country_Region[#All],2,FALSE)</f>
        <v>Asia</v>
      </c>
      <c r="G973">
        <v>5</v>
      </c>
      <c r="H973" t="str" cm="1">
        <f t="array" ref="H973">_xlfn.IFS(Ramen_Ratings[[#This Row],[Stars]] = "Unrated", "NA",Ramen_Ratings[[#This Row],[Stars]]&gt;=4, "Good", Ramen_Ratings[[#This Row],[Stars]]&gt;2.5, "Fair", Ramen_Ratings[[#This Row],[Stars]] &gt;= 0, "Bad")</f>
        <v>Good</v>
      </c>
      <c r="J973" t="str">
        <f>LEFT(Ramen_Ratings[[#This Row],[Top Ten]],4)</f>
        <v/>
      </c>
      <c r="K973" t="str">
        <f>IF(Ramen_Ratings[[#This Row],[Top Ten]]="", "",RIGHT(Ramen_Ratings[[#This Row],[Top Ten]],LEN(Ramen_Ratings[[#This Row],[Top Ten]])-6))</f>
        <v/>
      </c>
    </row>
    <row r="974" spans="1:11" x14ac:dyDescent="0.25">
      <c r="A974">
        <v>2161</v>
      </c>
      <c r="B974" t="s">
        <v>41</v>
      </c>
      <c r="C974" t="s">
        <v>558</v>
      </c>
      <c r="D974" t="s">
        <v>13</v>
      </c>
      <c r="E974" t="s">
        <v>25</v>
      </c>
      <c r="F974" t="str">
        <f>VLOOKUP(Ramen_Ratings[[#This Row],[Country]],Country_Region[#All],2,FALSE)</f>
        <v>Asia</v>
      </c>
      <c r="G974">
        <v>5</v>
      </c>
      <c r="H974" t="str" cm="1">
        <f t="array" ref="H974">_xlfn.IFS(Ramen_Ratings[[#This Row],[Stars]] = "Unrated", "NA",Ramen_Ratings[[#This Row],[Stars]]&gt;=4, "Good", Ramen_Ratings[[#This Row],[Stars]]&gt;2.5, "Fair", Ramen_Ratings[[#This Row],[Stars]] &gt;= 0, "Bad")</f>
        <v>Good</v>
      </c>
      <c r="J974" t="str">
        <f>LEFT(Ramen_Ratings[[#This Row],[Top Ten]],4)</f>
        <v/>
      </c>
      <c r="K974" t="str">
        <f>IF(Ramen_Ratings[[#This Row],[Top Ten]]="", "",RIGHT(Ramen_Ratings[[#This Row],[Top Ten]],LEN(Ramen_Ratings[[#This Row],[Top Ten]])-6))</f>
        <v/>
      </c>
    </row>
    <row r="975" spans="1:11" x14ac:dyDescent="0.25">
      <c r="A975">
        <v>2140</v>
      </c>
      <c r="B975" t="s">
        <v>191</v>
      </c>
      <c r="C975" t="s">
        <v>583</v>
      </c>
      <c r="D975" t="s">
        <v>44</v>
      </c>
      <c r="E975" t="s">
        <v>25</v>
      </c>
      <c r="F975" t="str">
        <f>VLOOKUP(Ramen_Ratings[[#This Row],[Country]],Country_Region[#All],2,FALSE)</f>
        <v>Asia</v>
      </c>
      <c r="G975">
        <v>5</v>
      </c>
      <c r="H975" t="str" cm="1">
        <f t="array" ref="H975">_xlfn.IFS(Ramen_Ratings[[#This Row],[Stars]] = "Unrated", "NA",Ramen_Ratings[[#This Row],[Stars]]&gt;=4, "Good", Ramen_Ratings[[#This Row],[Stars]]&gt;2.5, "Fair", Ramen_Ratings[[#This Row],[Stars]] &gt;= 0, "Bad")</f>
        <v>Good</v>
      </c>
      <c r="J975" t="str">
        <f>LEFT(Ramen_Ratings[[#This Row],[Top Ten]],4)</f>
        <v/>
      </c>
      <c r="K975" t="str">
        <f>IF(Ramen_Ratings[[#This Row],[Top Ten]]="", "",RIGHT(Ramen_Ratings[[#This Row],[Top Ten]],LEN(Ramen_Ratings[[#This Row],[Top Ten]])-6))</f>
        <v/>
      </c>
    </row>
    <row r="976" spans="1:11" x14ac:dyDescent="0.25">
      <c r="A976">
        <v>2104</v>
      </c>
      <c r="B976" t="s">
        <v>191</v>
      </c>
      <c r="C976" t="s">
        <v>624</v>
      </c>
      <c r="D976" t="s">
        <v>44</v>
      </c>
      <c r="E976" t="s">
        <v>25</v>
      </c>
      <c r="F976" t="str">
        <f>VLOOKUP(Ramen_Ratings[[#This Row],[Country]],Country_Region[#All],2,FALSE)</f>
        <v>Asia</v>
      </c>
      <c r="G976">
        <v>4</v>
      </c>
      <c r="H976" t="str" cm="1">
        <f t="array" ref="H976">_xlfn.IFS(Ramen_Ratings[[#This Row],[Stars]] = "Unrated", "NA",Ramen_Ratings[[#This Row],[Stars]]&gt;=4, "Good", Ramen_Ratings[[#This Row],[Stars]]&gt;2.5, "Fair", Ramen_Ratings[[#This Row],[Stars]] &gt;= 0, "Bad")</f>
        <v>Good</v>
      </c>
      <c r="J976" t="str">
        <f>LEFT(Ramen_Ratings[[#This Row],[Top Ten]],4)</f>
        <v/>
      </c>
      <c r="K976" t="str">
        <f>IF(Ramen_Ratings[[#This Row],[Top Ten]]="", "",RIGHT(Ramen_Ratings[[#This Row],[Top Ten]],LEN(Ramen_Ratings[[#This Row],[Top Ten]])-6))</f>
        <v/>
      </c>
    </row>
    <row r="977" spans="1:11" x14ac:dyDescent="0.25">
      <c r="A977">
        <v>2101</v>
      </c>
      <c r="B977" t="s">
        <v>23</v>
      </c>
      <c r="C977" t="s">
        <v>627</v>
      </c>
      <c r="D977" t="s">
        <v>13</v>
      </c>
      <c r="E977" t="s">
        <v>25</v>
      </c>
      <c r="F977" t="str">
        <f>VLOOKUP(Ramen_Ratings[[#This Row],[Country]],Country_Region[#All],2,FALSE)</f>
        <v>Asia</v>
      </c>
      <c r="G977">
        <v>4</v>
      </c>
      <c r="H977" t="str" cm="1">
        <f t="array" ref="H977">_xlfn.IFS(Ramen_Ratings[[#This Row],[Stars]] = "Unrated", "NA",Ramen_Ratings[[#This Row],[Stars]]&gt;=4, "Good", Ramen_Ratings[[#This Row],[Stars]]&gt;2.5, "Fair", Ramen_Ratings[[#This Row],[Stars]] &gt;= 0, "Bad")</f>
        <v>Good</v>
      </c>
      <c r="J977" t="str">
        <f>LEFT(Ramen_Ratings[[#This Row],[Top Ten]],4)</f>
        <v/>
      </c>
      <c r="K977" t="str">
        <f>IF(Ramen_Ratings[[#This Row],[Top Ten]]="", "",RIGHT(Ramen_Ratings[[#This Row],[Top Ten]],LEN(Ramen_Ratings[[#This Row],[Top Ten]])-6))</f>
        <v/>
      </c>
    </row>
    <row r="978" spans="1:11" x14ac:dyDescent="0.25">
      <c r="A978">
        <v>2094</v>
      </c>
      <c r="B978" t="s">
        <v>41</v>
      </c>
      <c r="C978" t="s">
        <v>635</v>
      </c>
      <c r="D978" t="s">
        <v>13</v>
      </c>
      <c r="E978" t="s">
        <v>25</v>
      </c>
      <c r="F978" t="str">
        <f>VLOOKUP(Ramen_Ratings[[#This Row],[Country]],Country_Region[#All],2,FALSE)</f>
        <v>Asia</v>
      </c>
      <c r="G978">
        <v>5</v>
      </c>
      <c r="H978" t="str" cm="1">
        <f t="array" ref="H978">_xlfn.IFS(Ramen_Ratings[[#This Row],[Stars]] = "Unrated", "NA",Ramen_Ratings[[#This Row],[Stars]]&gt;=4, "Good", Ramen_Ratings[[#This Row],[Stars]]&gt;2.5, "Fair", Ramen_Ratings[[#This Row],[Stars]] &gt;= 0, "Bad")</f>
        <v>Good</v>
      </c>
      <c r="J978" t="str">
        <f>LEFT(Ramen_Ratings[[#This Row],[Top Ten]],4)</f>
        <v/>
      </c>
      <c r="K978" t="str">
        <f>IF(Ramen_Ratings[[#This Row],[Top Ten]]="", "",RIGHT(Ramen_Ratings[[#This Row],[Top Ten]],LEN(Ramen_Ratings[[#This Row],[Top Ten]])-6))</f>
        <v/>
      </c>
    </row>
    <row r="979" spans="1:11" x14ac:dyDescent="0.25">
      <c r="A979">
        <v>2067</v>
      </c>
      <c r="B979" t="s">
        <v>23</v>
      </c>
      <c r="C979" t="s">
        <v>664</v>
      </c>
      <c r="D979" t="s">
        <v>13</v>
      </c>
      <c r="E979" t="s">
        <v>25</v>
      </c>
      <c r="F979" t="str">
        <f>VLOOKUP(Ramen_Ratings[[#This Row],[Country]],Country_Region[#All],2,FALSE)</f>
        <v>Asia</v>
      </c>
      <c r="G979">
        <v>4.5</v>
      </c>
      <c r="H979" t="str" cm="1">
        <f t="array" ref="H979">_xlfn.IFS(Ramen_Ratings[[#This Row],[Stars]] = "Unrated", "NA",Ramen_Ratings[[#This Row],[Stars]]&gt;=4, "Good", Ramen_Ratings[[#This Row],[Stars]]&gt;2.5, "Fair", Ramen_Ratings[[#This Row],[Stars]] &gt;= 0, "Bad")</f>
        <v>Good</v>
      </c>
      <c r="J979" t="str">
        <f>LEFT(Ramen_Ratings[[#This Row],[Top Ten]],4)</f>
        <v/>
      </c>
      <c r="K979" t="str">
        <f>IF(Ramen_Ratings[[#This Row],[Top Ten]]="", "",RIGHT(Ramen_Ratings[[#This Row],[Top Ten]],LEN(Ramen_Ratings[[#This Row],[Top Ten]])-6))</f>
        <v/>
      </c>
    </row>
    <row r="980" spans="1:11" x14ac:dyDescent="0.25">
      <c r="A980">
        <v>2037</v>
      </c>
      <c r="B980" t="s">
        <v>698</v>
      </c>
      <c r="C980" t="s">
        <v>699</v>
      </c>
      <c r="D980" t="s">
        <v>13</v>
      </c>
      <c r="E980" t="s">
        <v>25</v>
      </c>
      <c r="F980" t="str">
        <f>VLOOKUP(Ramen_Ratings[[#This Row],[Country]],Country_Region[#All],2,FALSE)</f>
        <v>Asia</v>
      </c>
      <c r="G980">
        <v>3.5</v>
      </c>
      <c r="H980" t="str" cm="1">
        <f t="array" ref="H980">_xlfn.IFS(Ramen_Ratings[[#This Row],[Stars]] = "Unrated", "NA",Ramen_Ratings[[#This Row],[Stars]]&gt;=4, "Good", Ramen_Ratings[[#This Row],[Stars]]&gt;2.5, "Fair", Ramen_Ratings[[#This Row],[Stars]] &gt;= 0, "Bad")</f>
        <v>Fair</v>
      </c>
      <c r="J980" t="str">
        <f>LEFT(Ramen_Ratings[[#This Row],[Top Ten]],4)</f>
        <v/>
      </c>
      <c r="K980" t="str">
        <f>IF(Ramen_Ratings[[#This Row],[Top Ten]]="", "",RIGHT(Ramen_Ratings[[#This Row],[Top Ten]],LEN(Ramen_Ratings[[#This Row],[Top Ten]])-6))</f>
        <v/>
      </c>
    </row>
    <row r="981" spans="1:11" x14ac:dyDescent="0.25">
      <c r="A981">
        <v>2018</v>
      </c>
      <c r="B981" t="s">
        <v>298</v>
      </c>
      <c r="C981" t="s">
        <v>720</v>
      </c>
      <c r="D981" t="s">
        <v>13</v>
      </c>
      <c r="E981" t="s">
        <v>25</v>
      </c>
      <c r="F981" t="str">
        <f>VLOOKUP(Ramen_Ratings[[#This Row],[Country]],Country_Region[#All],2,FALSE)</f>
        <v>Asia</v>
      </c>
      <c r="G981">
        <v>4</v>
      </c>
      <c r="H981" t="str" cm="1">
        <f t="array" ref="H981">_xlfn.IFS(Ramen_Ratings[[#This Row],[Stars]] = "Unrated", "NA",Ramen_Ratings[[#This Row],[Stars]]&gt;=4, "Good", Ramen_Ratings[[#This Row],[Stars]]&gt;2.5, "Fair", Ramen_Ratings[[#This Row],[Stars]] &gt;= 0, "Bad")</f>
        <v>Good</v>
      </c>
      <c r="J981" t="str">
        <f>LEFT(Ramen_Ratings[[#This Row],[Top Ten]],4)</f>
        <v/>
      </c>
      <c r="K981" t="str">
        <f>IF(Ramen_Ratings[[#This Row],[Top Ten]]="", "",RIGHT(Ramen_Ratings[[#This Row],[Top Ten]],LEN(Ramen_Ratings[[#This Row],[Top Ten]])-6))</f>
        <v/>
      </c>
    </row>
    <row r="982" spans="1:11" x14ac:dyDescent="0.25">
      <c r="A982">
        <v>2017</v>
      </c>
      <c r="B982" t="s">
        <v>23</v>
      </c>
      <c r="C982" t="s">
        <v>721</v>
      </c>
      <c r="D982" t="s">
        <v>44</v>
      </c>
      <c r="E982" t="s">
        <v>25</v>
      </c>
      <c r="F982" t="str">
        <f>VLOOKUP(Ramen_Ratings[[#This Row],[Country]],Country_Region[#All],2,FALSE)</f>
        <v>Asia</v>
      </c>
      <c r="G982">
        <v>0</v>
      </c>
      <c r="H982" t="str" cm="1">
        <f t="array" ref="H982">_xlfn.IFS(Ramen_Ratings[[#This Row],[Stars]] = "Unrated", "NA",Ramen_Ratings[[#This Row],[Stars]]&gt;=4, "Good", Ramen_Ratings[[#This Row],[Stars]]&gt;2.5, "Fair", Ramen_Ratings[[#This Row],[Stars]] &gt;= 0, "Bad")</f>
        <v>Bad</v>
      </c>
      <c r="J982" t="str">
        <f>LEFT(Ramen_Ratings[[#This Row],[Top Ten]],4)</f>
        <v/>
      </c>
      <c r="K982" t="str">
        <f>IF(Ramen_Ratings[[#This Row],[Top Ten]]="", "",RIGHT(Ramen_Ratings[[#This Row],[Top Ten]],LEN(Ramen_Ratings[[#This Row],[Top Ten]])-6))</f>
        <v/>
      </c>
    </row>
    <row r="983" spans="1:11" x14ac:dyDescent="0.25">
      <c r="A983">
        <v>1974</v>
      </c>
      <c r="B983" t="s">
        <v>23</v>
      </c>
      <c r="C983" t="s">
        <v>771</v>
      </c>
      <c r="D983" t="s">
        <v>13</v>
      </c>
      <c r="E983" t="s">
        <v>25</v>
      </c>
      <c r="F983" t="str">
        <f>VLOOKUP(Ramen_Ratings[[#This Row],[Country]],Country_Region[#All],2,FALSE)</f>
        <v>Asia</v>
      </c>
      <c r="G983">
        <v>5</v>
      </c>
      <c r="H983" t="str" cm="1">
        <f t="array" ref="H983">_xlfn.IFS(Ramen_Ratings[[#This Row],[Stars]] = "Unrated", "NA",Ramen_Ratings[[#This Row],[Stars]]&gt;=4, "Good", Ramen_Ratings[[#This Row],[Stars]]&gt;2.5, "Fair", Ramen_Ratings[[#This Row],[Stars]] &gt;= 0, "Bad")</f>
        <v>Good</v>
      </c>
      <c r="J983" t="str">
        <f>LEFT(Ramen_Ratings[[#This Row],[Top Ten]],4)</f>
        <v/>
      </c>
      <c r="K983" t="str">
        <f>IF(Ramen_Ratings[[#This Row],[Top Ten]]="", "",RIGHT(Ramen_Ratings[[#This Row],[Top Ten]],LEN(Ramen_Ratings[[#This Row],[Top Ten]])-6))</f>
        <v/>
      </c>
    </row>
    <row r="984" spans="1:11" x14ac:dyDescent="0.25">
      <c r="A984">
        <v>1892</v>
      </c>
      <c r="B984" t="s">
        <v>74</v>
      </c>
      <c r="C984" t="s">
        <v>870</v>
      </c>
      <c r="D984" t="s">
        <v>13</v>
      </c>
      <c r="E984" t="s">
        <v>25</v>
      </c>
      <c r="F984" t="str">
        <f>VLOOKUP(Ramen_Ratings[[#This Row],[Country]],Country_Region[#All],2,FALSE)</f>
        <v>Asia</v>
      </c>
      <c r="G984">
        <v>4</v>
      </c>
      <c r="H984" t="str" cm="1">
        <f t="array" ref="H984">_xlfn.IFS(Ramen_Ratings[[#This Row],[Stars]] = "Unrated", "NA",Ramen_Ratings[[#This Row],[Stars]]&gt;=4, "Good", Ramen_Ratings[[#This Row],[Stars]]&gt;2.5, "Fair", Ramen_Ratings[[#This Row],[Stars]] &gt;= 0, "Bad")</f>
        <v>Good</v>
      </c>
      <c r="J984" t="str">
        <f>LEFT(Ramen_Ratings[[#This Row],[Top Ten]],4)</f>
        <v/>
      </c>
      <c r="K984" t="str">
        <f>IF(Ramen_Ratings[[#This Row],[Top Ten]]="", "",RIGHT(Ramen_Ratings[[#This Row],[Top Ten]],LEN(Ramen_Ratings[[#This Row],[Top Ten]])-6))</f>
        <v/>
      </c>
    </row>
    <row r="985" spans="1:11" x14ac:dyDescent="0.25">
      <c r="A985">
        <v>1827</v>
      </c>
      <c r="B985" t="s">
        <v>41</v>
      </c>
      <c r="C985" t="s">
        <v>943</v>
      </c>
      <c r="D985" t="s">
        <v>13</v>
      </c>
      <c r="E985" t="s">
        <v>25</v>
      </c>
      <c r="F985" t="str">
        <f>VLOOKUP(Ramen_Ratings[[#This Row],[Country]],Country_Region[#All],2,FALSE)</f>
        <v>Asia</v>
      </c>
      <c r="G985">
        <v>5</v>
      </c>
      <c r="H985" t="str" cm="1">
        <f t="array" ref="H985">_xlfn.IFS(Ramen_Ratings[[#This Row],[Stars]] = "Unrated", "NA",Ramen_Ratings[[#This Row],[Stars]]&gt;=4, "Good", Ramen_Ratings[[#This Row],[Stars]]&gt;2.5, "Fair", Ramen_Ratings[[#This Row],[Stars]] &gt;= 0, "Bad")</f>
        <v>Good</v>
      </c>
      <c r="J985" t="str">
        <f>LEFT(Ramen_Ratings[[#This Row],[Top Ten]],4)</f>
        <v/>
      </c>
      <c r="K985" t="str">
        <f>IF(Ramen_Ratings[[#This Row],[Top Ten]]="", "",RIGHT(Ramen_Ratings[[#This Row],[Top Ten]],LEN(Ramen_Ratings[[#This Row],[Top Ten]])-6))</f>
        <v/>
      </c>
    </row>
    <row r="986" spans="1:11" x14ac:dyDescent="0.25">
      <c r="A986">
        <v>1780</v>
      </c>
      <c r="B986" t="s">
        <v>298</v>
      </c>
      <c r="C986" t="s">
        <v>999</v>
      </c>
      <c r="D986" t="s">
        <v>13</v>
      </c>
      <c r="E986" t="s">
        <v>25</v>
      </c>
      <c r="F986" t="str">
        <f>VLOOKUP(Ramen_Ratings[[#This Row],[Country]],Country_Region[#All],2,FALSE)</f>
        <v>Asia</v>
      </c>
      <c r="G986">
        <v>4.5</v>
      </c>
      <c r="H986" t="str" cm="1">
        <f t="array" ref="H986">_xlfn.IFS(Ramen_Ratings[[#This Row],[Stars]] = "Unrated", "NA",Ramen_Ratings[[#This Row],[Stars]]&gt;=4, "Good", Ramen_Ratings[[#This Row],[Stars]]&gt;2.5, "Fair", Ramen_Ratings[[#This Row],[Stars]] &gt;= 0, "Bad")</f>
        <v>Good</v>
      </c>
      <c r="J986" t="str">
        <f>LEFT(Ramen_Ratings[[#This Row],[Top Ten]],4)</f>
        <v/>
      </c>
      <c r="K986" t="str">
        <f>IF(Ramen_Ratings[[#This Row],[Top Ten]]="", "",RIGHT(Ramen_Ratings[[#This Row],[Top Ten]],LEN(Ramen_Ratings[[#This Row],[Top Ten]])-6))</f>
        <v/>
      </c>
    </row>
    <row r="987" spans="1:11" x14ac:dyDescent="0.25">
      <c r="A987">
        <v>1766</v>
      </c>
      <c r="B987" t="s">
        <v>54</v>
      </c>
      <c r="C987" t="s">
        <v>1014</v>
      </c>
      <c r="D987" t="s">
        <v>44</v>
      </c>
      <c r="E987" t="s">
        <v>25</v>
      </c>
      <c r="F987" t="str">
        <f>VLOOKUP(Ramen_Ratings[[#This Row],[Country]],Country_Region[#All],2,FALSE)</f>
        <v>Asia</v>
      </c>
      <c r="G987">
        <v>3.5</v>
      </c>
      <c r="H987" t="str" cm="1">
        <f t="array" ref="H987">_xlfn.IFS(Ramen_Ratings[[#This Row],[Stars]] = "Unrated", "NA",Ramen_Ratings[[#This Row],[Stars]]&gt;=4, "Good", Ramen_Ratings[[#This Row],[Stars]]&gt;2.5, "Fair", Ramen_Ratings[[#This Row],[Stars]] &gt;= 0, "Bad")</f>
        <v>Fair</v>
      </c>
      <c r="J987" t="str">
        <f>LEFT(Ramen_Ratings[[#This Row],[Top Ten]],4)</f>
        <v/>
      </c>
      <c r="K987" t="str">
        <f>IF(Ramen_Ratings[[#This Row],[Top Ten]]="", "",RIGHT(Ramen_Ratings[[#This Row],[Top Ten]],LEN(Ramen_Ratings[[#This Row],[Top Ten]])-6))</f>
        <v/>
      </c>
    </row>
    <row r="988" spans="1:11" x14ac:dyDescent="0.25">
      <c r="A988">
        <v>1754</v>
      </c>
      <c r="B988" t="s">
        <v>54</v>
      </c>
      <c r="C988" t="s">
        <v>1026</v>
      </c>
      <c r="D988" t="s">
        <v>44</v>
      </c>
      <c r="E988" t="s">
        <v>25</v>
      </c>
      <c r="F988" t="str">
        <f>VLOOKUP(Ramen_Ratings[[#This Row],[Country]],Country_Region[#All],2,FALSE)</f>
        <v>Asia</v>
      </c>
      <c r="G988">
        <v>5</v>
      </c>
      <c r="H988" t="str" cm="1">
        <f t="array" ref="H988">_xlfn.IFS(Ramen_Ratings[[#This Row],[Stars]] = "Unrated", "NA",Ramen_Ratings[[#This Row],[Stars]]&gt;=4, "Good", Ramen_Ratings[[#This Row],[Stars]]&gt;2.5, "Fair", Ramen_Ratings[[#This Row],[Stars]] &gt;= 0, "Bad")</f>
        <v>Good</v>
      </c>
      <c r="J988" t="str">
        <f>LEFT(Ramen_Ratings[[#This Row],[Top Ten]],4)</f>
        <v/>
      </c>
      <c r="K988" t="str">
        <f>IF(Ramen_Ratings[[#This Row],[Top Ten]]="", "",RIGHT(Ramen_Ratings[[#This Row],[Top Ten]],LEN(Ramen_Ratings[[#This Row],[Top Ten]])-6))</f>
        <v/>
      </c>
    </row>
    <row r="989" spans="1:11" x14ac:dyDescent="0.25">
      <c r="A989">
        <v>1677</v>
      </c>
      <c r="B989" t="s">
        <v>54</v>
      </c>
      <c r="C989" t="s">
        <v>1111</v>
      </c>
      <c r="D989" t="s">
        <v>13</v>
      </c>
      <c r="E989" t="s">
        <v>25</v>
      </c>
      <c r="F989" t="str">
        <f>VLOOKUP(Ramen_Ratings[[#This Row],[Country]],Country_Region[#All],2,FALSE)</f>
        <v>Asia</v>
      </c>
      <c r="G989">
        <v>5</v>
      </c>
      <c r="H989" t="str" cm="1">
        <f t="array" ref="H989">_xlfn.IFS(Ramen_Ratings[[#This Row],[Stars]] = "Unrated", "NA",Ramen_Ratings[[#This Row],[Stars]]&gt;=4, "Good", Ramen_Ratings[[#This Row],[Stars]]&gt;2.5, "Fair", Ramen_Ratings[[#This Row],[Stars]] &gt;= 0, "Bad")</f>
        <v>Good</v>
      </c>
      <c r="J989" t="str">
        <f>LEFT(Ramen_Ratings[[#This Row],[Top Ten]],4)</f>
        <v/>
      </c>
      <c r="K989" t="str">
        <f>IF(Ramen_Ratings[[#This Row],[Top Ten]]="", "",RIGHT(Ramen_Ratings[[#This Row],[Top Ten]],LEN(Ramen_Ratings[[#This Row],[Top Ten]])-6))</f>
        <v/>
      </c>
    </row>
    <row r="990" spans="1:11" x14ac:dyDescent="0.25">
      <c r="A990">
        <v>1674</v>
      </c>
      <c r="B990" t="s">
        <v>1114</v>
      </c>
      <c r="C990" t="s">
        <v>1115</v>
      </c>
      <c r="D990" t="s">
        <v>9</v>
      </c>
      <c r="E990" t="s">
        <v>25</v>
      </c>
      <c r="F990" t="str">
        <f>VLOOKUP(Ramen_Ratings[[#This Row],[Country]],Country_Region[#All],2,FALSE)</f>
        <v>Asia</v>
      </c>
      <c r="G990">
        <v>3.5</v>
      </c>
      <c r="H990" t="str" cm="1">
        <f t="array" ref="H990">_xlfn.IFS(Ramen_Ratings[[#This Row],[Stars]] = "Unrated", "NA",Ramen_Ratings[[#This Row],[Stars]]&gt;=4, "Good", Ramen_Ratings[[#This Row],[Stars]]&gt;2.5, "Fair", Ramen_Ratings[[#This Row],[Stars]] &gt;= 0, "Bad")</f>
        <v>Fair</v>
      </c>
      <c r="J990" t="str">
        <f>LEFT(Ramen_Ratings[[#This Row],[Top Ten]],4)</f>
        <v/>
      </c>
      <c r="K990" t="str">
        <f>IF(Ramen_Ratings[[#This Row],[Top Ten]]="", "",RIGHT(Ramen_Ratings[[#This Row],[Top Ten]],LEN(Ramen_Ratings[[#This Row],[Top Ten]])-6))</f>
        <v/>
      </c>
    </row>
    <row r="991" spans="1:11" x14ac:dyDescent="0.25">
      <c r="A991">
        <v>1658</v>
      </c>
      <c r="B991" t="s">
        <v>1139</v>
      </c>
      <c r="C991" t="s">
        <v>1140</v>
      </c>
      <c r="D991" t="s">
        <v>44</v>
      </c>
      <c r="E991" t="s">
        <v>25</v>
      </c>
      <c r="F991" t="str">
        <f>VLOOKUP(Ramen_Ratings[[#This Row],[Country]],Country_Region[#All],2,FALSE)</f>
        <v>Asia</v>
      </c>
      <c r="G991">
        <v>5</v>
      </c>
      <c r="H991" t="str" cm="1">
        <f t="array" ref="H991">_xlfn.IFS(Ramen_Ratings[[#This Row],[Stars]] = "Unrated", "NA",Ramen_Ratings[[#This Row],[Stars]]&gt;=4, "Good", Ramen_Ratings[[#This Row],[Stars]]&gt;2.5, "Fair", Ramen_Ratings[[#This Row],[Stars]] &gt;= 0, "Bad")</f>
        <v>Good</v>
      </c>
      <c r="J991" t="str">
        <f>LEFT(Ramen_Ratings[[#This Row],[Top Ten]],4)</f>
        <v/>
      </c>
      <c r="K991" t="str">
        <f>IF(Ramen_Ratings[[#This Row],[Top Ten]]="", "",RIGHT(Ramen_Ratings[[#This Row],[Top Ten]],LEN(Ramen_Ratings[[#This Row],[Top Ten]])-6))</f>
        <v/>
      </c>
    </row>
    <row r="992" spans="1:11" x14ac:dyDescent="0.25">
      <c r="A992">
        <v>1650</v>
      </c>
      <c r="B992" t="s">
        <v>74</v>
      </c>
      <c r="C992" t="s">
        <v>1150</v>
      </c>
      <c r="D992" t="s">
        <v>13</v>
      </c>
      <c r="E992" t="s">
        <v>25</v>
      </c>
      <c r="F992" t="str">
        <f>VLOOKUP(Ramen_Ratings[[#This Row],[Country]],Country_Region[#All],2,FALSE)</f>
        <v>Asia</v>
      </c>
      <c r="G992">
        <v>4.25</v>
      </c>
      <c r="H992" t="str" cm="1">
        <f t="array" ref="H992">_xlfn.IFS(Ramen_Ratings[[#This Row],[Stars]] = "Unrated", "NA",Ramen_Ratings[[#This Row],[Stars]]&gt;=4, "Good", Ramen_Ratings[[#This Row],[Stars]]&gt;2.5, "Fair", Ramen_Ratings[[#This Row],[Stars]] &gt;= 0, "Bad")</f>
        <v>Good</v>
      </c>
      <c r="J992" t="str">
        <f>LEFT(Ramen_Ratings[[#This Row],[Top Ten]],4)</f>
        <v/>
      </c>
      <c r="K992" t="str">
        <f>IF(Ramen_Ratings[[#This Row],[Top Ten]]="", "",RIGHT(Ramen_Ratings[[#This Row],[Top Ten]],LEN(Ramen_Ratings[[#This Row],[Top Ten]])-6))</f>
        <v/>
      </c>
    </row>
    <row r="993" spans="1:11" x14ac:dyDescent="0.25">
      <c r="A993">
        <v>1643</v>
      </c>
      <c r="B993" t="s">
        <v>1114</v>
      </c>
      <c r="C993" t="s">
        <v>1161</v>
      </c>
      <c r="D993" t="s">
        <v>9</v>
      </c>
      <c r="E993" t="s">
        <v>25</v>
      </c>
      <c r="F993" t="str">
        <f>VLOOKUP(Ramen_Ratings[[#This Row],[Country]],Country_Region[#All],2,FALSE)</f>
        <v>Asia</v>
      </c>
      <c r="G993">
        <v>3.5</v>
      </c>
      <c r="H993" t="str" cm="1">
        <f t="array" ref="H993">_xlfn.IFS(Ramen_Ratings[[#This Row],[Stars]] = "Unrated", "NA",Ramen_Ratings[[#This Row],[Stars]]&gt;=4, "Good", Ramen_Ratings[[#This Row],[Stars]]&gt;2.5, "Fair", Ramen_Ratings[[#This Row],[Stars]] &gt;= 0, "Bad")</f>
        <v>Fair</v>
      </c>
      <c r="J993" t="str">
        <f>LEFT(Ramen_Ratings[[#This Row],[Top Ten]],4)</f>
        <v/>
      </c>
      <c r="K993" t="str">
        <f>IF(Ramen_Ratings[[#This Row],[Top Ten]]="", "",RIGHT(Ramen_Ratings[[#This Row],[Top Ten]],LEN(Ramen_Ratings[[#This Row],[Top Ten]])-6))</f>
        <v/>
      </c>
    </row>
    <row r="994" spans="1:11" x14ac:dyDescent="0.25">
      <c r="A994">
        <v>1634</v>
      </c>
      <c r="B994" t="s">
        <v>23</v>
      </c>
      <c r="C994" t="s">
        <v>1174</v>
      </c>
      <c r="D994" t="s">
        <v>9</v>
      </c>
      <c r="E994" t="s">
        <v>25</v>
      </c>
      <c r="F994" t="str">
        <f>VLOOKUP(Ramen_Ratings[[#This Row],[Country]],Country_Region[#All],2,FALSE)</f>
        <v>Asia</v>
      </c>
      <c r="G994">
        <v>3.5</v>
      </c>
      <c r="H994" t="str" cm="1">
        <f t="array" ref="H994">_xlfn.IFS(Ramen_Ratings[[#This Row],[Stars]] = "Unrated", "NA",Ramen_Ratings[[#This Row],[Stars]]&gt;=4, "Good", Ramen_Ratings[[#This Row],[Stars]]&gt;2.5, "Fair", Ramen_Ratings[[#This Row],[Stars]] &gt;= 0, "Bad")</f>
        <v>Fair</v>
      </c>
      <c r="J994" t="str">
        <f>LEFT(Ramen_Ratings[[#This Row],[Top Ten]],4)</f>
        <v/>
      </c>
      <c r="K994" t="str">
        <f>IF(Ramen_Ratings[[#This Row],[Top Ten]]="", "",RIGHT(Ramen_Ratings[[#This Row],[Top Ten]],LEN(Ramen_Ratings[[#This Row],[Top Ten]])-6))</f>
        <v/>
      </c>
    </row>
    <row r="995" spans="1:11" x14ac:dyDescent="0.25">
      <c r="A995">
        <v>1601</v>
      </c>
      <c r="B995" t="s">
        <v>41</v>
      </c>
      <c r="C995" t="s">
        <v>1213</v>
      </c>
      <c r="D995" t="s">
        <v>13</v>
      </c>
      <c r="E995" t="s">
        <v>25</v>
      </c>
      <c r="F995" t="str">
        <f>VLOOKUP(Ramen_Ratings[[#This Row],[Country]],Country_Region[#All],2,FALSE)</f>
        <v>Asia</v>
      </c>
      <c r="G995">
        <v>5</v>
      </c>
      <c r="H995" t="str" cm="1">
        <f t="array" ref="H995">_xlfn.IFS(Ramen_Ratings[[#This Row],[Stars]] = "Unrated", "NA",Ramen_Ratings[[#This Row],[Stars]]&gt;=4, "Good", Ramen_Ratings[[#This Row],[Stars]]&gt;2.5, "Fair", Ramen_Ratings[[#This Row],[Stars]] &gt;= 0, "Bad")</f>
        <v>Good</v>
      </c>
      <c r="J995" t="str">
        <f>LEFT(Ramen_Ratings[[#This Row],[Top Ten]],4)</f>
        <v/>
      </c>
      <c r="K995" t="str">
        <f>IF(Ramen_Ratings[[#This Row],[Top Ten]]="", "",RIGHT(Ramen_Ratings[[#This Row],[Top Ten]],LEN(Ramen_Ratings[[#This Row],[Top Ten]])-6))</f>
        <v/>
      </c>
    </row>
    <row r="996" spans="1:11" x14ac:dyDescent="0.25">
      <c r="A996">
        <v>1593</v>
      </c>
      <c r="B996" t="s">
        <v>41</v>
      </c>
      <c r="C996" t="s">
        <v>1222</v>
      </c>
      <c r="D996" t="s">
        <v>13</v>
      </c>
      <c r="E996" t="s">
        <v>25</v>
      </c>
      <c r="F996" t="str">
        <f>VLOOKUP(Ramen_Ratings[[#This Row],[Country]],Country_Region[#All],2,FALSE)</f>
        <v>Asia</v>
      </c>
      <c r="G996">
        <v>4.25</v>
      </c>
      <c r="H996" t="str" cm="1">
        <f t="array" ref="H996">_xlfn.IFS(Ramen_Ratings[[#This Row],[Stars]] = "Unrated", "NA",Ramen_Ratings[[#This Row],[Stars]]&gt;=4, "Good", Ramen_Ratings[[#This Row],[Stars]]&gt;2.5, "Fair", Ramen_Ratings[[#This Row],[Stars]] &gt;= 0, "Bad")</f>
        <v>Good</v>
      </c>
      <c r="J996" t="str">
        <f>LEFT(Ramen_Ratings[[#This Row],[Top Ten]],4)</f>
        <v/>
      </c>
      <c r="K996" t="str">
        <f>IF(Ramen_Ratings[[#This Row],[Top Ten]]="", "",RIGHT(Ramen_Ratings[[#This Row],[Top Ten]],LEN(Ramen_Ratings[[#This Row],[Top Ten]])-6))</f>
        <v/>
      </c>
    </row>
    <row r="997" spans="1:11" x14ac:dyDescent="0.25">
      <c r="A997">
        <v>1580</v>
      </c>
      <c r="B997" t="s">
        <v>1114</v>
      </c>
      <c r="C997" t="s">
        <v>1115</v>
      </c>
      <c r="D997" t="s">
        <v>13</v>
      </c>
      <c r="E997" t="s">
        <v>25</v>
      </c>
      <c r="F997" t="str">
        <f>VLOOKUP(Ramen_Ratings[[#This Row],[Country]],Country_Region[#All],2,FALSE)</f>
        <v>Asia</v>
      </c>
      <c r="G997">
        <v>3.75</v>
      </c>
      <c r="H997" t="str" cm="1">
        <f t="array" ref="H997">_xlfn.IFS(Ramen_Ratings[[#This Row],[Stars]] = "Unrated", "NA",Ramen_Ratings[[#This Row],[Stars]]&gt;=4, "Good", Ramen_Ratings[[#This Row],[Stars]]&gt;2.5, "Fair", Ramen_Ratings[[#This Row],[Stars]] &gt;= 0, "Bad")</f>
        <v>Fair</v>
      </c>
      <c r="J997" t="str">
        <f>LEFT(Ramen_Ratings[[#This Row],[Top Ten]],4)</f>
        <v/>
      </c>
      <c r="K997" t="str">
        <f>IF(Ramen_Ratings[[#This Row],[Top Ten]]="", "",RIGHT(Ramen_Ratings[[#This Row],[Top Ten]],LEN(Ramen_Ratings[[#This Row],[Top Ten]])-6))</f>
        <v/>
      </c>
    </row>
    <row r="998" spans="1:11" x14ac:dyDescent="0.25">
      <c r="A998">
        <v>1575</v>
      </c>
      <c r="B998" t="s">
        <v>54</v>
      </c>
      <c r="C998" t="s">
        <v>1244</v>
      </c>
      <c r="D998" t="s">
        <v>44</v>
      </c>
      <c r="E998" t="s">
        <v>25</v>
      </c>
      <c r="F998" t="str">
        <f>VLOOKUP(Ramen_Ratings[[#This Row],[Country]],Country_Region[#All],2,FALSE)</f>
        <v>Asia</v>
      </c>
      <c r="G998">
        <v>5</v>
      </c>
      <c r="H998" t="str" cm="1">
        <f t="array" ref="H998">_xlfn.IFS(Ramen_Ratings[[#This Row],[Stars]] = "Unrated", "NA",Ramen_Ratings[[#This Row],[Stars]]&gt;=4, "Good", Ramen_Ratings[[#This Row],[Stars]]&gt;2.5, "Fair", Ramen_Ratings[[#This Row],[Stars]] &gt;= 0, "Bad")</f>
        <v>Good</v>
      </c>
      <c r="J998" t="str">
        <f>LEFT(Ramen_Ratings[[#This Row],[Top Ten]],4)</f>
        <v/>
      </c>
      <c r="K998" t="str">
        <f>IF(Ramen_Ratings[[#This Row],[Top Ten]]="", "",RIGHT(Ramen_Ratings[[#This Row],[Top Ten]],LEN(Ramen_Ratings[[#This Row],[Top Ten]])-6))</f>
        <v/>
      </c>
    </row>
    <row r="999" spans="1:11" x14ac:dyDescent="0.25">
      <c r="A999">
        <v>1523</v>
      </c>
      <c r="B999" t="s">
        <v>54</v>
      </c>
      <c r="C999" t="s">
        <v>1303</v>
      </c>
      <c r="D999" t="s">
        <v>44</v>
      </c>
      <c r="E999" t="s">
        <v>25</v>
      </c>
      <c r="F999" t="str">
        <f>VLOOKUP(Ramen_Ratings[[#This Row],[Country]],Country_Region[#All],2,FALSE)</f>
        <v>Asia</v>
      </c>
      <c r="G999">
        <v>5</v>
      </c>
      <c r="H999" t="str" cm="1">
        <f t="array" ref="H999">_xlfn.IFS(Ramen_Ratings[[#This Row],[Stars]] = "Unrated", "NA",Ramen_Ratings[[#This Row],[Stars]]&gt;=4, "Good", Ramen_Ratings[[#This Row],[Stars]]&gt;2.5, "Fair", Ramen_Ratings[[#This Row],[Stars]] &gt;= 0, "Bad")</f>
        <v>Good</v>
      </c>
      <c r="J999" t="str">
        <f>LEFT(Ramen_Ratings[[#This Row],[Top Ten]],4)</f>
        <v/>
      </c>
      <c r="K999" t="str">
        <f>IF(Ramen_Ratings[[#This Row],[Top Ten]]="", "",RIGHT(Ramen_Ratings[[#This Row],[Top Ten]],LEN(Ramen_Ratings[[#This Row],[Top Ten]])-6))</f>
        <v/>
      </c>
    </row>
    <row r="1000" spans="1:11" x14ac:dyDescent="0.25">
      <c r="A1000">
        <v>1515</v>
      </c>
      <c r="B1000" t="s">
        <v>41</v>
      </c>
      <c r="C1000" t="s">
        <v>1314</v>
      </c>
      <c r="D1000" t="s">
        <v>13</v>
      </c>
      <c r="E1000" t="s">
        <v>25</v>
      </c>
      <c r="F1000" t="str">
        <f>VLOOKUP(Ramen_Ratings[[#This Row],[Country]],Country_Region[#All],2,FALSE)</f>
        <v>Asia</v>
      </c>
      <c r="G1000">
        <v>4</v>
      </c>
      <c r="H1000" t="str" cm="1">
        <f t="array" ref="H1000">_xlfn.IFS(Ramen_Ratings[[#This Row],[Stars]] = "Unrated", "NA",Ramen_Ratings[[#This Row],[Stars]]&gt;=4, "Good", Ramen_Ratings[[#This Row],[Stars]]&gt;2.5, "Fair", Ramen_Ratings[[#This Row],[Stars]] &gt;= 0, "Bad")</f>
        <v>Good</v>
      </c>
      <c r="J1000" t="str">
        <f>LEFT(Ramen_Ratings[[#This Row],[Top Ten]],4)</f>
        <v/>
      </c>
      <c r="K1000" t="str">
        <f>IF(Ramen_Ratings[[#This Row],[Top Ten]]="", "",RIGHT(Ramen_Ratings[[#This Row],[Top Ten]],LEN(Ramen_Ratings[[#This Row],[Top Ten]])-6))</f>
        <v/>
      </c>
    </row>
    <row r="1001" spans="1:11" x14ac:dyDescent="0.25">
      <c r="A1001">
        <v>1498</v>
      </c>
      <c r="B1001" t="s">
        <v>23</v>
      </c>
      <c r="C1001" t="s">
        <v>1333</v>
      </c>
      <c r="D1001" t="s">
        <v>13</v>
      </c>
      <c r="E1001" t="s">
        <v>25</v>
      </c>
      <c r="F1001" t="str">
        <f>VLOOKUP(Ramen_Ratings[[#This Row],[Country]],Country_Region[#All],2,FALSE)</f>
        <v>Asia</v>
      </c>
      <c r="G1001">
        <v>3.5</v>
      </c>
      <c r="H1001" t="str" cm="1">
        <f t="array" ref="H1001">_xlfn.IFS(Ramen_Ratings[[#This Row],[Stars]] = "Unrated", "NA",Ramen_Ratings[[#This Row],[Stars]]&gt;=4, "Good", Ramen_Ratings[[#This Row],[Stars]]&gt;2.5, "Fair", Ramen_Ratings[[#This Row],[Stars]] &gt;= 0, "Bad")</f>
        <v>Fair</v>
      </c>
      <c r="J1001" t="str">
        <f>LEFT(Ramen_Ratings[[#This Row],[Top Ten]],4)</f>
        <v/>
      </c>
      <c r="K1001" t="str">
        <f>IF(Ramen_Ratings[[#This Row],[Top Ten]]="", "",RIGHT(Ramen_Ratings[[#This Row],[Top Ten]],LEN(Ramen_Ratings[[#This Row],[Top Ten]])-6))</f>
        <v/>
      </c>
    </row>
    <row r="1002" spans="1:11" x14ac:dyDescent="0.25">
      <c r="A1002">
        <v>1491</v>
      </c>
      <c r="B1002" t="s">
        <v>74</v>
      </c>
      <c r="C1002" t="s">
        <v>1340</v>
      </c>
      <c r="D1002" t="s">
        <v>13</v>
      </c>
      <c r="E1002" t="s">
        <v>25</v>
      </c>
      <c r="F1002" t="str">
        <f>VLOOKUP(Ramen_Ratings[[#This Row],[Country]],Country_Region[#All],2,FALSE)</f>
        <v>Asia</v>
      </c>
      <c r="G1002">
        <v>3.75</v>
      </c>
      <c r="H1002" t="str" cm="1">
        <f t="array" ref="H1002">_xlfn.IFS(Ramen_Ratings[[#This Row],[Stars]] = "Unrated", "NA",Ramen_Ratings[[#This Row],[Stars]]&gt;=4, "Good", Ramen_Ratings[[#This Row],[Stars]]&gt;2.5, "Fair", Ramen_Ratings[[#This Row],[Stars]] &gt;= 0, "Bad")</f>
        <v>Fair</v>
      </c>
      <c r="J1002" t="str">
        <f>LEFT(Ramen_Ratings[[#This Row],[Top Ten]],4)</f>
        <v/>
      </c>
      <c r="K1002" t="str">
        <f>IF(Ramen_Ratings[[#This Row],[Top Ten]]="", "",RIGHT(Ramen_Ratings[[#This Row],[Top Ten]],LEN(Ramen_Ratings[[#This Row],[Top Ten]])-6))</f>
        <v/>
      </c>
    </row>
    <row r="1003" spans="1:11" x14ac:dyDescent="0.25">
      <c r="A1003">
        <v>1480</v>
      </c>
      <c r="B1003" t="s">
        <v>54</v>
      </c>
      <c r="C1003" t="s">
        <v>1350</v>
      </c>
      <c r="D1003" t="s">
        <v>13</v>
      </c>
      <c r="E1003" t="s">
        <v>25</v>
      </c>
      <c r="F1003" t="str">
        <f>VLOOKUP(Ramen_Ratings[[#This Row],[Country]],Country_Region[#All],2,FALSE)</f>
        <v>Asia</v>
      </c>
      <c r="G1003">
        <v>4</v>
      </c>
      <c r="H1003" t="str" cm="1">
        <f t="array" ref="H1003">_xlfn.IFS(Ramen_Ratings[[#This Row],[Stars]] = "Unrated", "NA",Ramen_Ratings[[#This Row],[Stars]]&gt;=4, "Good", Ramen_Ratings[[#This Row],[Stars]]&gt;2.5, "Fair", Ramen_Ratings[[#This Row],[Stars]] &gt;= 0, "Bad")</f>
        <v>Good</v>
      </c>
      <c r="J1003" t="str">
        <f>LEFT(Ramen_Ratings[[#This Row],[Top Ten]],4)</f>
        <v/>
      </c>
      <c r="K1003" t="str">
        <f>IF(Ramen_Ratings[[#This Row],[Top Ten]]="", "",RIGHT(Ramen_Ratings[[#This Row],[Top Ten]],LEN(Ramen_Ratings[[#This Row],[Top Ten]])-6))</f>
        <v/>
      </c>
    </row>
    <row r="1004" spans="1:11" x14ac:dyDescent="0.25">
      <c r="A1004">
        <v>1430</v>
      </c>
      <c r="B1004" t="s">
        <v>23</v>
      </c>
      <c r="C1004" t="s">
        <v>1397</v>
      </c>
      <c r="D1004" t="s">
        <v>44</v>
      </c>
      <c r="E1004" t="s">
        <v>25</v>
      </c>
      <c r="F1004" t="str">
        <f>VLOOKUP(Ramen_Ratings[[#This Row],[Country]],Country_Region[#All],2,FALSE)</f>
        <v>Asia</v>
      </c>
      <c r="G1004">
        <v>4</v>
      </c>
      <c r="H1004" t="str" cm="1">
        <f t="array" ref="H1004">_xlfn.IFS(Ramen_Ratings[[#This Row],[Stars]] = "Unrated", "NA",Ramen_Ratings[[#This Row],[Stars]]&gt;=4, "Good", Ramen_Ratings[[#This Row],[Stars]]&gt;2.5, "Fair", Ramen_Ratings[[#This Row],[Stars]] &gt;= 0, "Bad")</f>
        <v>Good</v>
      </c>
      <c r="J1004" t="str">
        <f>LEFT(Ramen_Ratings[[#This Row],[Top Ten]],4)</f>
        <v/>
      </c>
      <c r="K1004" t="str">
        <f>IF(Ramen_Ratings[[#This Row],[Top Ten]]="", "",RIGHT(Ramen_Ratings[[#This Row],[Top Ten]],LEN(Ramen_Ratings[[#This Row],[Top Ten]])-6))</f>
        <v/>
      </c>
    </row>
    <row r="1005" spans="1:11" x14ac:dyDescent="0.25">
      <c r="A1005">
        <v>1426</v>
      </c>
      <c r="B1005" t="s">
        <v>74</v>
      </c>
      <c r="C1005" t="s">
        <v>1402</v>
      </c>
      <c r="D1005" t="s">
        <v>44</v>
      </c>
      <c r="E1005" t="s">
        <v>25</v>
      </c>
      <c r="F1005" t="str">
        <f>VLOOKUP(Ramen_Ratings[[#This Row],[Country]],Country_Region[#All],2,FALSE)</f>
        <v>Asia</v>
      </c>
      <c r="G1005">
        <v>4</v>
      </c>
      <c r="H1005" t="str" cm="1">
        <f t="array" ref="H1005">_xlfn.IFS(Ramen_Ratings[[#This Row],[Stars]] = "Unrated", "NA",Ramen_Ratings[[#This Row],[Stars]]&gt;=4, "Good", Ramen_Ratings[[#This Row],[Stars]]&gt;2.5, "Fair", Ramen_Ratings[[#This Row],[Stars]] &gt;= 0, "Bad")</f>
        <v>Good</v>
      </c>
      <c r="J1005" t="str">
        <f>LEFT(Ramen_Ratings[[#This Row],[Top Ten]],4)</f>
        <v/>
      </c>
      <c r="K1005" t="str">
        <f>IF(Ramen_Ratings[[#This Row],[Top Ten]]="", "",RIGHT(Ramen_Ratings[[#This Row],[Top Ten]],LEN(Ramen_Ratings[[#This Row],[Top Ten]])-6))</f>
        <v/>
      </c>
    </row>
    <row r="1006" spans="1:11" x14ac:dyDescent="0.25">
      <c r="A1006">
        <v>1418</v>
      </c>
      <c r="B1006" t="s">
        <v>74</v>
      </c>
      <c r="C1006" t="s">
        <v>1410</v>
      </c>
      <c r="D1006" t="s">
        <v>13</v>
      </c>
      <c r="E1006" t="s">
        <v>25</v>
      </c>
      <c r="F1006" t="str">
        <f>VLOOKUP(Ramen_Ratings[[#This Row],[Country]],Country_Region[#All],2,FALSE)</f>
        <v>Asia</v>
      </c>
      <c r="G1006">
        <v>1</v>
      </c>
      <c r="H1006" t="str" cm="1">
        <f t="array" ref="H1006">_xlfn.IFS(Ramen_Ratings[[#This Row],[Stars]] = "Unrated", "NA",Ramen_Ratings[[#This Row],[Stars]]&gt;=4, "Good", Ramen_Ratings[[#This Row],[Stars]]&gt;2.5, "Fair", Ramen_Ratings[[#This Row],[Stars]] &gt;= 0, "Bad")</f>
        <v>Bad</v>
      </c>
      <c r="J1006" t="str">
        <f>LEFT(Ramen_Ratings[[#This Row],[Top Ten]],4)</f>
        <v/>
      </c>
      <c r="K1006" t="str">
        <f>IF(Ramen_Ratings[[#This Row],[Top Ten]]="", "",RIGHT(Ramen_Ratings[[#This Row],[Top Ten]],LEN(Ramen_Ratings[[#This Row],[Top Ten]])-6))</f>
        <v/>
      </c>
    </row>
    <row r="1007" spans="1:11" x14ac:dyDescent="0.25">
      <c r="A1007">
        <v>1414</v>
      </c>
      <c r="B1007" t="s">
        <v>54</v>
      </c>
      <c r="C1007" t="s">
        <v>1414</v>
      </c>
      <c r="D1007" t="s">
        <v>13</v>
      </c>
      <c r="E1007" t="s">
        <v>25</v>
      </c>
      <c r="F1007" t="str">
        <f>VLOOKUP(Ramen_Ratings[[#This Row],[Country]],Country_Region[#All],2,FALSE)</f>
        <v>Asia</v>
      </c>
      <c r="G1007">
        <v>5</v>
      </c>
      <c r="H1007" t="str" cm="1">
        <f t="array" ref="H1007">_xlfn.IFS(Ramen_Ratings[[#This Row],[Stars]] = "Unrated", "NA",Ramen_Ratings[[#This Row],[Stars]]&gt;=4, "Good", Ramen_Ratings[[#This Row],[Stars]]&gt;2.5, "Fair", Ramen_Ratings[[#This Row],[Stars]] &gt;= 0, "Bad")</f>
        <v>Good</v>
      </c>
      <c r="J1007" t="str">
        <f>LEFT(Ramen_Ratings[[#This Row],[Top Ten]],4)</f>
        <v/>
      </c>
      <c r="K1007" t="str">
        <f>IF(Ramen_Ratings[[#This Row],[Top Ten]]="", "",RIGHT(Ramen_Ratings[[#This Row],[Top Ten]],LEN(Ramen_Ratings[[#This Row],[Top Ten]])-6))</f>
        <v/>
      </c>
    </row>
    <row r="1008" spans="1:11" x14ac:dyDescent="0.25">
      <c r="A1008">
        <v>1400</v>
      </c>
      <c r="B1008" t="s">
        <v>298</v>
      </c>
      <c r="C1008" t="s">
        <v>1434</v>
      </c>
      <c r="D1008" t="s">
        <v>13</v>
      </c>
      <c r="E1008" t="s">
        <v>25</v>
      </c>
      <c r="F1008" t="str">
        <f>VLOOKUP(Ramen_Ratings[[#This Row],[Country]],Country_Region[#All],2,FALSE)</f>
        <v>Asia</v>
      </c>
      <c r="G1008">
        <v>3.75</v>
      </c>
      <c r="H1008" t="str" cm="1">
        <f t="array" ref="H1008">_xlfn.IFS(Ramen_Ratings[[#This Row],[Stars]] = "Unrated", "NA",Ramen_Ratings[[#This Row],[Stars]]&gt;=4, "Good", Ramen_Ratings[[#This Row],[Stars]]&gt;2.5, "Fair", Ramen_Ratings[[#This Row],[Stars]] &gt;= 0, "Bad")</f>
        <v>Fair</v>
      </c>
      <c r="J1008" t="str">
        <f>LEFT(Ramen_Ratings[[#This Row],[Top Ten]],4)</f>
        <v/>
      </c>
      <c r="K1008" t="str">
        <f>IF(Ramen_Ratings[[#This Row],[Top Ten]]="", "",RIGHT(Ramen_Ratings[[#This Row],[Top Ten]],LEN(Ramen_Ratings[[#This Row],[Top Ten]])-6))</f>
        <v/>
      </c>
    </row>
    <row r="1009" spans="1:11" x14ac:dyDescent="0.25">
      <c r="A1009">
        <v>1394</v>
      </c>
      <c r="B1009" t="s">
        <v>54</v>
      </c>
      <c r="C1009" t="s">
        <v>1441</v>
      </c>
      <c r="D1009" t="s">
        <v>13</v>
      </c>
      <c r="E1009" t="s">
        <v>25</v>
      </c>
      <c r="F1009" t="str">
        <f>VLOOKUP(Ramen_Ratings[[#This Row],[Country]],Country_Region[#All],2,FALSE)</f>
        <v>Asia</v>
      </c>
      <c r="G1009">
        <v>4.5</v>
      </c>
      <c r="H1009" t="str" cm="1">
        <f t="array" ref="H1009">_xlfn.IFS(Ramen_Ratings[[#This Row],[Stars]] = "Unrated", "NA",Ramen_Ratings[[#This Row],[Stars]]&gt;=4, "Good", Ramen_Ratings[[#This Row],[Stars]]&gt;2.5, "Fair", Ramen_Ratings[[#This Row],[Stars]] &gt;= 0, "Bad")</f>
        <v>Good</v>
      </c>
      <c r="J1009" t="str">
        <f>LEFT(Ramen_Ratings[[#This Row],[Top Ten]],4)</f>
        <v/>
      </c>
      <c r="K1009" t="str">
        <f>IF(Ramen_Ratings[[#This Row],[Top Ten]]="", "",RIGHT(Ramen_Ratings[[#This Row],[Top Ten]],LEN(Ramen_Ratings[[#This Row],[Top Ten]])-6))</f>
        <v/>
      </c>
    </row>
    <row r="1010" spans="1:11" x14ac:dyDescent="0.25">
      <c r="A1010">
        <v>1388</v>
      </c>
      <c r="B1010" t="s">
        <v>54</v>
      </c>
      <c r="C1010" t="s">
        <v>1450</v>
      </c>
      <c r="D1010" t="s">
        <v>13</v>
      </c>
      <c r="E1010" t="s">
        <v>25</v>
      </c>
      <c r="F1010" t="str">
        <f>VLOOKUP(Ramen_Ratings[[#This Row],[Country]],Country_Region[#All],2,FALSE)</f>
        <v>Asia</v>
      </c>
      <c r="G1010">
        <v>3.75</v>
      </c>
      <c r="H1010" t="str" cm="1">
        <f t="array" ref="H1010">_xlfn.IFS(Ramen_Ratings[[#This Row],[Stars]] = "Unrated", "NA",Ramen_Ratings[[#This Row],[Stars]]&gt;=4, "Good", Ramen_Ratings[[#This Row],[Stars]]&gt;2.5, "Fair", Ramen_Ratings[[#This Row],[Stars]] &gt;= 0, "Bad")</f>
        <v>Fair</v>
      </c>
      <c r="J1010" t="str">
        <f>LEFT(Ramen_Ratings[[#This Row],[Top Ten]],4)</f>
        <v/>
      </c>
      <c r="K1010" t="str">
        <f>IF(Ramen_Ratings[[#This Row],[Top Ten]]="", "",RIGHT(Ramen_Ratings[[#This Row],[Top Ten]],LEN(Ramen_Ratings[[#This Row],[Top Ten]])-6))</f>
        <v/>
      </c>
    </row>
    <row r="1011" spans="1:11" x14ac:dyDescent="0.25">
      <c r="A1011">
        <v>1372</v>
      </c>
      <c r="B1011" t="s">
        <v>23</v>
      </c>
      <c r="C1011" t="s">
        <v>1465</v>
      </c>
      <c r="D1011" t="s">
        <v>9</v>
      </c>
      <c r="E1011" t="s">
        <v>25</v>
      </c>
      <c r="F1011" t="str">
        <f>VLOOKUP(Ramen_Ratings[[#This Row],[Country]],Country_Region[#All],2,FALSE)</f>
        <v>Asia</v>
      </c>
      <c r="G1011">
        <v>3.75</v>
      </c>
      <c r="H1011" t="str" cm="1">
        <f t="array" ref="H1011">_xlfn.IFS(Ramen_Ratings[[#This Row],[Stars]] = "Unrated", "NA",Ramen_Ratings[[#This Row],[Stars]]&gt;=4, "Good", Ramen_Ratings[[#This Row],[Stars]]&gt;2.5, "Fair", Ramen_Ratings[[#This Row],[Stars]] &gt;= 0, "Bad")</f>
        <v>Fair</v>
      </c>
      <c r="J1011" t="str">
        <f>LEFT(Ramen_Ratings[[#This Row],[Top Ten]],4)</f>
        <v/>
      </c>
      <c r="K1011" t="str">
        <f>IF(Ramen_Ratings[[#This Row],[Top Ten]]="", "",RIGHT(Ramen_Ratings[[#This Row],[Top Ten]],LEN(Ramen_Ratings[[#This Row],[Top Ten]])-6))</f>
        <v/>
      </c>
    </row>
    <row r="1012" spans="1:11" x14ac:dyDescent="0.25">
      <c r="A1012">
        <v>1347</v>
      </c>
      <c r="B1012" t="s">
        <v>54</v>
      </c>
      <c r="C1012" t="s">
        <v>1492</v>
      </c>
      <c r="D1012" t="s">
        <v>13</v>
      </c>
      <c r="E1012" t="s">
        <v>25</v>
      </c>
      <c r="F1012" t="str">
        <f>VLOOKUP(Ramen_Ratings[[#This Row],[Country]],Country_Region[#All],2,FALSE)</f>
        <v>Asia</v>
      </c>
      <c r="G1012">
        <v>4</v>
      </c>
      <c r="H1012" t="str" cm="1">
        <f t="array" ref="H1012">_xlfn.IFS(Ramen_Ratings[[#This Row],[Stars]] = "Unrated", "NA",Ramen_Ratings[[#This Row],[Stars]]&gt;=4, "Good", Ramen_Ratings[[#This Row],[Stars]]&gt;2.5, "Fair", Ramen_Ratings[[#This Row],[Stars]] &gt;= 0, "Bad")</f>
        <v>Good</v>
      </c>
      <c r="J1012" t="str">
        <f>LEFT(Ramen_Ratings[[#This Row],[Top Ten]],4)</f>
        <v/>
      </c>
      <c r="K1012" t="str">
        <f>IF(Ramen_Ratings[[#This Row],[Top Ten]]="", "",RIGHT(Ramen_Ratings[[#This Row],[Top Ten]],LEN(Ramen_Ratings[[#This Row],[Top Ten]])-6))</f>
        <v/>
      </c>
    </row>
    <row r="1013" spans="1:11" x14ac:dyDescent="0.25">
      <c r="A1013">
        <v>1322</v>
      </c>
      <c r="B1013" t="s">
        <v>1521</v>
      </c>
      <c r="C1013" t="s">
        <v>1522</v>
      </c>
      <c r="D1013" t="s">
        <v>13</v>
      </c>
      <c r="E1013" t="s">
        <v>25</v>
      </c>
      <c r="F1013" t="str">
        <f>VLOOKUP(Ramen_Ratings[[#This Row],[Country]],Country_Region[#All],2,FALSE)</f>
        <v>Asia</v>
      </c>
      <c r="G1013">
        <v>4</v>
      </c>
      <c r="H1013" t="str" cm="1">
        <f t="array" ref="H1013">_xlfn.IFS(Ramen_Ratings[[#This Row],[Stars]] = "Unrated", "NA",Ramen_Ratings[[#This Row],[Stars]]&gt;=4, "Good", Ramen_Ratings[[#This Row],[Stars]]&gt;2.5, "Fair", Ramen_Ratings[[#This Row],[Stars]] &gt;= 0, "Bad")</f>
        <v>Good</v>
      </c>
      <c r="J1013" t="str">
        <f>LEFT(Ramen_Ratings[[#This Row],[Top Ten]],4)</f>
        <v/>
      </c>
      <c r="K1013" t="str">
        <f>IF(Ramen_Ratings[[#This Row],[Top Ten]]="", "",RIGHT(Ramen_Ratings[[#This Row],[Top Ten]],LEN(Ramen_Ratings[[#This Row],[Top Ten]])-6))</f>
        <v/>
      </c>
    </row>
    <row r="1014" spans="1:11" x14ac:dyDescent="0.25">
      <c r="A1014">
        <v>1316</v>
      </c>
      <c r="B1014" t="s">
        <v>74</v>
      </c>
      <c r="C1014" t="s">
        <v>1527</v>
      </c>
      <c r="D1014" t="s">
        <v>13</v>
      </c>
      <c r="E1014" t="s">
        <v>25</v>
      </c>
      <c r="F1014" t="str">
        <f>VLOOKUP(Ramen_Ratings[[#This Row],[Country]],Country_Region[#All],2,FALSE)</f>
        <v>Asia</v>
      </c>
      <c r="G1014">
        <v>2.75</v>
      </c>
      <c r="H1014" t="str" cm="1">
        <f t="array" ref="H1014">_xlfn.IFS(Ramen_Ratings[[#This Row],[Stars]] = "Unrated", "NA",Ramen_Ratings[[#This Row],[Stars]]&gt;=4, "Good", Ramen_Ratings[[#This Row],[Stars]]&gt;2.5, "Fair", Ramen_Ratings[[#This Row],[Stars]] &gt;= 0, "Bad")</f>
        <v>Fair</v>
      </c>
      <c r="J1014" t="str">
        <f>LEFT(Ramen_Ratings[[#This Row],[Top Ten]],4)</f>
        <v/>
      </c>
      <c r="K1014" t="str">
        <f>IF(Ramen_Ratings[[#This Row],[Top Ten]]="", "",RIGHT(Ramen_Ratings[[#This Row],[Top Ten]],LEN(Ramen_Ratings[[#This Row],[Top Ten]])-6))</f>
        <v/>
      </c>
    </row>
    <row r="1015" spans="1:11" x14ac:dyDescent="0.25">
      <c r="A1015">
        <v>1314</v>
      </c>
      <c r="B1015" t="s">
        <v>54</v>
      </c>
      <c r="C1015" t="s">
        <v>1528</v>
      </c>
      <c r="D1015" t="s">
        <v>13</v>
      </c>
      <c r="E1015" t="s">
        <v>25</v>
      </c>
      <c r="F1015" t="str">
        <f>VLOOKUP(Ramen_Ratings[[#This Row],[Country]],Country_Region[#All],2,FALSE)</f>
        <v>Asia</v>
      </c>
      <c r="G1015">
        <v>5</v>
      </c>
      <c r="H1015" t="str" cm="1">
        <f t="array" ref="H1015">_xlfn.IFS(Ramen_Ratings[[#This Row],[Stars]] = "Unrated", "NA",Ramen_Ratings[[#This Row],[Stars]]&gt;=4, "Good", Ramen_Ratings[[#This Row],[Stars]]&gt;2.5, "Fair", Ramen_Ratings[[#This Row],[Stars]] &gt;= 0, "Bad")</f>
        <v>Good</v>
      </c>
      <c r="J1015" t="str">
        <f>LEFT(Ramen_Ratings[[#This Row],[Top Ten]],4)</f>
        <v/>
      </c>
      <c r="K1015" t="str">
        <f>IF(Ramen_Ratings[[#This Row],[Top Ten]]="", "",RIGHT(Ramen_Ratings[[#This Row],[Top Ten]],LEN(Ramen_Ratings[[#This Row],[Top Ten]])-6))</f>
        <v/>
      </c>
    </row>
    <row r="1016" spans="1:11" x14ac:dyDescent="0.25">
      <c r="A1016">
        <v>1300</v>
      </c>
      <c r="B1016" t="s">
        <v>23</v>
      </c>
      <c r="C1016" t="s">
        <v>1545</v>
      </c>
      <c r="D1016" t="s">
        <v>13</v>
      </c>
      <c r="E1016" t="s">
        <v>25</v>
      </c>
      <c r="F1016" t="str">
        <f>VLOOKUP(Ramen_Ratings[[#This Row],[Country]],Country_Region[#All],2,FALSE)</f>
        <v>Asia</v>
      </c>
      <c r="G1016">
        <v>5</v>
      </c>
      <c r="H1016" t="str" cm="1">
        <f t="array" ref="H1016">_xlfn.IFS(Ramen_Ratings[[#This Row],[Stars]] = "Unrated", "NA",Ramen_Ratings[[#This Row],[Stars]]&gt;=4, "Good", Ramen_Ratings[[#This Row],[Stars]]&gt;2.5, "Fair", Ramen_Ratings[[#This Row],[Stars]] &gt;= 0, "Bad")</f>
        <v>Good</v>
      </c>
      <c r="J1016" t="str">
        <f>LEFT(Ramen_Ratings[[#This Row],[Top Ten]],4)</f>
        <v/>
      </c>
      <c r="K1016" t="str">
        <f>IF(Ramen_Ratings[[#This Row],[Top Ten]]="", "",RIGHT(Ramen_Ratings[[#This Row],[Top Ten]],LEN(Ramen_Ratings[[#This Row],[Top Ten]])-6))</f>
        <v/>
      </c>
    </row>
    <row r="1017" spans="1:11" x14ac:dyDescent="0.25">
      <c r="A1017">
        <v>1298</v>
      </c>
      <c r="B1017" t="s">
        <v>1548</v>
      </c>
      <c r="C1017" t="s">
        <v>1549</v>
      </c>
      <c r="D1017" t="s">
        <v>44</v>
      </c>
      <c r="E1017" t="s">
        <v>25</v>
      </c>
      <c r="F1017" t="str">
        <f>VLOOKUP(Ramen_Ratings[[#This Row],[Country]],Country_Region[#All],2,FALSE)</f>
        <v>Asia</v>
      </c>
      <c r="G1017">
        <v>4</v>
      </c>
      <c r="H1017" t="str" cm="1">
        <f t="array" ref="H1017">_xlfn.IFS(Ramen_Ratings[[#This Row],[Stars]] = "Unrated", "NA",Ramen_Ratings[[#This Row],[Stars]]&gt;=4, "Good", Ramen_Ratings[[#This Row],[Stars]]&gt;2.5, "Fair", Ramen_Ratings[[#This Row],[Stars]] &gt;= 0, "Bad")</f>
        <v>Good</v>
      </c>
      <c r="J1017" t="str">
        <f>LEFT(Ramen_Ratings[[#This Row],[Top Ten]],4)</f>
        <v/>
      </c>
      <c r="K1017" t="str">
        <f>IF(Ramen_Ratings[[#This Row],[Top Ten]]="", "",RIGHT(Ramen_Ratings[[#This Row],[Top Ten]],LEN(Ramen_Ratings[[#This Row],[Top Ten]])-6))</f>
        <v/>
      </c>
    </row>
    <row r="1018" spans="1:11" x14ac:dyDescent="0.25">
      <c r="A1018">
        <v>1290</v>
      </c>
      <c r="B1018" t="s">
        <v>41</v>
      </c>
      <c r="C1018" t="s">
        <v>1557</v>
      </c>
      <c r="D1018" t="s">
        <v>30</v>
      </c>
      <c r="E1018" t="s">
        <v>25</v>
      </c>
      <c r="F1018" t="str">
        <f>VLOOKUP(Ramen_Ratings[[#This Row],[Country]],Country_Region[#All],2,FALSE)</f>
        <v>Asia</v>
      </c>
      <c r="G1018">
        <v>4.5</v>
      </c>
      <c r="H1018" t="str" cm="1">
        <f t="array" ref="H1018">_xlfn.IFS(Ramen_Ratings[[#This Row],[Stars]] = "Unrated", "NA",Ramen_Ratings[[#This Row],[Stars]]&gt;=4, "Good", Ramen_Ratings[[#This Row],[Stars]]&gt;2.5, "Fair", Ramen_Ratings[[#This Row],[Stars]] &gt;= 0, "Bad")</f>
        <v>Good</v>
      </c>
      <c r="J1018" t="str">
        <f>LEFT(Ramen_Ratings[[#This Row],[Top Ten]],4)</f>
        <v/>
      </c>
      <c r="K1018" t="str">
        <f>IF(Ramen_Ratings[[#This Row],[Top Ten]]="", "",RIGHT(Ramen_Ratings[[#This Row],[Top Ten]],LEN(Ramen_Ratings[[#This Row],[Top Ten]])-6))</f>
        <v/>
      </c>
    </row>
    <row r="1019" spans="1:11" x14ac:dyDescent="0.25">
      <c r="A1019">
        <v>1283</v>
      </c>
      <c r="B1019" t="s">
        <v>41</v>
      </c>
      <c r="C1019" t="s">
        <v>1565</v>
      </c>
      <c r="D1019" t="s">
        <v>9</v>
      </c>
      <c r="E1019" t="s">
        <v>25</v>
      </c>
      <c r="F1019" t="str">
        <f>VLOOKUP(Ramen_Ratings[[#This Row],[Country]],Country_Region[#All],2,FALSE)</f>
        <v>Asia</v>
      </c>
      <c r="G1019">
        <v>4</v>
      </c>
      <c r="H1019" t="str" cm="1">
        <f t="array" ref="H1019">_xlfn.IFS(Ramen_Ratings[[#This Row],[Stars]] = "Unrated", "NA",Ramen_Ratings[[#This Row],[Stars]]&gt;=4, "Good", Ramen_Ratings[[#This Row],[Stars]]&gt;2.5, "Fair", Ramen_Ratings[[#This Row],[Stars]] &gt;= 0, "Bad")</f>
        <v>Good</v>
      </c>
      <c r="J1019" t="str">
        <f>LEFT(Ramen_Ratings[[#This Row],[Top Ten]],4)</f>
        <v/>
      </c>
      <c r="K1019" t="str">
        <f>IF(Ramen_Ratings[[#This Row],[Top Ten]]="", "",RIGHT(Ramen_Ratings[[#This Row],[Top Ten]],LEN(Ramen_Ratings[[#This Row],[Top Ten]])-6))</f>
        <v/>
      </c>
    </row>
    <row r="1020" spans="1:11" x14ac:dyDescent="0.25">
      <c r="A1020">
        <v>1278</v>
      </c>
      <c r="B1020" t="s">
        <v>74</v>
      </c>
      <c r="C1020" t="s">
        <v>1571</v>
      </c>
      <c r="D1020" t="s">
        <v>13</v>
      </c>
      <c r="E1020" t="s">
        <v>25</v>
      </c>
      <c r="F1020" t="str">
        <f>VLOOKUP(Ramen_Ratings[[#This Row],[Country]],Country_Region[#All],2,FALSE)</f>
        <v>Asia</v>
      </c>
      <c r="G1020">
        <v>3.25</v>
      </c>
      <c r="H1020" t="str" cm="1">
        <f t="array" ref="H1020">_xlfn.IFS(Ramen_Ratings[[#This Row],[Stars]] = "Unrated", "NA",Ramen_Ratings[[#This Row],[Stars]]&gt;=4, "Good", Ramen_Ratings[[#This Row],[Stars]]&gt;2.5, "Fair", Ramen_Ratings[[#This Row],[Stars]] &gt;= 0, "Bad")</f>
        <v>Fair</v>
      </c>
      <c r="J1020" t="str">
        <f>LEFT(Ramen_Ratings[[#This Row],[Top Ten]],4)</f>
        <v/>
      </c>
      <c r="K1020" t="str">
        <f>IF(Ramen_Ratings[[#This Row],[Top Ten]]="", "",RIGHT(Ramen_Ratings[[#This Row],[Top Ten]],LEN(Ramen_Ratings[[#This Row],[Top Ten]])-6))</f>
        <v/>
      </c>
    </row>
    <row r="1021" spans="1:11" x14ac:dyDescent="0.25">
      <c r="A1021">
        <v>1272</v>
      </c>
      <c r="B1021" t="s">
        <v>23</v>
      </c>
      <c r="C1021" t="s">
        <v>1577</v>
      </c>
      <c r="D1021" t="s">
        <v>13</v>
      </c>
      <c r="E1021" t="s">
        <v>25</v>
      </c>
      <c r="F1021" t="str">
        <f>VLOOKUP(Ramen_Ratings[[#This Row],[Country]],Country_Region[#All],2,FALSE)</f>
        <v>Asia</v>
      </c>
      <c r="G1021">
        <v>3.5</v>
      </c>
      <c r="H1021" t="str" cm="1">
        <f t="array" ref="H1021">_xlfn.IFS(Ramen_Ratings[[#This Row],[Stars]] = "Unrated", "NA",Ramen_Ratings[[#This Row],[Stars]]&gt;=4, "Good", Ramen_Ratings[[#This Row],[Stars]]&gt;2.5, "Fair", Ramen_Ratings[[#This Row],[Stars]] &gt;= 0, "Bad")</f>
        <v>Fair</v>
      </c>
      <c r="J1021" t="str">
        <f>LEFT(Ramen_Ratings[[#This Row],[Top Ten]],4)</f>
        <v/>
      </c>
      <c r="K1021" t="str">
        <f>IF(Ramen_Ratings[[#This Row],[Top Ten]]="", "",RIGHT(Ramen_Ratings[[#This Row],[Top Ten]],LEN(Ramen_Ratings[[#This Row],[Top Ten]])-6))</f>
        <v/>
      </c>
    </row>
    <row r="1022" spans="1:11" x14ac:dyDescent="0.25">
      <c r="A1022">
        <v>1250</v>
      </c>
      <c r="B1022" t="s">
        <v>23</v>
      </c>
      <c r="C1022" t="s">
        <v>1602</v>
      </c>
      <c r="D1022" t="s">
        <v>44</v>
      </c>
      <c r="E1022" t="s">
        <v>25</v>
      </c>
      <c r="F1022" t="str">
        <f>VLOOKUP(Ramen_Ratings[[#This Row],[Country]],Country_Region[#All],2,FALSE)</f>
        <v>Asia</v>
      </c>
      <c r="G1022">
        <v>3.75</v>
      </c>
      <c r="H1022" t="str" cm="1">
        <f t="array" ref="H1022">_xlfn.IFS(Ramen_Ratings[[#This Row],[Stars]] = "Unrated", "NA",Ramen_Ratings[[#This Row],[Stars]]&gt;=4, "Good", Ramen_Ratings[[#This Row],[Stars]]&gt;2.5, "Fair", Ramen_Ratings[[#This Row],[Stars]] &gt;= 0, "Bad")</f>
        <v>Fair</v>
      </c>
      <c r="J1022" t="str">
        <f>LEFT(Ramen_Ratings[[#This Row],[Top Ten]],4)</f>
        <v/>
      </c>
      <c r="K1022" t="str">
        <f>IF(Ramen_Ratings[[#This Row],[Top Ten]]="", "",RIGHT(Ramen_Ratings[[#This Row],[Top Ten]],LEN(Ramen_Ratings[[#This Row],[Top Ten]])-6))</f>
        <v/>
      </c>
    </row>
    <row r="1023" spans="1:11" x14ac:dyDescent="0.25">
      <c r="A1023">
        <v>1236</v>
      </c>
      <c r="B1023" t="s">
        <v>1114</v>
      </c>
      <c r="C1023" t="s">
        <v>1617</v>
      </c>
      <c r="D1023" t="s">
        <v>9</v>
      </c>
      <c r="E1023" t="s">
        <v>25</v>
      </c>
      <c r="F1023" t="str">
        <f>VLOOKUP(Ramen_Ratings[[#This Row],[Country]],Country_Region[#All],2,FALSE)</f>
        <v>Asia</v>
      </c>
      <c r="G1023">
        <v>3.25</v>
      </c>
      <c r="H1023" t="str" cm="1">
        <f t="array" ref="H1023">_xlfn.IFS(Ramen_Ratings[[#This Row],[Stars]] = "Unrated", "NA",Ramen_Ratings[[#This Row],[Stars]]&gt;=4, "Good", Ramen_Ratings[[#This Row],[Stars]]&gt;2.5, "Fair", Ramen_Ratings[[#This Row],[Stars]] &gt;= 0, "Bad")</f>
        <v>Fair</v>
      </c>
      <c r="J1023" t="str">
        <f>LEFT(Ramen_Ratings[[#This Row],[Top Ten]],4)</f>
        <v/>
      </c>
      <c r="K1023" t="str">
        <f>IF(Ramen_Ratings[[#This Row],[Top Ten]]="", "",RIGHT(Ramen_Ratings[[#This Row],[Top Ten]],LEN(Ramen_Ratings[[#This Row],[Top Ten]])-6))</f>
        <v/>
      </c>
    </row>
    <row r="1024" spans="1:11" x14ac:dyDescent="0.25">
      <c r="A1024">
        <v>1224</v>
      </c>
      <c r="B1024" t="s">
        <v>1630</v>
      </c>
      <c r="C1024" t="s">
        <v>1631</v>
      </c>
      <c r="D1024" t="s">
        <v>13</v>
      </c>
      <c r="E1024" t="s">
        <v>25</v>
      </c>
      <c r="F1024" t="str">
        <f>VLOOKUP(Ramen_Ratings[[#This Row],[Country]],Country_Region[#All],2,FALSE)</f>
        <v>Asia</v>
      </c>
      <c r="G1024">
        <v>4</v>
      </c>
      <c r="H1024" t="str" cm="1">
        <f t="array" ref="H1024">_xlfn.IFS(Ramen_Ratings[[#This Row],[Stars]] = "Unrated", "NA",Ramen_Ratings[[#This Row],[Stars]]&gt;=4, "Good", Ramen_Ratings[[#This Row],[Stars]]&gt;2.5, "Fair", Ramen_Ratings[[#This Row],[Stars]] &gt;= 0, "Bad")</f>
        <v>Good</v>
      </c>
      <c r="J1024" t="str">
        <f>LEFT(Ramen_Ratings[[#This Row],[Top Ten]],4)</f>
        <v/>
      </c>
      <c r="K1024" t="str">
        <f>IF(Ramen_Ratings[[#This Row],[Top Ten]]="", "",RIGHT(Ramen_Ratings[[#This Row],[Top Ten]],LEN(Ramen_Ratings[[#This Row],[Top Ten]])-6))</f>
        <v/>
      </c>
    </row>
    <row r="1025" spans="1:11" x14ac:dyDescent="0.25">
      <c r="A1025">
        <v>1194</v>
      </c>
      <c r="B1025" t="s">
        <v>54</v>
      </c>
      <c r="C1025" t="s">
        <v>1663</v>
      </c>
      <c r="D1025" t="s">
        <v>44</v>
      </c>
      <c r="E1025" t="s">
        <v>25</v>
      </c>
      <c r="F1025" t="str">
        <f>VLOOKUP(Ramen_Ratings[[#This Row],[Country]],Country_Region[#All],2,FALSE)</f>
        <v>Asia</v>
      </c>
      <c r="G1025">
        <v>4</v>
      </c>
      <c r="H1025" t="str" cm="1">
        <f t="array" ref="H1025">_xlfn.IFS(Ramen_Ratings[[#This Row],[Stars]] = "Unrated", "NA",Ramen_Ratings[[#This Row],[Stars]]&gt;=4, "Good", Ramen_Ratings[[#This Row],[Stars]]&gt;2.5, "Fair", Ramen_Ratings[[#This Row],[Stars]] &gt;= 0, "Bad")</f>
        <v>Good</v>
      </c>
      <c r="J1025" t="str">
        <f>LEFT(Ramen_Ratings[[#This Row],[Top Ten]],4)</f>
        <v/>
      </c>
      <c r="K1025" t="str">
        <f>IF(Ramen_Ratings[[#This Row],[Top Ten]]="", "",RIGHT(Ramen_Ratings[[#This Row],[Top Ten]],LEN(Ramen_Ratings[[#This Row],[Top Ten]])-6))</f>
        <v/>
      </c>
    </row>
    <row r="1026" spans="1:11" x14ac:dyDescent="0.25">
      <c r="A1026">
        <v>1187</v>
      </c>
      <c r="B1026" t="s">
        <v>41</v>
      </c>
      <c r="C1026" t="s">
        <v>1671</v>
      </c>
      <c r="D1026" t="s">
        <v>9</v>
      </c>
      <c r="E1026" t="s">
        <v>25</v>
      </c>
      <c r="F1026" t="str">
        <f>VLOOKUP(Ramen_Ratings[[#This Row],[Country]],Country_Region[#All],2,FALSE)</f>
        <v>Asia</v>
      </c>
      <c r="G1026">
        <v>3.5</v>
      </c>
      <c r="H1026" t="str" cm="1">
        <f t="array" ref="H1026">_xlfn.IFS(Ramen_Ratings[[#This Row],[Stars]] = "Unrated", "NA",Ramen_Ratings[[#This Row],[Stars]]&gt;=4, "Good", Ramen_Ratings[[#This Row],[Stars]]&gt;2.5, "Fair", Ramen_Ratings[[#This Row],[Stars]] &gt;= 0, "Bad")</f>
        <v>Fair</v>
      </c>
      <c r="J1026" t="str">
        <f>LEFT(Ramen_Ratings[[#This Row],[Top Ten]],4)</f>
        <v/>
      </c>
      <c r="K1026" t="str">
        <f>IF(Ramen_Ratings[[#This Row],[Top Ten]]="", "",RIGHT(Ramen_Ratings[[#This Row],[Top Ten]],LEN(Ramen_Ratings[[#This Row],[Top Ten]])-6))</f>
        <v/>
      </c>
    </row>
    <row r="1027" spans="1:11" x14ac:dyDescent="0.25">
      <c r="A1027">
        <v>1181</v>
      </c>
      <c r="B1027" t="s">
        <v>23</v>
      </c>
      <c r="C1027" t="s">
        <v>1678</v>
      </c>
      <c r="D1027" t="s">
        <v>13</v>
      </c>
      <c r="E1027" t="s">
        <v>25</v>
      </c>
      <c r="F1027" t="str">
        <f>VLOOKUP(Ramen_Ratings[[#This Row],[Country]],Country_Region[#All],2,FALSE)</f>
        <v>Asia</v>
      </c>
      <c r="G1027">
        <v>4</v>
      </c>
      <c r="H1027" t="str" cm="1">
        <f t="array" ref="H1027">_xlfn.IFS(Ramen_Ratings[[#This Row],[Stars]] = "Unrated", "NA",Ramen_Ratings[[#This Row],[Stars]]&gt;=4, "Good", Ramen_Ratings[[#This Row],[Stars]]&gt;2.5, "Fair", Ramen_Ratings[[#This Row],[Stars]] &gt;= 0, "Bad")</f>
        <v>Good</v>
      </c>
      <c r="J1027" t="str">
        <f>LEFT(Ramen_Ratings[[#This Row],[Top Ten]],4)</f>
        <v/>
      </c>
      <c r="K1027" t="str">
        <f>IF(Ramen_Ratings[[#This Row],[Top Ten]]="", "",RIGHT(Ramen_Ratings[[#This Row],[Top Ten]],LEN(Ramen_Ratings[[#This Row],[Top Ten]])-6))</f>
        <v/>
      </c>
    </row>
    <row r="1028" spans="1:11" x14ac:dyDescent="0.25">
      <c r="A1028">
        <v>1160</v>
      </c>
      <c r="B1028" t="s">
        <v>23</v>
      </c>
      <c r="C1028" t="s">
        <v>1698</v>
      </c>
      <c r="D1028" t="s">
        <v>13</v>
      </c>
      <c r="E1028" t="s">
        <v>25</v>
      </c>
      <c r="F1028" t="str">
        <f>VLOOKUP(Ramen_Ratings[[#This Row],[Country]],Country_Region[#All],2,FALSE)</f>
        <v>Asia</v>
      </c>
      <c r="G1028">
        <v>3.75</v>
      </c>
      <c r="H1028" t="str" cm="1">
        <f t="array" ref="H1028">_xlfn.IFS(Ramen_Ratings[[#This Row],[Stars]] = "Unrated", "NA",Ramen_Ratings[[#This Row],[Stars]]&gt;=4, "Good", Ramen_Ratings[[#This Row],[Stars]]&gt;2.5, "Fair", Ramen_Ratings[[#This Row],[Stars]] &gt;= 0, "Bad")</f>
        <v>Fair</v>
      </c>
      <c r="J1028" t="str">
        <f>LEFT(Ramen_Ratings[[#This Row],[Top Ten]],4)</f>
        <v/>
      </c>
      <c r="K1028" t="str">
        <f>IF(Ramen_Ratings[[#This Row],[Top Ten]]="", "",RIGHT(Ramen_Ratings[[#This Row],[Top Ten]],LEN(Ramen_Ratings[[#This Row],[Top Ten]])-6))</f>
        <v/>
      </c>
    </row>
    <row r="1029" spans="1:11" x14ac:dyDescent="0.25">
      <c r="A1029">
        <v>1134</v>
      </c>
      <c r="B1029" t="s">
        <v>1521</v>
      </c>
      <c r="C1029" t="s">
        <v>1726</v>
      </c>
      <c r="D1029" t="s">
        <v>13</v>
      </c>
      <c r="E1029" t="s">
        <v>25</v>
      </c>
      <c r="F1029" t="str">
        <f>VLOOKUP(Ramen_Ratings[[#This Row],[Country]],Country_Region[#All],2,FALSE)</f>
        <v>Asia</v>
      </c>
      <c r="G1029">
        <v>4</v>
      </c>
      <c r="H1029" t="str" cm="1">
        <f t="array" ref="H1029">_xlfn.IFS(Ramen_Ratings[[#This Row],[Stars]] = "Unrated", "NA",Ramen_Ratings[[#This Row],[Stars]]&gt;=4, "Good", Ramen_Ratings[[#This Row],[Stars]]&gt;2.5, "Fair", Ramen_Ratings[[#This Row],[Stars]] &gt;= 0, "Bad")</f>
        <v>Good</v>
      </c>
      <c r="J1029" t="str">
        <f>LEFT(Ramen_Ratings[[#This Row],[Top Ten]],4)</f>
        <v/>
      </c>
      <c r="K1029" t="str">
        <f>IF(Ramen_Ratings[[#This Row],[Top Ten]]="", "",RIGHT(Ramen_Ratings[[#This Row],[Top Ten]],LEN(Ramen_Ratings[[#This Row],[Top Ten]])-6))</f>
        <v/>
      </c>
    </row>
    <row r="1030" spans="1:11" x14ac:dyDescent="0.25">
      <c r="A1030">
        <v>1124</v>
      </c>
      <c r="B1030" t="s">
        <v>23</v>
      </c>
      <c r="C1030" t="s">
        <v>1736</v>
      </c>
      <c r="D1030" t="s">
        <v>44</v>
      </c>
      <c r="E1030" t="s">
        <v>25</v>
      </c>
      <c r="F1030" t="str">
        <f>VLOOKUP(Ramen_Ratings[[#This Row],[Country]],Country_Region[#All],2,FALSE)</f>
        <v>Asia</v>
      </c>
      <c r="G1030">
        <v>4.25</v>
      </c>
      <c r="H1030" t="str" cm="1">
        <f t="array" ref="H1030">_xlfn.IFS(Ramen_Ratings[[#This Row],[Stars]] = "Unrated", "NA",Ramen_Ratings[[#This Row],[Stars]]&gt;=4, "Good", Ramen_Ratings[[#This Row],[Stars]]&gt;2.5, "Fair", Ramen_Ratings[[#This Row],[Stars]] &gt;= 0, "Bad")</f>
        <v>Good</v>
      </c>
      <c r="J1030" t="str">
        <f>LEFT(Ramen_Ratings[[#This Row],[Top Ten]],4)</f>
        <v/>
      </c>
      <c r="K1030" t="str">
        <f>IF(Ramen_Ratings[[#This Row],[Top Ten]]="", "",RIGHT(Ramen_Ratings[[#This Row],[Top Ten]],LEN(Ramen_Ratings[[#This Row],[Top Ten]])-6))</f>
        <v/>
      </c>
    </row>
    <row r="1031" spans="1:11" x14ac:dyDescent="0.25">
      <c r="A1031">
        <v>1113</v>
      </c>
      <c r="B1031" t="s">
        <v>23</v>
      </c>
      <c r="C1031" t="s">
        <v>1749</v>
      </c>
      <c r="D1031" t="s">
        <v>9</v>
      </c>
      <c r="E1031" t="s">
        <v>25</v>
      </c>
      <c r="F1031" t="str">
        <f>VLOOKUP(Ramen_Ratings[[#This Row],[Country]],Country_Region[#All],2,FALSE)</f>
        <v>Asia</v>
      </c>
      <c r="G1031">
        <v>3.5</v>
      </c>
      <c r="H1031" t="str" cm="1">
        <f t="array" ref="H1031">_xlfn.IFS(Ramen_Ratings[[#This Row],[Stars]] = "Unrated", "NA",Ramen_Ratings[[#This Row],[Stars]]&gt;=4, "Good", Ramen_Ratings[[#This Row],[Stars]]&gt;2.5, "Fair", Ramen_Ratings[[#This Row],[Stars]] &gt;= 0, "Bad")</f>
        <v>Fair</v>
      </c>
      <c r="J1031" t="str">
        <f>LEFT(Ramen_Ratings[[#This Row],[Top Ten]],4)</f>
        <v/>
      </c>
      <c r="K1031" t="str">
        <f>IF(Ramen_Ratings[[#This Row],[Top Ten]]="", "",RIGHT(Ramen_Ratings[[#This Row],[Top Ten]],LEN(Ramen_Ratings[[#This Row],[Top Ten]])-6))</f>
        <v/>
      </c>
    </row>
    <row r="1032" spans="1:11" x14ac:dyDescent="0.25">
      <c r="A1032">
        <v>1110</v>
      </c>
      <c r="B1032" t="s">
        <v>1752</v>
      </c>
      <c r="C1032" t="s">
        <v>1753</v>
      </c>
      <c r="D1032" t="s">
        <v>13</v>
      </c>
      <c r="E1032" t="s">
        <v>25</v>
      </c>
      <c r="F1032" t="str">
        <f>VLOOKUP(Ramen_Ratings[[#This Row],[Country]],Country_Region[#All],2,FALSE)</f>
        <v>Asia</v>
      </c>
      <c r="G1032">
        <v>4.5</v>
      </c>
      <c r="H1032" t="str" cm="1">
        <f t="array" ref="H1032">_xlfn.IFS(Ramen_Ratings[[#This Row],[Stars]] = "Unrated", "NA",Ramen_Ratings[[#This Row],[Stars]]&gt;=4, "Good", Ramen_Ratings[[#This Row],[Stars]]&gt;2.5, "Fair", Ramen_Ratings[[#This Row],[Stars]] &gt;= 0, "Bad")</f>
        <v>Good</v>
      </c>
      <c r="J1032" t="str">
        <f>LEFT(Ramen_Ratings[[#This Row],[Top Ten]],4)</f>
        <v/>
      </c>
      <c r="K1032" t="str">
        <f>IF(Ramen_Ratings[[#This Row],[Top Ten]]="", "",RIGHT(Ramen_Ratings[[#This Row],[Top Ten]],LEN(Ramen_Ratings[[#This Row],[Top Ten]])-6))</f>
        <v/>
      </c>
    </row>
    <row r="1033" spans="1:11" x14ac:dyDescent="0.25">
      <c r="A1033">
        <v>1105</v>
      </c>
      <c r="B1033" t="s">
        <v>41</v>
      </c>
      <c r="C1033" t="s">
        <v>1758</v>
      </c>
      <c r="D1033" t="s">
        <v>30</v>
      </c>
      <c r="E1033" t="s">
        <v>25</v>
      </c>
      <c r="F1033" t="str">
        <f>VLOOKUP(Ramen_Ratings[[#This Row],[Country]],Country_Region[#All],2,FALSE)</f>
        <v>Asia</v>
      </c>
      <c r="G1033">
        <v>5</v>
      </c>
      <c r="H1033" t="str" cm="1">
        <f t="array" ref="H1033">_xlfn.IFS(Ramen_Ratings[[#This Row],[Stars]] = "Unrated", "NA",Ramen_Ratings[[#This Row],[Stars]]&gt;=4, "Good", Ramen_Ratings[[#This Row],[Stars]]&gt;2.5, "Fair", Ramen_Ratings[[#This Row],[Stars]] &gt;= 0, "Bad")</f>
        <v>Good</v>
      </c>
      <c r="J1033" t="str">
        <f>LEFT(Ramen_Ratings[[#This Row],[Top Ten]],4)</f>
        <v/>
      </c>
      <c r="K1033" t="str">
        <f>IF(Ramen_Ratings[[#This Row],[Top Ten]]="", "",RIGHT(Ramen_Ratings[[#This Row],[Top Ten]],LEN(Ramen_Ratings[[#This Row],[Top Ten]])-6))</f>
        <v/>
      </c>
    </row>
    <row r="1034" spans="1:11" x14ac:dyDescent="0.25">
      <c r="A1034">
        <v>1070</v>
      </c>
      <c r="B1034" t="s">
        <v>1630</v>
      </c>
      <c r="C1034" t="s">
        <v>1795</v>
      </c>
      <c r="D1034" t="s">
        <v>13</v>
      </c>
      <c r="E1034" t="s">
        <v>25</v>
      </c>
      <c r="F1034" t="str">
        <f>VLOOKUP(Ramen_Ratings[[#This Row],[Country]],Country_Region[#All],2,FALSE)</f>
        <v>Asia</v>
      </c>
      <c r="G1034">
        <v>4</v>
      </c>
      <c r="H1034" t="str" cm="1">
        <f t="array" ref="H1034">_xlfn.IFS(Ramen_Ratings[[#This Row],[Stars]] = "Unrated", "NA",Ramen_Ratings[[#This Row],[Stars]]&gt;=4, "Good", Ramen_Ratings[[#This Row],[Stars]]&gt;2.5, "Fair", Ramen_Ratings[[#This Row],[Stars]] &gt;= 0, "Bad")</f>
        <v>Good</v>
      </c>
      <c r="J1034" t="str">
        <f>LEFT(Ramen_Ratings[[#This Row],[Top Ten]],4)</f>
        <v/>
      </c>
      <c r="K1034" t="str">
        <f>IF(Ramen_Ratings[[#This Row],[Top Ten]]="", "",RIGHT(Ramen_Ratings[[#This Row],[Top Ten]],LEN(Ramen_Ratings[[#This Row],[Top Ten]])-6))</f>
        <v/>
      </c>
    </row>
    <row r="1035" spans="1:11" x14ac:dyDescent="0.25">
      <c r="A1035">
        <v>1048</v>
      </c>
      <c r="B1035" t="s">
        <v>74</v>
      </c>
      <c r="C1035" t="s">
        <v>1402</v>
      </c>
      <c r="D1035" t="s">
        <v>9</v>
      </c>
      <c r="E1035" t="s">
        <v>25</v>
      </c>
      <c r="F1035" t="str">
        <f>VLOOKUP(Ramen_Ratings[[#This Row],[Country]],Country_Region[#All],2,FALSE)</f>
        <v>Asia</v>
      </c>
      <c r="G1035">
        <v>3.5</v>
      </c>
      <c r="H1035" t="str" cm="1">
        <f t="array" ref="H1035">_xlfn.IFS(Ramen_Ratings[[#This Row],[Stars]] = "Unrated", "NA",Ramen_Ratings[[#This Row],[Stars]]&gt;=4, "Good", Ramen_Ratings[[#This Row],[Stars]]&gt;2.5, "Fair", Ramen_Ratings[[#This Row],[Stars]] &gt;= 0, "Bad")</f>
        <v>Fair</v>
      </c>
      <c r="J1035" t="str">
        <f>LEFT(Ramen_Ratings[[#This Row],[Top Ten]],4)</f>
        <v/>
      </c>
      <c r="K1035" t="str">
        <f>IF(Ramen_Ratings[[#This Row],[Top Ten]]="", "",RIGHT(Ramen_Ratings[[#This Row],[Top Ten]],LEN(Ramen_Ratings[[#This Row],[Top Ten]])-6))</f>
        <v/>
      </c>
    </row>
    <row r="1036" spans="1:11" x14ac:dyDescent="0.25">
      <c r="A1036">
        <v>1037</v>
      </c>
      <c r="B1036" t="s">
        <v>1114</v>
      </c>
      <c r="C1036" t="s">
        <v>1827</v>
      </c>
      <c r="D1036" t="s">
        <v>13</v>
      </c>
      <c r="E1036" t="s">
        <v>25</v>
      </c>
      <c r="F1036" t="str">
        <f>VLOOKUP(Ramen_Ratings[[#This Row],[Country]],Country_Region[#All],2,FALSE)</f>
        <v>Asia</v>
      </c>
      <c r="G1036">
        <v>4</v>
      </c>
      <c r="H1036" t="str" cm="1">
        <f t="array" ref="H1036">_xlfn.IFS(Ramen_Ratings[[#This Row],[Stars]] = "Unrated", "NA",Ramen_Ratings[[#This Row],[Stars]]&gt;=4, "Good", Ramen_Ratings[[#This Row],[Stars]]&gt;2.5, "Fair", Ramen_Ratings[[#This Row],[Stars]] &gt;= 0, "Bad")</f>
        <v>Good</v>
      </c>
      <c r="J1036" t="str">
        <f>LEFT(Ramen_Ratings[[#This Row],[Top Ten]],4)</f>
        <v/>
      </c>
      <c r="K1036" t="str">
        <f>IF(Ramen_Ratings[[#This Row],[Top Ten]]="", "",RIGHT(Ramen_Ratings[[#This Row],[Top Ten]],LEN(Ramen_Ratings[[#This Row],[Top Ten]])-6))</f>
        <v/>
      </c>
    </row>
    <row r="1037" spans="1:11" x14ac:dyDescent="0.25">
      <c r="A1037">
        <v>1031</v>
      </c>
      <c r="B1037" t="s">
        <v>1630</v>
      </c>
      <c r="C1037" t="s">
        <v>1833</v>
      </c>
      <c r="D1037" t="s">
        <v>13</v>
      </c>
      <c r="E1037" t="s">
        <v>25</v>
      </c>
      <c r="F1037" t="str">
        <f>VLOOKUP(Ramen_Ratings[[#This Row],[Country]],Country_Region[#All],2,FALSE)</f>
        <v>Asia</v>
      </c>
      <c r="G1037">
        <v>4</v>
      </c>
      <c r="H1037" t="str" cm="1">
        <f t="array" ref="H1037">_xlfn.IFS(Ramen_Ratings[[#This Row],[Stars]] = "Unrated", "NA",Ramen_Ratings[[#This Row],[Stars]]&gt;=4, "Good", Ramen_Ratings[[#This Row],[Stars]]&gt;2.5, "Fair", Ramen_Ratings[[#This Row],[Stars]] &gt;= 0, "Bad")</f>
        <v>Good</v>
      </c>
      <c r="J1037" t="str">
        <f>LEFT(Ramen_Ratings[[#This Row],[Top Ten]],4)</f>
        <v/>
      </c>
      <c r="K1037" t="str">
        <f>IF(Ramen_Ratings[[#This Row],[Top Ten]]="", "",RIGHT(Ramen_Ratings[[#This Row],[Top Ten]],LEN(Ramen_Ratings[[#This Row],[Top Ten]])-6))</f>
        <v/>
      </c>
    </row>
    <row r="1038" spans="1:11" x14ac:dyDescent="0.25">
      <c r="A1038">
        <v>1030</v>
      </c>
      <c r="B1038" t="s">
        <v>23</v>
      </c>
      <c r="C1038" t="s">
        <v>1834</v>
      </c>
      <c r="D1038" t="s">
        <v>13</v>
      </c>
      <c r="E1038" t="s">
        <v>25</v>
      </c>
      <c r="F1038" t="str">
        <f>VLOOKUP(Ramen_Ratings[[#This Row],[Country]],Country_Region[#All],2,FALSE)</f>
        <v>Asia</v>
      </c>
      <c r="G1038">
        <v>3.75</v>
      </c>
      <c r="H1038" t="str" cm="1">
        <f t="array" ref="H1038">_xlfn.IFS(Ramen_Ratings[[#This Row],[Stars]] = "Unrated", "NA",Ramen_Ratings[[#This Row],[Stars]]&gt;=4, "Good", Ramen_Ratings[[#This Row],[Stars]]&gt;2.5, "Fair", Ramen_Ratings[[#This Row],[Stars]] &gt;= 0, "Bad")</f>
        <v>Fair</v>
      </c>
      <c r="J1038" t="str">
        <f>LEFT(Ramen_Ratings[[#This Row],[Top Ten]],4)</f>
        <v/>
      </c>
      <c r="K1038" t="str">
        <f>IF(Ramen_Ratings[[#This Row],[Top Ten]]="", "",RIGHT(Ramen_Ratings[[#This Row],[Top Ten]],LEN(Ramen_Ratings[[#This Row],[Top Ten]])-6))</f>
        <v/>
      </c>
    </row>
    <row r="1039" spans="1:11" x14ac:dyDescent="0.25">
      <c r="A1039">
        <v>1029</v>
      </c>
      <c r="B1039" t="s">
        <v>23</v>
      </c>
      <c r="C1039" t="s">
        <v>1835</v>
      </c>
      <c r="D1039" t="s">
        <v>13</v>
      </c>
      <c r="E1039" t="s">
        <v>25</v>
      </c>
      <c r="F1039" t="str">
        <f>VLOOKUP(Ramen_Ratings[[#This Row],[Country]],Country_Region[#All],2,FALSE)</f>
        <v>Asia</v>
      </c>
      <c r="G1039">
        <v>5</v>
      </c>
      <c r="H1039" t="str" cm="1">
        <f t="array" ref="H1039">_xlfn.IFS(Ramen_Ratings[[#This Row],[Stars]] = "Unrated", "NA",Ramen_Ratings[[#This Row],[Stars]]&gt;=4, "Good", Ramen_Ratings[[#This Row],[Stars]]&gt;2.5, "Fair", Ramen_Ratings[[#This Row],[Stars]] &gt;= 0, "Bad")</f>
        <v>Good</v>
      </c>
      <c r="J1039" t="str">
        <f>LEFT(Ramen_Ratings[[#This Row],[Top Ten]],4)</f>
        <v/>
      </c>
      <c r="K1039" t="str">
        <f>IF(Ramen_Ratings[[#This Row],[Top Ten]]="", "",RIGHT(Ramen_Ratings[[#This Row],[Top Ten]],LEN(Ramen_Ratings[[#This Row],[Top Ten]])-6))</f>
        <v/>
      </c>
    </row>
    <row r="1040" spans="1:11" x14ac:dyDescent="0.25">
      <c r="A1040">
        <v>1028</v>
      </c>
      <c r="B1040" t="s">
        <v>23</v>
      </c>
      <c r="C1040" t="s">
        <v>1836</v>
      </c>
      <c r="D1040" t="s">
        <v>13</v>
      </c>
      <c r="E1040" t="s">
        <v>25</v>
      </c>
      <c r="F1040" t="str">
        <f>VLOOKUP(Ramen_Ratings[[#This Row],[Country]],Country_Region[#All],2,FALSE)</f>
        <v>Asia</v>
      </c>
      <c r="G1040">
        <v>4</v>
      </c>
      <c r="H1040" t="str" cm="1">
        <f t="array" ref="H1040">_xlfn.IFS(Ramen_Ratings[[#This Row],[Stars]] = "Unrated", "NA",Ramen_Ratings[[#This Row],[Stars]]&gt;=4, "Good", Ramen_Ratings[[#This Row],[Stars]]&gt;2.5, "Fair", Ramen_Ratings[[#This Row],[Stars]] &gt;= 0, "Bad")</f>
        <v>Good</v>
      </c>
      <c r="J1040" t="str">
        <f>LEFT(Ramen_Ratings[[#This Row],[Top Ten]],4)</f>
        <v/>
      </c>
      <c r="K1040" t="str">
        <f>IF(Ramen_Ratings[[#This Row],[Top Ten]]="", "",RIGHT(Ramen_Ratings[[#This Row],[Top Ten]],LEN(Ramen_Ratings[[#This Row],[Top Ten]])-6))</f>
        <v/>
      </c>
    </row>
    <row r="1041" spans="1:11" x14ac:dyDescent="0.25">
      <c r="A1041">
        <v>1027</v>
      </c>
      <c r="B1041" t="s">
        <v>23</v>
      </c>
      <c r="C1041" t="s">
        <v>1837</v>
      </c>
      <c r="D1041" t="s">
        <v>44</v>
      </c>
      <c r="E1041" t="s">
        <v>25</v>
      </c>
      <c r="F1041" t="str">
        <f>VLOOKUP(Ramen_Ratings[[#This Row],[Country]],Country_Region[#All],2,FALSE)</f>
        <v>Asia</v>
      </c>
      <c r="G1041">
        <v>4</v>
      </c>
      <c r="H1041" t="str" cm="1">
        <f t="array" ref="H1041">_xlfn.IFS(Ramen_Ratings[[#This Row],[Stars]] = "Unrated", "NA",Ramen_Ratings[[#This Row],[Stars]]&gt;=4, "Good", Ramen_Ratings[[#This Row],[Stars]]&gt;2.5, "Fair", Ramen_Ratings[[#This Row],[Stars]] &gt;= 0, "Bad")</f>
        <v>Good</v>
      </c>
      <c r="J1041" t="str">
        <f>LEFT(Ramen_Ratings[[#This Row],[Top Ten]],4)</f>
        <v/>
      </c>
      <c r="K1041" t="str">
        <f>IF(Ramen_Ratings[[#This Row],[Top Ten]]="", "",RIGHT(Ramen_Ratings[[#This Row],[Top Ten]],LEN(Ramen_Ratings[[#This Row],[Top Ten]])-6))</f>
        <v/>
      </c>
    </row>
    <row r="1042" spans="1:11" x14ac:dyDescent="0.25">
      <c r="A1042">
        <v>1026</v>
      </c>
      <c r="B1042" t="s">
        <v>23</v>
      </c>
      <c r="C1042" t="s">
        <v>1838</v>
      </c>
      <c r="D1042" t="s">
        <v>13</v>
      </c>
      <c r="E1042" t="s">
        <v>25</v>
      </c>
      <c r="F1042" t="str">
        <f>VLOOKUP(Ramen_Ratings[[#This Row],[Country]],Country_Region[#All],2,FALSE)</f>
        <v>Asia</v>
      </c>
      <c r="G1042">
        <v>3.75</v>
      </c>
      <c r="H1042" t="str" cm="1">
        <f t="array" ref="H1042">_xlfn.IFS(Ramen_Ratings[[#This Row],[Stars]] = "Unrated", "NA",Ramen_Ratings[[#This Row],[Stars]]&gt;=4, "Good", Ramen_Ratings[[#This Row],[Stars]]&gt;2.5, "Fair", Ramen_Ratings[[#This Row],[Stars]] &gt;= 0, "Bad")</f>
        <v>Fair</v>
      </c>
      <c r="J1042" t="str">
        <f>LEFT(Ramen_Ratings[[#This Row],[Top Ten]],4)</f>
        <v/>
      </c>
      <c r="K1042" t="str">
        <f>IF(Ramen_Ratings[[#This Row],[Top Ten]]="", "",RIGHT(Ramen_Ratings[[#This Row],[Top Ten]],LEN(Ramen_Ratings[[#This Row],[Top Ten]])-6))</f>
        <v/>
      </c>
    </row>
    <row r="1043" spans="1:11" x14ac:dyDescent="0.25">
      <c r="A1043">
        <v>1025</v>
      </c>
      <c r="B1043" t="s">
        <v>23</v>
      </c>
      <c r="C1043" t="s">
        <v>1839</v>
      </c>
      <c r="D1043" t="s">
        <v>13</v>
      </c>
      <c r="E1043" t="s">
        <v>25</v>
      </c>
      <c r="F1043" t="str">
        <f>VLOOKUP(Ramen_Ratings[[#This Row],[Country]],Country_Region[#All],2,FALSE)</f>
        <v>Asia</v>
      </c>
      <c r="G1043">
        <v>3.75</v>
      </c>
      <c r="H1043" t="str" cm="1">
        <f t="array" ref="H1043">_xlfn.IFS(Ramen_Ratings[[#This Row],[Stars]] = "Unrated", "NA",Ramen_Ratings[[#This Row],[Stars]]&gt;=4, "Good", Ramen_Ratings[[#This Row],[Stars]]&gt;2.5, "Fair", Ramen_Ratings[[#This Row],[Stars]] &gt;= 0, "Bad")</f>
        <v>Fair</v>
      </c>
      <c r="J1043" t="str">
        <f>LEFT(Ramen_Ratings[[#This Row],[Top Ten]],4)</f>
        <v/>
      </c>
      <c r="K1043" t="str">
        <f>IF(Ramen_Ratings[[#This Row],[Top Ten]]="", "",RIGHT(Ramen_Ratings[[#This Row],[Top Ten]],LEN(Ramen_Ratings[[#This Row],[Top Ten]])-6))</f>
        <v/>
      </c>
    </row>
    <row r="1044" spans="1:11" x14ac:dyDescent="0.25">
      <c r="A1044">
        <v>1024</v>
      </c>
      <c r="B1044" t="s">
        <v>1630</v>
      </c>
      <c r="C1044" t="s">
        <v>1840</v>
      </c>
      <c r="D1044" t="s">
        <v>13</v>
      </c>
      <c r="E1044" t="s">
        <v>25</v>
      </c>
      <c r="F1044" t="str">
        <f>VLOOKUP(Ramen_Ratings[[#This Row],[Country]],Country_Region[#All],2,FALSE)</f>
        <v>Asia</v>
      </c>
      <c r="G1044">
        <v>3.5</v>
      </c>
      <c r="H1044" t="str" cm="1">
        <f t="array" ref="H1044">_xlfn.IFS(Ramen_Ratings[[#This Row],[Stars]] = "Unrated", "NA",Ramen_Ratings[[#This Row],[Stars]]&gt;=4, "Good", Ramen_Ratings[[#This Row],[Stars]]&gt;2.5, "Fair", Ramen_Ratings[[#This Row],[Stars]] &gt;= 0, "Bad")</f>
        <v>Fair</v>
      </c>
      <c r="J1044" t="str">
        <f>LEFT(Ramen_Ratings[[#This Row],[Top Ten]],4)</f>
        <v/>
      </c>
      <c r="K1044" t="str">
        <f>IF(Ramen_Ratings[[#This Row],[Top Ten]]="", "",RIGHT(Ramen_Ratings[[#This Row],[Top Ten]],LEN(Ramen_Ratings[[#This Row],[Top Ten]])-6))</f>
        <v/>
      </c>
    </row>
    <row r="1045" spans="1:11" x14ac:dyDescent="0.25">
      <c r="A1045">
        <v>1023</v>
      </c>
      <c r="B1045" t="s">
        <v>23</v>
      </c>
      <c r="C1045" t="s">
        <v>1841</v>
      </c>
      <c r="D1045" t="s">
        <v>13</v>
      </c>
      <c r="E1045" t="s">
        <v>25</v>
      </c>
      <c r="F1045" t="str">
        <f>VLOOKUP(Ramen_Ratings[[#This Row],[Country]],Country_Region[#All],2,FALSE)</f>
        <v>Asia</v>
      </c>
      <c r="G1045">
        <v>4.5</v>
      </c>
      <c r="H1045" t="str" cm="1">
        <f t="array" ref="H1045">_xlfn.IFS(Ramen_Ratings[[#This Row],[Stars]] = "Unrated", "NA",Ramen_Ratings[[#This Row],[Stars]]&gt;=4, "Good", Ramen_Ratings[[#This Row],[Stars]]&gt;2.5, "Fair", Ramen_Ratings[[#This Row],[Stars]] &gt;= 0, "Bad")</f>
        <v>Good</v>
      </c>
      <c r="J1045" t="str">
        <f>LEFT(Ramen_Ratings[[#This Row],[Top Ten]],4)</f>
        <v/>
      </c>
      <c r="K1045" t="str">
        <f>IF(Ramen_Ratings[[#This Row],[Top Ten]]="", "",RIGHT(Ramen_Ratings[[#This Row],[Top Ten]],LEN(Ramen_Ratings[[#This Row],[Top Ten]])-6))</f>
        <v/>
      </c>
    </row>
    <row r="1046" spans="1:11" x14ac:dyDescent="0.25">
      <c r="A1046">
        <v>1022</v>
      </c>
      <c r="B1046" t="s">
        <v>1630</v>
      </c>
      <c r="C1046" t="s">
        <v>1842</v>
      </c>
      <c r="D1046" t="s">
        <v>13</v>
      </c>
      <c r="E1046" t="s">
        <v>25</v>
      </c>
      <c r="F1046" t="str">
        <f>VLOOKUP(Ramen_Ratings[[#This Row],[Country]],Country_Region[#All],2,FALSE)</f>
        <v>Asia</v>
      </c>
      <c r="G1046">
        <v>5</v>
      </c>
      <c r="H1046" t="str" cm="1">
        <f t="array" ref="H1046">_xlfn.IFS(Ramen_Ratings[[#This Row],[Stars]] = "Unrated", "NA",Ramen_Ratings[[#This Row],[Stars]]&gt;=4, "Good", Ramen_Ratings[[#This Row],[Stars]]&gt;2.5, "Fair", Ramen_Ratings[[#This Row],[Stars]] &gt;= 0, "Bad")</f>
        <v>Good</v>
      </c>
      <c r="J1046" t="str">
        <f>LEFT(Ramen_Ratings[[#This Row],[Top Ten]],4)</f>
        <v/>
      </c>
      <c r="K1046" t="str">
        <f>IF(Ramen_Ratings[[#This Row],[Top Ten]]="", "",RIGHT(Ramen_Ratings[[#This Row],[Top Ten]],LEN(Ramen_Ratings[[#This Row],[Top Ten]])-6))</f>
        <v/>
      </c>
    </row>
    <row r="1047" spans="1:11" x14ac:dyDescent="0.25">
      <c r="A1047">
        <v>1021</v>
      </c>
      <c r="B1047" t="s">
        <v>23</v>
      </c>
      <c r="C1047" t="s">
        <v>1843</v>
      </c>
      <c r="D1047" t="s">
        <v>13</v>
      </c>
      <c r="E1047" t="s">
        <v>25</v>
      </c>
      <c r="F1047" t="str">
        <f>VLOOKUP(Ramen_Ratings[[#This Row],[Country]],Country_Region[#All],2,FALSE)</f>
        <v>Asia</v>
      </c>
      <c r="G1047">
        <v>4.25</v>
      </c>
      <c r="H1047" t="str" cm="1">
        <f t="array" ref="H1047">_xlfn.IFS(Ramen_Ratings[[#This Row],[Stars]] = "Unrated", "NA",Ramen_Ratings[[#This Row],[Stars]]&gt;=4, "Good", Ramen_Ratings[[#This Row],[Stars]]&gt;2.5, "Fair", Ramen_Ratings[[#This Row],[Stars]] &gt;= 0, "Bad")</f>
        <v>Good</v>
      </c>
      <c r="J1047" t="str">
        <f>LEFT(Ramen_Ratings[[#This Row],[Top Ten]],4)</f>
        <v/>
      </c>
      <c r="K1047" t="str">
        <f>IF(Ramen_Ratings[[#This Row],[Top Ten]]="", "",RIGHT(Ramen_Ratings[[#This Row],[Top Ten]],LEN(Ramen_Ratings[[#This Row],[Top Ten]])-6))</f>
        <v/>
      </c>
    </row>
    <row r="1048" spans="1:11" x14ac:dyDescent="0.25">
      <c r="A1048">
        <v>1020</v>
      </c>
      <c r="B1048" t="s">
        <v>23</v>
      </c>
      <c r="C1048" t="s">
        <v>1844</v>
      </c>
      <c r="D1048" t="s">
        <v>44</v>
      </c>
      <c r="E1048" t="s">
        <v>25</v>
      </c>
      <c r="F1048" t="str">
        <f>VLOOKUP(Ramen_Ratings[[#This Row],[Country]],Country_Region[#All],2,FALSE)</f>
        <v>Asia</v>
      </c>
      <c r="G1048">
        <v>4.75</v>
      </c>
      <c r="H1048" t="str" cm="1">
        <f t="array" ref="H1048">_xlfn.IFS(Ramen_Ratings[[#This Row],[Stars]] = "Unrated", "NA",Ramen_Ratings[[#This Row],[Stars]]&gt;=4, "Good", Ramen_Ratings[[#This Row],[Stars]]&gt;2.5, "Fair", Ramen_Ratings[[#This Row],[Stars]] &gt;= 0, "Bad")</f>
        <v>Good</v>
      </c>
      <c r="J1048" t="str">
        <f>LEFT(Ramen_Ratings[[#This Row],[Top Ten]],4)</f>
        <v/>
      </c>
      <c r="K1048" t="str">
        <f>IF(Ramen_Ratings[[#This Row],[Top Ten]]="", "",RIGHT(Ramen_Ratings[[#This Row],[Top Ten]],LEN(Ramen_Ratings[[#This Row],[Top Ten]])-6))</f>
        <v/>
      </c>
    </row>
    <row r="1049" spans="1:11" x14ac:dyDescent="0.25">
      <c r="A1049">
        <v>1019</v>
      </c>
      <c r="B1049" t="s">
        <v>23</v>
      </c>
      <c r="C1049" t="s">
        <v>1845</v>
      </c>
      <c r="D1049" t="s">
        <v>13</v>
      </c>
      <c r="E1049" t="s">
        <v>25</v>
      </c>
      <c r="F1049" t="str">
        <f>VLOOKUP(Ramen_Ratings[[#This Row],[Country]],Country_Region[#All],2,FALSE)</f>
        <v>Asia</v>
      </c>
      <c r="G1049">
        <v>4</v>
      </c>
      <c r="H1049" t="str" cm="1">
        <f t="array" ref="H1049">_xlfn.IFS(Ramen_Ratings[[#This Row],[Stars]] = "Unrated", "NA",Ramen_Ratings[[#This Row],[Stars]]&gt;=4, "Good", Ramen_Ratings[[#This Row],[Stars]]&gt;2.5, "Fair", Ramen_Ratings[[#This Row],[Stars]] &gt;= 0, "Bad")</f>
        <v>Good</v>
      </c>
      <c r="J1049" t="str">
        <f>LEFT(Ramen_Ratings[[#This Row],[Top Ten]],4)</f>
        <v/>
      </c>
      <c r="K1049" t="str">
        <f>IF(Ramen_Ratings[[#This Row],[Top Ten]]="", "",RIGHT(Ramen_Ratings[[#This Row],[Top Ten]],LEN(Ramen_Ratings[[#This Row],[Top Ten]])-6))</f>
        <v/>
      </c>
    </row>
    <row r="1050" spans="1:11" x14ac:dyDescent="0.25">
      <c r="A1050">
        <v>1018</v>
      </c>
      <c r="B1050" t="s">
        <v>23</v>
      </c>
      <c r="C1050" t="s">
        <v>1736</v>
      </c>
      <c r="D1050" t="s">
        <v>13</v>
      </c>
      <c r="E1050" t="s">
        <v>25</v>
      </c>
      <c r="F1050" t="str">
        <f>VLOOKUP(Ramen_Ratings[[#This Row],[Country]],Country_Region[#All],2,FALSE)</f>
        <v>Asia</v>
      </c>
      <c r="G1050">
        <v>4.25</v>
      </c>
      <c r="H1050" t="str" cm="1">
        <f t="array" ref="H1050">_xlfn.IFS(Ramen_Ratings[[#This Row],[Stars]] = "Unrated", "NA",Ramen_Ratings[[#This Row],[Stars]]&gt;=4, "Good", Ramen_Ratings[[#This Row],[Stars]]&gt;2.5, "Fair", Ramen_Ratings[[#This Row],[Stars]] &gt;= 0, "Bad")</f>
        <v>Good</v>
      </c>
      <c r="J1050" t="str">
        <f>LEFT(Ramen_Ratings[[#This Row],[Top Ten]],4)</f>
        <v/>
      </c>
      <c r="K1050" t="str">
        <f>IF(Ramen_Ratings[[#This Row],[Top Ten]]="", "",RIGHT(Ramen_Ratings[[#This Row],[Top Ten]],LEN(Ramen_Ratings[[#This Row],[Top Ten]])-6))</f>
        <v/>
      </c>
    </row>
    <row r="1051" spans="1:11" x14ac:dyDescent="0.25">
      <c r="A1051">
        <v>1017</v>
      </c>
      <c r="B1051" t="s">
        <v>23</v>
      </c>
      <c r="C1051" t="s">
        <v>1846</v>
      </c>
      <c r="D1051" t="s">
        <v>13</v>
      </c>
      <c r="E1051" t="s">
        <v>25</v>
      </c>
      <c r="F1051" t="str">
        <f>VLOOKUP(Ramen_Ratings[[#This Row],[Country]],Country_Region[#All],2,FALSE)</f>
        <v>Asia</v>
      </c>
      <c r="G1051">
        <v>3.75</v>
      </c>
      <c r="H1051" t="str" cm="1">
        <f t="array" ref="H1051">_xlfn.IFS(Ramen_Ratings[[#This Row],[Stars]] = "Unrated", "NA",Ramen_Ratings[[#This Row],[Stars]]&gt;=4, "Good", Ramen_Ratings[[#This Row],[Stars]]&gt;2.5, "Fair", Ramen_Ratings[[#This Row],[Stars]] &gt;= 0, "Bad")</f>
        <v>Fair</v>
      </c>
      <c r="J1051" t="str">
        <f>LEFT(Ramen_Ratings[[#This Row],[Top Ten]],4)</f>
        <v/>
      </c>
      <c r="K1051" t="str">
        <f>IF(Ramen_Ratings[[#This Row],[Top Ten]]="", "",RIGHT(Ramen_Ratings[[#This Row],[Top Ten]],LEN(Ramen_Ratings[[#This Row],[Top Ten]])-6))</f>
        <v/>
      </c>
    </row>
    <row r="1052" spans="1:11" x14ac:dyDescent="0.25">
      <c r="A1052">
        <v>1008</v>
      </c>
      <c r="B1052" t="s">
        <v>74</v>
      </c>
      <c r="C1052" t="s">
        <v>1857</v>
      </c>
      <c r="D1052" t="s">
        <v>44</v>
      </c>
      <c r="E1052" t="s">
        <v>25</v>
      </c>
      <c r="F1052" t="str">
        <f>VLOOKUP(Ramen_Ratings[[#This Row],[Country]],Country_Region[#All],2,FALSE)</f>
        <v>Asia</v>
      </c>
      <c r="G1052">
        <v>3.5</v>
      </c>
      <c r="H1052" t="str" cm="1">
        <f t="array" ref="H1052">_xlfn.IFS(Ramen_Ratings[[#This Row],[Stars]] = "Unrated", "NA",Ramen_Ratings[[#This Row],[Stars]]&gt;=4, "Good", Ramen_Ratings[[#This Row],[Stars]]&gt;2.5, "Fair", Ramen_Ratings[[#This Row],[Stars]] &gt;= 0, "Bad")</f>
        <v>Fair</v>
      </c>
      <c r="J1052" t="str">
        <f>LEFT(Ramen_Ratings[[#This Row],[Top Ten]],4)</f>
        <v/>
      </c>
      <c r="K1052" t="str">
        <f>IF(Ramen_Ratings[[#This Row],[Top Ten]]="", "",RIGHT(Ramen_Ratings[[#This Row],[Top Ten]],LEN(Ramen_Ratings[[#This Row],[Top Ten]])-6))</f>
        <v/>
      </c>
    </row>
    <row r="1053" spans="1:11" x14ac:dyDescent="0.25">
      <c r="A1053">
        <v>1001</v>
      </c>
      <c r="B1053" t="s">
        <v>54</v>
      </c>
      <c r="C1053" t="s">
        <v>1864</v>
      </c>
      <c r="D1053" t="s">
        <v>13</v>
      </c>
      <c r="E1053" t="s">
        <v>25</v>
      </c>
      <c r="F1053" t="str">
        <f>VLOOKUP(Ramen_Ratings[[#This Row],[Country]],Country_Region[#All],2,FALSE)</f>
        <v>Asia</v>
      </c>
      <c r="G1053">
        <v>3.5</v>
      </c>
      <c r="H1053" t="str" cm="1">
        <f t="array" ref="H1053">_xlfn.IFS(Ramen_Ratings[[#This Row],[Stars]] = "Unrated", "NA",Ramen_Ratings[[#This Row],[Stars]]&gt;=4, "Good", Ramen_Ratings[[#This Row],[Stars]]&gt;2.5, "Fair", Ramen_Ratings[[#This Row],[Stars]] &gt;= 0, "Bad")</f>
        <v>Fair</v>
      </c>
      <c r="J1053" t="str">
        <f>LEFT(Ramen_Ratings[[#This Row],[Top Ten]],4)</f>
        <v/>
      </c>
      <c r="K1053" t="str">
        <f>IF(Ramen_Ratings[[#This Row],[Top Ten]]="", "",RIGHT(Ramen_Ratings[[#This Row],[Top Ten]],LEN(Ramen_Ratings[[#This Row],[Top Ten]])-6))</f>
        <v/>
      </c>
    </row>
    <row r="1054" spans="1:11" x14ac:dyDescent="0.25">
      <c r="A1054">
        <v>998</v>
      </c>
      <c r="B1054" t="s">
        <v>41</v>
      </c>
      <c r="C1054" t="s">
        <v>1868</v>
      </c>
      <c r="D1054" t="s">
        <v>9</v>
      </c>
      <c r="E1054" t="s">
        <v>25</v>
      </c>
      <c r="F1054" t="str">
        <f>VLOOKUP(Ramen_Ratings[[#This Row],[Country]],Country_Region[#All],2,FALSE)</f>
        <v>Asia</v>
      </c>
      <c r="G1054">
        <v>4.5</v>
      </c>
      <c r="H1054" t="str" cm="1">
        <f t="array" ref="H1054">_xlfn.IFS(Ramen_Ratings[[#This Row],[Stars]] = "Unrated", "NA",Ramen_Ratings[[#This Row],[Stars]]&gt;=4, "Good", Ramen_Ratings[[#This Row],[Stars]]&gt;2.5, "Fair", Ramen_Ratings[[#This Row],[Stars]] &gt;= 0, "Bad")</f>
        <v>Good</v>
      </c>
      <c r="J1054" t="str">
        <f>LEFT(Ramen_Ratings[[#This Row],[Top Ten]],4)</f>
        <v/>
      </c>
      <c r="K1054" t="str">
        <f>IF(Ramen_Ratings[[#This Row],[Top Ten]]="", "",RIGHT(Ramen_Ratings[[#This Row],[Top Ten]],LEN(Ramen_Ratings[[#This Row],[Top Ten]])-6))</f>
        <v/>
      </c>
    </row>
    <row r="1055" spans="1:11" x14ac:dyDescent="0.25">
      <c r="A1055">
        <v>989</v>
      </c>
      <c r="B1055" t="s">
        <v>1752</v>
      </c>
      <c r="C1055" t="s">
        <v>1878</v>
      </c>
      <c r="D1055" t="s">
        <v>13</v>
      </c>
      <c r="E1055" t="s">
        <v>25</v>
      </c>
      <c r="F1055" t="str">
        <f>VLOOKUP(Ramen_Ratings[[#This Row],[Country]],Country_Region[#All],2,FALSE)</f>
        <v>Asia</v>
      </c>
      <c r="G1055">
        <v>4</v>
      </c>
      <c r="H1055" t="str" cm="1">
        <f t="array" ref="H1055">_xlfn.IFS(Ramen_Ratings[[#This Row],[Stars]] = "Unrated", "NA",Ramen_Ratings[[#This Row],[Stars]]&gt;=4, "Good", Ramen_Ratings[[#This Row],[Stars]]&gt;2.5, "Fair", Ramen_Ratings[[#This Row],[Stars]] &gt;= 0, "Bad")</f>
        <v>Good</v>
      </c>
      <c r="J1055" t="str">
        <f>LEFT(Ramen_Ratings[[#This Row],[Top Ten]],4)</f>
        <v/>
      </c>
      <c r="K1055" t="str">
        <f>IF(Ramen_Ratings[[#This Row],[Top Ten]]="", "",RIGHT(Ramen_Ratings[[#This Row],[Top Ten]],LEN(Ramen_Ratings[[#This Row],[Top Ten]])-6))</f>
        <v/>
      </c>
    </row>
    <row r="1056" spans="1:11" x14ac:dyDescent="0.25">
      <c r="A1056">
        <v>986</v>
      </c>
      <c r="B1056" t="s">
        <v>54</v>
      </c>
      <c r="C1056" t="s">
        <v>1881</v>
      </c>
      <c r="D1056" t="s">
        <v>13</v>
      </c>
      <c r="E1056" t="s">
        <v>25</v>
      </c>
      <c r="F1056" t="str">
        <f>VLOOKUP(Ramen_Ratings[[#This Row],[Country]],Country_Region[#All],2,FALSE)</f>
        <v>Asia</v>
      </c>
      <c r="G1056">
        <v>4</v>
      </c>
      <c r="H1056" t="str" cm="1">
        <f t="array" ref="H1056">_xlfn.IFS(Ramen_Ratings[[#This Row],[Stars]] = "Unrated", "NA",Ramen_Ratings[[#This Row],[Stars]]&gt;=4, "Good", Ramen_Ratings[[#This Row],[Stars]]&gt;2.5, "Fair", Ramen_Ratings[[#This Row],[Stars]] &gt;= 0, "Bad")</f>
        <v>Good</v>
      </c>
      <c r="J1056" t="str">
        <f>LEFT(Ramen_Ratings[[#This Row],[Top Ten]],4)</f>
        <v/>
      </c>
      <c r="K1056" t="str">
        <f>IF(Ramen_Ratings[[#This Row],[Top Ten]]="", "",RIGHT(Ramen_Ratings[[#This Row],[Top Ten]],LEN(Ramen_Ratings[[#This Row],[Top Ten]])-6))</f>
        <v/>
      </c>
    </row>
    <row r="1057" spans="1:11" x14ac:dyDescent="0.25">
      <c r="A1057">
        <v>975</v>
      </c>
      <c r="B1057" t="s">
        <v>74</v>
      </c>
      <c r="C1057" t="s">
        <v>1893</v>
      </c>
      <c r="D1057" t="s">
        <v>44</v>
      </c>
      <c r="E1057" t="s">
        <v>25</v>
      </c>
      <c r="F1057" t="str">
        <f>VLOOKUP(Ramen_Ratings[[#This Row],[Country]],Country_Region[#All],2,FALSE)</f>
        <v>Asia</v>
      </c>
      <c r="G1057">
        <v>4.5</v>
      </c>
      <c r="H1057" t="str" cm="1">
        <f t="array" ref="H1057">_xlfn.IFS(Ramen_Ratings[[#This Row],[Stars]] = "Unrated", "NA",Ramen_Ratings[[#This Row],[Stars]]&gt;=4, "Good", Ramen_Ratings[[#This Row],[Stars]]&gt;2.5, "Fair", Ramen_Ratings[[#This Row],[Stars]] &gt;= 0, "Bad")</f>
        <v>Good</v>
      </c>
      <c r="J1057" t="str">
        <f>LEFT(Ramen_Ratings[[#This Row],[Top Ten]],4)</f>
        <v/>
      </c>
      <c r="K1057" t="str">
        <f>IF(Ramen_Ratings[[#This Row],[Top Ten]]="", "",RIGHT(Ramen_Ratings[[#This Row],[Top Ten]],LEN(Ramen_Ratings[[#This Row],[Top Ten]])-6))</f>
        <v/>
      </c>
    </row>
    <row r="1058" spans="1:11" x14ac:dyDescent="0.25">
      <c r="A1058">
        <v>950</v>
      </c>
      <c r="B1058" t="s">
        <v>74</v>
      </c>
      <c r="C1058" t="s">
        <v>1917</v>
      </c>
      <c r="D1058" t="s">
        <v>9</v>
      </c>
      <c r="E1058" t="s">
        <v>25</v>
      </c>
      <c r="F1058" t="str">
        <f>VLOOKUP(Ramen_Ratings[[#This Row],[Country]],Country_Region[#All],2,FALSE)</f>
        <v>Asia</v>
      </c>
      <c r="G1058">
        <v>3.75</v>
      </c>
      <c r="H1058" t="str" cm="1">
        <f t="array" ref="H1058">_xlfn.IFS(Ramen_Ratings[[#This Row],[Stars]] = "Unrated", "NA",Ramen_Ratings[[#This Row],[Stars]]&gt;=4, "Good", Ramen_Ratings[[#This Row],[Stars]]&gt;2.5, "Fair", Ramen_Ratings[[#This Row],[Stars]] &gt;= 0, "Bad")</f>
        <v>Fair</v>
      </c>
      <c r="J1058" t="str">
        <f>LEFT(Ramen_Ratings[[#This Row],[Top Ten]],4)</f>
        <v/>
      </c>
      <c r="K1058" t="str">
        <f>IF(Ramen_Ratings[[#This Row],[Top Ten]]="", "",RIGHT(Ramen_Ratings[[#This Row],[Top Ten]],LEN(Ramen_Ratings[[#This Row],[Top Ten]])-6))</f>
        <v/>
      </c>
    </row>
    <row r="1059" spans="1:11" x14ac:dyDescent="0.25">
      <c r="A1059">
        <v>933</v>
      </c>
      <c r="B1059" t="s">
        <v>54</v>
      </c>
      <c r="C1059" t="s">
        <v>1936</v>
      </c>
      <c r="D1059" t="s">
        <v>9</v>
      </c>
      <c r="E1059" t="s">
        <v>25</v>
      </c>
      <c r="F1059" t="str">
        <f>VLOOKUP(Ramen_Ratings[[#This Row],[Country]],Country_Region[#All],2,FALSE)</f>
        <v>Asia</v>
      </c>
      <c r="G1059">
        <v>4.5</v>
      </c>
      <c r="H1059" t="str" cm="1">
        <f t="array" ref="H1059">_xlfn.IFS(Ramen_Ratings[[#This Row],[Stars]] = "Unrated", "NA",Ramen_Ratings[[#This Row],[Stars]]&gt;=4, "Good", Ramen_Ratings[[#This Row],[Stars]]&gt;2.5, "Fair", Ramen_Ratings[[#This Row],[Stars]] &gt;= 0, "Bad")</f>
        <v>Good</v>
      </c>
      <c r="J1059" t="str">
        <f>LEFT(Ramen_Ratings[[#This Row],[Top Ten]],4)</f>
        <v/>
      </c>
      <c r="K1059" t="str">
        <f>IF(Ramen_Ratings[[#This Row],[Top Ten]]="", "",RIGHT(Ramen_Ratings[[#This Row],[Top Ten]],LEN(Ramen_Ratings[[#This Row],[Top Ten]])-6))</f>
        <v/>
      </c>
    </row>
    <row r="1060" spans="1:11" x14ac:dyDescent="0.25">
      <c r="A1060">
        <v>932</v>
      </c>
      <c r="B1060" t="s">
        <v>54</v>
      </c>
      <c r="C1060" t="s">
        <v>1937</v>
      </c>
      <c r="D1060" t="s">
        <v>13</v>
      </c>
      <c r="E1060" t="s">
        <v>25</v>
      </c>
      <c r="F1060" t="str">
        <f>VLOOKUP(Ramen_Ratings[[#This Row],[Country]],Country_Region[#All],2,FALSE)</f>
        <v>Asia</v>
      </c>
      <c r="G1060">
        <v>5</v>
      </c>
      <c r="H1060" t="str" cm="1">
        <f t="array" ref="H1060">_xlfn.IFS(Ramen_Ratings[[#This Row],[Stars]] = "Unrated", "NA",Ramen_Ratings[[#This Row],[Stars]]&gt;=4, "Good", Ramen_Ratings[[#This Row],[Stars]]&gt;2.5, "Fair", Ramen_Ratings[[#This Row],[Stars]] &gt;= 0, "Bad")</f>
        <v>Good</v>
      </c>
      <c r="J1060" t="str">
        <f>LEFT(Ramen_Ratings[[#This Row],[Top Ten]],4)</f>
        <v/>
      </c>
      <c r="K1060" t="str">
        <f>IF(Ramen_Ratings[[#This Row],[Top Ten]]="", "",RIGHT(Ramen_Ratings[[#This Row],[Top Ten]],LEN(Ramen_Ratings[[#This Row],[Top Ten]])-6))</f>
        <v/>
      </c>
    </row>
    <row r="1061" spans="1:11" x14ac:dyDescent="0.25">
      <c r="A1061">
        <v>927</v>
      </c>
      <c r="B1061" t="s">
        <v>54</v>
      </c>
      <c r="C1061" t="s">
        <v>1936</v>
      </c>
      <c r="D1061" t="s">
        <v>44</v>
      </c>
      <c r="E1061" t="s">
        <v>25</v>
      </c>
      <c r="F1061" t="str">
        <f>VLOOKUP(Ramen_Ratings[[#This Row],[Country]],Country_Region[#All],2,FALSE)</f>
        <v>Asia</v>
      </c>
      <c r="G1061">
        <v>4.75</v>
      </c>
      <c r="H1061" t="str" cm="1">
        <f t="array" ref="H1061">_xlfn.IFS(Ramen_Ratings[[#This Row],[Stars]] = "Unrated", "NA",Ramen_Ratings[[#This Row],[Stars]]&gt;=4, "Good", Ramen_Ratings[[#This Row],[Stars]]&gt;2.5, "Fair", Ramen_Ratings[[#This Row],[Stars]] &gt;= 0, "Bad")</f>
        <v>Good</v>
      </c>
      <c r="J1061" t="str">
        <f>LEFT(Ramen_Ratings[[#This Row],[Top Ten]],4)</f>
        <v/>
      </c>
      <c r="K1061" t="str">
        <f>IF(Ramen_Ratings[[#This Row],[Top Ten]]="", "",RIGHT(Ramen_Ratings[[#This Row],[Top Ten]],LEN(Ramen_Ratings[[#This Row],[Top Ten]])-6))</f>
        <v/>
      </c>
    </row>
    <row r="1062" spans="1:11" x14ac:dyDescent="0.25">
      <c r="A1062">
        <v>925</v>
      </c>
      <c r="B1062" t="s">
        <v>1114</v>
      </c>
      <c r="C1062" t="s">
        <v>1943</v>
      </c>
      <c r="D1062" t="s">
        <v>13</v>
      </c>
      <c r="E1062" t="s">
        <v>25</v>
      </c>
      <c r="F1062" t="str">
        <f>VLOOKUP(Ramen_Ratings[[#This Row],[Country]],Country_Region[#All],2,FALSE)</f>
        <v>Asia</v>
      </c>
      <c r="G1062">
        <v>3.75</v>
      </c>
      <c r="H1062" t="str" cm="1">
        <f t="array" ref="H1062">_xlfn.IFS(Ramen_Ratings[[#This Row],[Stars]] = "Unrated", "NA",Ramen_Ratings[[#This Row],[Stars]]&gt;=4, "Good", Ramen_Ratings[[#This Row],[Stars]]&gt;2.5, "Fair", Ramen_Ratings[[#This Row],[Stars]] &gt;= 0, "Bad")</f>
        <v>Fair</v>
      </c>
      <c r="J1062" t="str">
        <f>LEFT(Ramen_Ratings[[#This Row],[Top Ten]],4)</f>
        <v/>
      </c>
      <c r="K1062" t="str">
        <f>IF(Ramen_Ratings[[#This Row],[Top Ten]]="", "",RIGHT(Ramen_Ratings[[#This Row],[Top Ten]],LEN(Ramen_Ratings[[#This Row],[Top Ten]])-6))</f>
        <v/>
      </c>
    </row>
    <row r="1063" spans="1:11" x14ac:dyDescent="0.25">
      <c r="A1063">
        <v>921</v>
      </c>
      <c r="B1063" t="s">
        <v>74</v>
      </c>
      <c r="C1063" t="s">
        <v>1948</v>
      </c>
      <c r="D1063" t="s">
        <v>44</v>
      </c>
      <c r="E1063" t="s">
        <v>25</v>
      </c>
      <c r="F1063" t="str">
        <f>VLOOKUP(Ramen_Ratings[[#This Row],[Country]],Country_Region[#All],2,FALSE)</f>
        <v>Asia</v>
      </c>
      <c r="G1063">
        <v>3.5</v>
      </c>
      <c r="H1063" t="str" cm="1">
        <f t="array" ref="H1063">_xlfn.IFS(Ramen_Ratings[[#This Row],[Stars]] = "Unrated", "NA",Ramen_Ratings[[#This Row],[Stars]]&gt;=4, "Good", Ramen_Ratings[[#This Row],[Stars]]&gt;2.5, "Fair", Ramen_Ratings[[#This Row],[Stars]] &gt;= 0, "Bad")</f>
        <v>Fair</v>
      </c>
      <c r="J1063" t="str">
        <f>LEFT(Ramen_Ratings[[#This Row],[Top Ten]],4)</f>
        <v/>
      </c>
      <c r="K1063" t="str">
        <f>IF(Ramen_Ratings[[#This Row],[Top Ten]]="", "",RIGHT(Ramen_Ratings[[#This Row],[Top Ten]],LEN(Ramen_Ratings[[#This Row],[Top Ten]])-6))</f>
        <v/>
      </c>
    </row>
    <row r="1064" spans="1:11" x14ac:dyDescent="0.25">
      <c r="A1064">
        <v>918</v>
      </c>
      <c r="B1064" t="s">
        <v>41</v>
      </c>
      <c r="C1064" t="s">
        <v>1950</v>
      </c>
      <c r="D1064" t="s">
        <v>9</v>
      </c>
      <c r="E1064" t="s">
        <v>25</v>
      </c>
      <c r="F1064" t="str">
        <f>VLOOKUP(Ramen_Ratings[[#This Row],[Country]],Country_Region[#All],2,FALSE)</f>
        <v>Asia</v>
      </c>
      <c r="G1064">
        <v>4.5</v>
      </c>
      <c r="H1064" t="str" cm="1">
        <f t="array" ref="H1064">_xlfn.IFS(Ramen_Ratings[[#This Row],[Stars]] = "Unrated", "NA",Ramen_Ratings[[#This Row],[Stars]]&gt;=4, "Good", Ramen_Ratings[[#This Row],[Stars]]&gt;2.5, "Fair", Ramen_Ratings[[#This Row],[Stars]] &gt;= 0, "Bad")</f>
        <v>Good</v>
      </c>
      <c r="J1064" t="str">
        <f>LEFT(Ramen_Ratings[[#This Row],[Top Ten]],4)</f>
        <v/>
      </c>
      <c r="K1064" t="str">
        <f>IF(Ramen_Ratings[[#This Row],[Top Ten]]="", "",RIGHT(Ramen_Ratings[[#This Row],[Top Ten]],LEN(Ramen_Ratings[[#This Row],[Top Ten]])-6))</f>
        <v/>
      </c>
    </row>
    <row r="1065" spans="1:11" x14ac:dyDescent="0.25">
      <c r="A1065">
        <v>913</v>
      </c>
      <c r="B1065" t="s">
        <v>41</v>
      </c>
      <c r="C1065" t="s">
        <v>1956</v>
      </c>
      <c r="D1065" t="s">
        <v>9</v>
      </c>
      <c r="E1065" t="s">
        <v>25</v>
      </c>
      <c r="F1065" t="str">
        <f>VLOOKUP(Ramen_Ratings[[#This Row],[Country]],Country_Region[#All],2,FALSE)</f>
        <v>Asia</v>
      </c>
      <c r="G1065">
        <v>4.25</v>
      </c>
      <c r="H1065" t="str" cm="1">
        <f t="array" ref="H1065">_xlfn.IFS(Ramen_Ratings[[#This Row],[Stars]] = "Unrated", "NA",Ramen_Ratings[[#This Row],[Stars]]&gt;=4, "Good", Ramen_Ratings[[#This Row],[Stars]]&gt;2.5, "Fair", Ramen_Ratings[[#This Row],[Stars]] &gt;= 0, "Bad")</f>
        <v>Good</v>
      </c>
      <c r="J1065" t="str">
        <f>LEFT(Ramen_Ratings[[#This Row],[Top Ten]],4)</f>
        <v/>
      </c>
      <c r="K1065" t="str">
        <f>IF(Ramen_Ratings[[#This Row],[Top Ten]]="", "",RIGHT(Ramen_Ratings[[#This Row],[Top Ten]],LEN(Ramen_Ratings[[#This Row],[Top Ten]])-6))</f>
        <v/>
      </c>
    </row>
    <row r="1066" spans="1:11" x14ac:dyDescent="0.25">
      <c r="A1066">
        <v>907</v>
      </c>
      <c r="B1066" t="s">
        <v>41</v>
      </c>
      <c r="C1066" t="s">
        <v>1963</v>
      </c>
      <c r="D1066" t="s">
        <v>9</v>
      </c>
      <c r="E1066" t="s">
        <v>25</v>
      </c>
      <c r="F1066" t="str">
        <f>VLOOKUP(Ramen_Ratings[[#This Row],[Country]],Country_Region[#All],2,FALSE)</f>
        <v>Asia</v>
      </c>
      <c r="G1066">
        <v>4</v>
      </c>
      <c r="H1066" t="str" cm="1">
        <f t="array" ref="H1066">_xlfn.IFS(Ramen_Ratings[[#This Row],[Stars]] = "Unrated", "NA",Ramen_Ratings[[#This Row],[Stars]]&gt;=4, "Good", Ramen_Ratings[[#This Row],[Stars]]&gt;2.5, "Fair", Ramen_Ratings[[#This Row],[Stars]] &gt;= 0, "Bad")</f>
        <v>Good</v>
      </c>
      <c r="J1066" t="str">
        <f>LEFT(Ramen_Ratings[[#This Row],[Top Ten]],4)</f>
        <v/>
      </c>
      <c r="K1066" t="str">
        <f>IF(Ramen_Ratings[[#This Row],[Top Ten]]="", "",RIGHT(Ramen_Ratings[[#This Row],[Top Ten]],LEN(Ramen_Ratings[[#This Row],[Top Ten]])-6))</f>
        <v/>
      </c>
    </row>
    <row r="1067" spans="1:11" x14ac:dyDescent="0.25">
      <c r="A1067">
        <v>903</v>
      </c>
      <c r="B1067" t="s">
        <v>1968</v>
      </c>
      <c r="C1067" t="s">
        <v>1969</v>
      </c>
      <c r="D1067" t="s">
        <v>30</v>
      </c>
      <c r="E1067" t="s">
        <v>25</v>
      </c>
      <c r="F1067" t="str">
        <f>VLOOKUP(Ramen_Ratings[[#This Row],[Country]],Country_Region[#All],2,FALSE)</f>
        <v>Asia</v>
      </c>
      <c r="G1067">
        <v>3.5</v>
      </c>
      <c r="H1067" t="str" cm="1">
        <f t="array" ref="H1067">_xlfn.IFS(Ramen_Ratings[[#This Row],[Stars]] = "Unrated", "NA",Ramen_Ratings[[#This Row],[Stars]]&gt;=4, "Good", Ramen_Ratings[[#This Row],[Stars]]&gt;2.5, "Fair", Ramen_Ratings[[#This Row],[Stars]] &gt;= 0, "Bad")</f>
        <v>Fair</v>
      </c>
      <c r="J1067" t="str">
        <f>LEFT(Ramen_Ratings[[#This Row],[Top Ten]],4)</f>
        <v/>
      </c>
      <c r="K1067" t="str">
        <f>IF(Ramen_Ratings[[#This Row],[Top Ten]]="", "",RIGHT(Ramen_Ratings[[#This Row],[Top Ten]],LEN(Ramen_Ratings[[#This Row],[Top Ten]])-6))</f>
        <v/>
      </c>
    </row>
    <row r="1068" spans="1:11" x14ac:dyDescent="0.25">
      <c r="A1068">
        <v>894</v>
      </c>
      <c r="B1068" t="s">
        <v>1968</v>
      </c>
      <c r="C1068" t="s">
        <v>1981</v>
      </c>
      <c r="D1068" t="s">
        <v>30</v>
      </c>
      <c r="E1068" t="s">
        <v>25</v>
      </c>
      <c r="F1068" t="str">
        <f>VLOOKUP(Ramen_Ratings[[#This Row],[Country]],Country_Region[#All],2,FALSE)</f>
        <v>Asia</v>
      </c>
      <c r="G1068">
        <v>3</v>
      </c>
      <c r="H1068" t="str" cm="1">
        <f t="array" ref="H1068">_xlfn.IFS(Ramen_Ratings[[#This Row],[Stars]] = "Unrated", "NA",Ramen_Ratings[[#This Row],[Stars]]&gt;=4, "Good", Ramen_Ratings[[#This Row],[Stars]]&gt;2.5, "Fair", Ramen_Ratings[[#This Row],[Stars]] &gt;= 0, "Bad")</f>
        <v>Fair</v>
      </c>
      <c r="J1068" t="str">
        <f>LEFT(Ramen_Ratings[[#This Row],[Top Ten]],4)</f>
        <v/>
      </c>
      <c r="K1068" t="str">
        <f>IF(Ramen_Ratings[[#This Row],[Top Ten]]="", "",RIGHT(Ramen_Ratings[[#This Row],[Top Ten]],LEN(Ramen_Ratings[[#This Row],[Top Ten]])-6))</f>
        <v/>
      </c>
    </row>
    <row r="1069" spans="1:11" x14ac:dyDescent="0.25">
      <c r="A1069">
        <v>893</v>
      </c>
      <c r="B1069" t="s">
        <v>54</v>
      </c>
      <c r="C1069" t="s">
        <v>1982</v>
      </c>
      <c r="D1069" t="s">
        <v>44</v>
      </c>
      <c r="E1069" t="s">
        <v>25</v>
      </c>
      <c r="F1069" t="str">
        <f>VLOOKUP(Ramen_Ratings[[#This Row],[Country]],Country_Region[#All],2,FALSE)</f>
        <v>Asia</v>
      </c>
      <c r="G1069">
        <v>3.25</v>
      </c>
      <c r="H1069" t="str" cm="1">
        <f t="array" ref="H1069">_xlfn.IFS(Ramen_Ratings[[#This Row],[Stars]] = "Unrated", "NA",Ramen_Ratings[[#This Row],[Stars]]&gt;=4, "Good", Ramen_Ratings[[#This Row],[Stars]]&gt;2.5, "Fair", Ramen_Ratings[[#This Row],[Stars]] &gt;= 0, "Bad")</f>
        <v>Fair</v>
      </c>
      <c r="J1069" t="str">
        <f>LEFT(Ramen_Ratings[[#This Row],[Top Ten]],4)</f>
        <v/>
      </c>
      <c r="K1069" t="str">
        <f>IF(Ramen_Ratings[[#This Row],[Top Ten]]="", "",RIGHT(Ramen_Ratings[[#This Row],[Top Ten]],LEN(Ramen_Ratings[[#This Row],[Top Ten]])-6))</f>
        <v/>
      </c>
    </row>
    <row r="1070" spans="1:11" x14ac:dyDescent="0.25">
      <c r="A1070">
        <v>881</v>
      </c>
      <c r="B1070" t="s">
        <v>1968</v>
      </c>
      <c r="C1070" t="s">
        <v>1995</v>
      </c>
      <c r="D1070" t="s">
        <v>30</v>
      </c>
      <c r="E1070" t="s">
        <v>25</v>
      </c>
      <c r="F1070" t="str">
        <f>VLOOKUP(Ramen_Ratings[[#This Row],[Country]],Country_Region[#All],2,FALSE)</f>
        <v>Asia</v>
      </c>
      <c r="G1070">
        <v>3.25</v>
      </c>
      <c r="H1070" t="str" cm="1">
        <f t="array" ref="H1070">_xlfn.IFS(Ramen_Ratings[[#This Row],[Stars]] = "Unrated", "NA",Ramen_Ratings[[#This Row],[Stars]]&gt;=4, "Good", Ramen_Ratings[[#This Row],[Stars]]&gt;2.5, "Fair", Ramen_Ratings[[#This Row],[Stars]] &gt;= 0, "Bad")</f>
        <v>Fair</v>
      </c>
      <c r="J1070" t="str">
        <f>LEFT(Ramen_Ratings[[#This Row],[Top Ten]],4)</f>
        <v/>
      </c>
      <c r="K1070" t="str">
        <f>IF(Ramen_Ratings[[#This Row],[Top Ten]]="", "",RIGHT(Ramen_Ratings[[#This Row],[Top Ten]],LEN(Ramen_Ratings[[#This Row],[Top Ten]])-6))</f>
        <v/>
      </c>
    </row>
    <row r="1071" spans="1:11" x14ac:dyDescent="0.25">
      <c r="A1071">
        <v>879</v>
      </c>
      <c r="B1071" t="s">
        <v>1997</v>
      </c>
      <c r="C1071" t="s">
        <v>1998</v>
      </c>
      <c r="D1071" t="s">
        <v>44</v>
      </c>
      <c r="E1071" t="s">
        <v>25</v>
      </c>
      <c r="F1071" t="str">
        <f>VLOOKUP(Ramen_Ratings[[#This Row],[Country]],Country_Region[#All],2,FALSE)</f>
        <v>Asia</v>
      </c>
      <c r="G1071">
        <v>5</v>
      </c>
      <c r="H1071" t="str" cm="1">
        <f t="array" ref="H1071">_xlfn.IFS(Ramen_Ratings[[#This Row],[Stars]] = "Unrated", "NA",Ramen_Ratings[[#This Row],[Stars]]&gt;=4, "Good", Ramen_Ratings[[#This Row],[Stars]]&gt;2.5, "Fair", Ramen_Ratings[[#This Row],[Stars]] &gt;= 0, "Bad")</f>
        <v>Good</v>
      </c>
      <c r="J1071" t="str">
        <f>LEFT(Ramen_Ratings[[#This Row],[Top Ten]],4)</f>
        <v/>
      </c>
      <c r="K1071" t="str">
        <f>IF(Ramen_Ratings[[#This Row],[Top Ten]]="", "",RIGHT(Ramen_Ratings[[#This Row],[Top Ten]],LEN(Ramen_Ratings[[#This Row],[Top Ten]])-6))</f>
        <v/>
      </c>
    </row>
    <row r="1072" spans="1:11" x14ac:dyDescent="0.25">
      <c r="A1072">
        <v>868</v>
      </c>
      <c r="B1072" t="s">
        <v>2011</v>
      </c>
      <c r="C1072" t="s">
        <v>2012</v>
      </c>
      <c r="D1072" t="s">
        <v>44</v>
      </c>
      <c r="E1072" t="s">
        <v>25</v>
      </c>
      <c r="F1072" t="str">
        <f>VLOOKUP(Ramen_Ratings[[#This Row],[Country]],Country_Region[#All],2,FALSE)</f>
        <v>Asia</v>
      </c>
      <c r="G1072">
        <v>3.75</v>
      </c>
      <c r="H1072" t="str" cm="1">
        <f t="array" ref="H1072">_xlfn.IFS(Ramen_Ratings[[#This Row],[Stars]] = "Unrated", "NA",Ramen_Ratings[[#This Row],[Stars]]&gt;=4, "Good", Ramen_Ratings[[#This Row],[Stars]]&gt;2.5, "Fair", Ramen_Ratings[[#This Row],[Stars]] &gt;= 0, "Bad")</f>
        <v>Fair</v>
      </c>
      <c r="J1072" t="str">
        <f>LEFT(Ramen_Ratings[[#This Row],[Top Ten]],4)</f>
        <v/>
      </c>
      <c r="K1072" t="str">
        <f>IF(Ramen_Ratings[[#This Row],[Top Ten]]="", "",RIGHT(Ramen_Ratings[[#This Row],[Top Ten]],LEN(Ramen_Ratings[[#This Row],[Top Ten]])-6))</f>
        <v/>
      </c>
    </row>
    <row r="1073" spans="1:11" x14ac:dyDescent="0.25">
      <c r="A1073">
        <v>857</v>
      </c>
      <c r="B1073" t="s">
        <v>346</v>
      </c>
      <c r="C1073" t="s">
        <v>2023</v>
      </c>
      <c r="D1073" t="s">
        <v>44</v>
      </c>
      <c r="E1073" t="s">
        <v>25</v>
      </c>
      <c r="F1073" t="str">
        <f>VLOOKUP(Ramen_Ratings[[#This Row],[Country]],Country_Region[#All],2,FALSE)</f>
        <v>Asia</v>
      </c>
      <c r="G1073">
        <v>4.25</v>
      </c>
      <c r="H1073" t="str" cm="1">
        <f t="array" ref="H1073">_xlfn.IFS(Ramen_Ratings[[#This Row],[Stars]] = "Unrated", "NA",Ramen_Ratings[[#This Row],[Stars]]&gt;=4, "Good", Ramen_Ratings[[#This Row],[Stars]]&gt;2.5, "Fair", Ramen_Ratings[[#This Row],[Stars]] &gt;= 0, "Bad")</f>
        <v>Good</v>
      </c>
      <c r="J1073" t="str">
        <f>LEFT(Ramen_Ratings[[#This Row],[Top Ten]],4)</f>
        <v/>
      </c>
      <c r="K1073" t="str">
        <f>IF(Ramen_Ratings[[#This Row],[Top Ten]]="", "",RIGHT(Ramen_Ratings[[#This Row],[Top Ten]],LEN(Ramen_Ratings[[#This Row],[Top Ten]])-6))</f>
        <v/>
      </c>
    </row>
    <row r="1074" spans="1:11" x14ac:dyDescent="0.25">
      <c r="A1074">
        <v>853</v>
      </c>
      <c r="B1074" t="s">
        <v>2027</v>
      </c>
      <c r="C1074" t="s">
        <v>2028</v>
      </c>
      <c r="D1074" t="s">
        <v>44</v>
      </c>
      <c r="E1074" t="s">
        <v>25</v>
      </c>
      <c r="F1074" t="str">
        <f>VLOOKUP(Ramen_Ratings[[#This Row],[Country]],Country_Region[#All],2,FALSE)</f>
        <v>Asia</v>
      </c>
      <c r="G1074">
        <v>4.5</v>
      </c>
      <c r="H1074" t="str" cm="1">
        <f t="array" ref="H1074">_xlfn.IFS(Ramen_Ratings[[#This Row],[Stars]] = "Unrated", "NA",Ramen_Ratings[[#This Row],[Stars]]&gt;=4, "Good", Ramen_Ratings[[#This Row],[Stars]]&gt;2.5, "Fair", Ramen_Ratings[[#This Row],[Stars]] &gt;= 0, "Bad")</f>
        <v>Good</v>
      </c>
      <c r="J1074" t="str">
        <f>LEFT(Ramen_Ratings[[#This Row],[Top Ten]],4)</f>
        <v/>
      </c>
      <c r="K1074" t="str">
        <f>IF(Ramen_Ratings[[#This Row],[Top Ten]]="", "",RIGHT(Ramen_Ratings[[#This Row],[Top Ten]],LEN(Ramen_Ratings[[#This Row],[Top Ten]])-6))</f>
        <v/>
      </c>
    </row>
    <row r="1075" spans="1:11" x14ac:dyDescent="0.25">
      <c r="A1075">
        <v>845</v>
      </c>
      <c r="B1075" t="s">
        <v>41</v>
      </c>
      <c r="C1075" t="s">
        <v>2036</v>
      </c>
      <c r="D1075" t="s">
        <v>13</v>
      </c>
      <c r="E1075" t="s">
        <v>25</v>
      </c>
      <c r="F1075" t="str">
        <f>VLOOKUP(Ramen_Ratings[[#This Row],[Country]],Country_Region[#All],2,FALSE)</f>
        <v>Asia</v>
      </c>
      <c r="G1075">
        <v>4.25</v>
      </c>
      <c r="H1075" t="str" cm="1">
        <f t="array" ref="H1075">_xlfn.IFS(Ramen_Ratings[[#This Row],[Stars]] = "Unrated", "NA",Ramen_Ratings[[#This Row],[Stars]]&gt;=4, "Good", Ramen_Ratings[[#This Row],[Stars]]&gt;2.5, "Fair", Ramen_Ratings[[#This Row],[Stars]] &gt;= 0, "Bad")</f>
        <v>Good</v>
      </c>
      <c r="J1075" t="str">
        <f>LEFT(Ramen_Ratings[[#This Row],[Top Ten]],4)</f>
        <v/>
      </c>
      <c r="K1075" t="str">
        <f>IF(Ramen_Ratings[[#This Row],[Top Ten]]="", "",RIGHT(Ramen_Ratings[[#This Row],[Top Ten]],LEN(Ramen_Ratings[[#This Row],[Top Ten]])-6))</f>
        <v/>
      </c>
    </row>
    <row r="1076" spans="1:11" x14ac:dyDescent="0.25">
      <c r="A1076">
        <v>841</v>
      </c>
      <c r="B1076" t="s">
        <v>41</v>
      </c>
      <c r="C1076" t="s">
        <v>2040</v>
      </c>
      <c r="D1076" t="s">
        <v>13</v>
      </c>
      <c r="E1076" t="s">
        <v>25</v>
      </c>
      <c r="F1076" t="str">
        <f>VLOOKUP(Ramen_Ratings[[#This Row],[Country]],Country_Region[#All],2,FALSE)</f>
        <v>Asia</v>
      </c>
      <c r="G1076">
        <v>4</v>
      </c>
      <c r="H1076" t="str" cm="1">
        <f t="array" ref="H1076">_xlfn.IFS(Ramen_Ratings[[#This Row],[Stars]] = "Unrated", "NA",Ramen_Ratings[[#This Row],[Stars]]&gt;=4, "Good", Ramen_Ratings[[#This Row],[Stars]]&gt;2.5, "Fair", Ramen_Ratings[[#This Row],[Stars]] &gt;= 0, "Bad")</f>
        <v>Good</v>
      </c>
      <c r="J1076" t="str">
        <f>LEFT(Ramen_Ratings[[#This Row],[Top Ten]],4)</f>
        <v/>
      </c>
      <c r="K1076" t="str">
        <f>IF(Ramen_Ratings[[#This Row],[Top Ten]]="", "",RIGHT(Ramen_Ratings[[#This Row],[Top Ten]],LEN(Ramen_Ratings[[#This Row],[Top Ten]])-6))</f>
        <v/>
      </c>
    </row>
    <row r="1077" spans="1:11" x14ac:dyDescent="0.25">
      <c r="A1077">
        <v>839</v>
      </c>
      <c r="B1077" t="s">
        <v>2011</v>
      </c>
      <c r="C1077" t="s">
        <v>2042</v>
      </c>
      <c r="D1077" t="s">
        <v>9</v>
      </c>
      <c r="E1077" t="s">
        <v>25</v>
      </c>
      <c r="F1077" t="str">
        <f>VLOOKUP(Ramen_Ratings[[#This Row],[Country]],Country_Region[#All],2,FALSE)</f>
        <v>Asia</v>
      </c>
      <c r="G1077">
        <v>2</v>
      </c>
      <c r="H1077" t="str" cm="1">
        <f t="array" ref="H1077">_xlfn.IFS(Ramen_Ratings[[#This Row],[Stars]] = "Unrated", "NA",Ramen_Ratings[[#This Row],[Stars]]&gt;=4, "Good", Ramen_Ratings[[#This Row],[Stars]]&gt;2.5, "Fair", Ramen_Ratings[[#This Row],[Stars]] &gt;= 0, "Bad")</f>
        <v>Bad</v>
      </c>
      <c r="J1077" t="str">
        <f>LEFT(Ramen_Ratings[[#This Row],[Top Ten]],4)</f>
        <v/>
      </c>
      <c r="K1077" t="str">
        <f>IF(Ramen_Ratings[[#This Row],[Top Ten]]="", "",RIGHT(Ramen_Ratings[[#This Row],[Top Ten]],LEN(Ramen_Ratings[[#This Row],[Top Ten]])-6))</f>
        <v/>
      </c>
    </row>
    <row r="1078" spans="1:11" x14ac:dyDescent="0.25">
      <c r="A1078">
        <v>829</v>
      </c>
      <c r="B1078" t="s">
        <v>54</v>
      </c>
      <c r="C1078" t="s">
        <v>2053</v>
      </c>
      <c r="D1078" t="s">
        <v>44</v>
      </c>
      <c r="E1078" t="s">
        <v>25</v>
      </c>
      <c r="F1078" t="str">
        <f>VLOOKUP(Ramen_Ratings[[#This Row],[Country]],Country_Region[#All],2,FALSE)</f>
        <v>Asia</v>
      </c>
      <c r="G1078">
        <v>4.75</v>
      </c>
      <c r="H1078" t="str" cm="1">
        <f t="array" ref="H1078">_xlfn.IFS(Ramen_Ratings[[#This Row],[Stars]] = "Unrated", "NA",Ramen_Ratings[[#This Row],[Stars]]&gt;=4, "Good", Ramen_Ratings[[#This Row],[Stars]]&gt;2.5, "Fair", Ramen_Ratings[[#This Row],[Stars]] &gt;= 0, "Bad")</f>
        <v>Good</v>
      </c>
      <c r="J1078" t="str">
        <f>LEFT(Ramen_Ratings[[#This Row],[Top Ten]],4)</f>
        <v/>
      </c>
      <c r="K1078" t="str">
        <f>IF(Ramen_Ratings[[#This Row],[Top Ten]]="", "",RIGHT(Ramen_Ratings[[#This Row],[Top Ten]],LEN(Ramen_Ratings[[#This Row],[Top Ten]])-6))</f>
        <v/>
      </c>
    </row>
    <row r="1079" spans="1:11" x14ac:dyDescent="0.25">
      <c r="A1079">
        <v>828</v>
      </c>
      <c r="B1079" t="s">
        <v>54</v>
      </c>
      <c r="C1079" t="s">
        <v>2054</v>
      </c>
      <c r="D1079" t="s">
        <v>13</v>
      </c>
      <c r="E1079" t="s">
        <v>25</v>
      </c>
      <c r="F1079" t="str">
        <f>VLOOKUP(Ramen_Ratings[[#This Row],[Country]],Country_Region[#All],2,FALSE)</f>
        <v>Asia</v>
      </c>
      <c r="G1079">
        <v>3.5</v>
      </c>
      <c r="H1079" t="str" cm="1">
        <f t="array" ref="H1079">_xlfn.IFS(Ramen_Ratings[[#This Row],[Stars]] = "Unrated", "NA",Ramen_Ratings[[#This Row],[Stars]]&gt;=4, "Good", Ramen_Ratings[[#This Row],[Stars]]&gt;2.5, "Fair", Ramen_Ratings[[#This Row],[Stars]] &gt;= 0, "Bad")</f>
        <v>Fair</v>
      </c>
      <c r="J1079" t="str">
        <f>LEFT(Ramen_Ratings[[#This Row],[Top Ten]],4)</f>
        <v/>
      </c>
      <c r="K1079" t="str">
        <f>IF(Ramen_Ratings[[#This Row],[Top Ten]]="", "",RIGHT(Ramen_Ratings[[#This Row],[Top Ten]],LEN(Ramen_Ratings[[#This Row],[Top Ten]])-6))</f>
        <v/>
      </c>
    </row>
    <row r="1080" spans="1:11" x14ac:dyDescent="0.25">
      <c r="A1080">
        <v>827</v>
      </c>
      <c r="B1080" t="s">
        <v>54</v>
      </c>
      <c r="C1080" t="s">
        <v>2055</v>
      </c>
      <c r="D1080" t="s">
        <v>13</v>
      </c>
      <c r="E1080" t="s">
        <v>25</v>
      </c>
      <c r="F1080" t="str">
        <f>VLOOKUP(Ramen_Ratings[[#This Row],[Country]],Country_Region[#All],2,FALSE)</f>
        <v>Asia</v>
      </c>
      <c r="G1080">
        <v>4.75</v>
      </c>
      <c r="H1080" t="str" cm="1">
        <f t="array" ref="H1080">_xlfn.IFS(Ramen_Ratings[[#This Row],[Stars]] = "Unrated", "NA",Ramen_Ratings[[#This Row],[Stars]]&gt;=4, "Good", Ramen_Ratings[[#This Row],[Stars]]&gt;2.5, "Fair", Ramen_Ratings[[#This Row],[Stars]] &gt;= 0, "Bad")</f>
        <v>Good</v>
      </c>
      <c r="J1080" t="str">
        <f>LEFT(Ramen_Ratings[[#This Row],[Top Ten]],4)</f>
        <v/>
      </c>
      <c r="K1080" t="str">
        <f>IF(Ramen_Ratings[[#This Row],[Top Ten]]="", "",RIGHT(Ramen_Ratings[[#This Row],[Top Ten]],LEN(Ramen_Ratings[[#This Row],[Top Ten]])-6))</f>
        <v/>
      </c>
    </row>
    <row r="1081" spans="1:11" x14ac:dyDescent="0.25">
      <c r="A1081">
        <v>826</v>
      </c>
      <c r="B1081" t="s">
        <v>54</v>
      </c>
      <c r="C1081" t="s">
        <v>2056</v>
      </c>
      <c r="D1081" t="s">
        <v>13</v>
      </c>
      <c r="E1081" t="s">
        <v>25</v>
      </c>
      <c r="F1081" t="str">
        <f>VLOOKUP(Ramen_Ratings[[#This Row],[Country]],Country_Region[#All],2,FALSE)</f>
        <v>Asia</v>
      </c>
      <c r="G1081">
        <v>5</v>
      </c>
      <c r="H1081" t="str" cm="1">
        <f t="array" ref="H1081">_xlfn.IFS(Ramen_Ratings[[#This Row],[Stars]] = "Unrated", "NA",Ramen_Ratings[[#This Row],[Stars]]&gt;=4, "Good", Ramen_Ratings[[#This Row],[Stars]]&gt;2.5, "Fair", Ramen_Ratings[[#This Row],[Stars]] &gt;= 0, "Bad")</f>
        <v>Good</v>
      </c>
      <c r="J1081" t="str">
        <f>LEFT(Ramen_Ratings[[#This Row],[Top Ten]],4)</f>
        <v/>
      </c>
      <c r="K1081" t="str">
        <f>IF(Ramen_Ratings[[#This Row],[Top Ten]]="", "",RIGHT(Ramen_Ratings[[#This Row],[Top Ten]],LEN(Ramen_Ratings[[#This Row],[Top Ten]])-6))</f>
        <v/>
      </c>
    </row>
    <row r="1082" spans="1:11" x14ac:dyDescent="0.25">
      <c r="A1082">
        <v>824</v>
      </c>
      <c r="B1082" t="s">
        <v>54</v>
      </c>
      <c r="C1082" t="s">
        <v>2058</v>
      </c>
      <c r="D1082" t="s">
        <v>13</v>
      </c>
      <c r="E1082" t="s">
        <v>25</v>
      </c>
      <c r="F1082" t="str">
        <f>VLOOKUP(Ramen_Ratings[[#This Row],[Country]],Country_Region[#All],2,FALSE)</f>
        <v>Asia</v>
      </c>
      <c r="G1082">
        <v>5</v>
      </c>
      <c r="H1082" t="str" cm="1">
        <f t="array" ref="H1082">_xlfn.IFS(Ramen_Ratings[[#This Row],[Stars]] = "Unrated", "NA",Ramen_Ratings[[#This Row],[Stars]]&gt;=4, "Good", Ramen_Ratings[[#This Row],[Stars]]&gt;2.5, "Fair", Ramen_Ratings[[#This Row],[Stars]] &gt;= 0, "Bad")</f>
        <v>Good</v>
      </c>
      <c r="J1082" t="str">
        <f>LEFT(Ramen_Ratings[[#This Row],[Top Ten]],4)</f>
        <v/>
      </c>
      <c r="K1082" t="str">
        <f>IF(Ramen_Ratings[[#This Row],[Top Ten]]="", "",RIGHT(Ramen_Ratings[[#This Row],[Top Ten]],LEN(Ramen_Ratings[[#This Row],[Top Ten]])-6))</f>
        <v/>
      </c>
    </row>
    <row r="1083" spans="1:11" x14ac:dyDescent="0.25">
      <c r="A1083">
        <v>822</v>
      </c>
      <c r="B1083" t="s">
        <v>54</v>
      </c>
      <c r="C1083" t="s">
        <v>2060</v>
      </c>
      <c r="D1083" t="s">
        <v>44</v>
      </c>
      <c r="E1083" t="s">
        <v>25</v>
      </c>
      <c r="F1083" t="str">
        <f>VLOOKUP(Ramen_Ratings[[#This Row],[Country]],Country_Region[#All],2,FALSE)</f>
        <v>Asia</v>
      </c>
      <c r="G1083">
        <v>3.5</v>
      </c>
      <c r="H1083" t="str" cm="1">
        <f t="array" ref="H1083">_xlfn.IFS(Ramen_Ratings[[#This Row],[Stars]] = "Unrated", "NA",Ramen_Ratings[[#This Row],[Stars]]&gt;=4, "Good", Ramen_Ratings[[#This Row],[Stars]]&gt;2.5, "Fair", Ramen_Ratings[[#This Row],[Stars]] &gt;= 0, "Bad")</f>
        <v>Fair</v>
      </c>
      <c r="J1083" t="str">
        <f>LEFT(Ramen_Ratings[[#This Row],[Top Ten]],4)</f>
        <v/>
      </c>
      <c r="K1083" t="str">
        <f>IF(Ramen_Ratings[[#This Row],[Top Ten]]="", "",RIGHT(Ramen_Ratings[[#This Row],[Top Ten]],LEN(Ramen_Ratings[[#This Row],[Top Ten]])-6))</f>
        <v/>
      </c>
    </row>
    <row r="1084" spans="1:11" x14ac:dyDescent="0.25">
      <c r="A1084">
        <v>809</v>
      </c>
      <c r="B1084" t="s">
        <v>41</v>
      </c>
      <c r="C1084" t="s">
        <v>2072</v>
      </c>
      <c r="D1084" t="s">
        <v>13</v>
      </c>
      <c r="E1084" t="s">
        <v>25</v>
      </c>
      <c r="F1084" t="str">
        <f>VLOOKUP(Ramen_Ratings[[#This Row],[Country]],Country_Region[#All],2,FALSE)</f>
        <v>Asia</v>
      </c>
      <c r="G1084">
        <v>4</v>
      </c>
      <c r="H1084" t="str" cm="1">
        <f t="array" ref="H1084">_xlfn.IFS(Ramen_Ratings[[#This Row],[Stars]] = "Unrated", "NA",Ramen_Ratings[[#This Row],[Stars]]&gt;=4, "Good", Ramen_Ratings[[#This Row],[Stars]]&gt;2.5, "Fair", Ramen_Ratings[[#This Row],[Stars]] &gt;= 0, "Bad")</f>
        <v>Good</v>
      </c>
      <c r="J1084" t="str">
        <f>LEFT(Ramen_Ratings[[#This Row],[Top Ten]],4)</f>
        <v/>
      </c>
      <c r="K1084" t="str">
        <f>IF(Ramen_Ratings[[#This Row],[Top Ten]]="", "",RIGHT(Ramen_Ratings[[#This Row],[Top Ten]],LEN(Ramen_Ratings[[#This Row],[Top Ten]])-6))</f>
        <v/>
      </c>
    </row>
    <row r="1085" spans="1:11" x14ac:dyDescent="0.25">
      <c r="A1085">
        <v>806</v>
      </c>
      <c r="B1085" t="s">
        <v>2076</v>
      </c>
      <c r="C1085" t="s">
        <v>2077</v>
      </c>
      <c r="D1085" t="s">
        <v>44</v>
      </c>
      <c r="E1085" t="s">
        <v>25</v>
      </c>
      <c r="F1085" t="str">
        <f>VLOOKUP(Ramen_Ratings[[#This Row],[Country]],Country_Region[#All],2,FALSE)</f>
        <v>Asia</v>
      </c>
      <c r="G1085">
        <v>3.5</v>
      </c>
      <c r="H1085" t="str" cm="1">
        <f t="array" ref="H1085">_xlfn.IFS(Ramen_Ratings[[#This Row],[Stars]] = "Unrated", "NA",Ramen_Ratings[[#This Row],[Stars]]&gt;=4, "Good", Ramen_Ratings[[#This Row],[Stars]]&gt;2.5, "Fair", Ramen_Ratings[[#This Row],[Stars]] &gt;= 0, "Bad")</f>
        <v>Fair</v>
      </c>
      <c r="J1085" t="str">
        <f>LEFT(Ramen_Ratings[[#This Row],[Top Ten]],4)</f>
        <v/>
      </c>
      <c r="K1085" t="str">
        <f>IF(Ramen_Ratings[[#This Row],[Top Ten]]="", "",RIGHT(Ramen_Ratings[[#This Row],[Top Ten]],LEN(Ramen_Ratings[[#This Row],[Top Ten]])-6))</f>
        <v/>
      </c>
    </row>
    <row r="1086" spans="1:11" x14ac:dyDescent="0.25">
      <c r="A1086">
        <v>787</v>
      </c>
      <c r="B1086" t="s">
        <v>1114</v>
      </c>
      <c r="C1086" t="s">
        <v>2098</v>
      </c>
      <c r="D1086" t="s">
        <v>13</v>
      </c>
      <c r="E1086" t="s">
        <v>25</v>
      </c>
      <c r="F1086" t="str">
        <f>VLOOKUP(Ramen_Ratings[[#This Row],[Country]],Country_Region[#All],2,FALSE)</f>
        <v>Asia</v>
      </c>
      <c r="G1086">
        <v>5</v>
      </c>
      <c r="H1086" t="str" cm="1">
        <f t="array" ref="H1086">_xlfn.IFS(Ramen_Ratings[[#This Row],[Stars]] = "Unrated", "NA",Ramen_Ratings[[#This Row],[Stars]]&gt;=4, "Good", Ramen_Ratings[[#This Row],[Stars]]&gt;2.5, "Fair", Ramen_Ratings[[#This Row],[Stars]] &gt;= 0, "Bad")</f>
        <v>Good</v>
      </c>
      <c r="J1086" t="str">
        <f>LEFT(Ramen_Ratings[[#This Row],[Top Ten]],4)</f>
        <v/>
      </c>
      <c r="K1086" t="str">
        <f>IF(Ramen_Ratings[[#This Row],[Top Ten]]="", "",RIGHT(Ramen_Ratings[[#This Row],[Top Ten]],LEN(Ramen_Ratings[[#This Row],[Top Ten]])-6))</f>
        <v/>
      </c>
    </row>
    <row r="1087" spans="1:11" x14ac:dyDescent="0.25">
      <c r="A1087">
        <v>780</v>
      </c>
      <c r="B1087" t="s">
        <v>74</v>
      </c>
      <c r="C1087" t="s">
        <v>2104</v>
      </c>
      <c r="D1087" t="s">
        <v>13</v>
      </c>
      <c r="E1087" t="s">
        <v>25</v>
      </c>
      <c r="F1087" t="str">
        <f>VLOOKUP(Ramen_Ratings[[#This Row],[Country]],Country_Region[#All],2,FALSE)</f>
        <v>Asia</v>
      </c>
      <c r="G1087">
        <v>3.5</v>
      </c>
      <c r="H1087" t="str" cm="1">
        <f t="array" ref="H1087">_xlfn.IFS(Ramen_Ratings[[#This Row],[Stars]] = "Unrated", "NA",Ramen_Ratings[[#This Row],[Stars]]&gt;=4, "Good", Ramen_Ratings[[#This Row],[Stars]]&gt;2.5, "Fair", Ramen_Ratings[[#This Row],[Stars]] &gt;= 0, "Bad")</f>
        <v>Fair</v>
      </c>
      <c r="J1087" t="str">
        <f>LEFT(Ramen_Ratings[[#This Row],[Top Ten]],4)</f>
        <v/>
      </c>
      <c r="K1087" t="str">
        <f>IF(Ramen_Ratings[[#This Row],[Top Ten]]="", "",RIGHT(Ramen_Ratings[[#This Row],[Top Ten]],LEN(Ramen_Ratings[[#This Row],[Top Ten]])-6))</f>
        <v/>
      </c>
    </row>
    <row r="1088" spans="1:11" x14ac:dyDescent="0.25">
      <c r="A1088">
        <v>764</v>
      </c>
      <c r="B1088" t="s">
        <v>346</v>
      </c>
      <c r="C1088" t="s">
        <v>2119</v>
      </c>
      <c r="D1088" t="s">
        <v>44</v>
      </c>
      <c r="E1088" t="s">
        <v>25</v>
      </c>
      <c r="F1088" t="str">
        <f>VLOOKUP(Ramen_Ratings[[#This Row],[Country]],Country_Region[#All],2,FALSE)</f>
        <v>Asia</v>
      </c>
      <c r="G1088">
        <v>3.5</v>
      </c>
      <c r="H1088" t="str" cm="1">
        <f t="array" ref="H1088">_xlfn.IFS(Ramen_Ratings[[#This Row],[Stars]] = "Unrated", "NA",Ramen_Ratings[[#This Row],[Stars]]&gt;=4, "Good", Ramen_Ratings[[#This Row],[Stars]]&gt;2.5, "Fair", Ramen_Ratings[[#This Row],[Stars]] &gt;= 0, "Bad")</f>
        <v>Fair</v>
      </c>
      <c r="J1088" t="str">
        <f>LEFT(Ramen_Ratings[[#This Row],[Top Ten]],4)</f>
        <v/>
      </c>
      <c r="K1088" t="str">
        <f>IF(Ramen_Ratings[[#This Row],[Top Ten]]="", "",RIGHT(Ramen_Ratings[[#This Row],[Top Ten]],LEN(Ramen_Ratings[[#This Row],[Top Ten]])-6))</f>
        <v/>
      </c>
    </row>
    <row r="1089" spans="1:11" x14ac:dyDescent="0.25">
      <c r="A1089">
        <v>755</v>
      </c>
      <c r="B1089" t="s">
        <v>41</v>
      </c>
      <c r="C1089" t="s">
        <v>2128</v>
      </c>
      <c r="D1089" t="s">
        <v>44</v>
      </c>
      <c r="E1089" t="s">
        <v>25</v>
      </c>
      <c r="F1089" t="str">
        <f>VLOOKUP(Ramen_Ratings[[#This Row],[Country]],Country_Region[#All],2,FALSE)</f>
        <v>Asia</v>
      </c>
      <c r="G1089">
        <v>4.25</v>
      </c>
      <c r="H1089" t="str" cm="1">
        <f t="array" ref="H1089">_xlfn.IFS(Ramen_Ratings[[#This Row],[Stars]] = "Unrated", "NA",Ramen_Ratings[[#This Row],[Stars]]&gt;=4, "Good", Ramen_Ratings[[#This Row],[Stars]]&gt;2.5, "Fair", Ramen_Ratings[[#This Row],[Stars]] &gt;= 0, "Bad")</f>
        <v>Good</v>
      </c>
      <c r="J1089" t="str">
        <f>LEFT(Ramen_Ratings[[#This Row],[Top Ten]],4)</f>
        <v/>
      </c>
      <c r="K1089" t="str">
        <f>IF(Ramen_Ratings[[#This Row],[Top Ten]]="", "",RIGHT(Ramen_Ratings[[#This Row],[Top Ten]],LEN(Ramen_Ratings[[#This Row],[Top Ten]])-6))</f>
        <v/>
      </c>
    </row>
    <row r="1090" spans="1:11" x14ac:dyDescent="0.25">
      <c r="A1090">
        <v>753</v>
      </c>
      <c r="B1090" t="s">
        <v>41</v>
      </c>
      <c r="C1090" t="s">
        <v>2130</v>
      </c>
      <c r="D1090" t="s">
        <v>13</v>
      </c>
      <c r="E1090" t="s">
        <v>25</v>
      </c>
      <c r="F1090" t="str">
        <f>VLOOKUP(Ramen_Ratings[[#This Row],[Country]],Country_Region[#All],2,FALSE)</f>
        <v>Asia</v>
      </c>
      <c r="G1090">
        <v>4.25</v>
      </c>
      <c r="H1090" t="str" cm="1">
        <f t="array" ref="H1090">_xlfn.IFS(Ramen_Ratings[[#This Row],[Stars]] = "Unrated", "NA",Ramen_Ratings[[#This Row],[Stars]]&gt;=4, "Good", Ramen_Ratings[[#This Row],[Stars]]&gt;2.5, "Fair", Ramen_Ratings[[#This Row],[Stars]] &gt;= 0, "Bad")</f>
        <v>Good</v>
      </c>
      <c r="J1090" t="str">
        <f>LEFT(Ramen_Ratings[[#This Row],[Top Ten]],4)</f>
        <v/>
      </c>
      <c r="K1090" t="str">
        <f>IF(Ramen_Ratings[[#This Row],[Top Ten]]="", "",RIGHT(Ramen_Ratings[[#This Row],[Top Ten]],LEN(Ramen_Ratings[[#This Row],[Top Ten]])-6))</f>
        <v/>
      </c>
    </row>
    <row r="1091" spans="1:11" x14ac:dyDescent="0.25">
      <c r="A1091">
        <v>751</v>
      </c>
      <c r="B1091" t="s">
        <v>41</v>
      </c>
      <c r="C1091" t="s">
        <v>2132</v>
      </c>
      <c r="D1091" t="s">
        <v>9</v>
      </c>
      <c r="E1091" t="s">
        <v>25</v>
      </c>
      <c r="F1091" t="str">
        <f>VLOOKUP(Ramen_Ratings[[#This Row],[Country]],Country_Region[#All],2,FALSE)</f>
        <v>Asia</v>
      </c>
      <c r="G1091">
        <v>5</v>
      </c>
      <c r="H1091" t="str" cm="1">
        <f t="array" ref="H1091">_xlfn.IFS(Ramen_Ratings[[#This Row],[Stars]] = "Unrated", "NA",Ramen_Ratings[[#This Row],[Stars]]&gt;=4, "Good", Ramen_Ratings[[#This Row],[Stars]]&gt;2.5, "Fair", Ramen_Ratings[[#This Row],[Stars]] &gt;= 0, "Bad")</f>
        <v>Good</v>
      </c>
      <c r="J1091" t="str">
        <f>LEFT(Ramen_Ratings[[#This Row],[Top Ten]],4)</f>
        <v/>
      </c>
      <c r="K1091" t="str">
        <f>IF(Ramen_Ratings[[#This Row],[Top Ten]]="", "",RIGHT(Ramen_Ratings[[#This Row],[Top Ten]],LEN(Ramen_Ratings[[#This Row],[Top Ten]])-6))</f>
        <v/>
      </c>
    </row>
    <row r="1092" spans="1:11" x14ac:dyDescent="0.25">
      <c r="A1092">
        <v>745</v>
      </c>
      <c r="B1092" t="s">
        <v>41</v>
      </c>
      <c r="C1092" t="s">
        <v>2139</v>
      </c>
      <c r="D1092" t="s">
        <v>13</v>
      </c>
      <c r="E1092" t="s">
        <v>25</v>
      </c>
      <c r="F1092" t="str">
        <f>VLOOKUP(Ramen_Ratings[[#This Row],[Country]],Country_Region[#All],2,FALSE)</f>
        <v>Asia</v>
      </c>
      <c r="G1092">
        <v>5</v>
      </c>
      <c r="H1092" t="str" cm="1">
        <f t="array" ref="H1092">_xlfn.IFS(Ramen_Ratings[[#This Row],[Stars]] = "Unrated", "NA",Ramen_Ratings[[#This Row],[Stars]]&gt;=4, "Good", Ramen_Ratings[[#This Row],[Stars]]&gt;2.5, "Fair", Ramen_Ratings[[#This Row],[Stars]] &gt;= 0, "Bad")</f>
        <v>Good</v>
      </c>
      <c r="J1092" t="str">
        <f>LEFT(Ramen_Ratings[[#This Row],[Top Ten]],4)</f>
        <v/>
      </c>
      <c r="K1092" t="str">
        <f>IF(Ramen_Ratings[[#This Row],[Top Ten]]="", "",RIGHT(Ramen_Ratings[[#This Row],[Top Ten]],LEN(Ramen_Ratings[[#This Row],[Top Ten]])-6))</f>
        <v/>
      </c>
    </row>
    <row r="1093" spans="1:11" x14ac:dyDescent="0.25">
      <c r="A1093">
        <v>735</v>
      </c>
      <c r="B1093" t="s">
        <v>74</v>
      </c>
      <c r="C1093" t="s">
        <v>2150</v>
      </c>
      <c r="D1093" t="s">
        <v>44</v>
      </c>
      <c r="E1093" t="s">
        <v>25</v>
      </c>
      <c r="F1093" t="str">
        <f>VLOOKUP(Ramen_Ratings[[#This Row],[Country]],Country_Region[#All],2,FALSE)</f>
        <v>Asia</v>
      </c>
      <c r="G1093">
        <v>2.75</v>
      </c>
      <c r="H1093" t="str" cm="1">
        <f t="array" ref="H1093">_xlfn.IFS(Ramen_Ratings[[#This Row],[Stars]] = "Unrated", "NA",Ramen_Ratings[[#This Row],[Stars]]&gt;=4, "Good", Ramen_Ratings[[#This Row],[Stars]]&gt;2.5, "Fair", Ramen_Ratings[[#This Row],[Stars]] &gt;= 0, "Bad")</f>
        <v>Fair</v>
      </c>
      <c r="J1093" t="str">
        <f>LEFT(Ramen_Ratings[[#This Row],[Top Ten]],4)</f>
        <v/>
      </c>
      <c r="K1093" t="str">
        <f>IF(Ramen_Ratings[[#This Row],[Top Ten]]="", "",RIGHT(Ramen_Ratings[[#This Row],[Top Ten]],LEN(Ramen_Ratings[[#This Row],[Top Ten]])-6))</f>
        <v/>
      </c>
    </row>
    <row r="1094" spans="1:11" x14ac:dyDescent="0.25">
      <c r="A1094">
        <v>718</v>
      </c>
      <c r="B1094" t="s">
        <v>74</v>
      </c>
      <c r="C1094" t="s">
        <v>1917</v>
      </c>
      <c r="D1094" t="s">
        <v>13</v>
      </c>
      <c r="E1094" t="s">
        <v>25</v>
      </c>
      <c r="F1094" t="str">
        <f>VLOOKUP(Ramen_Ratings[[#This Row],[Country]],Country_Region[#All],2,FALSE)</f>
        <v>Asia</v>
      </c>
      <c r="G1094">
        <v>3.75</v>
      </c>
      <c r="H1094" t="str" cm="1">
        <f t="array" ref="H1094">_xlfn.IFS(Ramen_Ratings[[#This Row],[Stars]] = "Unrated", "NA",Ramen_Ratings[[#This Row],[Stars]]&gt;=4, "Good", Ramen_Ratings[[#This Row],[Stars]]&gt;2.5, "Fair", Ramen_Ratings[[#This Row],[Stars]] &gt;= 0, "Bad")</f>
        <v>Fair</v>
      </c>
      <c r="J1094" t="str">
        <f>LEFT(Ramen_Ratings[[#This Row],[Top Ten]],4)</f>
        <v/>
      </c>
      <c r="K1094" t="str">
        <f>IF(Ramen_Ratings[[#This Row],[Top Ten]]="", "",RIGHT(Ramen_Ratings[[#This Row],[Top Ten]],LEN(Ramen_Ratings[[#This Row],[Top Ten]])-6))</f>
        <v/>
      </c>
    </row>
    <row r="1095" spans="1:11" x14ac:dyDescent="0.25">
      <c r="A1095">
        <v>714</v>
      </c>
      <c r="B1095" t="s">
        <v>298</v>
      </c>
      <c r="C1095" t="s">
        <v>2172</v>
      </c>
      <c r="D1095" t="s">
        <v>13</v>
      </c>
      <c r="E1095" t="s">
        <v>25</v>
      </c>
      <c r="F1095" t="str">
        <f>VLOOKUP(Ramen_Ratings[[#This Row],[Country]],Country_Region[#All],2,FALSE)</f>
        <v>Asia</v>
      </c>
      <c r="G1095">
        <v>3.75</v>
      </c>
      <c r="H1095" t="str" cm="1">
        <f t="array" ref="H1095">_xlfn.IFS(Ramen_Ratings[[#This Row],[Stars]] = "Unrated", "NA",Ramen_Ratings[[#This Row],[Stars]]&gt;=4, "Good", Ramen_Ratings[[#This Row],[Stars]]&gt;2.5, "Fair", Ramen_Ratings[[#This Row],[Stars]] &gt;= 0, "Bad")</f>
        <v>Fair</v>
      </c>
      <c r="J1095" t="str">
        <f>LEFT(Ramen_Ratings[[#This Row],[Top Ten]],4)</f>
        <v/>
      </c>
      <c r="K1095" t="str">
        <f>IF(Ramen_Ratings[[#This Row],[Top Ten]]="", "",RIGHT(Ramen_Ratings[[#This Row],[Top Ten]],LEN(Ramen_Ratings[[#This Row],[Top Ten]])-6))</f>
        <v/>
      </c>
    </row>
    <row r="1096" spans="1:11" x14ac:dyDescent="0.25">
      <c r="A1096">
        <v>711</v>
      </c>
      <c r="B1096" t="s">
        <v>41</v>
      </c>
      <c r="C1096" t="s">
        <v>2175</v>
      </c>
      <c r="D1096" t="s">
        <v>13</v>
      </c>
      <c r="E1096" t="s">
        <v>25</v>
      </c>
      <c r="F1096" t="str">
        <f>VLOOKUP(Ramen_Ratings[[#This Row],[Country]],Country_Region[#All],2,FALSE)</f>
        <v>Asia</v>
      </c>
      <c r="G1096">
        <v>4.25</v>
      </c>
      <c r="H1096" t="str" cm="1">
        <f t="array" ref="H1096">_xlfn.IFS(Ramen_Ratings[[#This Row],[Stars]] = "Unrated", "NA",Ramen_Ratings[[#This Row],[Stars]]&gt;=4, "Good", Ramen_Ratings[[#This Row],[Stars]]&gt;2.5, "Fair", Ramen_Ratings[[#This Row],[Stars]] &gt;= 0, "Bad")</f>
        <v>Good</v>
      </c>
      <c r="J1096" t="str">
        <f>LEFT(Ramen_Ratings[[#This Row],[Top Ten]],4)</f>
        <v/>
      </c>
      <c r="K1096" t="str">
        <f>IF(Ramen_Ratings[[#This Row],[Top Ten]]="", "",RIGHT(Ramen_Ratings[[#This Row],[Top Ten]],LEN(Ramen_Ratings[[#This Row],[Top Ten]])-6))</f>
        <v/>
      </c>
    </row>
    <row r="1097" spans="1:11" x14ac:dyDescent="0.25">
      <c r="A1097">
        <v>692</v>
      </c>
      <c r="B1097" t="s">
        <v>2198</v>
      </c>
      <c r="C1097" t="s">
        <v>2199</v>
      </c>
      <c r="D1097" t="s">
        <v>13</v>
      </c>
      <c r="E1097" t="s">
        <v>25</v>
      </c>
      <c r="F1097" t="str">
        <f>VLOOKUP(Ramen_Ratings[[#This Row],[Country]],Country_Region[#All],2,FALSE)</f>
        <v>Asia</v>
      </c>
      <c r="G1097">
        <v>3.75</v>
      </c>
      <c r="H1097" t="str" cm="1">
        <f t="array" ref="H1097">_xlfn.IFS(Ramen_Ratings[[#This Row],[Stars]] = "Unrated", "NA",Ramen_Ratings[[#This Row],[Stars]]&gt;=4, "Good", Ramen_Ratings[[#This Row],[Stars]]&gt;2.5, "Fair", Ramen_Ratings[[#This Row],[Stars]] &gt;= 0, "Bad")</f>
        <v>Fair</v>
      </c>
      <c r="J1097" t="str">
        <f>LEFT(Ramen_Ratings[[#This Row],[Top Ten]],4)</f>
        <v/>
      </c>
      <c r="K1097" t="str">
        <f>IF(Ramen_Ratings[[#This Row],[Top Ten]]="", "",RIGHT(Ramen_Ratings[[#This Row],[Top Ten]],LEN(Ramen_Ratings[[#This Row],[Top Ten]])-6))</f>
        <v/>
      </c>
    </row>
    <row r="1098" spans="1:11" x14ac:dyDescent="0.25">
      <c r="A1098">
        <v>688</v>
      </c>
      <c r="B1098" t="s">
        <v>2076</v>
      </c>
      <c r="C1098" t="s">
        <v>2203</v>
      </c>
      <c r="D1098" t="s">
        <v>13</v>
      </c>
      <c r="E1098" t="s">
        <v>25</v>
      </c>
      <c r="F1098" t="str">
        <f>VLOOKUP(Ramen_Ratings[[#This Row],[Country]],Country_Region[#All],2,FALSE)</f>
        <v>Asia</v>
      </c>
      <c r="G1098">
        <v>3.75</v>
      </c>
      <c r="H1098" t="str" cm="1">
        <f t="array" ref="H1098">_xlfn.IFS(Ramen_Ratings[[#This Row],[Stars]] = "Unrated", "NA",Ramen_Ratings[[#This Row],[Stars]]&gt;=4, "Good", Ramen_Ratings[[#This Row],[Stars]]&gt;2.5, "Fair", Ramen_Ratings[[#This Row],[Stars]] &gt;= 0, "Bad")</f>
        <v>Fair</v>
      </c>
      <c r="J1098" t="str">
        <f>LEFT(Ramen_Ratings[[#This Row],[Top Ten]],4)</f>
        <v/>
      </c>
      <c r="K1098" t="str">
        <f>IF(Ramen_Ratings[[#This Row],[Top Ten]]="", "",RIGHT(Ramen_Ratings[[#This Row],[Top Ten]],LEN(Ramen_Ratings[[#This Row],[Top Ten]])-6))</f>
        <v/>
      </c>
    </row>
    <row r="1099" spans="1:11" x14ac:dyDescent="0.25">
      <c r="A1099">
        <v>683</v>
      </c>
      <c r="B1099" t="s">
        <v>41</v>
      </c>
      <c r="C1099" t="s">
        <v>2208</v>
      </c>
      <c r="D1099" t="s">
        <v>13</v>
      </c>
      <c r="E1099" t="s">
        <v>25</v>
      </c>
      <c r="F1099" t="str">
        <f>VLOOKUP(Ramen_Ratings[[#This Row],[Country]],Country_Region[#All],2,FALSE)</f>
        <v>Asia</v>
      </c>
      <c r="G1099">
        <v>4.75</v>
      </c>
      <c r="H1099" t="str" cm="1">
        <f t="array" ref="H1099">_xlfn.IFS(Ramen_Ratings[[#This Row],[Stars]] = "Unrated", "NA",Ramen_Ratings[[#This Row],[Stars]]&gt;=4, "Good", Ramen_Ratings[[#This Row],[Stars]]&gt;2.5, "Fair", Ramen_Ratings[[#This Row],[Stars]] &gt;= 0, "Bad")</f>
        <v>Good</v>
      </c>
      <c r="J1099" t="str">
        <f>LEFT(Ramen_Ratings[[#This Row],[Top Ten]],4)</f>
        <v/>
      </c>
      <c r="K1099" t="str">
        <f>IF(Ramen_Ratings[[#This Row],[Top Ten]]="", "",RIGHT(Ramen_Ratings[[#This Row],[Top Ten]],LEN(Ramen_Ratings[[#This Row],[Top Ten]])-6))</f>
        <v/>
      </c>
    </row>
    <row r="1100" spans="1:11" x14ac:dyDescent="0.25">
      <c r="A1100">
        <v>681</v>
      </c>
      <c r="B1100" t="s">
        <v>41</v>
      </c>
      <c r="C1100" t="s">
        <v>2210</v>
      </c>
      <c r="D1100" t="s">
        <v>13</v>
      </c>
      <c r="E1100" t="s">
        <v>25</v>
      </c>
      <c r="F1100" t="str">
        <f>VLOOKUP(Ramen_Ratings[[#This Row],[Country]],Country_Region[#All],2,FALSE)</f>
        <v>Asia</v>
      </c>
      <c r="G1100">
        <v>3.75</v>
      </c>
      <c r="H1100" t="str" cm="1">
        <f t="array" ref="H1100">_xlfn.IFS(Ramen_Ratings[[#This Row],[Stars]] = "Unrated", "NA",Ramen_Ratings[[#This Row],[Stars]]&gt;=4, "Good", Ramen_Ratings[[#This Row],[Stars]]&gt;2.5, "Fair", Ramen_Ratings[[#This Row],[Stars]] &gt;= 0, "Bad")</f>
        <v>Fair</v>
      </c>
      <c r="J1100" t="str">
        <f>LEFT(Ramen_Ratings[[#This Row],[Top Ten]],4)</f>
        <v/>
      </c>
      <c r="K1100" t="str">
        <f>IF(Ramen_Ratings[[#This Row],[Top Ten]]="", "",RIGHT(Ramen_Ratings[[#This Row],[Top Ten]],LEN(Ramen_Ratings[[#This Row],[Top Ten]])-6))</f>
        <v/>
      </c>
    </row>
    <row r="1101" spans="1:11" x14ac:dyDescent="0.25">
      <c r="A1101">
        <v>678</v>
      </c>
      <c r="B1101" t="s">
        <v>191</v>
      </c>
      <c r="C1101" t="s">
        <v>324</v>
      </c>
      <c r="D1101" t="s">
        <v>44</v>
      </c>
      <c r="E1101" t="s">
        <v>25</v>
      </c>
      <c r="F1101" t="str">
        <f>VLOOKUP(Ramen_Ratings[[#This Row],[Country]],Country_Region[#All],2,FALSE)</f>
        <v>Asia</v>
      </c>
      <c r="G1101">
        <v>4</v>
      </c>
      <c r="H1101" t="str" cm="1">
        <f t="array" ref="H1101">_xlfn.IFS(Ramen_Ratings[[#This Row],[Stars]] = "Unrated", "NA",Ramen_Ratings[[#This Row],[Stars]]&gt;=4, "Good", Ramen_Ratings[[#This Row],[Stars]]&gt;2.5, "Fair", Ramen_Ratings[[#This Row],[Stars]] &gt;= 0, "Bad")</f>
        <v>Good</v>
      </c>
      <c r="J1101" t="str">
        <f>LEFT(Ramen_Ratings[[#This Row],[Top Ten]],4)</f>
        <v/>
      </c>
      <c r="K1101" t="str">
        <f>IF(Ramen_Ratings[[#This Row],[Top Ten]]="", "",RIGHT(Ramen_Ratings[[#This Row],[Top Ten]],LEN(Ramen_Ratings[[#This Row],[Top Ten]])-6))</f>
        <v/>
      </c>
    </row>
    <row r="1102" spans="1:11" x14ac:dyDescent="0.25">
      <c r="A1102">
        <v>675</v>
      </c>
      <c r="B1102" t="s">
        <v>2198</v>
      </c>
      <c r="C1102" t="s">
        <v>1844</v>
      </c>
      <c r="D1102" t="s">
        <v>13</v>
      </c>
      <c r="E1102" t="s">
        <v>25</v>
      </c>
      <c r="F1102" t="str">
        <f>VLOOKUP(Ramen_Ratings[[#This Row],[Country]],Country_Region[#All],2,FALSE)</f>
        <v>Asia</v>
      </c>
      <c r="G1102">
        <v>4.75</v>
      </c>
      <c r="H1102" t="str" cm="1">
        <f t="array" ref="H1102">_xlfn.IFS(Ramen_Ratings[[#This Row],[Stars]] = "Unrated", "NA",Ramen_Ratings[[#This Row],[Stars]]&gt;=4, "Good", Ramen_Ratings[[#This Row],[Stars]]&gt;2.5, "Fair", Ramen_Ratings[[#This Row],[Stars]] &gt;= 0, "Bad")</f>
        <v>Good</v>
      </c>
      <c r="J1102" t="str">
        <f>LEFT(Ramen_Ratings[[#This Row],[Top Ten]],4)</f>
        <v/>
      </c>
      <c r="K1102" t="str">
        <f>IF(Ramen_Ratings[[#This Row],[Top Ten]]="", "",RIGHT(Ramen_Ratings[[#This Row],[Top Ten]],LEN(Ramen_Ratings[[#This Row],[Top Ten]])-6))</f>
        <v/>
      </c>
    </row>
    <row r="1103" spans="1:11" x14ac:dyDescent="0.25">
      <c r="A1103">
        <v>674</v>
      </c>
      <c r="B1103" t="s">
        <v>54</v>
      </c>
      <c r="C1103" t="s">
        <v>2215</v>
      </c>
      <c r="D1103" t="s">
        <v>13</v>
      </c>
      <c r="E1103" t="s">
        <v>25</v>
      </c>
      <c r="F1103" t="str">
        <f>VLOOKUP(Ramen_Ratings[[#This Row],[Country]],Country_Region[#All],2,FALSE)</f>
        <v>Asia</v>
      </c>
      <c r="G1103">
        <v>5</v>
      </c>
      <c r="H1103" t="str" cm="1">
        <f t="array" ref="H1103">_xlfn.IFS(Ramen_Ratings[[#This Row],[Stars]] = "Unrated", "NA",Ramen_Ratings[[#This Row],[Stars]]&gt;=4, "Good", Ramen_Ratings[[#This Row],[Stars]]&gt;2.5, "Fair", Ramen_Ratings[[#This Row],[Stars]] &gt;= 0, "Bad")</f>
        <v>Good</v>
      </c>
      <c r="J1103" t="str">
        <f>LEFT(Ramen_Ratings[[#This Row],[Top Ten]],4)</f>
        <v/>
      </c>
      <c r="K1103" t="str">
        <f>IF(Ramen_Ratings[[#This Row],[Top Ten]]="", "",RIGHT(Ramen_Ratings[[#This Row],[Top Ten]],LEN(Ramen_Ratings[[#This Row],[Top Ten]])-6))</f>
        <v/>
      </c>
    </row>
    <row r="1104" spans="1:11" x14ac:dyDescent="0.25">
      <c r="A1104">
        <v>673</v>
      </c>
      <c r="B1104" t="s">
        <v>2076</v>
      </c>
      <c r="C1104" t="s">
        <v>2216</v>
      </c>
      <c r="D1104" t="s">
        <v>13</v>
      </c>
      <c r="E1104" t="s">
        <v>25</v>
      </c>
      <c r="F1104" t="str">
        <f>VLOOKUP(Ramen_Ratings[[#This Row],[Country]],Country_Region[#All],2,FALSE)</f>
        <v>Asia</v>
      </c>
      <c r="G1104">
        <v>3.25</v>
      </c>
      <c r="H1104" t="str" cm="1">
        <f t="array" ref="H1104">_xlfn.IFS(Ramen_Ratings[[#This Row],[Stars]] = "Unrated", "NA",Ramen_Ratings[[#This Row],[Stars]]&gt;=4, "Good", Ramen_Ratings[[#This Row],[Stars]]&gt;2.5, "Fair", Ramen_Ratings[[#This Row],[Stars]] &gt;= 0, "Bad")</f>
        <v>Fair</v>
      </c>
      <c r="J1104" t="str">
        <f>LEFT(Ramen_Ratings[[#This Row],[Top Ten]],4)</f>
        <v/>
      </c>
      <c r="K1104" t="str">
        <f>IF(Ramen_Ratings[[#This Row],[Top Ten]]="", "",RIGHT(Ramen_Ratings[[#This Row],[Top Ten]],LEN(Ramen_Ratings[[#This Row],[Top Ten]])-6))</f>
        <v/>
      </c>
    </row>
    <row r="1105" spans="1:11" x14ac:dyDescent="0.25">
      <c r="A1105">
        <v>663</v>
      </c>
      <c r="B1105" t="s">
        <v>54</v>
      </c>
      <c r="C1105" t="s">
        <v>2227</v>
      </c>
      <c r="D1105" t="s">
        <v>13</v>
      </c>
      <c r="E1105" t="s">
        <v>25</v>
      </c>
      <c r="F1105" t="str">
        <f>VLOOKUP(Ramen_Ratings[[#This Row],[Country]],Country_Region[#All],2,FALSE)</f>
        <v>Asia</v>
      </c>
      <c r="G1105">
        <v>4</v>
      </c>
      <c r="H1105" t="str" cm="1">
        <f t="array" ref="H1105">_xlfn.IFS(Ramen_Ratings[[#This Row],[Stars]] = "Unrated", "NA",Ramen_Ratings[[#This Row],[Stars]]&gt;=4, "Good", Ramen_Ratings[[#This Row],[Stars]]&gt;2.5, "Fair", Ramen_Ratings[[#This Row],[Stars]] &gt;= 0, "Bad")</f>
        <v>Good</v>
      </c>
      <c r="J1105" t="str">
        <f>LEFT(Ramen_Ratings[[#This Row],[Top Ten]],4)</f>
        <v/>
      </c>
      <c r="K1105" t="str">
        <f>IF(Ramen_Ratings[[#This Row],[Top Ten]]="", "",RIGHT(Ramen_Ratings[[#This Row],[Top Ten]],LEN(Ramen_Ratings[[#This Row],[Top Ten]])-6))</f>
        <v/>
      </c>
    </row>
    <row r="1106" spans="1:11" x14ac:dyDescent="0.25">
      <c r="A1106">
        <v>658</v>
      </c>
      <c r="B1106" t="s">
        <v>54</v>
      </c>
      <c r="C1106" t="s">
        <v>2232</v>
      </c>
      <c r="D1106" t="s">
        <v>9</v>
      </c>
      <c r="E1106" t="s">
        <v>25</v>
      </c>
      <c r="F1106" t="str">
        <f>VLOOKUP(Ramen_Ratings[[#This Row],[Country]],Country_Region[#All],2,FALSE)</f>
        <v>Asia</v>
      </c>
      <c r="G1106">
        <v>3.5</v>
      </c>
      <c r="H1106" t="str" cm="1">
        <f t="array" ref="H1106">_xlfn.IFS(Ramen_Ratings[[#This Row],[Stars]] = "Unrated", "NA",Ramen_Ratings[[#This Row],[Stars]]&gt;=4, "Good", Ramen_Ratings[[#This Row],[Stars]]&gt;2.5, "Fair", Ramen_Ratings[[#This Row],[Stars]] &gt;= 0, "Bad")</f>
        <v>Fair</v>
      </c>
      <c r="J1106" t="str">
        <f>LEFT(Ramen_Ratings[[#This Row],[Top Ten]],4)</f>
        <v/>
      </c>
      <c r="K1106" t="str">
        <f>IF(Ramen_Ratings[[#This Row],[Top Ten]]="", "",RIGHT(Ramen_Ratings[[#This Row],[Top Ten]],LEN(Ramen_Ratings[[#This Row],[Top Ten]])-6))</f>
        <v/>
      </c>
    </row>
    <row r="1107" spans="1:11" x14ac:dyDescent="0.25">
      <c r="A1107">
        <v>648</v>
      </c>
      <c r="B1107" t="s">
        <v>41</v>
      </c>
      <c r="C1107" t="s">
        <v>2242</v>
      </c>
      <c r="D1107" t="s">
        <v>13</v>
      </c>
      <c r="E1107" t="s">
        <v>25</v>
      </c>
      <c r="F1107" t="str">
        <f>VLOOKUP(Ramen_Ratings[[#This Row],[Country]],Country_Region[#All],2,FALSE)</f>
        <v>Asia</v>
      </c>
      <c r="G1107">
        <v>3.75</v>
      </c>
      <c r="H1107" t="str" cm="1">
        <f t="array" ref="H1107">_xlfn.IFS(Ramen_Ratings[[#This Row],[Stars]] = "Unrated", "NA",Ramen_Ratings[[#This Row],[Stars]]&gt;=4, "Good", Ramen_Ratings[[#This Row],[Stars]]&gt;2.5, "Fair", Ramen_Ratings[[#This Row],[Stars]] &gt;= 0, "Bad")</f>
        <v>Fair</v>
      </c>
      <c r="J1107" t="str">
        <f>LEFT(Ramen_Ratings[[#This Row],[Top Ten]],4)</f>
        <v/>
      </c>
      <c r="K1107" t="str">
        <f>IF(Ramen_Ratings[[#This Row],[Top Ten]]="", "",RIGHT(Ramen_Ratings[[#This Row],[Top Ten]],LEN(Ramen_Ratings[[#This Row],[Top Ten]])-6))</f>
        <v/>
      </c>
    </row>
    <row r="1108" spans="1:11" x14ac:dyDescent="0.25">
      <c r="A1108">
        <v>645</v>
      </c>
      <c r="B1108" t="s">
        <v>41</v>
      </c>
      <c r="C1108" t="s">
        <v>2244</v>
      </c>
      <c r="D1108" t="s">
        <v>9</v>
      </c>
      <c r="E1108" t="s">
        <v>25</v>
      </c>
      <c r="F1108" t="str">
        <f>VLOOKUP(Ramen_Ratings[[#This Row],[Country]],Country_Region[#All],2,FALSE)</f>
        <v>Asia</v>
      </c>
      <c r="G1108">
        <v>3.75</v>
      </c>
      <c r="H1108" t="str" cm="1">
        <f t="array" ref="H1108">_xlfn.IFS(Ramen_Ratings[[#This Row],[Stars]] = "Unrated", "NA",Ramen_Ratings[[#This Row],[Stars]]&gt;=4, "Good", Ramen_Ratings[[#This Row],[Stars]]&gt;2.5, "Fair", Ramen_Ratings[[#This Row],[Stars]] &gt;= 0, "Bad")</f>
        <v>Fair</v>
      </c>
      <c r="J1108" t="str">
        <f>LEFT(Ramen_Ratings[[#This Row],[Top Ten]],4)</f>
        <v/>
      </c>
      <c r="K1108" t="str">
        <f>IF(Ramen_Ratings[[#This Row],[Top Ten]]="", "",RIGHT(Ramen_Ratings[[#This Row],[Top Ten]],LEN(Ramen_Ratings[[#This Row],[Top Ten]])-6))</f>
        <v/>
      </c>
    </row>
    <row r="1109" spans="1:11" x14ac:dyDescent="0.25">
      <c r="A1109">
        <v>644</v>
      </c>
      <c r="B1109" t="s">
        <v>2245</v>
      </c>
      <c r="C1109" t="s">
        <v>2246</v>
      </c>
      <c r="D1109" t="s">
        <v>44</v>
      </c>
      <c r="E1109" t="s">
        <v>25</v>
      </c>
      <c r="F1109" t="str">
        <f>VLOOKUP(Ramen_Ratings[[#This Row],[Country]],Country_Region[#All],2,FALSE)</f>
        <v>Asia</v>
      </c>
      <c r="G1109">
        <v>3.75</v>
      </c>
      <c r="H1109" t="str" cm="1">
        <f t="array" ref="H1109">_xlfn.IFS(Ramen_Ratings[[#This Row],[Stars]] = "Unrated", "NA",Ramen_Ratings[[#This Row],[Stars]]&gt;=4, "Good", Ramen_Ratings[[#This Row],[Stars]]&gt;2.5, "Fair", Ramen_Ratings[[#This Row],[Stars]] &gt;= 0, "Bad")</f>
        <v>Fair</v>
      </c>
      <c r="J1109" t="str">
        <f>LEFT(Ramen_Ratings[[#This Row],[Top Ten]],4)</f>
        <v/>
      </c>
      <c r="K1109" t="str">
        <f>IF(Ramen_Ratings[[#This Row],[Top Ten]]="", "",RIGHT(Ramen_Ratings[[#This Row],[Top Ten]],LEN(Ramen_Ratings[[#This Row],[Top Ten]])-6))</f>
        <v/>
      </c>
    </row>
    <row r="1110" spans="1:11" x14ac:dyDescent="0.25">
      <c r="A1110">
        <v>635</v>
      </c>
      <c r="B1110" t="s">
        <v>74</v>
      </c>
      <c r="C1110" t="s">
        <v>2254</v>
      </c>
      <c r="D1110" t="s">
        <v>13</v>
      </c>
      <c r="E1110" t="s">
        <v>25</v>
      </c>
      <c r="F1110" t="str">
        <f>VLOOKUP(Ramen_Ratings[[#This Row],[Country]],Country_Region[#All],2,FALSE)</f>
        <v>Asia</v>
      </c>
      <c r="G1110">
        <v>1.1000000000000001</v>
      </c>
      <c r="H1110" t="str" cm="1">
        <f t="array" ref="H1110">_xlfn.IFS(Ramen_Ratings[[#This Row],[Stars]] = "Unrated", "NA",Ramen_Ratings[[#This Row],[Stars]]&gt;=4, "Good", Ramen_Ratings[[#This Row],[Stars]]&gt;2.5, "Fair", Ramen_Ratings[[#This Row],[Stars]] &gt;= 0, "Bad")</f>
        <v>Bad</v>
      </c>
      <c r="J1110" t="str">
        <f>LEFT(Ramen_Ratings[[#This Row],[Top Ten]],4)</f>
        <v/>
      </c>
      <c r="K1110" t="str">
        <f>IF(Ramen_Ratings[[#This Row],[Top Ten]]="", "",RIGHT(Ramen_Ratings[[#This Row],[Top Ten]],LEN(Ramen_Ratings[[#This Row],[Top Ten]])-6))</f>
        <v/>
      </c>
    </row>
    <row r="1111" spans="1:11" x14ac:dyDescent="0.25">
      <c r="A1111">
        <v>633</v>
      </c>
      <c r="B1111" t="s">
        <v>2256</v>
      </c>
      <c r="C1111" t="s">
        <v>2257</v>
      </c>
      <c r="D1111" t="s">
        <v>13</v>
      </c>
      <c r="E1111" t="s">
        <v>25</v>
      </c>
      <c r="F1111" t="str">
        <f>VLOOKUP(Ramen_Ratings[[#This Row],[Country]],Country_Region[#All],2,FALSE)</f>
        <v>Asia</v>
      </c>
      <c r="G1111">
        <v>3.5</v>
      </c>
      <c r="H1111" t="str" cm="1">
        <f t="array" ref="H1111">_xlfn.IFS(Ramen_Ratings[[#This Row],[Stars]] = "Unrated", "NA",Ramen_Ratings[[#This Row],[Stars]]&gt;=4, "Good", Ramen_Ratings[[#This Row],[Stars]]&gt;2.5, "Fair", Ramen_Ratings[[#This Row],[Stars]] &gt;= 0, "Bad")</f>
        <v>Fair</v>
      </c>
      <c r="J1111" t="str">
        <f>LEFT(Ramen_Ratings[[#This Row],[Top Ten]],4)</f>
        <v/>
      </c>
      <c r="K1111" t="str">
        <f>IF(Ramen_Ratings[[#This Row],[Top Ten]]="", "",RIGHT(Ramen_Ratings[[#This Row],[Top Ten]],LEN(Ramen_Ratings[[#This Row],[Top Ten]])-6))</f>
        <v/>
      </c>
    </row>
    <row r="1112" spans="1:11" x14ac:dyDescent="0.25">
      <c r="A1112">
        <v>632</v>
      </c>
      <c r="B1112" t="s">
        <v>2256</v>
      </c>
      <c r="C1112" t="s">
        <v>2258</v>
      </c>
      <c r="D1112" t="s">
        <v>13</v>
      </c>
      <c r="E1112" t="s">
        <v>25</v>
      </c>
      <c r="F1112" t="str">
        <f>VLOOKUP(Ramen_Ratings[[#This Row],[Country]],Country_Region[#All],2,FALSE)</f>
        <v>Asia</v>
      </c>
      <c r="G1112">
        <v>2.75</v>
      </c>
      <c r="H1112" t="str" cm="1">
        <f t="array" ref="H1112">_xlfn.IFS(Ramen_Ratings[[#This Row],[Stars]] = "Unrated", "NA",Ramen_Ratings[[#This Row],[Stars]]&gt;=4, "Good", Ramen_Ratings[[#This Row],[Stars]]&gt;2.5, "Fair", Ramen_Ratings[[#This Row],[Stars]] &gt;= 0, "Bad")</f>
        <v>Fair</v>
      </c>
      <c r="J1112" t="str">
        <f>LEFT(Ramen_Ratings[[#This Row],[Top Ten]],4)</f>
        <v/>
      </c>
      <c r="K1112" t="str">
        <f>IF(Ramen_Ratings[[#This Row],[Top Ten]]="", "",RIGHT(Ramen_Ratings[[#This Row],[Top Ten]],LEN(Ramen_Ratings[[#This Row],[Top Ten]])-6))</f>
        <v/>
      </c>
    </row>
    <row r="1113" spans="1:11" x14ac:dyDescent="0.25">
      <c r="A1113">
        <v>626</v>
      </c>
      <c r="B1113" t="s">
        <v>74</v>
      </c>
      <c r="C1113" t="s">
        <v>2265</v>
      </c>
      <c r="D1113" t="s">
        <v>44</v>
      </c>
      <c r="E1113" t="s">
        <v>25</v>
      </c>
      <c r="F1113" t="str">
        <f>VLOOKUP(Ramen_Ratings[[#This Row],[Country]],Country_Region[#All],2,FALSE)</f>
        <v>Asia</v>
      </c>
      <c r="G1113">
        <v>3.5</v>
      </c>
      <c r="H1113" t="str" cm="1">
        <f t="array" ref="H1113">_xlfn.IFS(Ramen_Ratings[[#This Row],[Stars]] = "Unrated", "NA",Ramen_Ratings[[#This Row],[Stars]]&gt;=4, "Good", Ramen_Ratings[[#This Row],[Stars]]&gt;2.5, "Fair", Ramen_Ratings[[#This Row],[Stars]] &gt;= 0, "Bad")</f>
        <v>Fair</v>
      </c>
      <c r="J1113" t="str">
        <f>LEFT(Ramen_Ratings[[#This Row],[Top Ten]],4)</f>
        <v/>
      </c>
      <c r="K1113" t="str">
        <f>IF(Ramen_Ratings[[#This Row],[Top Ten]]="", "",RIGHT(Ramen_Ratings[[#This Row],[Top Ten]],LEN(Ramen_Ratings[[#This Row],[Top Ten]])-6))</f>
        <v/>
      </c>
    </row>
    <row r="1114" spans="1:11" x14ac:dyDescent="0.25">
      <c r="A1114">
        <v>621</v>
      </c>
      <c r="B1114" t="s">
        <v>74</v>
      </c>
      <c r="C1114" t="s">
        <v>2271</v>
      </c>
      <c r="D1114" t="s">
        <v>44</v>
      </c>
      <c r="E1114" t="s">
        <v>25</v>
      </c>
      <c r="F1114" t="str">
        <f>VLOOKUP(Ramen_Ratings[[#This Row],[Country]],Country_Region[#All],2,FALSE)</f>
        <v>Asia</v>
      </c>
      <c r="G1114">
        <v>3.5</v>
      </c>
      <c r="H1114" t="str" cm="1">
        <f t="array" ref="H1114">_xlfn.IFS(Ramen_Ratings[[#This Row],[Stars]] = "Unrated", "NA",Ramen_Ratings[[#This Row],[Stars]]&gt;=4, "Good", Ramen_Ratings[[#This Row],[Stars]]&gt;2.5, "Fair", Ramen_Ratings[[#This Row],[Stars]] &gt;= 0, "Bad")</f>
        <v>Fair</v>
      </c>
      <c r="J1114" t="str">
        <f>LEFT(Ramen_Ratings[[#This Row],[Top Ten]],4)</f>
        <v/>
      </c>
      <c r="K1114" t="str">
        <f>IF(Ramen_Ratings[[#This Row],[Top Ten]]="", "",RIGHT(Ramen_Ratings[[#This Row],[Top Ten]],LEN(Ramen_Ratings[[#This Row],[Top Ten]])-6))</f>
        <v/>
      </c>
    </row>
    <row r="1115" spans="1:11" x14ac:dyDescent="0.25">
      <c r="A1115">
        <v>618</v>
      </c>
      <c r="B1115" t="s">
        <v>298</v>
      </c>
      <c r="C1115" t="s">
        <v>2274</v>
      </c>
      <c r="D1115" t="s">
        <v>13</v>
      </c>
      <c r="E1115" t="s">
        <v>25</v>
      </c>
      <c r="F1115" t="str">
        <f>VLOOKUP(Ramen_Ratings[[#This Row],[Country]],Country_Region[#All],2,FALSE)</f>
        <v>Asia</v>
      </c>
      <c r="G1115">
        <v>2.75</v>
      </c>
      <c r="H1115" t="str" cm="1">
        <f t="array" ref="H1115">_xlfn.IFS(Ramen_Ratings[[#This Row],[Stars]] = "Unrated", "NA",Ramen_Ratings[[#This Row],[Stars]]&gt;=4, "Good", Ramen_Ratings[[#This Row],[Stars]]&gt;2.5, "Fair", Ramen_Ratings[[#This Row],[Stars]] &gt;= 0, "Bad")</f>
        <v>Fair</v>
      </c>
      <c r="J1115" t="str">
        <f>LEFT(Ramen_Ratings[[#This Row],[Top Ten]],4)</f>
        <v/>
      </c>
      <c r="K1115" t="str">
        <f>IF(Ramen_Ratings[[#This Row],[Top Ten]]="", "",RIGHT(Ramen_Ratings[[#This Row],[Top Ten]],LEN(Ramen_Ratings[[#This Row],[Top Ten]])-6))</f>
        <v/>
      </c>
    </row>
    <row r="1116" spans="1:11" x14ac:dyDescent="0.25">
      <c r="A1116">
        <v>606</v>
      </c>
      <c r="B1116" t="s">
        <v>2287</v>
      </c>
      <c r="C1116" t="s">
        <v>2288</v>
      </c>
      <c r="D1116" t="s">
        <v>13</v>
      </c>
      <c r="E1116" t="s">
        <v>25</v>
      </c>
      <c r="F1116" t="str">
        <f>VLOOKUP(Ramen_Ratings[[#This Row],[Country]],Country_Region[#All],2,FALSE)</f>
        <v>Asia</v>
      </c>
      <c r="G1116">
        <v>4</v>
      </c>
      <c r="H1116" t="str" cm="1">
        <f t="array" ref="H1116">_xlfn.IFS(Ramen_Ratings[[#This Row],[Stars]] = "Unrated", "NA",Ramen_Ratings[[#This Row],[Stars]]&gt;=4, "Good", Ramen_Ratings[[#This Row],[Stars]]&gt;2.5, "Fair", Ramen_Ratings[[#This Row],[Stars]] &gt;= 0, "Bad")</f>
        <v>Good</v>
      </c>
      <c r="J1116" t="str">
        <f>LEFT(Ramen_Ratings[[#This Row],[Top Ten]],4)</f>
        <v/>
      </c>
      <c r="K1116" t="str">
        <f>IF(Ramen_Ratings[[#This Row],[Top Ten]]="", "",RIGHT(Ramen_Ratings[[#This Row],[Top Ten]],LEN(Ramen_Ratings[[#This Row],[Top Ten]])-6))</f>
        <v/>
      </c>
    </row>
    <row r="1117" spans="1:11" x14ac:dyDescent="0.25">
      <c r="A1117">
        <v>602</v>
      </c>
      <c r="B1117" t="s">
        <v>41</v>
      </c>
      <c r="C1117" t="s">
        <v>2292</v>
      </c>
      <c r="D1117" t="s">
        <v>9</v>
      </c>
      <c r="E1117" t="s">
        <v>25</v>
      </c>
      <c r="F1117" t="str">
        <f>VLOOKUP(Ramen_Ratings[[#This Row],[Country]],Country_Region[#All],2,FALSE)</f>
        <v>Asia</v>
      </c>
      <c r="G1117">
        <v>3.5</v>
      </c>
      <c r="H1117" t="str" cm="1">
        <f t="array" ref="H1117">_xlfn.IFS(Ramen_Ratings[[#This Row],[Stars]] = "Unrated", "NA",Ramen_Ratings[[#This Row],[Stars]]&gt;=4, "Good", Ramen_Ratings[[#This Row],[Stars]]&gt;2.5, "Fair", Ramen_Ratings[[#This Row],[Stars]] &gt;= 0, "Bad")</f>
        <v>Fair</v>
      </c>
      <c r="J1117" t="str">
        <f>LEFT(Ramen_Ratings[[#This Row],[Top Ten]],4)</f>
        <v/>
      </c>
      <c r="K1117" t="str">
        <f>IF(Ramen_Ratings[[#This Row],[Top Ten]]="", "",RIGHT(Ramen_Ratings[[#This Row],[Top Ten]],LEN(Ramen_Ratings[[#This Row],[Top Ten]])-6))</f>
        <v/>
      </c>
    </row>
    <row r="1118" spans="1:11" x14ac:dyDescent="0.25">
      <c r="A1118">
        <v>594</v>
      </c>
      <c r="B1118" t="s">
        <v>2299</v>
      </c>
      <c r="C1118" t="s">
        <v>2300</v>
      </c>
      <c r="D1118" t="s">
        <v>44</v>
      </c>
      <c r="E1118" t="s">
        <v>25</v>
      </c>
      <c r="F1118" t="str">
        <f>VLOOKUP(Ramen_Ratings[[#This Row],[Country]],Country_Region[#All],2,FALSE)</f>
        <v>Asia</v>
      </c>
      <c r="G1118">
        <v>3.5</v>
      </c>
      <c r="H1118" t="str" cm="1">
        <f t="array" ref="H1118">_xlfn.IFS(Ramen_Ratings[[#This Row],[Stars]] = "Unrated", "NA",Ramen_Ratings[[#This Row],[Stars]]&gt;=4, "Good", Ramen_Ratings[[#This Row],[Stars]]&gt;2.5, "Fair", Ramen_Ratings[[#This Row],[Stars]] &gt;= 0, "Bad")</f>
        <v>Fair</v>
      </c>
      <c r="J1118" t="str">
        <f>LEFT(Ramen_Ratings[[#This Row],[Top Ten]],4)</f>
        <v/>
      </c>
      <c r="K1118" t="str">
        <f>IF(Ramen_Ratings[[#This Row],[Top Ten]]="", "",RIGHT(Ramen_Ratings[[#This Row],[Top Ten]],LEN(Ramen_Ratings[[#This Row],[Top Ten]])-6))</f>
        <v/>
      </c>
    </row>
    <row r="1119" spans="1:11" x14ac:dyDescent="0.25">
      <c r="A1119">
        <v>593</v>
      </c>
      <c r="B1119" t="s">
        <v>41</v>
      </c>
      <c r="C1119" t="s">
        <v>2301</v>
      </c>
      <c r="D1119" t="s">
        <v>13</v>
      </c>
      <c r="E1119" t="s">
        <v>25</v>
      </c>
      <c r="F1119" t="str">
        <f>VLOOKUP(Ramen_Ratings[[#This Row],[Country]],Country_Region[#All],2,FALSE)</f>
        <v>Asia</v>
      </c>
      <c r="G1119">
        <v>4</v>
      </c>
      <c r="H1119" t="str" cm="1">
        <f t="array" ref="H1119">_xlfn.IFS(Ramen_Ratings[[#This Row],[Stars]] = "Unrated", "NA",Ramen_Ratings[[#This Row],[Stars]]&gt;=4, "Good", Ramen_Ratings[[#This Row],[Stars]]&gt;2.5, "Fair", Ramen_Ratings[[#This Row],[Stars]] &gt;= 0, "Bad")</f>
        <v>Good</v>
      </c>
      <c r="J1119" t="str">
        <f>LEFT(Ramen_Ratings[[#This Row],[Top Ten]],4)</f>
        <v/>
      </c>
      <c r="K1119" t="str">
        <f>IF(Ramen_Ratings[[#This Row],[Top Ten]]="", "",RIGHT(Ramen_Ratings[[#This Row],[Top Ten]],LEN(Ramen_Ratings[[#This Row],[Top Ten]])-6))</f>
        <v/>
      </c>
    </row>
    <row r="1120" spans="1:11" x14ac:dyDescent="0.25">
      <c r="A1120">
        <v>570</v>
      </c>
      <c r="B1120" t="s">
        <v>2324</v>
      </c>
      <c r="C1120" t="s">
        <v>2325</v>
      </c>
      <c r="D1120" t="s">
        <v>9</v>
      </c>
      <c r="E1120" t="s">
        <v>25</v>
      </c>
      <c r="F1120" t="str">
        <f>VLOOKUP(Ramen_Ratings[[#This Row],[Country]],Country_Region[#All],2,FALSE)</f>
        <v>Asia</v>
      </c>
      <c r="G1120">
        <v>2.5</v>
      </c>
      <c r="H1120" t="str" cm="1">
        <f t="array" ref="H1120">_xlfn.IFS(Ramen_Ratings[[#This Row],[Stars]] = "Unrated", "NA",Ramen_Ratings[[#This Row],[Stars]]&gt;=4, "Good", Ramen_Ratings[[#This Row],[Stars]]&gt;2.5, "Fair", Ramen_Ratings[[#This Row],[Stars]] &gt;= 0, "Bad")</f>
        <v>Bad</v>
      </c>
      <c r="J1120" t="str">
        <f>LEFT(Ramen_Ratings[[#This Row],[Top Ten]],4)</f>
        <v/>
      </c>
      <c r="K1120" t="str">
        <f>IF(Ramen_Ratings[[#This Row],[Top Ten]]="", "",RIGHT(Ramen_Ratings[[#This Row],[Top Ten]],LEN(Ramen_Ratings[[#This Row],[Top Ten]])-6))</f>
        <v/>
      </c>
    </row>
    <row r="1121" spans="1:11" x14ac:dyDescent="0.25">
      <c r="A1121">
        <v>568</v>
      </c>
      <c r="B1121" t="s">
        <v>54</v>
      </c>
      <c r="C1121" t="s">
        <v>2327</v>
      </c>
      <c r="D1121" t="s">
        <v>9</v>
      </c>
      <c r="E1121" t="s">
        <v>25</v>
      </c>
      <c r="F1121" t="str">
        <f>VLOOKUP(Ramen_Ratings[[#This Row],[Country]],Country_Region[#All],2,FALSE)</f>
        <v>Asia</v>
      </c>
      <c r="G1121">
        <v>4</v>
      </c>
      <c r="H1121" t="str" cm="1">
        <f t="array" ref="H1121">_xlfn.IFS(Ramen_Ratings[[#This Row],[Stars]] = "Unrated", "NA",Ramen_Ratings[[#This Row],[Stars]]&gt;=4, "Good", Ramen_Ratings[[#This Row],[Stars]]&gt;2.5, "Fair", Ramen_Ratings[[#This Row],[Stars]] &gt;= 0, "Bad")</f>
        <v>Good</v>
      </c>
      <c r="J1121" t="str">
        <f>LEFT(Ramen_Ratings[[#This Row],[Top Ten]],4)</f>
        <v/>
      </c>
      <c r="K1121" t="str">
        <f>IF(Ramen_Ratings[[#This Row],[Top Ten]]="", "",RIGHT(Ramen_Ratings[[#This Row],[Top Ten]],LEN(Ramen_Ratings[[#This Row],[Top Ten]])-6))</f>
        <v/>
      </c>
    </row>
    <row r="1122" spans="1:11" x14ac:dyDescent="0.25">
      <c r="A1122">
        <v>566</v>
      </c>
      <c r="B1122" t="s">
        <v>2328</v>
      </c>
      <c r="C1122" t="s">
        <v>2329</v>
      </c>
      <c r="D1122" t="s">
        <v>44</v>
      </c>
      <c r="E1122" t="s">
        <v>25</v>
      </c>
      <c r="F1122" t="str">
        <f>VLOOKUP(Ramen_Ratings[[#This Row],[Country]],Country_Region[#All],2,FALSE)</f>
        <v>Asia</v>
      </c>
      <c r="G1122">
        <v>5</v>
      </c>
      <c r="H1122" t="str" cm="1">
        <f t="array" ref="H1122">_xlfn.IFS(Ramen_Ratings[[#This Row],[Stars]] = "Unrated", "NA",Ramen_Ratings[[#This Row],[Stars]]&gt;=4, "Good", Ramen_Ratings[[#This Row],[Stars]]&gt;2.5, "Fair", Ramen_Ratings[[#This Row],[Stars]] &gt;= 0, "Bad")</f>
        <v>Good</v>
      </c>
      <c r="J1122" t="str">
        <f>LEFT(Ramen_Ratings[[#This Row],[Top Ten]],4)</f>
        <v/>
      </c>
      <c r="K1122" t="str">
        <f>IF(Ramen_Ratings[[#This Row],[Top Ten]]="", "",RIGHT(Ramen_Ratings[[#This Row],[Top Ten]],LEN(Ramen_Ratings[[#This Row],[Top Ten]])-6))</f>
        <v/>
      </c>
    </row>
    <row r="1123" spans="1:11" x14ac:dyDescent="0.25">
      <c r="A1123">
        <v>561</v>
      </c>
      <c r="B1123" t="s">
        <v>2334</v>
      </c>
      <c r="C1123" t="s">
        <v>2070</v>
      </c>
      <c r="D1123" t="s">
        <v>13</v>
      </c>
      <c r="E1123" t="s">
        <v>25</v>
      </c>
      <c r="F1123" t="str">
        <f>VLOOKUP(Ramen_Ratings[[#This Row],[Country]],Country_Region[#All],2,FALSE)</f>
        <v>Asia</v>
      </c>
      <c r="G1123">
        <v>3.25</v>
      </c>
      <c r="H1123" t="str" cm="1">
        <f t="array" ref="H1123">_xlfn.IFS(Ramen_Ratings[[#This Row],[Stars]] = "Unrated", "NA",Ramen_Ratings[[#This Row],[Stars]]&gt;=4, "Good", Ramen_Ratings[[#This Row],[Stars]]&gt;2.5, "Fair", Ramen_Ratings[[#This Row],[Stars]] &gt;= 0, "Bad")</f>
        <v>Fair</v>
      </c>
      <c r="J1123" t="str">
        <f>LEFT(Ramen_Ratings[[#This Row],[Top Ten]],4)</f>
        <v/>
      </c>
      <c r="K1123" t="str">
        <f>IF(Ramen_Ratings[[#This Row],[Top Ten]]="", "",RIGHT(Ramen_Ratings[[#This Row],[Top Ten]],LEN(Ramen_Ratings[[#This Row],[Top Ten]])-6))</f>
        <v/>
      </c>
    </row>
    <row r="1124" spans="1:11" x14ac:dyDescent="0.25">
      <c r="A1124">
        <v>553</v>
      </c>
      <c r="B1124" t="s">
        <v>2198</v>
      </c>
      <c r="C1124" t="s">
        <v>2342</v>
      </c>
      <c r="D1124" t="s">
        <v>9</v>
      </c>
      <c r="E1124" t="s">
        <v>25</v>
      </c>
      <c r="F1124" t="str">
        <f>VLOOKUP(Ramen_Ratings[[#This Row],[Country]],Country_Region[#All],2,FALSE)</f>
        <v>Asia</v>
      </c>
      <c r="G1124">
        <v>2.75</v>
      </c>
      <c r="H1124" t="str" cm="1">
        <f t="array" ref="H1124">_xlfn.IFS(Ramen_Ratings[[#This Row],[Stars]] = "Unrated", "NA",Ramen_Ratings[[#This Row],[Stars]]&gt;=4, "Good", Ramen_Ratings[[#This Row],[Stars]]&gt;2.5, "Fair", Ramen_Ratings[[#This Row],[Stars]] &gt;= 0, "Bad")</f>
        <v>Fair</v>
      </c>
      <c r="J1124" t="str">
        <f>LEFT(Ramen_Ratings[[#This Row],[Top Ten]],4)</f>
        <v/>
      </c>
      <c r="K1124" t="str">
        <f>IF(Ramen_Ratings[[#This Row],[Top Ten]]="", "",RIGHT(Ramen_Ratings[[#This Row],[Top Ten]],LEN(Ramen_Ratings[[#This Row],[Top Ten]])-6))</f>
        <v/>
      </c>
    </row>
    <row r="1125" spans="1:11" x14ac:dyDescent="0.25">
      <c r="A1125">
        <v>536</v>
      </c>
      <c r="B1125" t="s">
        <v>74</v>
      </c>
      <c r="C1125" t="s">
        <v>2356</v>
      </c>
      <c r="D1125" t="s">
        <v>13</v>
      </c>
      <c r="E1125" t="s">
        <v>25</v>
      </c>
      <c r="F1125" t="str">
        <f>VLOOKUP(Ramen_Ratings[[#This Row],[Country]],Country_Region[#All],2,FALSE)</f>
        <v>Asia</v>
      </c>
      <c r="G1125">
        <v>4.25</v>
      </c>
      <c r="H1125" t="str" cm="1">
        <f t="array" ref="H1125">_xlfn.IFS(Ramen_Ratings[[#This Row],[Stars]] = "Unrated", "NA",Ramen_Ratings[[#This Row],[Stars]]&gt;=4, "Good", Ramen_Ratings[[#This Row],[Stars]]&gt;2.5, "Fair", Ramen_Ratings[[#This Row],[Stars]] &gt;= 0, "Bad")</f>
        <v>Good</v>
      </c>
      <c r="J1125" t="str">
        <f>LEFT(Ramen_Ratings[[#This Row],[Top Ten]],4)</f>
        <v/>
      </c>
      <c r="K1125" t="str">
        <f>IF(Ramen_Ratings[[#This Row],[Top Ten]]="", "",RIGHT(Ramen_Ratings[[#This Row],[Top Ten]],LEN(Ramen_Ratings[[#This Row],[Top Ten]])-6))</f>
        <v/>
      </c>
    </row>
    <row r="1126" spans="1:11" x14ac:dyDescent="0.25">
      <c r="A1126">
        <v>533</v>
      </c>
      <c r="B1126" t="s">
        <v>54</v>
      </c>
      <c r="C1126" t="s">
        <v>2327</v>
      </c>
      <c r="D1126" t="s">
        <v>13</v>
      </c>
      <c r="E1126" t="s">
        <v>25</v>
      </c>
      <c r="F1126" t="str">
        <f>VLOOKUP(Ramen_Ratings[[#This Row],[Country]],Country_Region[#All],2,FALSE)</f>
        <v>Asia</v>
      </c>
      <c r="G1126">
        <v>4.75</v>
      </c>
      <c r="H1126" t="str" cm="1">
        <f t="array" ref="H1126">_xlfn.IFS(Ramen_Ratings[[#This Row],[Stars]] = "Unrated", "NA",Ramen_Ratings[[#This Row],[Stars]]&gt;=4, "Good", Ramen_Ratings[[#This Row],[Stars]]&gt;2.5, "Fair", Ramen_Ratings[[#This Row],[Stars]] &gt;= 0, "Bad")</f>
        <v>Good</v>
      </c>
      <c r="J1126" t="str">
        <f>LEFT(Ramen_Ratings[[#This Row],[Top Ten]],4)</f>
        <v/>
      </c>
      <c r="K1126" t="str">
        <f>IF(Ramen_Ratings[[#This Row],[Top Ten]]="", "",RIGHT(Ramen_Ratings[[#This Row],[Top Ten]],LEN(Ramen_Ratings[[#This Row],[Top Ten]])-6))</f>
        <v/>
      </c>
    </row>
    <row r="1127" spans="1:11" x14ac:dyDescent="0.25">
      <c r="A1127">
        <v>522</v>
      </c>
      <c r="B1127" t="s">
        <v>2198</v>
      </c>
      <c r="C1127" t="s">
        <v>2367</v>
      </c>
      <c r="D1127" t="s">
        <v>13</v>
      </c>
      <c r="E1127" t="s">
        <v>25</v>
      </c>
      <c r="F1127" t="str">
        <f>VLOOKUP(Ramen_Ratings[[#This Row],[Country]],Country_Region[#All],2,FALSE)</f>
        <v>Asia</v>
      </c>
      <c r="G1127">
        <v>4.25</v>
      </c>
      <c r="H1127" t="str" cm="1">
        <f t="array" ref="H1127">_xlfn.IFS(Ramen_Ratings[[#This Row],[Stars]] = "Unrated", "NA",Ramen_Ratings[[#This Row],[Stars]]&gt;=4, "Good", Ramen_Ratings[[#This Row],[Stars]]&gt;2.5, "Fair", Ramen_Ratings[[#This Row],[Stars]] &gt;= 0, "Bad")</f>
        <v>Good</v>
      </c>
      <c r="J1127" t="str">
        <f>LEFT(Ramen_Ratings[[#This Row],[Top Ten]],4)</f>
        <v/>
      </c>
      <c r="K1127" t="str">
        <f>IF(Ramen_Ratings[[#This Row],[Top Ten]]="", "",RIGHT(Ramen_Ratings[[#This Row],[Top Ten]],LEN(Ramen_Ratings[[#This Row],[Top Ten]])-6))</f>
        <v/>
      </c>
    </row>
    <row r="1128" spans="1:11" x14ac:dyDescent="0.25">
      <c r="A1128">
        <v>516</v>
      </c>
      <c r="B1128" t="s">
        <v>191</v>
      </c>
      <c r="C1128" t="s">
        <v>2372</v>
      </c>
      <c r="D1128" t="s">
        <v>44</v>
      </c>
      <c r="E1128" t="s">
        <v>25</v>
      </c>
      <c r="F1128" t="str">
        <f>VLOOKUP(Ramen_Ratings[[#This Row],[Country]],Country_Region[#All],2,FALSE)</f>
        <v>Asia</v>
      </c>
      <c r="G1128">
        <v>3.5</v>
      </c>
      <c r="H1128" t="str" cm="1">
        <f t="array" ref="H1128">_xlfn.IFS(Ramen_Ratings[[#This Row],[Stars]] = "Unrated", "NA",Ramen_Ratings[[#This Row],[Stars]]&gt;=4, "Good", Ramen_Ratings[[#This Row],[Stars]]&gt;2.5, "Fair", Ramen_Ratings[[#This Row],[Stars]] &gt;= 0, "Bad")</f>
        <v>Fair</v>
      </c>
      <c r="J1128" t="str">
        <f>LEFT(Ramen_Ratings[[#This Row],[Top Ten]],4)</f>
        <v/>
      </c>
      <c r="K1128" t="str">
        <f>IF(Ramen_Ratings[[#This Row],[Top Ten]]="", "",RIGHT(Ramen_Ratings[[#This Row],[Top Ten]],LEN(Ramen_Ratings[[#This Row],[Top Ten]])-6))</f>
        <v/>
      </c>
    </row>
    <row r="1129" spans="1:11" x14ac:dyDescent="0.25">
      <c r="A1129">
        <v>512</v>
      </c>
      <c r="B1129" t="s">
        <v>54</v>
      </c>
      <c r="C1129" t="s">
        <v>2375</v>
      </c>
      <c r="D1129" t="s">
        <v>44</v>
      </c>
      <c r="E1129" t="s">
        <v>25</v>
      </c>
      <c r="F1129" t="str">
        <f>VLOOKUP(Ramen_Ratings[[#This Row],[Country]],Country_Region[#All],2,FALSE)</f>
        <v>Asia</v>
      </c>
      <c r="G1129">
        <v>3.75</v>
      </c>
      <c r="H1129" t="str" cm="1">
        <f t="array" ref="H1129">_xlfn.IFS(Ramen_Ratings[[#This Row],[Stars]] = "Unrated", "NA",Ramen_Ratings[[#This Row],[Stars]]&gt;=4, "Good", Ramen_Ratings[[#This Row],[Stars]]&gt;2.5, "Fair", Ramen_Ratings[[#This Row],[Stars]] &gt;= 0, "Bad")</f>
        <v>Fair</v>
      </c>
      <c r="J1129" t="str">
        <f>LEFT(Ramen_Ratings[[#This Row],[Top Ten]],4)</f>
        <v/>
      </c>
      <c r="K1129" t="str">
        <f>IF(Ramen_Ratings[[#This Row],[Top Ten]]="", "",RIGHT(Ramen_Ratings[[#This Row],[Top Ten]],LEN(Ramen_Ratings[[#This Row],[Top Ten]])-6))</f>
        <v/>
      </c>
    </row>
    <row r="1130" spans="1:11" x14ac:dyDescent="0.25">
      <c r="A1130">
        <v>508</v>
      </c>
      <c r="B1130" t="s">
        <v>2198</v>
      </c>
      <c r="C1130" t="s">
        <v>1933</v>
      </c>
      <c r="D1130" t="s">
        <v>9</v>
      </c>
      <c r="E1130" t="s">
        <v>25</v>
      </c>
      <c r="F1130" t="str">
        <f>VLOOKUP(Ramen_Ratings[[#This Row],[Country]],Country_Region[#All],2,FALSE)</f>
        <v>Asia</v>
      </c>
      <c r="G1130">
        <v>3.75</v>
      </c>
      <c r="H1130" t="str" cm="1">
        <f t="array" ref="H1130">_xlfn.IFS(Ramen_Ratings[[#This Row],[Stars]] = "Unrated", "NA",Ramen_Ratings[[#This Row],[Stars]]&gt;=4, "Good", Ramen_Ratings[[#This Row],[Stars]]&gt;2.5, "Fair", Ramen_Ratings[[#This Row],[Stars]] &gt;= 0, "Bad")</f>
        <v>Fair</v>
      </c>
      <c r="J1130" t="str">
        <f>LEFT(Ramen_Ratings[[#This Row],[Top Ten]],4)</f>
        <v/>
      </c>
      <c r="K1130" t="str">
        <f>IF(Ramen_Ratings[[#This Row],[Top Ten]]="", "",RIGHT(Ramen_Ratings[[#This Row],[Top Ten]],LEN(Ramen_Ratings[[#This Row],[Top Ten]])-6))</f>
        <v/>
      </c>
    </row>
    <row r="1131" spans="1:11" x14ac:dyDescent="0.25">
      <c r="A1131">
        <v>506</v>
      </c>
      <c r="B1131" t="s">
        <v>41</v>
      </c>
      <c r="C1131" t="s">
        <v>2379</v>
      </c>
      <c r="D1131" t="s">
        <v>9</v>
      </c>
      <c r="E1131" t="s">
        <v>25</v>
      </c>
      <c r="F1131" t="str">
        <f>VLOOKUP(Ramen_Ratings[[#This Row],[Country]],Country_Region[#All],2,FALSE)</f>
        <v>Asia</v>
      </c>
      <c r="G1131">
        <v>2.5</v>
      </c>
      <c r="H1131" t="str" cm="1">
        <f t="array" ref="H1131">_xlfn.IFS(Ramen_Ratings[[#This Row],[Stars]] = "Unrated", "NA",Ramen_Ratings[[#This Row],[Stars]]&gt;=4, "Good", Ramen_Ratings[[#This Row],[Stars]]&gt;2.5, "Fair", Ramen_Ratings[[#This Row],[Stars]] &gt;= 0, "Bad")</f>
        <v>Bad</v>
      </c>
      <c r="J1131" t="str">
        <f>LEFT(Ramen_Ratings[[#This Row],[Top Ten]],4)</f>
        <v/>
      </c>
      <c r="K1131" t="str">
        <f>IF(Ramen_Ratings[[#This Row],[Top Ten]]="", "",RIGHT(Ramen_Ratings[[#This Row],[Top Ten]],LEN(Ramen_Ratings[[#This Row],[Top Ten]])-6))</f>
        <v/>
      </c>
    </row>
    <row r="1132" spans="1:11" x14ac:dyDescent="0.25">
      <c r="A1132">
        <v>501</v>
      </c>
      <c r="B1132" t="s">
        <v>41</v>
      </c>
      <c r="C1132" t="s">
        <v>2382</v>
      </c>
      <c r="D1132" t="s">
        <v>13</v>
      </c>
      <c r="E1132" t="s">
        <v>25</v>
      </c>
      <c r="F1132" t="str">
        <f>VLOOKUP(Ramen_Ratings[[#This Row],[Country]],Country_Region[#All],2,FALSE)</f>
        <v>Asia</v>
      </c>
      <c r="G1132">
        <v>3.25</v>
      </c>
      <c r="H1132" t="str" cm="1">
        <f t="array" ref="H1132">_xlfn.IFS(Ramen_Ratings[[#This Row],[Stars]] = "Unrated", "NA",Ramen_Ratings[[#This Row],[Stars]]&gt;=4, "Good", Ramen_Ratings[[#This Row],[Stars]]&gt;2.5, "Fair", Ramen_Ratings[[#This Row],[Stars]] &gt;= 0, "Bad")</f>
        <v>Fair</v>
      </c>
      <c r="J1132" t="str">
        <f>LEFT(Ramen_Ratings[[#This Row],[Top Ten]],4)</f>
        <v/>
      </c>
      <c r="K1132" t="str">
        <f>IF(Ramen_Ratings[[#This Row],[Top Ten]]="", "",RIGHT(Ramen_Ratings[[#This Row],[Top Ten]],LEN(Ramen_Ratings[[#This Row],[Top Ten]])-6))</f>
        <v/>
      </c>
    </row>
    <row r="1133" spans="1:11" x14ac:dyDescent="0.25">
      <c r="A1133">
        <v>495</v>
      </c>
      <c r="B1133" t="s">
        <v>74</v>
      </c>
      <c r="C1133" t="s">
        <v>2390</v>
      </c>
      <c r="D1133" t="s">
        <v>13</v>
      </c>
      <c r="E1133" t="s">
        <v>25</v>
      </c>
      <c r="F1133" t="str">
        <f>VLOOKUP(Ramen_Ratings[[#This Row],[Country]],Country_Region[#All],2,FALSE)</f>
        <v>Asia</v>
      </c>
      <c r="G1133">
        <v>3.25</v>
      </c>
      <c r="H1133" t="str" cm="1">
        <f t="array" ref="H1133">_xlfn.IFS(Ramen_Ratings[[#This Row],[Stars]] = "Unrated", "NA",Ramen_Ratings[[#This Row],[Stars]]&gt;=4, "Good", Ramen_Ratings[[#This Row],[Stars]]&gt;2.5, "Fair", Ramen_Ratings[[#This Row],[Stars]] &gt;= 0, "Bad")</f>
        <v>Fair</v>
      </c>
      <c r="J1133" t="str">
        <f>LEFT(Ramen_Ratings[[#This Row],[Top Ten]],4)</f>
        <v/>
      </c>
      <c r="K1133" t="str">
        <f>IF(Ramen_Ratings[[#This Row],[Top Ten]]="", "",RIGHT(Ramen_Ratings[[#This Row],[Top Ten]],LEN(Ramen_Ratings[[#This Row],[Top Ten]])-6))</f>
        <v/>
      </c>
    </row>
    <row r="1134" spans="1:11" x14ac:dyDescent="0.25">
      <c r="A1134">
        <v>493</v>
      </c>
      <c r="B1134" t="s">
        <v>298</v>
      </c>
      <c r="C1134" t="s">
        <v>2392</v>
      </c>
      <c r="D1134" t="s">
        <v>13</v>
      </c>
      <c r="E1134" t="s">
        <v>25</v>
      </c>
      <c r="F1134" t="str">
        <f>VLOOKUP(Ramen_Ratings[[#This Row],[Country]],Country_Region[#All],2,FALSE)</f>
        <v>Asia</v>
      </c>
      <c r="G1134">
        <v>3</v>
      </c>
      <c r="H1134" t="str" cm="1">
        <f t="array" ref="H1134">_xlfn.IFS(Ramen_Ratings[[#This Row],[Stars]] = "Unrated", "NA",Ramen_Ratings[[#This Row],[Stars]]&gt;=4, "Good", Ramen_Ratings[[#This Row],[Stars]]&gt;2.5, "Fair", Ramen_Ratings[[#This Row],[Stars]] &gt;= 0, "Bad")</f>
        <v>Fair</v>
      </c>
      <c r="J1134" t="str">
        <f>LEFT(Ramen_Ratings[[#This Row],[Top Ten]],4)</f>
        <v/>
      </c>
      <c r="K1134" t="str">
        <f>IF(Ramen_Ratings[[#This Row],[Top Ten]]="", "",RIGHT(Ramen_Ratings[[#This Row],[Top Ten]],LEN(Ramen_Ratings[[#This Row],[Top Ten]])-6))</f>
        <v/>
      </c>
    </row>
    <row r="1135" spans="1:11" x14ac:dyDescent="0.25">
      <c r="A1135">
        <v>490</v>
      </c>
      <c r="B1135" t="s">
        <v>2328</v>
      </c>
      <c r="C1135" t="s">
        <v>2394</v>
      </c>
      <c r="D1135" t="s">
        <v>44</v>
      </c>
      <c r="E1135" t="s">
        <v>25</v>
      </c>
      <c r="F1135" t="str">
        <f>VLOOKUP(Ramen_Ratings[[#This Row],[Country]],Country_Region[#All],2,FALSE)</f>
        <v>Asia</v>
      </c>
      <c r="G1135">
        <v>5</v>
      </c>
      <c r="H1135" t="str" cm="1">
        <f t="array" ref="H1135">_xlfn.IFS(Ramen_Ratings[[#This Row],[Stars]] = "Unrated", "NA",Ramen_Ratings[[#This Row],[Stars]]&gt;=4, "Good", Ramen_Ratings[[#This Row],[Stars]]&gt;2.5, "Fair", Ramen_Ratings[[#This Row],[Stars]] &gt;= 0, "Bad")</f>
        <v>Good</v>
      </c>
      <c r="J1135" t="str">
        <f>LEFT(Ramen_Ratings[[#This Row],[Top Ten]],4)</f>
        <v/>
      </c>
      <c r="K1135" t="str">
        <f>IF(Ramen_Ratings[[#This Row],[Top Ten]]="", "",RIGHT(Ramen_Ratings[[#This Row],[Top Ten]],LEN(Ramen_Ratings[[#This Row],[Top Ten]])-6))</f>
        <v/>
      </c>
    </row>
    <row r="1136" spans="1:11" x14ac:dyDescent="0.25">
      <c r="A1136">
        <v>485</v>
      </c>
      <c r="B1136" t="s">
        <v>74</v>
      </c>
      <c r="C1136" t="s">
        <v>2399</v>
      </c>
      <c r="D1136" t="s">
        <v>9</v>
      </c>
      <c r="E1136" t="s">
        <v>25</v>
      </c>
      <c r="F1136" t="str">
        <f>VLOOKUP(Ramen_Ratings[[#This Row],[Country]],Country_Region[#All],2,FALSE)</f>
        <v>Asia</v>
      </c>
      <c r="G1136">
        <v>3</v>
      </c>
      <c r="H1136" t="str" cm="1">
        <f t="array" ref="H1136">_xlfn.IFS(Ramen_Ratings[[#This Row],[Stars]] = "Unrated", "NA",Ramen_Ratings[[#This Row],[Stars]]&gt;=4, "Good", Ramen_Ratings[[#This Row],[Stars]]&gt;2.5, "Fair", Ramen_Ratings[[#This Row],[Stars]] &gt;= 0, "Bad")</f>
        <v>Fair</v>
      </c>
      <c r="J1136" t="str">
        <f>LEFT(Ramen_Ratings[[#This Row],[Top Ten]],4)</f>
        <v/>
      </c>
      <c r="K1136" t="str">
        <f>IF(Ramen_Ratings[[#This Row],[Top Ten]]="", "",RIGHT(Ramen_Ratings[[#This Row],[Top Ten]],LEN(Ramen_Ratings[[#This Row],[Top Ten]])-6))</f>
        <v/>
      </c>
    </row>
    <row r="1137" spans="1:11" x14ac:dyDescent="0.25">
      <c r="A1137">
        <v>484</v>
      </c>
      <c r="B1137" t="s">
        <v>74</v>
      </c>
      <c r="C1137" t="s">
        <v>2400</v>
      </c>
      <c r="D1137" t="s">
        <v>9</v>
      </c>
      <c r="E1137" t="s">
        <v>25</v>
      </c>
      <c r="F1137" t="str">
        <f>VLOOKUP(Ramen_Ratings[[#This Row],[Country]],Country_Region[#All],2,FALSE)</f>
        <v>Asia</v>
      </c>
      <c r="G1137">
        <v>4.25</v>
      </c>
      <c r="H1137" t="str" cm="1">
        <f t="array" ref="H1137">_xlfn.IFS(Ramen_Ratings[[#This Row],[Stars]] = "Unrated", "NA",Ramen_Ratings[[#This Row],[Stars]]&gt;=4, "Good", Ramen_Ratings[[#This Row],[Stars]]&gt;2.5, "Fair", Ramen_Ratings[[#This Row],[Stars]] &gt;= 0, "Bad")</f>
        <v>Good</v>
      </c>
      <c r="J1137" t="str">
        <f>LEFT(Ramen_Ratings[[#This Row],[Top Ten]],4)</f>
        <v/>
      </c>
      <c r="K1137" t="str">
        <f>IF(Ramen_Ratings[[#This Row],[Top Ten]]="", "",RIGHT(Ramen_Ratings[[#This Row],[Top Ten]],LEN(Ramen_Ratings[[#This Row],[Top Ten]])-6))</f>
        <v/>
      </c>
    </row>
    <row r="1138" spans="1:11" x14ac:dyDescent="0.25">
      <c r="A1138">
        <v>479</v>
      </c>
      <c r="B1138" t="s">
        <v>41</v>
      </c>
      <c r="C1138" t="s">
        <v>2404</v>
      </c>
      <c r="D1138" t="s">
        <v>13</v>
      </c>
      <c r="E1138" t="s">
        <v>25</v>
      </c>
      <c r="F1138" t="str">
        <f>VLOOKUP(Ramen_Ratings[[#This Row],[Country]],Country_Region[#All],2,FALSE)</f>
        <v>Asia</v>
      </c>
      <c r="G1138">
        <v>3.75</v>
      </c>
      <c r="H1138" t="str" cm="1">
        <f t="array" ref="H1138">_xlfn.IFS(Ramen_Ratings[[#This Row],[Stars]] = "Unrated", "NA",Ramen_Ratings[[#This Row],[Stars]]&gt;=4, "Good", Ramen_Ratings[[#This Row],[Stars]]&gt;2.5, "Fair", Ramen_Ratings[[#This Row],[Stars]] &gt;= 0, "Bad")</f>
        <v>Fair</v>
      </c>
      <c r="J1138" t="str">
        <f>LEFT(Ramen_Ratings[[#This Row],[Top Ten]],4)</f>
        <v/>
      </c>
      <c r="K1138" t="str">
        <f>IF(Ramen_Ratings[[#This Row],[Top Ten]]="", "",RIGHT(Ramen_Ratings[[#This Row],[Top Ten]],LEN(Ramen_Ratings[[#This Row],[Top Ten]])-6))</f>
        <v/>
      </c>
    </row>
    <row r="1139" spans="1:11" x14ac:dyDescent="0.25">
      <c r="A1139">
        <v>477</v>
      </c>
      <c r="B1139" t="s">
        <v>2256</v>
      </c>
      <c r="C1139" t="s">
        <v>2406</v>
      </c>
      <c r="D1139" t="s">
        <v>13</v>
      </c>
      <c r="E1139" t="s">
        <v>25</v>
      </c>
      <c r="F1139" t="str">
        <f>VLOOKUP(Ramen_Ratings[[#This Row],[Country]],Country_Region[#All],2,FALSE)</f>
        <v>Asia</v>
      </c>
      <c r="G1139">
        <v>3</v>
      </c>
      <c r="H1139" t="str" cm="1">
        <f t="array" ref="H1139">_xlfn.IFS(Ramen_Ratings[[#This Row],[Stars]] = "Unrated", "NA",Ramen_Ratings[[#This Row],[Stars]]&gt;=4, "Good", Ramen_Ratings[[#This Row],[Stars]]&gt;2.5, "Fair", Ramen_Ratings[[#This Row],[Stars]] &gt;= 0, "Bad")</f>
        <v>Fair</v>
      </c>
      <c r="J1139" t="str">
        <f>LEFT(Ramen_Ratings[[#This Row],[Top Ten]],4)</f>
        <v/>
      </c>
      <c r="K1139" t="str">
        <f>IF(Ramen_Ratings[[#This Row],[Top Ten]]="", "",RIGHT(Ramen_Ratings[[#This Row],[Top Ten]],LEN(Ramen_Ratings[[#This Row],[Top Ten]])-6))</f>
        <v/>
      </c>
    </row>
    <row r="1140" spans="1:11" x14ac:dyDescent="0.25">
      <c r="A1140">
        <v>468</v>
      </c>
      <c r="B1140" t="s">
        <v>54</v>
      </c>
      <c r="C1140" t="s">
        <v>2412</v>
      </c>
      <c r="D1140" t="s">
        <v>13</v>
      </c>
      <c r="E1140" t="s">
        <v>25</v>
      </c>
      <c r="F1140" t="str">
        <f>VLOOKUP(Ramen_Ratings[[#This Row],[Country]],Country_Region[#All],2,FALSE)</f>
        <v>Asia</v>
      </c>
      <c r="G1140">
        <v>3.75</v>
      </c>
      <c r="H1140" t="str" cm="1">
        <f t="array" ref="H1140">_xlfn.IFS(Ramen_Ratings[[#This Row],[Stars]] = "Unrated", "NA",Ramen_Ratings[[#This Row],[Stars]]&gt;=4, "Good", Ramen_Ratings[[#This Row],[Stars]]&gt;2.5, "Fair", Ramen_Ratings[[#This Row],[Stars]] &gt;= 0, "Bad")</f>
        <v>Fair</v>
      </c>
      <c r="J1140" t="str">
        <f>LEFT(Ramen_Ratings[[#This Row],[Top Ten]],4)</f>
        <v/>
      </c>
      <c r="K1140" t="str">
        <f>IF(Ramen_Ratings[[#This Row],[Top Ten]]="", "",RIGHT(Ramen_Ratings[[#This Row],[Top Ten]],LEN(Ramen_Ratings[[#This Row],[Top Ten]])-6))</f>
        <v/>
      </c>
    </row>
    <row r="1141" spans="1:11" x14ac:dyDescent="0.25">
      <c r="A1141">
        <v>463</v>
      </c>
      <c r="B1141" t="s">
        <v>74</v>
      </c>
      <c r="C1141" t="s">
        <v>2416</v>
      </c>
      <c r="D1141" t="s">
        <v>13</v>
      </c>
      <c r="E1141" t="s">
        <v>25</v>
      </c>
      <c r="F1141" t="str">
        <f>VLOOKUP(Ramen_Ratings[[#This Row],[Country]],Country_Region[#All],2,FALSE)</f>
        <v>Asia</v>
      </c>
      <c r="G1141">
        <v>3</v>
      </c>
      <c r="H1141" t="str" cm="1">
        <f t="array" ref="H1141">_xlfn.IFS(Ramen_Ratings[[#This Row],[Stars]] = "Unrated", "NA",Ramen_Ratings[[#This Row],[Stars]]&gt;=4, "Good", Ramen_Ratings[[#This Row],[Stars]]&gt;2.5, "Fair", Ramen_Ratings[[#This Row],[Stars]] &gt;= 0, "Bad")</f>
        <v>Fair</v>
      </c>
      <c r="J1141" t="str">
        <f>LEFT(Ramen_Ratings[[#This Row],[Top Ten]],4)</f>
        <v/>
      </c>
      <c r="K1141" t="str">
        <f>IF(Ramen_Ratings[[#This Row],[Top Ten]]="", "",RIGHT(Ramen_Ratings[[#This Row],[Top Ten]],LEN(Ramen_Ratings[[#This Row],[Top Ten]])-6))</f>
        <v/>
      </c>
    </row>
    <row r="1142" spans="1:11" x14ac:dyDescent="0.25">
      <c r="A1142">
        <v>461</v>
      </c>
      <c r="B1142" t="s">
        <v>2198</v>
      </c>
      <c r="C1142" t="s">
        <v>2418</v>
      </c>
      <c r="D1142" t="s">
        <v>13</v>
      </c>
      <c r="E1142" t="s">
        <v>25</v>
      </c>
      <c r="F1142" t="str">
        <f>VLOOKUP(Ramen_Ratings[[#This Row],[Country]],Country_Region[#All],2,FALSE)</f>
        <v>Asia</v>
      </c>
      <c r="G1142">
        <v>3.5</v>
      </c>
      <c r="H1142" t="str" cm="1">
        <f t="array" ref="H1142">_xlfn.IFS(Ramen_Ratings[[#This Row],[Stars]] = "Unrated", "NA",Ramen_Ratings[[#This Row],[Stars]]&gt;=4, "Good", Ramen_Ratings[[#This Row],[Stars]]&gt;2.5, "Fair", Ramen_Ratings[[#This Row],[Stars]] &gt;= 0, "Bad")</f>
        <v>Fair</v>
      </c>
      <c r="J1142" t="str">
        <f>LEFT(Ramen_Ratings[[#This Row],[Top Ten]],4)</f>
        <v/>
      </c>
      <c r="K1142" t="str">
        <f>IF(Ramen_Ratings[[#This Row],[Top Ten]]="", "",RIGHT(Ramen_Ratings[[#This Row],[Top Ten]],LEN(Ramen_Ratings[[#This Row],[Top Ten]])-6))</f>
        <v/>
      </c>
    </row>
    <row r="1143" spans="1:11" x14ac:dyDescent="0.25">
      <c r="A1143">
        <v>450</v>
      </c>
      <c r="B1143" t="s">
        <v>74</v>
      </c>
      <c r="C1143" t="s">
        <v>2428</v>
      </c>
      <c r="D1143" t="s">
        <v>13</v>
      </c>
      <c r="E1143" t="s">
        <v>25</v>
      </c>
      <c r="F1143" t="str">
        <f>VLOOKUP(Ramen_Ratings[[#This Row],[Country]],Country_Region[#All],2,FALSE)</f>
        <v>Asia</v>
      </c>
      <c r="G1143">
        <v>3.25</v>
      </c>
      <c r="H1143" t="str" cm="1">
        <f t="array" ref="H1143">_xlfn.IFS(Ramen_Ratings[[#This Row],[Stars]] = "Unrated", "NA",Ramen_Ratings[[#This Row],[Stars]]&gt;=4, "Good", Ramen_Ratings[[#This Row],[Stars]]&gt;2.5, "Fair", Ramen_Ratings[[#This Row],[Stars]] &gt;= 0, "Bad")</f>
        <v>Fair</v>
      </c>
      <c r="J1143" t="str">
        <f>LEFT(Ramen_Ratings[[#This Row],[Top Ten]],4)</f>
        <v/>
      </c>
      <c r="K1143" t="str">
        <f>IF(Ramen_Ratings[[#This Row],[Top Ten]]="", "",RIGHT(Ramen_Ratings[[#This Row],[Top Ten]],LEN(Ramen_Ratings[[#This Row],[Top Ten]])-6))</f>
        <v/>
      </c>
    </row>
    <row r="1144" spans="1:11" x14ac:dyDescent="0.25">
      <c r="A1144">
        <v>444</v>
      </c>
      <c r="B1144" t="s">
        <v>2256</v>
      </c>
      <c r="C1144" t="s">
        <v>2084</v>
      </c>
      <c r="D1144" t="s">
        <v>13</v>
      </c>
      <c r="E1144" t="s">
        <v>25</v>
      </c>
      <c r="F1144" t="str">
        <f>VLOOKUP(Ramen_Ratings[[#This Row],[Country]],Country_Region[#All],2,FALSE)</f>
        <v>Asia</v>
      </c>
      <c r="G1144">
        <v>3.25</v>
      </c>
      <c r="H1144" t="str" cm="1">
        <f t="array" ref="H1144">_xlfn.IFS(Ramen_Ratings[[#This Row],[Stars]] = "Unrated", "NA",Ramen_Ratings[[#This Row],[Stars]]&gt;=4, "Good", Ramen_Ratings[[#This Row],[Stars]]&gt;2.5, "Fair", Ramen_Ratings[[#This Row],[Stars]] &gt;= 0, "Bad")</f>
        <v>Fair</v>
      </c>
      <c r="J1144" t="str">
        <f>LEFT(Ramen_Ratings[[#This Row],[Top Ten]],4)</f>
        <v/>
      </c>
      <c r="K1144" t="str">
        <f>IF(Ramen_Ratings[[#This Row],[Top Ten]]="", "",RIGHT(Ramen_Ratings[[#This Row],[Top Ten]],LEN(Ramen_Ratings[[#This Row],[Top Ten]])-6))</f>
        <v/>
      </c>
    </row>
    <row r="1145" spans="1:11" x14ac:dyDescent="0.25">
      <c r="A1145">
        <v>442</v>
      </c>
      <c r="B1145" t="s">
        <v>41</v>
      </c>
      <c r="C1145" t="s">
        <v>2437</v>
      </c>
      <c r="D1145" t="s">
        <v>13</v>
      </c>
      <c r="E1145" t="s">
        <v>25</v>
      </c>
      <c r="F1145" t="str">
        <f>VLOOKUP(Ramen_Ratings[[#This Row],[Country]],Country_Region[#All],2,FALSE)</f>
        <v>Asia</v>
      </c>
      <c r="G1145">
        <v>4.5</v>
      </c>
      <c r="H1145" t="str" cm="1">
        <f t="array" ref="H1145">_xlfn.IFS(Ramen_Ratings[[#This Row],[Stars]] = "Unrated", "NA",Ramen_Ratings[[#This Row],[Stars]]&gt;=4, "Good", Ramen_Ratings[[#This Row],[Stars]]&gt;2.5, "Fair", Ramen_Ratings[[#This Row],[Stars]] &gt;= 0, "Bad")</f>
        <v>Good</v>
      </c>
      <c r="J1145" t="str">
        <f>LEFT(Ramen_Ratings[[#This Row],[Top Ten]],4)</f>
        <v/>
      </c>
      <c r="K1145" t="str">
        <f>IF(Ramen_Ratings[[#This Row],[Top Ten]]="", "",RIGHT(Ramen_Ratings[[#This Row],[Top Ten]],LEN(Ramen_Ratings[[#This Row],[Top Ten]])-6))</f>
        <v/>
      </c>
    </row>
    <row r="1146" spans="1:11" x14ac:dyDescent="0.25">
      <c r="A1146">
        <v>441</v>
      </c>
      <c r="B1146" t="s">
        <v>74</v>
      </c>
      <c r="C1146" t="s">
        <v>2438</v>
      </c>
      <c r="D1146" t="s">
        <v>13</v>
      </c>
      <c r="E1146" t="s">
        <v>25</v>
      </c>
      <c r="F1146" t="str">
        <f>VLOOKUP(Ramen_Ratings[[#This Row],[Country]],Country_Region[#All],2,FALSE)</f>
        <v>Asia</v>
      </c>
      <c r="G1146">
        <v>3.75</v>
      </c>
      <c r="H1146" t="str" cm="1">
        <f t="array" ref="H1146">_xlfn.IFS(Ramen_Ratings[[#This Row],[Stars]] = "Unrated", "NA",Ramen_Ratings[[#This Row],[Stars]]&gt;=4, "Good", Ramen_Ratings[[#This Row],[Stars]]&gt;2.5, "Fair", Ramen_Ratings[[#This Row],[Stars]] &gt;= 0, "Bad")</f>
        <v>Fair</v>
      </c>
      <c r="J1146" t="str">
        <f>LEFT(Ramen_Ratings[[#This Row],[Top Ten]],4)</f>
        <v/>
      </c>
      <c r="K1146" t="str">
        <f>IF(Ramen_Ratings[[#This Row],[Top Ten]]="", "",RIGHT(Ramen_Ratings[[#This Row],[Top Ten]],LEN(Ramen_Ratings[[#This Row],[Top Ten]])-6))</f>
        <v/>
      </c>
    </row>
    <row r="1147" spans="1:11" x14ac:dyDescent="0.25">
      <c r="A1147">
        <v>438</v>
      </c>
      <c r="B1147" t="s">
        <v>2198</v>
      </c>
      <c r="C1147" t="s">
        <v>1933</v>
      </c>
      <c r="D1147" t="s">
        <v>44</v>
      </c>
      <c r="E1147" t="s">
        <v>25</v>
      </c>
      <c r="F1147" t="str">
        <f>VLOOKUP(Ramen_Ratings[[#This Row],[Country]],Country_Region[#All],2,FALSE)</f>
        <v>Asia</v>
      </c>
      <c r="G1147">
        <v>3.75</v>
      </c>
      <c r="H1147" t="str" cm="1">
        <f t="array" ref="H1147">_xlfn.IFS(Ramen_Ratings[[#This Row],[Stars]] = "Unrated", "NA",Ramen_Ratings[[#This Row],[Stars]]&gt;=4, "Good", Ramen_Ratings[[#This Row],[Stars]]&gt;2.5, "Fair", Ramen_Ratings[[#This Row],[Stars]] &gt;= 0, "Bad")</f>
        <v>Fair</v>
      </c>
      <c r="J1147" t="str">
        <f>LEFT(Ramen_Ratings[[#This Row],[Top Ten]],4)</f>
        <v/>
      </c>
      <c r="K1147" t="str">
        <f>IF(Ramen_Ratings[[#This Row],[Top Ten]]="", "",RIGHT(Ramen_Ratings[[#This Row],[Top Ten]],LEN(Ramen_Ratings[[#This Row],[Top Ten]])-6))</f>
        <v/>
      </c>
    </row>
    <row r="1148" spans="1:11" x14ac:dyDescent="0.25">
      <c r="A1148">
        <v>437</v>
      </c>
      <c r="B1148" t="s">
        <v>41</v>
      </c>
      <c r="C1148" t="s">
        <v>2441</v>
      </c>
      <c r="D1148" t="s">
        <v>44</v>
      </c>
      <c r="E1148" t="s">
        <v>25</v>
      </c>
      <c r="F1148" t="str">
        <f>VLOOKUP(Ramen_Ratings[[#This Row],[Country]],Country_Region[#All],2,FALSE)</f>
        <v>Asia</v>
      </c>
      <c r="G1148">
        <v>3.25</v>
      </c>
      <c r="H1148" t="str" cm="1">
        <f t="array" ref="H1148">_xlfn.IFS(Ramen_Ratings[[#This Row],[Stars]] = "Unrated", "NA",Ramen_Ratings[[#This Row],[Stars]]&gt;=4, "Good", Ramen_Ratings[[#This Row],[Stars]]&gt;2.5, "Fair", Ramen_Ratings[[#This Row],[Stars]] &gt;= 0, "Bad")</f>
        <v>Fair</v>
      </c>
      <c r="J1148" t="str">
        <f>LEFT(Ramen_Ratings[[#This Row],[Top Ten]],4)</f>
        <v/>
      </c>
      <c r="K1148" t="str">
        <f>IF(Ramen_Ratings[[#This Row],[Top Ten]]="", "",RIGHT(Ramen_Ratings[[#This Row],[Top Ten]],LEN(Ramen_Ratings[[#This Row],[Top Ten]])-6))</f>
        <v/>
      </c>
    </row>
    <row r="1149" spans="1:11" x14ac:dyDescent="0.25">
      <c r="A1149">
        <v>423</v>
      </c>
      <c r="B1149" t="s">
        <v>2459</v>
      </c>
      <c r="C1149" t="s">
        <v>2460</v>
      </c>
      <c r="D1149" t="s">
        <v>9</v>
      </c>
      <c r="E1149" t="s">
        <v>25</v>
      </c>
      <c r="F1149" t="str">
        <f>VLOOKUP(Ramen_Ratings[[#This Row],[Country]],Country_Region[#All],2,FALSE)</f>
        <v>Asia</v>
      </c>
      <c r="G1149">
        <v>3</v>
      </c>
      <c r="H1149" t="str" cm="1">
        <f t="array" ref="H1149">_xlfn.IFS(Ramen_Ratings[[#This Row],[Stars]] = "Unrated", "NA",Ramen_Ratings[[#This Row],[Stars]]&gt;=4, "Good", Ramen_Ratings[[#This Row],[Stars]]&gt;2.5, "Fair", Ramen_Ratings[[#This Row],[Stars]] &gt;= 0, "Bad")</f>
        <v>Fair</v>
      </c>
      <c r="J1149" t="str">
        <f>LEFT(Ramen_Ratings[[#This Row],[Top Ten]],4)</f>
        <v/>
      </c>
      <c r="K1149" t="str">
        <f>IF(Ramen_Ratings[[#This Row],[Top Ten]]="", "",RIGHT(Ramen_Ratings[[#This Row],[Top Ten]],LEN(Ramen_Ratings[[#This Row],[Top Ten]])-6))</f>
        <v/>
      </c>
    </row>
    <row r="1150" spans="1:11" x14ac:dyDescent="0.25">
      <c r="A1150">
        <v>407</v>
      </c>
      <c r="B1150" t="s">
        <v>74</v>
      </c>
      <c r="C1150" t="s">
        <v>2476</v>
      </c>
      <c r="D1150" t="s">
        <v>9</v>
      </c>
      <c r="E1150" t="s">
        <v>25</v>
      </c>
      <c r="F1150" t="str">
        <f>VLOOKUP(Ramen_Ratings[[#This Row],[Country]],Country_Region[#All],2,FALSE)</f>
        <v>Asia</v>
      </c>
      <c r="G1150">
        <v>3.5</v>
      </c>
      <c r="H1150" t="str" cm="1">
        <f t="array" ref="H1150">_xlfn.IFS(Ramen_Ratings[[#This Row],[Stars]] = "Unrated", "NA",Ramen_Ratings[[#This Row],[Stars]]&gt;=4, "Good", Ramen_Ratings[[#This Row],[Stars]]&gt;2.5, "Fair", Ramen_Ratings[[#This Row],[Stars]] &gt;= 0, "Bad")</f>
        <v>Fair</v>
      </c>
      <c r="J1150" t="str">
        <f>LEFT(Ramen_Ratings[[#This Row],[Top Ten]],4)</f>
        <v/>
      </c>
      <c r="K1150" t="str">
        <f>IF(Ramen_Ratings[[#This Row],[Top Ten]]="", "",RIGHT(Ramen_Ratings[[#This Row],[Top Ten]],LEN(Ramen_Ratings[[#This Row],[Top Ten]])-6))</f>
        <v/>
      </c>
    </row>
    <row r="1151" spans="1:11" x14ac:dyDescent="0.25">
      <c r="A1151">
        <v>399</v>
      </c>
      <c r="B1151" t="s">
        <v>54</v>
      </c>
      <c r="C1151" t="s">
        <v>2484</v>
      </c>
      <c r="D1151" t="s">
        <v>9</v>
      </c>
      <c r="E1151" t="s">
        <v>25</v>
      </c>
      <c r="F1151" t="str">
        <f>VLOOKUP(Ramen_Ratings[[#This Row],[Country]],Country_Region[#All],2,FALSE)</f>
        <v>Asia</v>
      </c>
      <c r="G1151">
        <v>3.75</v>
      </c>
      <c r="H1151" t="str" cm="1">
        <f t="array" ref="H1151">_xlfn.IFS(Ramen_Ratings[[#This Row],[Stars]] = "Unrated", "NA",Ramen_Ratings[[#This Row],[Stars]]&gt;=4, "Good", Ramen_Ratings[[#This Row],[Stars]]&gt;2.5, "Fair", Ramen_Ratings[[#This Row],[Stars]] &gt;= 0, "Bad")</f>
        <v>Fair</v>
      </c>
      <c r="J1151" t="str">
        <f>LEFT(Ramen_Ratings[[#This Row],[Top Ten]],4)</f>
        <v/>
      </c>
      <c r="K1151" t="str">
        <f>IF(Ramen_Ratings[[#This Row],[Top Ten]]="", "",RIGHT(Ramen_Ratings[[#This Row],[Top Ten]],LEN(Ramen_Ratings[[#This Row],[Top Ten]])-6))</f>
        <v/>
      </c>
    </row>
    <row r="1152" spans="1:11" x14ac:dyDescent="0.25">
      <c r="A1152">
        <v>398</v>
      </c>
      <c r="B1152" t="s">
        <v>54</v>
      </c>
      <c r="C1152" t="s">
        <v>2485</v>
      </c>
      <c r="D1152" t="s">
        <v>44</v>
      </c>
      <c r="E1152" t="s">
        <v>25</v>
      </c>
      <c r="F1152" t="str">
        <f>VLOOKUP(Ramen_Ratings[[#This Row],[Country]],Country_Region[#All],2,FALSE)</f>
        <v>Asia</v>
      </c>
      <c r="G1152">
        <v>3.75</v>
      </c>
      <c r="H1152" t="str" cm="1">
        <f t="array" ref="H1152">_xlfn.IFS(Ramen_Ratings[[#This Row],[Stars]] = "Unrated", "NA",Ramen_Ratings[[#This Row],[Stars]]&gt;=4, "Good", Ramen_Ratings[[#This Row],[Stars]]&gt;2.5, "Fair", Ramen_Ratings[[#This Row],[Stars]] &gt;= 0, "Bad")</f>
        <v>Fair</v>
      </c>
      <c r="J1152" t="str">
        <f>LEFT(Ramen_Ratings[[#This Row],[Top Ten]],4)</f>
        <v/>
      </c>
      <c r="K1152" t="str">
        <f>IF(Ramen_Ratings[[#This Row],[Top Ten]]="", "",RIGHT(Ramen_Ratings[[#This Row],[Top Ten]],LEN(Ramen_Ratings[[#This Row],[Top Ten]])-6))</f>
        <v/>
      </c>
    </row>
    <row r="1153" spans="1:11" x14ac:dyDescent="0.25">
      <c r="A1153">
        <v>395</v>
      </c>
      <c r="B1153" t="s">
        <v>74</v>
      </c>
      <c r="C1153" t="s">
        <v>2390</v>
      </c>
      <c r="D1153" t="s">
        <v>9</v>
      </c>
      <c r="E1153" t="s">
        <v>25</v>
      </c>
      <c r="F1153" t="str">
        <f>VLOOKUP(Ramen_Ratings[[#This Row],[Country]],Country_Region[#All],2,FALSE)</f>
        <v>Asia</v>
      </c>
      <c r="G1153">
        <v>3</v>
      </c>
      <c r="H1153" t="str" cm="1">
        <f t="array" ref="H1153">_xlfn.IFS(Ramen_Ratings[[#This Row],[Stars]] = "Unrated", "NA",Ramen_Ratings[[#This Row],[Stars]]&gt;=4, "Good", Ramen_Ratings[[#This Row],[Stars]]&gt;2.5, "Fair", Ramen_Ratings[[#This Row],[Stars]] &gt;= 0, "Bad")</f>
        <v>Fair</v>
      </c>
      <c r="J1153" t="str">
        <f>LEFT(Ramen_Ratings[[#This Row],[Top Ten]],4)</f>
        <v/>
      </c>
      <c r="K1153" t="str">
        <f>IF(Ramen_Ratings[[#This Row],[Top Ten]]="", "",RIGHT(Ramen_Ratings[[#This Row],[Top Ten]],LEN(Ramen_Ratings[[#This Row],[Top Ten]])-6))</f>
        <v/>
      </c>
    </row>
    <row r="1154" spans="1:11" x14ac:dyDescent="0.25">
      <c r="A1154">
        <v>394</v>
      </c>
      <c r="B1154" t="s">
        <v>54</v>
      </c>
      <c r="C1154" t="s">
        <v>2488</v>
      </c>
      <c r="D1154" t="s">
        <v>9</v>
      </c>
      <c r="E1154" t="s">
        <v>25</v>
      </c>
      <c r="F1154" t="str">
        <f>VLOOKUP(Ramen_Ratings[[#This Row],[Country]],Country_Region[#All],2,FALSE)</f>
        <v>Asia</v>
      </c>
      <c r="G1154">
        <v>3.5</v>
      </c>
      <c r="H1154" t="str" cm="1">
        <f t="array" ref="H1154">_xlfn.IFS(Ramen_Ratings[[#This Row],[Stars]] = "Unrated", "NA",Ramen_Ratings[[#This Row],[Stars]]&gt;=4, "Good", Ramen_Ratings[[#This Row],[Stars]]&gt;2.5, "Fair", Ramen_Ratings[[#This Row],[Stars]] &gt;= 0, "Bad")</f>
        <v>Fair</v>
      </c>
      <c r="J1154" t="str">
        <f>LEFT(Ramen_Ratings[[#This Row],[Top Ten]],4)</f>
        <v/>
      </c>
      <c r="K1154" t="str">
        <f>IF(Ramen_Ratings[[#This Row],[Top Ten]]="", "",RIGHT(Ramen_Ratings[[#This Row],[Top Ten]],LEN(Ramen_Ratings[[#This Row],[Top Ten]])-6))</f>
        <v/>
      </c>
    </row>
    <row r="1155" spans="1:11" x14ac:dyDescent="0.25">
      <c r="A1155">
        <v>380</v>
      </c>
      <c r="B1155" t="s">
        <v>2503</v>
      </c>
      <c r="C1155" t="s">
        <v>2504</v>
      </c>
      <c r="D1155" t="s">
        <v>30</v>
      </c>
      <c r="E1155" t="s">
        <v>25</v>
      </c>
      <c r="F1155" t="str">
        <f>VLOOKUP(Ramen_Ratings[[#This Row],[Country]],Country_Region[#All],2,FALSE)</f>
        <v>Asia</v>
      </c>
      <c r="G1155">
        <v>3.75</v>
      </c>
      <c r="H1155" t="str" cm="1">
        <f t="array" ref="H1155">_xlfn.IFS(Ramen_Ratings[[#This Row],[Stars]] = "Unrated", "NA",Ramen_Ratings[[#This Row],[Stars]]&gt;=4, "Good", Ramen_Ratings[[#This Row],[Stars]]&gt;2.5, "Fair", Ramen_Ratings[[#This Row],[Stars]] &gt;= 0, "Bad")</f>
        <v>Fair</v>
      </c>
      <c r="J1155" t="str">
        <f>LEFT(Ramen_Ratings[[#This Row],[Top Ten]],4)</f>
        <v/>
      </c>
      <c r="K1155" t="str">
        <f>IF(Ramen_Ratings[[#This Row],[Top Ten]]="", "",RIGHT(Ramen_Ratings[[#This Row],[Top Ten]],LEN(Ramen_Ratings[[#This Row],[Top Ten]])-6))</f>
        <v/>
      </c>
    </row>
    <row r="1156" spans="1:11" x14ac:dyDescent="0.25">
      <c r="A1156">
        <v>369</v>
      </c>
      <c r="B1156" t="s">
        <v>2514</v>
      </c>
      <c r="C1156" t="s">
        <v>2515</v>
      </c>
      <c r="D1156" t="s">
        <v>30</v>
      </c>
      <c r="E1156" t="s">
        <v>25</v>
      </c>
      <c r="F1156" t="str">
        <f>VLOOKUP(Ramen_Ratings[[#This Row],[Country]],Country_Region[#All],2,FALSE)</f>
        <v>Asia</v>
      </c>
      <c r="G1156">
        <v>3.75</v>
      </c>
      <c r="H1156" t="str" cm="1">
        <f t="array" ref="H1156">_xlfn.IFS(Ramen_Ratings[[#This Row],[Stars]] = "Unrated", "NA",Ramen_Ratings[[#This Row],[Stars]]&gt;=4, "Good", Ramen_Ratings[[#This Row],[Stars]]&gt;2.5, "Fair", Ramen_Ratings[[#This Row],[Stars]] &gt;= 0, "Bad")</f>
        <v>Fair</v>
      </c>
      <c r="J1156" t="str">
        <f>LEFT(Ramen_Ratings[[#This Row],[Top Ten]],4)</f>
        <v/>
      </c>
      <c r="K1156" t="str">
        <f>IF(Ramen_Ratings[[#This Row],[Top Ten]]="", "",RIGHT(Ramen_Ratings[[#This Row],[Top Ten]],LEN(Ramen_Ratings[[#This Row],[Top Ten]])-6))</f>
        <v/>
      </c>
    </row>
    <row r="1157" spans="1:11" x14ac:dyDescent="0.25">
      <c r="A1157">
        <v>355</v>
      </c>
      <c r="B1157" t="s">
        <v>41</v>
      </c>
      <c r="C1157" t="s">
        <v>2530</v>
      </c>
      <c r="D1157" t="s">
        <v>44</v>
      </c>
      <c r="E1157" t="s">
        <v>25</v>
      </c>
      <c r="F1157" t="str">
        <f>VLOOKUP(Ramen_Ratings[[#This Row],[Country]],Country_Region[#All],2,FALSE)</f>
        <v>Asia</v>
      </c>
      <c r="G1157">
        <v>2.5</v>
      </c>
      <c r="H1157" t="str" cm="1">
        <f t="array" ref="H1157">_xlfn.IFS(Ramen_Ratings[[#This Row],[Stars]] = "Unrated", "NA",Ramen_Ratings[[#This Row],[Stars]]&gt;=4, "Good", Ramen_Ratings[[#This Row],[Stars]]&gt;2.5, "Fair", Ramen_Ratings[[#This Row],[Stars]] &gt;= 0, "Bad")</f>
        <v>Bad</v>
      </c>
      <c r="J1157" t="str">
        <f>LEFT(Ramen_Ratings[[#This Row],[Top Ten]],4)</f>
        <v/>
      </c>
      <c r="K1157" t="str">
        <f>IF(Ramen_Ratings[[#This Row],[Top Ten]]="", "",RIGHT(Ramen_Ratings[[#This Row],[Top Ten]],LEN(Ramen_Ratings[[#This Row],[Top Ten]])-6))</f>
        <v/>
      </c>
    </row>
    <row r="1158" spans="1:11" x14ac:dyDescent="0.25">
      <c r="A1158">
        <v>349</v>
      </c>
      <c r="B1158" t="s">
        <v>74</v>
      </c>
      <c r="C1158" t="s">
        <v>2536</v>
      </c>
      <c r="D1158" t="s">
        <v>44</v>
      </c>
      <c r="E1158" t="s">
        <v>25</v>
      </c>
      <c r="F1158" t="str">
        <f>VLOOKUP(Ramen_Ratings[[#This Row],[Country]],Country_Region[#All],2,FALSE)</f>
        <v>Asia</v>
      </c>
      <c r="G1158">
        <v>3.25</v>
      </c>
      <c r="H1158" t="str" cm="1">
        <f t="array" ref="H1158">_xlfn.IFS(Ramen_Ratings[[#This Row],[Stars]] = "Unrated", "NA",Ramen_Ratings[[#This Row],[Stars]]&gt;=4, "Good", Ramen_Ratings[[#This Row],[Stars]]&gt;2.5, "Fair", Ramen_Ratings[[#This Row],[Stars]] &gt;= 0, "Bad")</f>
        <v>Fair</v>
      </c>
      <c r="J1158" t="str">
        <f>LEFT(Ramen_Ratings[[#This Row],[Top Ten]],4)</f>
        <v/>
      </c>
      <c r="K1158" t="str">
        <f>IF(Ramen_Ratings[[#This Row],[Top Ten]]="", "",RIGHT(Ramen_Ratings[[#This Row],[Top Ten]],LEN(Ramen_Ratings[[#This Row],[Top Ten]])-6))</f>
        <v/>
      </c>
    </row>
    <row r="1159" spans="1:11" x14ac:dyDescent="0.25">
      <c r="A1159">
        <v>348</v>
      </c>
      <c r="B1159" t="s">
        <v>54</v>
      </c>
      <c r="C1159" t="s">
        <v>2537</v>
      </c>
      <c r="D1159" t="s">
        <v>44</v>
      </c>
      <c r="E1159" t="s">
        <v>25</v>
      </c>
      <c r="F1159" t="str">
        <f>VLOOKUP(Ramen_Ratings[[#This Row],[Country]],Country_Region[#All],2,FALSE)</f>
        <v>Asia</v>
      </c>
      <c r="G1159">
        <v>3.5</v>
      </c>
      <c r="H1159" t="str" cm="1">
        <f t="array" ref="H1159">_xlfn.IFS(Ramen_Ratings[[#This Row],[Stars]] = "Unrated", "NA",Ramen_Ratings[[#This Row],[Stars]]&gt;=4, "Good", Ramen_Ratings[[#This Row],[Stars]]&gt;2.5, "Fair", Ramen_Ratings[[#This Row],[Stars]] &gt;= 0, "Bad")</f>
        <v>Fair</v>
      </c>
      <c r="J1159" t="str">
        <f>LEFT(Ramen_Ratings[[#This Row],[Top Ten]],4)</f>
        <v/>
      </c>
      <c r="K1159" t="str">
        <f>IF(Ramen_Ratings[[#This Row],[Top Ten]]="", "",RIGHT(Ramen_Ratings[[#This Row],[Top Ten]],LEN(Ramen_Ratings[[#This Row],[Top Ten]])-6))</f>
        <v/>
      </c>
    </row>
    <row r="1160" spans="1:11" x14ac:dyDescent="0.25">
      <c r="A1160">
        <v>346</v>
      </c>
      <c r="B1160" t="s">
        <v>54</v>
      </c>
      <c r="C1160" t="s">
        <v>2539</v>
      </c>
      <c r="D1160" t="s">
        <v>44</v>
      </c>
      <c r="E1160" t="s">
        <v>25</v>
      </c>
      <c r="F1160" t="str">
        <f>VLOOKUP(Ramen_Ratings[[#This Row],[Country]],Country_Region[#All],2,FALSE)</f>
        <v>Asia</v>
      </c>
      <c r="G1160">
        <v>3.125</v>
      </c>
      <c r="H1160" t="str" cm="1">
        <f t="array" ref="H1160">_xlfn.IFS(Ramen_Ratings[[#This Row],[Stars]] = "Unrated", "NA",Ramen_Ratings[[#This Row],[Stars]]&gt;=4, "Good", Ramen_Ratings[[#This Row],[Stars]]&gt;2.5, "Fair", Ramen_Ratings[[#This Row],[Stars]] &gt;= 0, "Bad")</f>
        <v>Fair</v>
      </c>
      <c r="J1160" t="str">
        <f>LEFT(Ramen_Ratings[[#This Row],[Top Ten]],4)</f>
        <v/>
      </c>
      <c r="K1160" t="str">
        <f>IF(Ramen_Ratings[[#This Row],[Top Ten]]="", "",RIGHT(Ramen_Ratings[[#This Row],[Top Ten]],LEN(Ramen_Ratings[[#This Row],[Top Ten]])-6))</f>
        <v/>
      </c>
    </row>
    <row r="1161" spans="1:11" x14ac:dyDescent="0.25">
      <c r="A1161">
        <v>344</v>
      </c>
      <c r="B1161" t="s">
        <v>54</v>
      </c>
      <c r="C1161" t="s">
        <v>2541</v>
      </c>
      <c r="D1161" t="s">
        <v>13</v>
      </c>
      <c r="E1161" t="s">
        <v>25</v>
      </c>
      <c r="F1161" t="str">
        <f>VLOOKUP(Ramen_Ratings[[#This Row],[Country]],Country_Region[#All],2,FALSE)</f>
        <v>Asia</v>
      </c>
      <c r="G1161">
        <v>3.75</v>
      </c>
      <c r="H1161" t="str" cm="1">
        <f t="array" ref="H1161">_xlfn.IFS(Ramen_Ratings[[#This Row],[Stars]] = "Unrated", "NA",Ramen_Ratings[[#This Row],[Stars]]&gt;=4, "Good", Ramen_Ratings[[#This Row],[Stars]]&gt;2.5, "Fair", Ramen_Ratings[[#This Row],[Stars]] &gt;= 0, "Bad")</f>
        <v>Fair</v>
      </c>
      <c r="J1161" t="str">
        <f>LEFT(Ramen_Ratings[[#This Row],[Top Ten]],4)</f>
        <v/>
      </c>
      <c r="K1161" t="str">
        <f>IF(Ramen_Ratings[[#This Row],[Top Ten]]="", "",RIGHT(Ramen_Ratings[[#This Row],[Top Ten]],LEN(Ramen_Ratings[[#This Row],[Top Ten]])-6))</f>
        <v/>
      </c>
    </row>
    <row r="1162" spans="1:11" x14ac:dyDescent="0.25">
      <c r="A1162">
        <v>342</v>
      </c>
      <c r="B1162" t="s">
        <v>41</v>
      </c>
      <c r="C1162" t="s">
        <v>2543</v>
      </c>
      <c r="D1162" t="s">
        <v>44</v>
      </c>
      <c r="E1162" t="s">
        <v>25</v>
      </c>
      <c r="F1162" t="str">
        <f>VLOOKUP(Ramen_Ratings[[#This Row],[Country]],Country_Region[#All],2,FALSE)</f>
        <v>Asia</v>
      </c>
      <c r="G1162">
        <v>3.5</v>
      </c>
      <c r="H1162" t="str" cm="1">
        <f t="array" ref="H1162">_xlfn.IFS(Ramen_Ratings[[#This Row],[Stars]] = "Unrated", "NA",Ramen_Ratings[[#This Row],[Stars]]&gt;=4, "Good", Ramen_Ratings[[#This Row],[Stars]]&gt;2.5, "Fair", Ramen_Ratings[[#This Row],[Stars]] &gt;= 0, "Bad")</f>
        <v>Fair</v>
      </c>
      <c r="J1162" t="str">
        <f>LEFT(Ramen_Ratings[[#This Row],[Top Ten]],4)</f>
        <v/>
      </c>
      <c r="K1162" t="str">
        <f>IF(Ramen_Ratings[[#This Row],[Top Ten]]="", "",RIGHT(Ramen_Ratings[[#This Row],[Top Ten]],LEN(Ramen_Ratings[[#This Row],[Top Ten]])-6))</f>
        <v/>
      </c>
    </row>
    <row r="1163" spans="1:11" x14ac:dyDescent="0.25">
      <c r="A1163">
        <v>336</v>
      </c>
      <c r="B1163" t="s">
        <v>2287</v>
      </c>
      <c r="C1163" t="s">
        <v>2549</v>
      </c>
      <c r="D1163" t="s">
        <v>13</v>
      </c>
      <c r="E1163" t="s">
        <v>25</v>
      </c>
      <c r="F1163" t="str">
        <f>VLOOKUP(Ramen_Ratings[[#This Row],[Country]],Country_Region[#All],2,FALSE)</f>
        <v>Asia</v>
      </c>
      <c r="G1163">
        <v>3.5</v>
      </c>
      <c r="H1163" t="str" cm="1">
        <f t="array" ref="H1163">_xlfn.IFS(Ramen_Ratings[[#This Row],[Stars]] = "Unrated", "NA",Ramen_Ratings[[#This Row],[Stars]]&gt;=4, "Good", Ramen_Ratings[[#This Row],[Stars]]&gt;2.5, "Fair", Ramen_Ratings[[#This Row],[Stars]] &gt;= 0, "Bad")</f>
        <v>Fair</v>
      </c>
      <c r="J1163" t="str">
        <f>LEFT(Ramen_Ratings[[#This Row],[Top Ten]],4)</f>
        <v/>
      </c>
      <c r="K1163" t="str">
        <f>IF(Ramen_Ratings[[#This Row],[Top Ten]]="", "",RIGHT(Ramen_Ratings[[#This Row],[Top Ten]],LEN(Ramen_Ratings[[#This Row],[Top Ten]])-6))</f>
        <v/>
      </c>
    </row>
    <row r="1164" spans="1:11" x14ac:dyDescent="0.25">
      <c r="A1164">
        <v>328</v>
      </c>
      <c r="B1164" t="s">
        <v>41</v>
      </c>
      <c r="C1164" t="s">
        <v>2556</v>
      </c>
      <c r="D1164" t="s">
        <v>44</v>
      </c>
      <c r="E1164" t="s">
        <v>25</v>
      </c>
      <c r="F1164" t="str">
        <f>VLOOKUP(Ramen_Ratings[[#This Row],[Country]],Country_Region[#All],2,FALSE)</f>
        <v>Asia</v>
      </c>
      <c r="G1164">
        <v>4.5</v>
      </c>
      <c r="H1164" t="str" cm="1">
        <f t="array" ref="H1164">_xlfn.IFS(Ramen_Ratings[[#This Row],[Stars]] = "Unrated", "NA",Ramen_Ratings[[#This Row],[Stars]]&gt;=4, "Good", Ramen_Ratings[[#This Row],[Stars]]&gt;2.5, "Fair", Ramen_Ratings[[#This Row],[Stars]] &gt;= 0, "Bad")</f>
        <v>Good</v>
      </c>
      <c r="J1164" t="str">
        <f>LEFT(Ramen_Ratings[[#This Row],[Top Ten]],4)</f>
        <v/>
      </c>
      <c r="K1164" t="str">
        <f>IF(Ramen_Ratings[[#This Row],[Top Ten]]="", "",RIGHT(Ramen_Ratings[[#This Row],[Top Ten]],LEN(Ramen_Ratings[[#This Row],[Top Ten]])-6))</f>
        <v/>
      </c>
    </row>
    <row r="1165" spans="1:11" x14ac:dyDescent="0.25">
      <c r="A1165">
        <v>324</v>
      </c>
      <c r="B1165" t="s">
        <v>41</v>
      </c>
      <c r="C1165" t="s">
        <v>2559</v>
      </c>
      <c r="D1165" t="s">
        <v>44</v>
      </c>
      <c r="E1165" t="s">
        <v>25</v>
      </c>
      <c r="F1165" t="str">
        <f>VLOOKUP(Ramen_Ratings[[#This Row],[Country]],Country_Region[#All],2,FALSE)</f>
        <v>Asia</v>
      </c>
      <c r="G1165">
        <v>3.5</v>
      </c>
      <c r="H1165" t="str" cm="1">
        <f t="array" ref="H1165">_xlfn.IFS(Ramen_Ratings[[#This Row],[Stars]] = "Unrated", "NA",Ramen_Ratings[[#This Row],[Stars]]&gt;=4, "Good", Ramen_Ratings[[#This Row],[Stars]]&gt;2.5, "Fair", Ramen_Ratings[[#This Row],[Stars]] &gt;= 0, "Bad")</f>
        <v>Fair</v>
      </c>
      <c r="J1165" t="str">
        <f>LEFT(Ramen_Ratings[[#This Row],[Top Ten]],4)</f>
        <v/>
      </c>
      <c r="K1165" t="str">
        <f>IF(Ramen_Ratings[[#This Row],[Top Ten]]="", "",RIGHT(Ramen_Ratings[[#This Row],[Top Ten]],LEN(Ramen_Ratings[[#This Row],[Top Ten]])-6))</f>
        <v/>
      </c>
    </row>
    <row r="1166" spans="1:11" x14ac:dyDescent="0.25">
      <c r="A1166">
        <v>323</v>
      </c>
      <c r="B1166" t="s">
        <v>74</v>
      </c>
      <c r="C1166" t="s">
        <v>2560</v>
      </c>
      <c r="D1166" t="s">
        <v>9</v>
      </c>
      <c r="E1166" t="s">
        <v>25</v>
      </c>
      <c r="F1166" t="str">
        <f>VLOOKUP(Ramen_Ratings[[#This Row],[Country]],Country_Region[#All],2,FALSE)</f>
        <v>Asia</v>
      </c>
      <c r="G1166">
        <v>3.5</v>
      </c>
      <c r="H1166" t="str" cm="1">
        <f t="array" ref="H1166">_xlfn.IFS(Ramen_Ratings[[#This Row],[Stars]] = "Unrated", "NA",Ramen_Ratings[[#This Row],[Stars]]&gt;=4, "Good", Ramen_Ratings[[#This Row],[Stars]]&gt;2.5, "Fair", Ramen_Ratings[[#This Row],[Stars]] &gt;= 0, "Bad")</f>
        <v>Fair</v>
      </c>
      <c r="J1166" t="str">
        <f>LEFT(Ramen_Ratings[[#This Row],[Top Ten]],4)</f>
        <v/>
      </c>
      <c r="K1166" t="str">
        <f>IF(Ramen_Ratings[[#This Row],[Top Ten]]="", "",RIGHT(Ramen_Ratings[[#This Row],[Top Ten]],LEN(Ramen_Ratings[[#This Row],[Top Ten]])-6))</f>
        <v/>
      </c>
    </row>
    <row r="1167" spans="1:11" x14ac:dyDescent="0.25">
      <c r="A1167">
        <v>314</v>
      </c>
      <c r="B1167" t="s">
        <v>54</v>
      </c>
      <c r="C1167" t="s">
        <v>2569</v>
      </c>
      <c r="D1167" t="s">
        <v>30</v>
      </c>
      <c r="E1167" t="s">
        <v>25</v>
      </c>
      <c r="F1167" t="str">
        <f>VLOOKUP(Ramen_Ratings[[#This Row],[Country]],Country_Region[#All],2,FALSE)</f>
        <v>Asia</v>
      </c>
      <c r="G1167">
        <v>2.5</v>
      </c>
      <c r="H1167" t="str" cm="1">
        <f t="array" ref="H1167">_xlfn.IFS(Ramen_Ratings[[#This Row],[Stars]] = "Unrated", "NA",Ramen_Ratings[[#This Row],[Stars]]&gt;=4, "Good", Ramen_Ratings[[#This Row],[Stars]]&gt;2.5, "Fair", Ramen_Ratings[[#This Row],[Stars]] &gt;= 0, "Bad")</f>
        <v>Bad</v>
      </c>
      <c r="J1167" t="str">
        <f>LEFT(Ramen_Ratings[[#This Row],[Top Ten]],4)</f>
        <v/>
      </c>
      <c r="K1167" t="str">
        <f>IF(Ramen_Ratings[[#This Row],[Top Ten]]="", "",RIGHT(Ramen_Ratings[[#This Row],[Top Ten]],LEN(Ramen_Ratings[[#This Row],[Top Ten]])-6))</f>
        <v/>
      </c>
    </row>
    <row r="1168" spans="1:11" x14ac:dyDescent="0.25">
      <c r="A1168">
        <v>313</v>
      </c>
      <c r="B1168" t="s">
        <v>54</v>
      </c>
      <c r="C1168" t="s">
        <v>2570</v>
      </c>
      <c r="D1168" t="s">
        <v>30</v>
      </c>
      <c r="E1168" t="s">
        <v>25</v>
      </c>
      <c r="F1168" t="str">
        <f>VLOOKUP(Ramen_Ratings[[#This Row],[Country]],Country_Region[#All],2,FALSE)</f>
        <v>Asia</v>
      </c>
      <c r="G1168">
        <v>4.25</v>
      </c>
      <c r="H1168" t="str" cm="1">
        <f t="array" ref="H1168">_xlfn.IFS(Ramen_Ratings[[#This Row],[Stars]] = "Unrated", "NA",Ramen_Ratings[[#This Row],[Stars]]&gt;=4, "Good", Ramen_Ratings[[#This Row],[Stars]]&gt;2.5, "Fair", Ramen_Ratings[[#This Row],[Stars]] &gt;= 0, "Bad")</f>
        <v>Good</v>
      </c>
      <c r="J1168" t="str">
        <f>LEFT(Ramen_Ratings[[#This Row],[Top Ten]],4)</f>
        <v/>
      </c>
      <c r="K1168" t="str">
        <f>IF(Ramen_Ratings[[#This Row],[Top Ten]]="", "",RIGHT(Ramen_Ratings[[#This Row],[Top Ten]],LEN(Ramen_Ratings[[#This Row],[Top Ten]])-6))</f>
        <v/>
      </c>
    </row>
    <row r="1169" spans="1:11" x14ac:dyDescent="0.25">
      <c r="A1169">
        <v>309</v>
      </c>
      <c r="B1169" t="s">
        <v>54</v>
      </c>
      <c r="C1169" t="s">
        <v>2574</v>
      </c>
      <c r="D1169" t="s">
        <v>30</v>
      </c>
      <c r="E1169" t="s">
        <v>25</v>
      </c>
      <c r="F1169" t="str">
        <f>VLOOKUP(Ramen_Ratings[[#This Row],[Country]],Country_Region[#All],2,FALSE)</f>
        <v>Asia</v>
      </c>
      <c r="G1169">
        <v>3.75</v>
      </c>
      <c r="H1169" t="str" cm="1">
        <f t="array" ref="H1169">_xlfn.IFS(Ramen_Ratings[[#This Row],[Stars]] = "Unrated", "NA",Ramen_Ratings[[#This Row],[Stars]]&gt;=4, "Good", Ramen_Ratings[[#This Row],[Stars]]&gt;2.5, "Fair", Ramen_Ratings[[#This Row],[Stars]] &gt;= 0, "Bad")</f>
        <v>Fair</v>
      </c>
      <c r="J1169" t="str">
        <f>LEFT(Ramen_Ratings[[#This Row],[Top Ten]],4)</f>
        <v/>
      </c>
      <c r="K1169" t="str">
        <f>IF(Ramen_Ratings[[#This Row],[Top Ten]]="", "",RIGHT(Ramen_Ratings[[#This Row],[Top Ten]],LEN(Ramen_Ratings[[#This Row],[Top Ten]])-6))</f>
        <v/>
      </c>
    </row>
    <row r="1170" spans="1:11" x14ac:dyDescent="0.25">
      <c r="A1170">
        <v>306</v>
      </c>
      <c r="B1170" t="s">
        <v>2503</v>
      </c>
      <c r="C1170" t="s">
        <v>467</v>
      </c>
      <c r="D1170" t="s">
        <v>30</v>
      </c>
      <c r="E1170" t="s">
        <v>25</v>
      </c>
      <c r="F1170" t="str">
        <f>VLOOKUP(Ramen_Ratings[[#This Row],[Country]],Country_Region[#All],2,FALSE)</f>
        <v>Asia</v>
      </c>
      <c r="G1170">
        <v>3.75</v>
      </c>
      <c r="H1170" t="str" cm="1">
        <f t="array" ref="H1170">_xlfn.IFS(Ramen_Ratings[[#This Row],[Stars]] = "Unrated", "NA",Ramen_Ratings[[#This Row],[Stars]]&gt;=4, "Good", Ramen_Ratings[[#This Row],[Stars]]&gt;2.5, "Fair", Ramen_Ratings[[#This Row],[Stars]] &gt;= 0, "Bad")</f>
        <v>Fair</v>
      </c>
      <c r="J1170" t="str">
        <f>LEFT(Ramen_Ratings[[#This Row],[Top Ten]],4)</f>
        <v/>
      </c>
      <c r="K1170" t="str">
        <f>IF(Ramen_Ratings[[#This Row],[Top Ten]]="", "",RIGHT(Ramen_Ratings[[#This Row],[Top Ten]],LEN(Ramen_Ratings[[#This Row],[Top Ten]])-6))</f>
        <v/>
      </c>
    </row>
    <row r="1171" spans="1:11" x14ac:dyDescent="0.25">
      <c r="A1171">
        <v>303</v>
      </c>
      <c r="B1171" t="s">
        <v>54</v>
      </c>
      <c r="C1171" t="s">
        <v>2578</v>
      </c>
      <c r="D1171" t="s">
        <v>30</v>
      </c>
      <c r="E1171" t="s">
        <v>25</v>
      </c>
      <c r="F1171" t="str">
        <f>VLOOKUP(Ramen_Ratings[[#This Row],[Country]],Country_Region[#All],2,FALSE)</f>
        <v>Asia</v>
      </c>
      <c r="G1171">
        <v>3.25</v>
      </c>
      <c r="H1171" t="str" cm="1">
        <f t="array" ref="H1171">_xlfn.IFS(Ramen_Ratings[[#This Row],[Stars]] = "Unrated", "NA",Ramen_Ratings[[#This Row],[Stars]]&gt;=4, "Good", Ramen_Ratings[[#This Row],[Stars]]&gt;2.5, "Fair", Ramen_Ratings[[#This Row],[Stars]] &gt;= 0, "Bad")</f>
        <v>Fair</v>
      </c>
      <c r="J1171" t="str">
        <f>LEFT(Ramen_Ratings[[#This Row],[Top Ten]],4)</f>
        <v/>
      </c>
      <c r="K1171" t="str">
        <f>IF(Ramen_Ratings[[#This Row],[Top Ten]]="", "",RIGHT(Ramen_Ratings[[#This Row],[Top Ten]],LEN(Ramen_Ratings[[#This Row],[Top Ten]])-6))</f>
        <v/>
      </c>
    </row>
    <row r="1172" spans="1:11" x14ac:dyDescent="0.25">
      <c r="A1172">
        <v>302</v>
      </c>
      <c r="B1172" t="s">
        <v>2198</v>
      </c>
      <c r="C1172" t="s">
        <v>2579</v>
      </c>
      <c r="D1172" t="s">
        <v>44</v>
      </c>
      <c r="E1172" t="s">
        <v>25</v>
      </c>
      <c r="F1172" t="str">
        <f>VLOOKUP(Ramen_Ratings[[#This Row],[Country]],Country_Region[#All],2,FALSE)</f>
        <v>Asia</v>
      </c>
      <c r="G1172">
        <v>3.75</v>
      </c>
      <c r="H1172" t="str" cm="1">
        <f t="array" ref="H1172">_xlfn.IFS(Ramen_Ratings[[#This Row],[Stars]] = "Unrated", "NA",Ramen_Ratings[[#This Row],[Stars]]&gt;=4, "Good", Ramen_Ratings[[#This Row],[Stars]]&gt;2.5, "Fair", Ramen_Ratings[[#This Row],[Stars]] &gt;= 0, "Bad")</f>
        <v>Fair</v>
      </c>
      <c r="J1172" t="str">
        <f>LEFT(Ramen_Ratings[[#This Row],[Top Ten]],4)</f>
        <v/>
      </c>
      <c r="K1172" t="str">
        <f>IF(Ramen_Ratings[[#This Row],[Top Ten]]="", "",RIGHT(Ramen_Ratings[[#This Row],[Top Ten]],LEN(Ramen_Ratings[[#This Row],[Top Ten]])-6))</f>
        <v/>
      </c>
    </row>
    <row r="1173" spans="1:11" x14ac:dyDescent="0.25">
      <c r="A1173">
        <v>298</v>
      </c>
      <c r="B1173" t="s">
        <v>41</v>
      </c>
      <c r="C1173" t="s">
        <v>2583</v>
      </c>
      <c r="D1173" t="s">
        <v>13</v>
      </c>
      <c r="E1173" t="s">
        <v>25</v>
      </c>
      <c r="F1173" t="str">
        <f>VLOOKUP(Ramen_Ratings[[#This Row],[Country]],Country_Region[#All],2,FALSE)</f>
        <v>Asia</v>
      </c>
      <c r="G1173">
        <v>2.75</v>
      </c>
      <c r="H1173" t="str" cm="1">
        <f t="array" ref="H1173">_xlfn.IFS(Ramen_Ratings[[#This Row],[Stars]] = "Unrated", "NA",Ramen_Ratings[[#This Row],[Stars]]&gt;=4, "Good", Ramen_Ratings[[#This Row],[Stars]]&gt;2.5, "Fair", Ramen_Ratings[[#This Row],[Stars]] &gt;= 0, "Bad")</f>
        <v>Fair</v>
      </c>
      <c r="J1173" t="str">
        <f>LEFT(Ramen_Ratings[[#This Row],[Top Ten]],4)</f>
        <v/>
      </c>
      <c r="K1173" t="str">
        <f>IF(Ramen_Ratings[[#This Row],[Top Ten]]="", "",RIGHT(Ramen_Ratings[[#This Row],[Top Ten]],LEN(Ramen_Ratings[[#This Row],[Top Ten]])-6))</f>
        <v/>
      </c>
    </row>
    <row r="1174" spans="1:11" x14ac:dyDescent="0.25">
      <c r="A1174">
        <v>297</v>
      </c>
      <c r="B1174" t="s">
        <v>2503</v>
      </c>
      <c r="C1174" t="s">
        <v>2584</v>
      </c>
      <c r="D1174" t="s">
        <v>30</v>
      </c>
      <c r="E1174" t="s">
        <v>25</v>
      </c>
      <c r="F1174" t="str">
        <f>VLOOKUP(Ramen_Ratings[[#This Row],[Country]],Country_Region[#All],2,FALSE)</f>
        <v>Asia</v>
      </c>
      <c r="G1174">
        <v>3.25</v>
      </c>
      <c r="H1174" t="str" cm="1">
        <f t="array" ref="H1174">_xlfn.IFS(Ramen_Ratings[[#This Row],[Stars]] = "Unrated", "NA",Ramen_Ratings[[#This Row],[Stars]]&gt;=4, "Good", Ramen_Ratings[[#This Row],[Stars]]&gt;2.5, "Fair", Ramen_Ratings[[#This Row],[Stars]] &gt;= 0, "Bad")</f>
        <v>Fair</v>
      </c>
      <c r="J1174" t="str">
        <f>LEFT(Ramen_Ratings[[#This Row],[Top Ten]],4)</f>
        <v/>
      </c>
      <c r="K1174" t="str">
        <f>IF(Ramen_Ratings[[#This Row],[Top Ten]]="", "",RIGHT(Ramen_Ratings[[#This Row],[Top Ten]],LEN(Ramen_Ratings[[#This Row],[Top Ten]])-6))</f>
        <v/>
      </c>
    </row>
    <row r="1175" spans="1:11" x14ac:dyDescent="0.25">
      <c r="A1175">
        <v>294</v>
      </c>
      <c r="B1175" t="s">
        <v>54</v>
      </c>
      <c r="C1175" t="s">
        <v>2587</v>
      </c>
      <c r="D1175" t="s">
        <v>13</v>
      </c>
      <c r="E1175" t="s">
        <v>25</v>
      </c>
      <c r="F1175" t="str">
        <f>VLOOKUP(Ramen_Ratings[[#This Row],[Country]],Country_Region[#All],2,FALSE)</f>
        <v>Asia</v>
      </c>
      <c r="G1175">
        <v>3.75</v>
      </c>
      <c r="H1175" t="str" cm="1">
        <f t="array" ref="H1175">_xlfn.IFS(Ramen_Ratings[[#This Row],[Stars]] = "Unrated", "NA",Ramen_Ratings[[#This Row],[Stars]]&gt;=4, "Good", Ramen_Ratings[[#This Row],[Stars]]&gt;2.5, "Fair", Ramen_Ratings[[#This Row],[Stars]] &gt;= 0, "Bad")</f>
        <v>Fair</v>
      </c>
      <c r="J1175" t="str">
        <f>LEFT(Ramen_Ratings[[#This Row],[Top Ten]],4)</f>
        <v/>
      </c>
      <c r="K1175" t="str">
        <f>IF(Ramen_Ratings[[#This Row],[Top Ten]]="", "",RIGHT(Ramen_Ratings[[#This Row],[Top Ten]],LEN(Ramen_Ratings[[#This Row],[Top Ten]])-6))</f>
        <v/>
      </c>
    </row>
    <row r="1176" spans="1:11" x14ac:dyDescent="0.25">
      <c r="A1176">
        <v>292</v>
      </c>
      <c r="B1176" t="s">
        <v>54</v>
      </c>
      <c r="C1176" t="s">
        <v>2590</v>
      </c>
      <c r="D1176" t="s">
        <v>13</v>
      </c>
      <c r="E1176" t="s">
        <v>25</v>
      </c>
      <c r="F1176" t="str">
        <f>VLOOKUP(Ramen_Ratings[[#This Row],[Country]],Country_Region[#All],2,FALSE)</f>
        <v>Asia</v>
      </c>
      <c r="G1176">
        <v>3.75</v>
      </c>
      <c r="H1176" t="str" cm="1">
        <f t="array" ref="H1176">_xlfn.IFS(Ramen_Ratings[[#This Row],[Stars]] = "Unrated", "NA",Ramen_Ratings[[#This Row],[Stars]]&gt;=4, "Good", Ramen_Ratings[[#This Row],[Stars]]&gt;2.5, "Fair", Ramen_Ratings[[#This Row],[Stars]] &gt;= 0, "Bad")</f>
        <v>Fair</v>
      </c>
      <c r="J1176" t="str">
        <f>LEFT(Ramen_Ratings[[#This Row],[Top Ten]],4)</f>
        <v/>
      </c>
      <c r="K1176" t="str">
        <f>IF(Ramen_Ratings[[#This Row],[Top Ten]]="", "",RIGHT(Ramen_Ratings[[#This Row],[Top Ten]],LEN(Ramen_Ratings[[#This Row],[Top Ten]])-6))</f>
        <v/>
      </c>
    </row>
    <row r="1177" spans="1:11" x14ac:dyDescent="0.25">
      <c r="A1177">
        <v>291</v>
      </c>
      <c r="B1177" t="s">
        <v>41</v>
      </c>
      <c r="C1177" t="s">
        <v>2591</v>
      </c>
      <c r="D1177" t="s">
        <v>44</v>
      </c>
      <c r="E1177" t="s">
        <v>25</v>
      </c>
      <c r="F1177" t="str">
        <f>VLOOKUP(Ramen_Ratings[[#This Row],[Country]],Country_Region[#All],2,FALSE)</f>
        <v>Asia</v>
      </c>
      <c r="G1177">
        <v>3</v>
      </c>
      <c r="H1177" t="str" cm="1">
        <f t="array" ref="H1177">_xlfn.IFS(Ramen_Ratings[[#This Row],[Stars]] = "Unrated", "NA",Ramen_Ratings[[#This Row],[Stars]]&gt;=4, "Good", Ramen_Ratings[[#This Row],[Stars]]&gt;2.5, "Fair", Ramen_Ratings[[#This Row],[Stars]] &gt;= 0, "Bad")</f>
        <v>Fair</v>
      </c>
      <c r="J1177" t="str">
        <f>LEFT(Ramen_Ratings[[#This Row],[Top Ten]],4)</f>
        <v/>
      </c>
      <c r="K1177" t="str">
        <f>IF(Ramen_Ratings[[#This Row],[Top Ten]]="", "",RIGHT(Ramen_Ratings[[#This Row],[Top Ten]],LEN(Ramen_Ratings[[#This Row],[Top Ten]])-6))</f>
        <v/>
      </c>
    </row>
    <row r="1178" spans="1:11" x14ac:dyDescent="0.25">
      <c r="A1178">
        <v>289</v>
      </c>
      <c r="B1178" t="s">
        <v>54</v>
      </c>
      <c r="C1178" t="s">
        <v>2593</v>
      </c>
      <c r="D1178" t="s">
        <v>13</v>
      </c>
      <c r="E1178" t="s">
        <v>25</v>
      </c>
      <c r="F1178" t="str">
        <f>VLOOKUP(Ramen_Ratings[[#This Row],[Country]],Country_Region[#All],2,FALSE)</f>
        <v>Asia</v>
      </c>
      <c r="G1178">
        <v>2</v>
      </c>
      <c r="H1178" t="str" cm="1">
        <f t="array" ref="H1178">_xlfn.IFS(Ramen_Ratings[[#This Row],[Stars]] = "Unrated", "NA",Ramen_Ratings[[#This Row],[Stars]]&gt;=4, "Good", Ramen_Ratings[[#This Row],[Stars]]&gt;2.5, "Fair", Ramen_Ratings[[#This Row],[Stars]] &gt;= 0, "Bad")</f>
        <v>Bad</v>
      </c>
      <c r="J1178" t="str">
        <f>LEFT(Ramen_Ratings[[#This Row],[Top Ten]],4)</f>
        <v/>
      </c>
      <c r="K1178" t="str">
        <f>IF(Ramen_Ratings[[#This Row],[Top Ten]]="", "",RIGHT(Ramen_Ratings[[#This Row],[Top Ten]],LEN(Ramen_Ratings[[#This Row],[Top Ten]])-6))</f>
        <v/>
      </c>
    </row>
    <row r="1179" spans="1:11" x14ac:dyDescent="0.25">
      <c r="A1179">
        <v>288</v>
      </c>
      <c r="B1179" t="s">
        <v>2176</v>
      </c>
      <c r="C1179" t="s">
        <v>2420</v>
      </c>
      <c r="D1179" t="s">
        <v>13</v>
      </c>
      <c r="E1179" t="s">
        <v>25</v>
      </c>
      <c r="F1179" t="str">
        <f>VLOOKUP(Ramen_Ratings[[#This Row],[Country]],Country_Region[#All],2,FALSE)</f>
        <v>Asia</v>
      </c>
      <c r="G1179">
        <v>3.25</v>
      </c>
      <c r="H1179" t="str" cm="1">
        <f t="array" ref="H1179">_xlfn.IFS(Ramen_Ratings[[#This Row],[Stars]] = "Unrated", "NA",Ramen_Ratings[[#This Row],[Stars]]&gt;=4, "Good", Ramen_Ratings[[#This Row],[Stars]]&gt;2.5, "Fair", Ramen_Ratings[[#This Row],[Stars]] &gt;= 0, "Bad")</f>
        <v>Fair</v>
      </c>
      <c r="J1179" t="str">
        <f>LEFT(Ramen_Ratings[[#This Row],[Top Ten]],4)</f>
        <v/>
      </c>
      <c r="K1179" t="str">
        <f>IF(Ramen_Ratings[[#This Row],[Top Ten]]="", "",RIGHT(Ramen_Ratings[[#This Row],[Top Ten]],LEN(Ramen_Ratings[[#This Row],[Top Ten]])-6))</f>
        <v/>
      </c>
    </row>
    <row r="1180" spans="1:11" x14ac:dyDescent="0.25">
      <c r="A1180">
        <v>287</v>
      </c>
      <c r="B1180" t="s">
        <v>54</v>
      </c>
      <c r="C1180" t="s">
        <v>2594</v>
      </c>
      <c r="D1180" t="s">
        <v>9</v>
      </c>
      <c r="E1180" t="s">
        <v>25</v>
      </c>
      <c r="F1180" t="str">
        <f>VLOOKUP(Ramen_Ratings[[#This Row],[Country]],Country_Region[#All],2,FALSE)</f>
        <v>Asia</v>
      </c>
      <c r="G1180">
        <v>3.75</v>
      </c>
      <c r="H1180" t="str" cm="1">
        <f t="array" ref="H1180">_xlfn.IFS(Ramen_Ratings[[#This Row],[Stars]] = "Unrated", "NA",Ramen_Ratings[[#This Row],[Stars]]&gt;=4, "Good", Ramen_Ratings[[#This Row],[Stars]]&gt;2.5, "Fair", Ramen_Ratings[[#This Row],[Stars]] &gt;= 0, "Bad")</f>
        <v>Fair</v>
      </c>
      <c r="J1180" t="str">
        <f>LEFT(Ramen_Ratings[[#This Row],[Top Ten]],4)</f>
        <v/>
      </c>
      <c r="K1180" t="str">
        <f>IF(Ramen_Ratings[[#This Row],[Top Ten]]="", "",RIGHT(Ramen_Ratings[[#This Row],[Top Ten]],LEN(Ramen_Ratings[[#This Row],[Top Ten]])-6))</f>
        <v/>
      </c>
    </row>
    <row r="1181" spans="1:11" x14ac:dyDescent="0.25">
      <c r="A1181">
        <v>283</v>
      </c>
      <c r="B1181" t="s">
        <v>54</v>
      </c>
      <c r="C1181" t="s">
        <v>2597</v>
      </c>
      <c r="D1181" t="s">
        <v>9</v>
      </c>
      <c r="E1181" t="s">
        <v>25</v>
      </c>
      <c r="F1181" t="str">
        <f>VLOOKUP(Ramen_Ratings[[#This Row],[Country]],Country_Region[#All],2,FALSE)</f>
        <v>Asia</v>
      </c>
      <c r="G1181">
        <v>4</v>
      </c>
      <c r="H1181" t="str" cm="1">
        <f t="array" ref="H1181">_xlfn.IFS(Ramen_Ratings[[#This Row],[Stars]] = "Unrated", "NA",Ramen_Ratings[[#This Row],[Stars]]&gt;=4, "Good", Ramen_Ratings[[#This Row],[Stars]]&gt;2.5, "Fair", Ramen_Ratings[[#This Row],[Stars]] &gt;= 0, "Bad")</f>
        <v>Good</v>
      </c>
      <c r="J1181" t="str">
        <f>LEFT(Ramen_Ratings[[#This Row],[Top Ten]],4)</f>
        <v/>
      </c>
      <c r="K1181" t="str">
        <f>IF(Ramen_Ratings[[#This Row],[Top Ten]]="", "",RIGHT(Ramen_Ratings[[#This Row],[Top Ten]],LEN(Ramen_Ratings[[#This Row],[Top Ten]])-6))</f>
        <v/>
      </c>
    </row>
    <row r="1182" spans="1:11" x14ac:dyDescent="0.25">
      <c r="A1182">
        <v>280</v>
      </c>
      <c r="B1182" t="s">
        <v>2503</v>
      </c>
      <c r="C1182" t="s">
        <v>2600</v>
      </c>
      <c r="D1182" t="s">
        <v>30</v>
      </c>
      <c r="E1182" t="s">
        <v>25</v>
      </c>
      <c r="F1182" t="str">
        <f>VLOOKUP(Ramen_Ratings[[#This Row],[Country]],Country_Region[#All],2,FALSE)</f>
        <v>Asia</v>
      </c>
      <c r="G1182">
        <v>4</v>
      </c>
      <c r="H1182" t="str" cm="1">
        <f t="array" ref="H1182">_xlfn.IFS(Ramen_Ratings[[#This Row],[Stars]] = "Unrated", "NA",Ramen_Ratings[[#This Row],[Stars]]&gt;=4, "Good", Ramen_Ratings[[#This Row],[Stars]]&gt;2.5, "Fair", Ramen_Ratings[[#This Row],[Stars]] &gt;= 0, "Bad")</f>
        <v>Good</v>
      </c>
      <c r="J1182" t="str">
        <f>LEFT(Ramen_Ratings[[#This Row],[Top Ten]],4)</f>
        <v/>
      </c>
      <c r="K1182" t="str">
        <f>IF(Ramen_Ratings[[#This Row],[Top Ten]]="", "",RIGHT(Ramen_Ratings[[#This Row],[Top Ten]],LEN(Ramen_Ratings[[#This Row],[Top Ten]])-6))</f>
        <v/>
      </c>
    </row>
    <row r="1183" spans="1:11" x14ac:dyDescent="0.25">
      <c r="A1183">
        <v>279</v>
      </c>
      <c r="B1183" t="s">
        <v>2503</v>
      </c>
      <c r="C1183" t="s">
        <v>2601</v>
      </c>
      <c r="D1183" t="s">
        <v>30</v>
      </c>
      <c r="E1183" t="s">
        <v>25</v>
      </c>
      <c r="F1183" t="str">
        <f>VLOOKUP(Ramen_Ratings[[#This Row],[Country]],Country_Region[#All],2,FALSE)</f>
        <v>Asia</v>
      </c>
      <c r="G1183">
        <v>3.75</v>
      </c>
      <c r="H1183" t="str" cm="1">
        <f t="array" ref="H1183">_xlfn.IFS(Ramen_Ratings[[#This Row],[Stars]] = "Unrated", "NA",Ramen_Ratings[[#This Row],[Stars]]&gt;=4, "Good", Ramen_Ratings[[#This Row],[Stars]]&gt;2.5, "Fair", Ramen_Ratings[[#This Row],[Stars]] &gt;= 0, "Bad")</f>
        <v>Fair</v>
      </c>
      <c r="J1183" t="str">
        <f>LEFT(Ramen_Ratings[[#This Row],[Top Ten]],4)</f>
        <v/>
      </c>
      <c r="K1183" t="str">
        <f>IF(Ramen_Ratings[[#This Row],[Top Ten]]="", "",RIGHT(Ramen_Ratings[[#This Row],[Top Ten]],LEN(Ramen_Ratings[[#This Row],[Top Ten]])-6))</f>
        <v/>
      </c>
    </row>
    <row r="1184" spans="1:11" x14ac:dyDescent="0.25">
      <c r="A1184">
        <v>271</v>
      </c>
      <c r="B1184" t="s">
        <v>54</v>
      </c>
      <c r="C1184" t="s">
        <v>2609</v>
      </c>
      <c r="D1184" t="s">
        <v>13</v>
      </c>
      <c r="E1184" t="s">
        <v>25</v>
      </c>
      <c r="F1184" t="str">
        <f>VLOOKUP(Ramen_Ratings[[#This Row],[Country]],Country_Region[#All],2,FALSE)</f>
        <v>Asia</v>
      </c>
      <c r="G1184">
        <v>3.5</v>
      </c>
      <c r="H1184" t="str" cm="1">
        <f t="array" ref="H1184">_xlfn.IFS(Ramen_Ratings[[#This Row],[Stars]] = "Unrated", "NA",Ramen_Ratings[[#This Row],[Stars]]&gt;=4, "Good", Ramen_Ratings[[#This Row],[Stars]]&gt;2.5, "Fair", Ramen_Ratings[[#This Row],[Stars]] &gt;= 0, "Bad")</f>
        <v>Fair</v>
      </c>
      <c r="J1184" t="str">
        <f>LEFT(Ramen_Ratings[[#This Row],[Top Ten]],4)</f>
        <v/>
      </c>
      <c r="K1184" t="str">
        <f>IF(Ramen_Ratings[[#This Row],[Top Ten]]="", "",RIGHT(Ramen_Ratings[[#This Row],[Top Ten]],LEN(Ramen_Ratings[[#This Row],[Top Ten]])-6))</f>
        <v/>
      </c>
    </row>
    <row r="1185" spans="1:11" x14ac:dyDescent="0.25">
      <c r="A1185">
        <v>269</v>
      </c>
      <c r="B1185" t="s">
        <v>54</v>
      </c>
      <c r="C1185" t="s">
        <v>2611</v>
      </c>
      <c r="D1185" t="s">
        <v>44</v>
      </c>
      <c r="E1185" t="s">
        <v>25</v>
      </c>
      <c r="F1185" t="str">
        <f>VLOOKUP(Ramen_Ratings[[#This Row],[Country]],Country_Region[#All],2,FALSE)</f>
        <v>Asia</v>
      </c>
      <c r="G1185">
        <v>3.5</v>
      </c>
      <c r="H1185" t="str" cm="1">
        <f t="array" ref="H1185">_xlfn.IFS(Ramen_Ratings[[#This Row],[Stars]] = "Unrated", "NA",Ramen_Ratings[[#This Row],[Stars]]&gt;=4, "Good", Ramen_Ratings[[#This Row],[Stars]]&gt;2.5, "Fair", Ramen_Ratings[[#This Row],[Stars]] &gt;= 0, "Bad")</f>
        <v>Fair</v>
      </c>
      <c r="J1185" t="str">
        <f>LEFT(Ramen_Ratings[[#This Row],[Top Ten]],4)</f>
        <v/>
      </c>
      <c r="K1185" t="str">
        <f>IF(Ramen_Ratings[[#This Row],[Top Ten]]="", "",RIGHT(Ramen_Ratings[[#This Row],[Top Ten]],LEN(Ramen_Ratings[[#This Row],[Top Ten]])-6))</f>
        <v/>
      </c>
    </row>
    <row r="1186" spans="1:11" x14ac:dyDescent="0.25">
      <c r="A1186">
        <v>245</v>
      </c>
      <c r="B1186" t="s">
        <v>2287</v>
      </c>
      <c r="C1186" t="s">
        <v>2634</v>
      </c>
      <c r="D1186" t="s">
        <v>13</v>
      </c>
      <c r="E1186" t="s">
        <v>25</v>
      </c>
      <c r="F1186" t="str">
        <f>VLOOKUP(Ramen_Ratings[[#This Row],[Country]],Country_Region[#All],2,FALSE)</f>
        <v>Asia</v>
      </c>
      <c r="G1186">
        <v>3.75</v>
      </c>
      <c r="H1186" t="str" cm="1">
        <f t="array" ref="H1186">_xlfn.IFS(Ramen_Ratings[[#This Row],[Stars]] = "Unrated", "NA",Ramen_Ratings[[#This Row],[Stars]]&gt;=4, "Good", Ramen_Ratings[[#This Row],[Stars]]&gt;2.5, "Fair", Ramen_Ratings[[#This Row],[Stars]] &gt;= 0, "Bad")</f>
        <v>Fair</v>
      </c>
      <c r="J1186" t="str">
        <f>LEFT(Ramen_Ratings[[#This Row],[Top Ten]],4)</f>
        <v/>
      </c>
      <c r="K1186" t="str">
        <f>IF(Ramen_Ratings[[#This Row],[Top Ten]]="", "",RIGHT(Ramen_Ratings[[#This Row],[Top Ten]],LEN(Ramen_Ratings[[#This Row],[Top Ten]])-6))</f>
        <v/>
      </c>
    </row>
    <row r="1187" spans="1:11" x14ac:dyDescent="0.25">
      <c r="A1187">
        <v>239</v>
      </c>
      <c r="B1187" t="s">
        <v>74</v>
      </c>
      <c r="C1187" t="s">
        <v>2641</v>
      </c>
      <c r="D1187" t="s">
        <v>13</v>
      </c>
      <c r="E1187" t="s">
        <v>25</v>
      </c>
      <c r="F1187" t="str">
        <f>VLOOKUP(Ramen_Ratings[[#This Row],[Country]],Country_Region[#All],2,FALSE)</f>
        <v>Asia</v>
      </c>
      <c r="G1187">
        <v>1.75</v>
      </c>
      <c r="H1187" t="str" cm="1">
        <f t="array" ref="H1187">_xlfn.IFS(Ramen_Ratings[[#This Row],[Stars]] = "Unrated", "NA",Ramen_Ratings[[#This Row],[Stars]]&gt;=4, "Good", Ramen_Ratings[[#This Row],[Stars]]&gt;2.5, "Fair", Ramen_Ratings[[#This Row],[Stars]] &gt;= 0, "Bad")</f>
        <v>Bad</v>
      </c>
      <c r="J1187" t="str">
        <f>LEFT(Ramen_Ratings[[#This Row],[Top Ten]],4)</f>
        <v/>
      </c>
      <c r="K1187" t="str">
        <f>IF(Ramen_Ratings[[#This Row],[Top Ten]]="", "",RIGHT(Ramen_Ratings[[#This Row],[Top Ten]],LEN(Ramen_Ratings[[#This Row],[Top Ten]])-6))</f>
        <v/>
      </c>
    </row>
    <row r="1188" spans="1:11" x14ac:dyDescent="0.25">
      <c r="A1188">
        <v>225</v>
      </c>
      <c r="B1188" t="s">
        <v>74</v>
      </c>
      <c r="C1188" t="s">
        <v>2476</v>
      </c>
      <c r="D1188" t="s">
        <v>13</v>
      </c>
      <c r="E1188" t="s">
        <v>25</v>
      </c>
      <c r="F1188" t="str">
        <f>VLOOKUP(Ramen_Ratings[[#This Row],[Country]],Country_Region[#All],2,FALSE)</f>
        <v>Asia</v>
      </c>
      <c r="G1188">
        <v>3.75</v>
      </c>
      <c r="H1188" t="str" cm="1">
        <f t="array" ref="H1188">_xlfn.IFS(Ramen_Ratings[[#This Row],[Stars]] = "Unrated", "NA",Ramen_Ratings[[#This Row],[Stars]]&gt;=4, "Good", Ramen_Ratings[[#This Row],[Stars]]&gt;2.5, "Fair", Ramen_Ratings[[#This Row],[Stars]] &gt;= 0, "Bad")</f>
        <v>Fair</v>
      </c>
      <c r="J1188" t="str">
        <f>LEFT(Ramen_Ratings[[#This Row],[Top Ten]],4)</f>
        <v/>
      </c>
      <c r="K1188" t="str">
        <f>IF(Ramen_Ratings[[#This Row],[Top Ten]]="", "",RIGHT(Ramen_Ratings[[#This Row],[Top Ten]],LEN(Ramen_Ratings[[#This Row],[Top Ten]])-6))</f>
        <v/>
      </c>
    </row>
    <row r="1189" spans="1:11" x14ac:dyDescent="0.25">
      <c r="A1189">
        <v>219</v>
      </c>
      <c r="B1189" t="s">
        <v>2287</v>
      </c>
      <c r="C1189" t="s">
        <v>2657</v>
      </c>
      <c r="D1189" t="s">
        <v>13</v>
      </c>
      <c r="E1189" t="s">
        <v>25</v>
      </c>
      <c r="F1189" t="str">
        <f>VLOOKUP(Ramen_Ratings[[#This Row],[Country]],Country_Region[#All],2,FALSE)</f>
        <v>Asia</v>
      </c>
      <c r="G1189">
        <v>2.75</v>
      </c>
      <c r="H1189" t="str" cm="1">
        <f t="array" ref="H1189">_xlfn.IFS(Ramen_Ratings[[#This Row],[Stars]] = "Unrated", "NA",Ramen_Ratings[[#This Row],[Stars]]&gt;=4, "Good", Ramen_Ratings[[#This Row],[Stars]]&gt;2.5, "Fair", Ramen_Ratings[[#This Row],[Stars]] &gt;= 0, "Bad")</f>
        <v>Fair</v>
      </c>
      <c r="J1189" t="str">
        <f>LEFT(Ramen_Ratings[[#This Row],[Top Ten]],4)</f>
        <v/>
      </c>
      <c r="K1189" t="str">
        <f>IF(Ramen_Ratings[[#This Row],[Top Ten]]="", "",RIGHT(Ramen_Ratings[[#This Row],[Top Ten]],LEN(Ramen_Ratings[[#This Row],[Top Ten]])-6))</f>
        <v/>
      </c>
    </row>
    <row r="1190" spans="1:11" x14ac:dyDescent="0.25">
      <c r="A1190">
        <v>217</v>
      </c>
      <c r="B1190" t="s">
        <v>2198</v>
      </c>
      <c r="C1190" t="s">
        <v>2537</v>
      </c>
      <c r="D1190" t="s">
        <v>44</v>
      </c>
      <c r="E1190" t="s">
        <v>25</v>
      </c>
      <c r="F1190" t="str">
        <f>VLOOKUP(Ramen_Ratings[[#This Row],[Country]],Country_Region[#All],2,FALSE)</f>
        <v>Asia</v>
      </c>
      <c r="G1190">
        <v>4</v>
      </c>
      <c r="H1190" t="str" cm="1">
        <f t="array" ref="H1190">_xlfn.IFS(Ramen_Ratings[[#This Row],[Stars]] = "Unrated", "NA",Ramen_Ratings[[#This Row],[Stars]]&gt;=4, "Good", Ramen_Ratings[[#This Row],[Stars]]&gt;2.5, "Fair", Ramen_Ratings[[#This Row],[Stars]] &gt;= 0, "Bad")</f>
        <v>Good</v>
      </c>
      <c r="J1190" t="str">
        <f>LEFT(Ramen_Ratings[[#This Row],[Top Ten]],4)</f>
        <v/>
      </c>
      <c r="K1190" t="str">
        <f>IF(Ramen_Ratings[[#This Row],[Top Ten]]="", "",RIGHT(Ramen_Ratings[[#This Row],[Top Ten]],LEN(Ramen_Ratings[[#This Row],[Top Ten]])-6))</f>
        <v/>
      </c>
    </row>
    <row r="1191" spans="1:11" x14ac:dyDescent="0.25">
      <c r="A1191">
        <v>206</v>
      </c>
      <c r="B1191" t="s">
        <v>2514</v>
      </c>
      <c r="C1191" t="s">
        <v>2669</v>
      </c>
      <c r="D1191" t="s">
        <v>44</v>
      </c>
      <c r="E1191" t="s">
        <v>25</v>
      </c>
      <c r="F1191" t="str">
        <f>VLOOKUP(Ramen_Ratings[[#This Row],[Country]],Country_Region[#All],2,FALSE)</f>
        <v>Asia</v>
      </c>
      <c r="G1191">
        <v>3</v>
      </c>
      <c r="H1191" t="str" cm="1">
        <f t="array" ref="H1191">_xlfn.IFS(Ramen_Ratings[[#This Row],[Stars]] = "Unrated", "NA",Ramen_Ratings[[#This Row],[Stars]]&gt;=4, "Good", Ramen_Ratings[[#This Row],[Stars]]&gt;2.5, "Fair", Ramen_Ratings[[#This Row],[Stars]] &gt;= 0, "Bad")</f>
        <v>Fair</v>
      </c>
      <c r="J1191" t="str">
        <f>LEFT(Ramen_Ratings[[#This Row],[Top Ten]],4)</f>
        <v/>
      </c>
      <c r="K1191" t="str">
        <f>IF(Ramen_Ratings[[#This Row],[Top Ten]]="", "",RIGHT(Ramen_Ratings[[#This Row],[Top Ten]],LEN(Ramen_Ratings[[#This Row],[Top Ten]])-6))</f>
        <v/>
      </c>
    </row>
    <row r="1192" spans="1:11" x14ac:dyDescent="0.25">
      <c r="A1192">
        <v>199</v>
      </c>
      <c r="B1192" t="s">
        <v>2198</v>
      </c>
      <c r="C1192" t="s">
        <v>2676</v>
      </c>
      <c r="D1192" t="s">
        <v>13</v>
      </c>
      <c r="E1192" t="s">
        <v>25</v>
      </c>
      <c r="F1192" t="str">
        <f>VLOOKUP(Ramen_Ratings[[#This Row],[Country]],Country_Region[#All],2,FALSE)</f>
        <v>Asia</v>
      </c>
      <c r="G1192">
        <v>2</v>
      </c>
      <c r="H1192" t="str" cm="1">
        <f t="array" ref="H1192">_xlfn.IFS(Ramen_Ratings[[#This Row],[Stars]] = "Unrated", "NA",Ramen_Ratings[[#This Row],[Stars]]&gt;=4, "Good", Ramen_Ratings[[#This Row],[Stars]]&gt;2.5, "Fair", Ramen_Ratings[[#This Row],[Stars]] &gt;= 0, "Bad")</f>
        <v>Bad</v>
      </c>
      <c r="J1192" t="str">
        <f>LEFT(Ramen_Ratings[[#This Row],[Top Ten]],4)</f>
        <v/>
      </c>
      <c r="K1192" t="str">
        <f>IF(Ramen_Ratings[[#This Row],[Top Ten]]="", "",RIGHT(Ramen_Ratings[[#This Row],[Top Ten]],LEN(Ramen_Ratings[[#This Row],[Top Ten]])-6))</f>
        <v/>
      </c>
    </row>
    <row r="1193" spans="1:11" x14ac:dyDescent="0.25">
      <c r="A1193">
        <v>197</v>
      </c>
      <c r="B1193" t="s">
        <v>2503</v>
      </c>
      <c r="C1193" t="s">
        <v>2678</v>
      </c>
      <c r="D1193" t="s">
        <v>30</v>
      </c>
      <c r="E1193" t="s">
        <v>25</v>
      </c>
      <c r="F1193" t="str">
        <f>VLOOKUP(Ramen_Ratings[[#This Row],[Country]],Country_Region[#All],2,FALSE)</f>
        <v>Asia</v>
      </c>
      <c r="G1193">
        <v>2.25</v>
      </c>
      <c r="H1193" t="str" cm="1">
        <f t="array" ref="H1193">_xlfn.IFS(Ramen_Ratings[[#This Row],[Stars]] = "Unrated", "NA",Ramen_Ratings[[#This Row],[Stars]]&gt;=4, "Good", Ramen_Ratings[[#This Row],[Stars]]&gt;2.5, "Fair", Ramen_Ratings[[#This Row],[Stars]] &gt;= 0, "Bad")</f>
        <v>Bad</v>
      </c>
      <c r="J1193" t="str">
        <f>LEFT(Ramen_Ratings[[#This Row],[Top Ten]],4)</f>
        <v/>
      </c>
      <c r="K1193" t="str">
        <f>IF(Ramen_Ratings[[#This Row],[Top Ten]]="", "",RIGHT(Ramen_Ratings[[#This Row],[Top Ten]],LEN(Ramen_Ratings[[#This Row],[Top Ten]])-6))</f>
        <v/>
      </c>
    </row>
    <row r="1194" spans="1:11" x14ac:dyDescent="0.25">
      <c r="A1194">
        <v>192</v>
      </c>
      <c r="B1194" t="s">
        <v>54</v>
      </c>
      <c r="C1194" t="s">
        <v>2683</v>
      </c>
      <c r="D1194" t="s">
        <v>13</v>
      </c>
      <c r="E1194" t="s">
        <v>25</v>
      </c>
      <c r="F1194" t="str">
        <f>VLOOKUP(Ramen_Ratings[[#This Row],[Country]],Country_Region[#All],2,FALSE)</f>
        <v>Asia</v>
      </c>
      <c r="G1194">
        <v>4.25</v>
      </c>
      <c r="H1194" t="str" cm="1">
        <f t="array" ref="H1194">_xlfn.IFS(Ramen_Ratings[[#This Row],[Stars]] = "Unrated", "NA",Ramen_Ratings[[#This Row],[Stars]]&gt;=4, "Good", Ramen_Ratings[[#This Row],[Stars]]&gt;2.5, "Fair", Ramen_Ratings[[#This Row],[Stars]] &gt;= 0, "Bad")</f>
        <v>Good</v>
      </c>
      <c r="J1194" t="str">
        <f>LEFT(Ramen_Ratings[[#This Row],[Top Ten]],4)</f>
        <v/>
      </c>
      <c r="K1194" t="str">
        <f>IF(Ramen_Ratings[[#This Row],[Top Ten]]="", "",RIGHT(Ramen_Ratings[[#This Row],[Top Ten]],LEN(Ramen_Ratings[[#This Row],[Top Ten]])-6))</f>
        <v/>
      </c>
    </row>
    <row r="1195" spans="1:11" x14ac:dyDescent="0.25">
      <c r="A1195">
        <v>188</v>
      </c>
      <c r="B1195" t="s">
        <v>41</v>
      </c>
      <c r="C1195" t="s">
        <v>2687</v>
      </c>
      <c r="D1195" t="s">
        <v>13</v>
      </c>
      <c r="E1195" t="s">
        <v>25</v>
      </c>
      <c r="F1195" t="str">
        <f>VLOOKUP(Ramen_Ratings[[#This Row],[Country]],Country_Region[#All],2,FALSE)</f>
        <v>Asia</v>
      </c>
      <c r="G1195">
        <v>4</v>
      </c>
      <c r="H1195" t="str" cm="1">
        <f t="array" ref="H1195">_xlfn.IFS(Ramen_Ratings[[#This Row],[Stars]] = "Unrated", "NA",Ramen_Ratings[[#This Row],[Stars]]&gt;=4, "Good", Ramen_Ratings[[#This Row],[Stars]]&gt;2.5, "Fair", Ramen_Ratings[[#This Row],[Stars]] &gt;= 0, "Bad")</f>
        <v>Good</v>
      </c>
      <c r="J1195" t="str">
        <f>LEFT(Ramen_Ratings[[#This Row],[Top Ten]],4)</f>
        <v/>
      </c>
      <c r="K1195" t="str">
        <f>IF(Ramen_Ratings[[#This Row],[Top Ten]]="", "",RIGHT(Ramen_Ratings[[#This Row],[Top Ten]],LEN(Ramen_Ratings[[#This Row],[Top Ten]])-6))</f>
        <v/>
      </c>
    </row>
    <row r="1196" spans="1:11" x14ac:dyDescent="0.25">
      <c r="A1196">
        <v>187</v>
      </c>
      <c r="B1196" t="s">
        <v>54</v>
      </c>
      <c r="C1196" t="s">
        <v>2688</v>
      </c>
      <c r="D1196" t="s">
        <v>13</v>
      </c>
      <c r="E1196" t="s">
        <v>25</v>
      </c>
      <c r="F1196" t="str">
        <f>VLOOKUP(Ramen_Ratings[[#This Row],[Country]],Country_Region[#All],2,FALSE)</f>
        <v>Asia</v>
      </c>
      <c r="G1196">
        <v>4</v>
      </c>
      <c r="H1196" t="str" cm="1">
        <f t="array" ref="H1196">_xlfn.IFS(Ramen_Ratings[[#This Row],[Stars]] = "Unrated", "NA",Ramen_Ratings[[#This Row],[Stars]]&gt;=4, "Good", Ramen_Ratings[[#This Row],[Stars]]&gt;2.5, "Fair", Ramen_Ratings[[#This Row],[Stars]] &gt;= 0, "Bad")</f>
        <v>Good</v>
      </c>
      <c r="J1196" t="str">
        <f>LEFT(Ramen_Ratings[[#This Row],[Top Ten]],4)</f>
        <v/>
      </c>
      <c r="K1196" t="str">
        <f>IF(Ramen_Ratings[[#This Row],[Top Ten]]="", "",RIGHT(Ramen_Ratings[[#This Row],[Top Ten]],LEN(Ramen_Ratings[[#This Row],[Top Ten]])-6))</f>
        <v/>
      </c>
    </row>
    <row r="1197" spans="1:11" x14ac:dyDescent="0.25">
      <c r="A1197">
        <v>186</v>
      </c>
      <c r="B1197" t="s">
        <v>54</v>
      </c>
      <c r="C1197" t="s">
        <v>2689</v>
      </c>
      <c r="D1197" t="s">
        <v>13</v>
      </c>
      <c r="E1197" t="s">
        <v>25</v>
      </c>
      <c r="F1197" t="str">
        <f>VLOOKUP(Ramen_Ratings[[#This Row],[Country]],Country_Region[#All],2,FALSE)</f>
        <v>Asia</v>
      </c>
      <c r="G1197">
        <v>3.5</v>
      </c>
      <c r="H1197" t="str" cm="1">
        <f t="array" ref="H1197">_xlfn.IFS(Ramen_Ratings[[#This Row],[Stars]] = "Unrated", "NA",Ramen_Ratings[[#This Row],[Stars]]&gt;=4, "Good", Ramen_Ratings[[#This Row],[Stars]]&gt;2.5, "Fair", Ramen_Ratings[[#This Row],[Stars]] &gt;= 0, "Bad")</f>
        <v>Fair</v>
      </c>
      <c r="J1197" t="str">
        <f>LEFT(Ramen_Ratings[[#This Row],[Top Ten]],4)</f>
        <v/>
      </c>
      <c r="K1197" t="str">
        <f>IF(Ramen_Ratings[[#This Row],[Top Ten]]="", "",RIGHT(Ramen_Ratings[[#This Row],[Top Ten]],LEN(Ramen_Ratings[[#This Row],[Top Ten]])-6))</f>
        <v/>
      </c>
    </row>
    <row r="1198" spans="1:11" x14ac:dyDescent="0.25">
      <c r="A1198">
        <v>176</v>
      </c>
      <c r="B1198" t="s">
        <v>54</v>
      </c>
      <c r="C1198" t="s">
        <v>2698</v>
      </c>
      <c r="D1198" t="s">
        <v>30</v>
      </c>
      <c r="E1198" t="s">
        <v>25</v>
      </c>
      <c r="F1198" t="str">
        <f>VLOOKUP(Ramen_Ratings[[#This Row],[Country]],Country_Region[#All],2,FALSE)</f>
        <v>Asia</v>
      </c>
      <c r="G1198">
        <v>4.125</v>
      </c>
      <c r="H1198" t="str" cm="1">
        <f t="array" ref="H1198">_xlfn.IFS(Ramen_Ratings[[#This Row],[Stars]] = "Unrated", "NA",Ramen_Ratings[[#This Row],[Stars]]&gt;=4, "Good", Ramen_Ratings[[#This Row],[Stars]]&gt;2.5, "Fair", Ramen_Ratings[[#This Row],[Stars]] &gt;= 0, "Bad")</f>
        <v>Good</v>
      </c>
      <c r="J1198" t="str">
        <f>LEFT(Ramen_Ratings[[#This Row],[Top Ten]],4)</f>
        <v/>
      </c>
      <c r="K1198" t="str">
        <f>IF(Ramen_Ratings[[#This Row],[Top Ten]]="", "",RIGHT(Ramen_Ratings[[#This Row],[Top Ten]],LEN(Ramen_Ratings[[#This Row],[Top Ten]])-6))</f>
        <v/>
      </c>
    </row>
    <row r="1199" spans="1:11" x14ac:dyDescent="0.25">
      <c r="A1199">
        <v>175</v>
      </c>
      <c r="B1199" t="s">
        <v>2198</v>
      </c>
      <c r="C1199" t="s">
        <v>2699</v>
      </c>
      <c r="D1199" t="s">
        <v>13</v>
      </c>
      <c r="E1199" t="s">
        <v>25</v>
      </c>
      <c r="F1199" t="str">
        <f>VLOOKUP(Ramen_Ratings[[#This Row],[Country]],Country_Region[#All],2,FALSE)</f>
        <v>Asia</v>
      </c>
      <c r="G1199">
        <v>3</v>
      </c>
      <c r="H1199" t="str" cm="1">
        <f t="array" ref="H1199">_xlfn.IFS(Ramen_Ratings[[#This Row],[Stars]] = "Unrated", "NA",Ramen_Ratings[[#This Row],[Stars]]&gt;=4, "Good", Ramen_Ratings[[#This Row],[Stars]]&gt;2.5, "Fair", Ramen_Ratings[[#This Row],[Stars]] &gt;= 0, "Bad")</f>
        <v>Fair</v>
      </c>
      <c r="J1199" t="str">
        <f>LEFT(Ramen_Ratings[[#This Row],[Top Ten]],4)</f>
        <v/>
      </c>
      <c r="K1199" t="str">
        <f>IF(Ramen_Ratings[[#This Row],[Top Ten]]="", "",RIGHT(Ramen_Ratings[[#This Row],[Top Ten]],LEN(Ramen_Ratings[[#This Row],[Top Ten]])-6))</f>
        <v/>
      </c>
    </row>
    <row r="1200" spans="1:11" x14ac:dyDescent="0.25">
      <c r="A1200">
        <v>171</v>
      </c>
      <c r="B1200" t="s">
        <v>2198</v>
      </c>
      <c r="C1200" t="s">
        <v>2703</v>
      </c>
      <c r="D1200" t="s">
        <v>13</v>
      </c>
      <c r="E1200" t="s">
        <v>25</v>
      </c>
      <c r="F1200" t="str">
        <f>VLOOKUP(Ramen_Ratings[[#This Row],[Country]],Country_Region[#All],2,FALSE)</f>
        <v>Asia</v>
      </c>
      <c r="G1200">
        <v>3.75</v>
      </c>
      <c r="H1200" t="str" cm="1">
        <f t="array" ref="H1200">_xlfn.IFS(Ramen_Ratings[[#This Row],[Stars]] = "Unrated", "NA",Ramen_Ratings[[#This Row],[Stars]]&gt;=4, "Good", Ramen_Ratings[[#This Row],[Stars]]&gt;2.5, "Fair", Ramen_Ratings[[#This Row],[Stars]] &gt;= 0, "Bad")</f>
        <v>Fair</v>
      </c>
      <c r="J1200" t="str">
        <f>LEFT(Ramen_Ratings[[#This Row],[Top Ten]],4)</f>
        <v/>
      </c>
      <c r="K1200" t="str">
        <f>IF(Ramen_Ratings[[#This Row],[Top Ten]]="", "",RIGHT(Ramen_Ratings[[#This Row],[Top Ten]],LEN(Ramen_Ratings[[#This Row],[Top Ten]])-6))</f>
        <v/>
      </c>
    </row>
    <row r="1201" spans="1:11" x14ac:dyDescent="0.25">
      <c r="A1201">
        <v>169</v>
      </c>
      <c r="B1201" t="s">
        <v>2198</v>
      </c>
      <c r="C1201" t="s">
        <v>2705</v>
      </c>
      <c r="D1201" t="s">
        <v>13</v>
      </c>
      <c r="E1201" t="s">
        <v>25</v>
      </c>
      <c r="F1201" t="str">
        <f>VLOOKUP(Ramen_Ratings[[#This Row],[Country]],Country_Region[#All],2,FALSE)</f>
        <v>Asia</v>
      </c>
      <c r="G1201">
        <v>2.25</v>
      </c>
      <c r="H1201" t="str" cm="1">
        <f t="array" ref="H1201">_xlfn.IFS(Ramen_Ratings[[#This Row],[Stars]] = "Unrated", "NA",Ramen_Ratings[[#This Row],[Stars]]&gt;=4, "Good", Ramen_Ratings[[#This Row],[Stars]]&gt;2.5, "Fair", Ramen_Ratings[[#This Row],[Stars]] &gt;= 0, "Bad")</f>
        <v>Bad</v>
      </c>
      <c r="J1201" t="str">
        <f>LEFT(Ramen_Ratings[[#This Row],[Top Ten]],4)</f>
        <v/>
      </c>
      <c r="K1201" t="str">
        <f>IF(Ramen_Ratings[[#This Row],[Top Ten]]="", "",RIGHT(Ramen_Ratings[[#This Row],[Top Ten]],LEN(Ramen_Ratings[[#This Row],[Top Ten]])-6))</f>
        <v/>
      </c>
    </row>
    <row r="1202" spans="1:11" x14ac:dyDescent="0.25">
      <c r="A1202">
        <v>161</v>
      </c>
      <c r="B1202" t="s">
        <v>54</v>
      </c>
      <c r="C1202" t="s">
        <v>2712</v>
      </c>
      <c r="D1202" t="s">
        <v>13</v>
      </c>
      <c r="E1202" t="s">
        <v>25</v>
      </c>
      <c r="F1202" t="str">
        <f>VLOOKUP(Ramen_Ratings[[#This Row],[Country]],Country_Region[#All],2,FALSE)</f>
        <v>Asia</v>
      </c>
      <c r="G1202">
        <v>0</v>
      </c>
      <c r="H1202" t="str" cm="1">
        <f t="array" ref="H1202">_xlfn.IFS(Ramen_Ratings[[#This Row],[Stars]] = "Unrated", "NA",Ramen_Ratings[[#This Row],[Stars]]&gt;=4, "Good", Ramen_Ratings[[#This Row],[Stars]]&gt;2.5, "Fair", Ramen_Ratings[[#This Row],[Stars]] &gt;= 0, "Bad")</f>
        <v>Bad</v>
      </c>
      <c r="J1202" t="str">
        <f>LEFT(Ramen_Ratings[[#This Row],[Top Ten]],4)</f>
        <v/>
      </c>
      <c r="K1202" t="str">
        <f>IF(Ramen_Ratings[[#This Row],[Top Ten]]="", "",RIGHT(Ramen_Ratings[[#This Row],[Top Ten]],LEN(Ramen_Ratings[[#This Row],[Top Ten]])-6))</f>
        <v/>
      </c>
    </row>
    <row r="1203" spans="1:11" x14ac:dyDescent="0.25">
      <c r="A1203">
        <v>150</v>
      </c>
      <c r="B1203" t="s">
        <v>2723</v>
      </c>
      <c r="C1203" t="s">
        <v>2724</v>
      </c>
      <c r="D1203" t="s">
        <v>44</v>
      </c>
      <c r="E1203" t="s">
        <v>25</v>
      </c>
      <c r="F1203" t="str">
        <f>VLOOKUP(Ramen_Ratings[[#This Row],[Country]],Country_Region[#All],2,FALSE)</f>
        <v>Asia</v>
      </c>
      <c r="G1203">
        <v>4.25</v>
      </c>
      <c r="H1203" t="str" cm="1">
        <f t="array" ref="H1203">_xlfn.IFS(Ramen_Ratings[[#This Row],[Stars]] = "Unrated", "NA",Ramen_Ratings[[#This Row],[Stars]]&gt;=4, "Good", Ramen_Ratings[[#This Row],[Stars]]&gt;2.5, "Fair", Ramen_Ratings[[#This Row],[Stars]] &gt;= 0, "Bad")</f>
        <v>Good</v>
      </c>
      <c r="J1203" t="str">
        <f>LEFT(Ramen_Ratings[[#This Row],[Top Ten]],4)</f>
        <v/>
      </c>
      <c r="K1203" t="str">
        <f>IF(Ramen_Ratings[[#This Row],[Top Ten]]="", "",RIGHT(Ramen_Ratings[[#This Row],[Top Ten]],LEN(Ramen_Ratings[[#This Row],[Top Ten]])-6))</f>
        <v/>
      </c>
    </row>
    <row r="1204" spans="1:11" x14ac:dyDescent="0.25">
      <c r="A1204">
        <v>144</v>
      </c>
      <c r="B1204" t="s">
        <v>41</v>
      </c>
      <c r="C1204" t="s">
        <v>2732</v>
      </c>
      <c r="D1204" t="s">
        <v>13</v>
      </c>
      <c r="E1204" t="s">
        <v>25</v>
      </c>
      <c r="F1204" t="str">
        <f>VLOOKUP(Ramen_Ratings[[#This Row],[Country]],Country_Region[#All],2,FALSE)</f>
        <v>Asia</v>
      </c>
      <c r="G1204">
        <v>3.5</v>
      </c>
      <c r="H1204" t="str" cm="1">
        <f t="array" ref="H1204">_xlfn.IFS(Ramen_Ratings[[#This Row],[Stars]] = "Unrated", "NA",Ramen_Ratings[[#This Row],[Stars]]&gt;=4, "Good", Ramen_Ratings[[#This Row],[Stars]]&gt;2.5, "Fair", Ramen_Ratings[[#This Row],[Stars]] &gt;= 0, "Bad")</f>
        <v>Fair</v>
      </c>
      <c r="J1204" t="str">
        <f>LEFT(Ramen_Ratings[[#This Row],[Top Ten]],4)</f>
        <v/>
      </c>
      <c r="K1204" t="str">
        <f>IF(Ramen_Ratings[[#This Row],[Top Ten]]="", "",RIGHT(Ramen_Ratings[[#This Row],[Top Ten]],LEN(Ramen_Ratings[[#This Row],[Top Ten]])-6))</f>
        <v/>
      </c>
    </row>
    <row r="1205" spans="1:11" x14ac:dyDescent="0.25">
      <c r="A1205">
        <v>141</v>
      </c>
      <c r="B1205" t="s">
        <v>2287</v>
      </c>
      <c r="C1205" t="s">
        <v>2735</v>
      </c>
      <c r="D1205" t="s">
        <v>13</v>
      </c>
      <c r="E1205" t="s">
        <v>25</v>
      </c>
      <c r="F1205" t="str">
        <f>VLOOKUP(Ramen_Ratings[[#This Row],[Country]],Country_Region[#All],2,FALSE)</f>
        <v>Asia</v>
      </c>
      <c r="G1205">
        <v>2.5</v>
      </c>
      <c r="H1205" t="str" cm="1">
        <f t="array" ref="H1205">_xlfn.IFS(Ramen_Ratings[[#This Row],[Stars]] = "Unrated", "NA",Ramen_Ratings[[#This Row],[Stars]]&gt;=4, "Good", Ramen_Ratings[[#This Row],[Stars]]&gt;2.5, "Fair", Ramen_Ratings[[#This Row],[Stars]] &gt;= 0, "Bad")</f>
        <v>Bad</v>
      </c>
      <c r="J1205" t="str">
        <f>LEFT(Ramen_Ratings[[#This Row],[Top Ten]],4)</f>
        <v/>
      </c>
      <c r="K1205" t="str">
        <f>IF(Ramen_Ratings[[#This Row],[Top Ten]]="", "",RIGHT(Ramen_Ratings[[#This Row],[Top Ten]],LEN(Ramen_Ratings[[#This Row],[Top Ten]])-6))</f>
        <v/>
      </c>
    </row>
    <row r="1206" spans="1:11" x14ac:dyDescent="0.25">
      <c r="A1206">
        <v>134</v>
      </c>
      <c r="B1206" t="s">
        <v>2742</v>
      </c>
      <c r="C1206" t="s">
        <v>2743</v>
      </c>
      <c r="D1206" t="s">
        <v>44</v>
      </c>
      <c r="E1206" t="s">
        <v>25</v>
      </c>
      <c r="F1206" t="str">
        <f>VLOOKUP(Ramen_Ratings[[#This Row],[Country]],Country_Region[#All],2,FALSE)</f>
        <v>Asia</v>
      </c>
      <c r="G1206">
        <v>2.25</v>
      </c>
      <c r="H1206" t="str" cm="1">
        <f t="array" ref="H1206">_xlfn.IFS(Ramen_Ratings[[#This Row],[Stars]] = "Unrated", "NA",Ramen_Ratings[[#This Row],[Stars]]&gt;=4, "Good", Ramen_Ratings[[#This Row],[Stars]]&gt;2.5, "Fair", Ramen_Ratings[[#This Row],[Stars]] &gt;= 0, "Bad")</f>
        <v>Bad</v>
      </c>
      <c r="J1206" t="str">
        <f>LEFT(Ramen_Ratings[[#This Row],[Top Ten]],4)</f>
        <v/>
      </c>
      <c r="K1206" t="str">
        <f>IF(Ramen_Ratings[[#This Row],[Top Ten]]="", "",RIGHT(Ramen_Ratings[[#This Row],[Top Ten]],LEN(Ramen_Ratings[[#This Row],[Top Ten]])-6))</f>
        <v/>
      </c>
    </row>
    <row r="1207" spans="1:11" x14ac:dyDescent="0.25">
      <c r="A1207">
        <v>129</v>
      </c>
      <c r="B1207" t="s">
        <v>41</v>
      </c>
      <c r="C1207" t="s">
        <v>2748</v>
      </c>
      <c r="D1207" t="s">
        <v>13</v>
      </c>
      <c r="E1207" t="s">
        <v>25</v>
      </c>
      <c r="F1207" t="str">
        <f>VLOOKUP(Ramen_Ratings[[#This Row],[Country]],Country_Region[#All],2,FALSE)</f>
        <v>Asia</v>
      </c>
      <c r="G1207">
        <v>3.5</v>
      </c>
      <c r="H1207" t="str" cm="1">
        <f t="array" ref="H1207">_xlfn.IFS(Ramen_Ratings[[#This Row],[Stars]] = "Unrated", "NA",Ramen_Ratings[[#This Row],[Stars]]&gt;=4, "Good", Ramen_Ratings[[#This Row],[Stars]]&gt;2.5, "Fair", Ramen_Ratings[[#This Row],[Stars]] &gt;= 0, "Bad")</f>
        <v>Fair</v>
      </c>
      <c r="J1207" t="str">
        <f>LEFT(Ramen_Ratings[[#This Row],[Top Ten]],4)</f>
        <v/>
      </c>
      <c r="K1207" t="str">
        <f>IF(Ramen_Ratings[[#This Row],[Top Ten]]="", "",RIGHT(Ramen_Ratings[[#This Row],[Top Ten]],LEN(Ramen_Ratings[[#This Row],[Top Ten]])-6))</f>
        <v/>
      </c>
    </row>
    <row r="1208" spans="1:11" x14ac:dyDescent="0.25">
      <c r="A1208">
        <v>121</v>
      </c>
      <c r="B1208" t="s">
        <v>74</v>
      </c>
      <c r="C1208" t="s">
        <v>2755</v>
      </c>
      <c r="D1208" t="s">
        <v>13</v>
      </c>
      <c r="E1208" t="s">
        <v>25</v>
      </c>
      <c r="F1208" t="str">
        <f>VLOOKUP(Ramen_Ratings[[#This Row],[Country]],Country_Region[#All],2,FALSE)</f>
        <v>Asia</v>
      </c>
      <c r="G1208">
        <v>4</v>
      </c>
      <c r="H1208" t="str" cm="1">
        <f t="array" ref="H1208">_xlfn.IFS(Ramen_Ratings[[#This Row],[Stars]] = "Unrated", "NA",Ramen_Ratings[[#This Row],[Stars]]&gt;=4, "Good", Ramen_Ratings[[#This Row],[Stars]]&gt;2.5, "Fair", Ramen_Ratings[[#This Row],[Stars]] &gt;= 0, "Bad")</f>
        <v>Good</v>
      </c>
      <c r="J1208" t="str">
        <f>LEFT(Ramen_Ratings[[#This Row],[Top Ten]],4)</f>
        <v/>
      </c>
      <c r="K1208" t="str">
        <f>IF(Ramen_Ratings[[#This Row],[Top Ten]]="", "",RIGHT(Ramen_Ratings[[#This Row],[Top Ten]],LEN(Ramen_Ratings[[#This Row],[Top Ten]])-6))</f>
        <v/>
      </c>
    </row>
    <row r="1209" spans="1:11" x14ac:dyDescent="0.25">
      <c r="A1209">
        <v>120</v>
      </c>
      <c r="B1209" t="s">
        <v>2198</v>
      </c>
      <c r="C1209" t="s">
        <v>1933</v>
      </c>
      <c r="D1209" t="s">
        <v>13</v>
      </c>
      <c r="E1209" t="s">
        <v>25</v>
      </c>
      <c r="F1209" t="str">
        <f>VLOOKUP(Ramen_Ratings[[#This Row],[Country]],Country_Region[#All],2,FALSE)</f>
        <v>Asia</v>
      </c>
      <c r="G1209">
        <v>4</v>
      </c>
      <c r="H1209" t="str" cm="1">
        <f t="array" ref="H1209">_xlfn.IFS(Ramen_Ratings[[#This Row],[Stars]] = "Unrated", "NA",Ramen_Ratings[[#This Row],[Stars]]&gt;=4, "Good", Ramen_Ratings[[#This Row],[Stars]]&gt;2.5, "Fair", Ramen_Ratings[[#This Row],[Stars]] &gt;= 0, "Bad")</f>
        <v>Good</v>
      </c>
      <c r="J1209" t="str">
        <f>LEFT(Ramen_Ratings[[#This Row],[Top Ten]],4)</f>
        <v/>
      </c>
      <c r="K1209" t="str">
        <f>IF(Ramen_Ratings[[#This Row],[Top Ten]]="", "",RIGHT(Ramen_Ratings[[#This Row],[Top Ten]],LEN(Ramen_Ratings[[#This Row],[Top Ten]])-6))</f>
        <v/>
      </c>
    </row>
    <row r="1210" spans="1:11" x14ac:dyDescent="0.25">
      <c r="A1210">
        <v>118</v>
      </c>
      <c r="B1210" t="s">
        <v>54</v>
      </c>
      <c r="C1210" t="s">
        <v>475</v>
      </c>
      <c r="D1210" t="s">
        <v>13</v>
      </c>
      <c r="E1210" t="s">
        <v>25</v>
      </c>
      <c r="F1210" t="str">
        <f>VLOOKUP(Ramen_Ratings[[#This Row],[Country]],Country_Region[#All],2,FALSE)</f>
        <v>Asia</v>
      </c>
      <c r="G1210">
        <v>3.75</v>
      </c>
      <c r="H1210" t="str" cm="1">
        <f t="array" ref="H1210">_xlfn.IFS(Ramen_Ratings[[#This Row],[Stars]] = "Unrated", "NA",Ramen_Ratings[[#This Row],[Stars]]&gt;=4, "Good", Ramen_Ratings[[#This Row],[Stars]]&gt;2.5, "Fair", Ramen_Ratings[[#This Row],[Stars]] &gt;= 0, "Bad")</f>
        <v>Fair</v>
      </c>
      <c r="J1210" t="str">
        <f>LEFT(Ramen_Ratings[[#This Row],[Top Ten]],4)</f>
        <v/>
      </c>
      <c r="K1210" t="str">
        <f>IF(Ramen_Ratings[[#This Row],[Top Ten]]="", "",RIGHT(Ramen_Ratings[[#This Row],[Top Ten]],LEN(Ramen_Ratings[[#This Row],[Top Ten]])-6))</f>
        <v/>
      </c>
    </row>
    <row r="1211" spans="1:11" x14ac:dyDescent="0.25">
      <c r="A1211">
        <v>117</v>
      </c>
      <c r="B1211" t="s">
        <v>74</v>
      </c>
      <c r="C1211" t="s">
        <v>2757</v>
      </c>
      <c r="D1211" t="s">
        <v>13</v>
      </c>
      <c r="E1211" t="s">
        <v>25</v>
      </c>
      <c r="F1211" t="str">
        <f>VLOOKUP(Ramen_Ratings[[#This Row],[Country]],Country_Region[#All],2,FALSE)</f>
        <v>Asia</v>
      </c>
      <c r="G1211">
        <v>4</v>
      </c>
      <c r="H1211" t="str" cm="1">
        <f t="array" ref="H1211">_xlfn.IFS(Ramen_Ratings[[#This Row],[Stars]] = "Unrated", "NA",Ramen_Ratings[[#This Row],[Stars]]&gt;=4, "Good", Ramen_Ratings[[#This Row],[Stars]]&gt;2.5, "Fair", Ramen_Ratings[[#This Row],[Stars]] &gt;= 0, "Bad")</f>
        <v>Good</v>
      </c>
      <c r="J1211" t="str">
        <f>LEFT(Ramen_Ratings[[#This Row],[Top Ten]],4)</f>
        <v/>
      </c>
      <c r="K1211" t="str">
        <f>IF(Ramen_Ratings[[#This Row],[Top Ten]]="", "",RIGHT(Ramen_Ratings[[#This Row],[Top Ten]],LEN(Ramen_Ratings[[#This Row],[Top Ten]])-6))</f>
        <v/>
      </c>
    </row>
    <row r="1212" spans="1:11" x14ac:dyDescent="0.25">
      <c r="A1212">
        <v>115</v>
      </c>
      <c r="B1212" t="s">
        <v>74</v>
      </c>
      <c r="C1212" t="s">
        <v>2759</v>
      </c>
      <c r="D1212" t="s">
        <v>13</v>
      </c>
      <c r="E1212" t="s">
        <v>25</v>
      </c>
      <c r="F1212" t="str">
        <f>VLOOKUP(Ramen_Ratings[[#This Row],[Country]],Country_Region[#All],2,FALSE)</f>
        <v>Asia</v>
      </c>
      <c r="G1212">
        <v>2.8</v>
      </c>
      <c r="H1212" t="str" cm="1">
        <f t="array" ref="H1212">_xlfn.IFS(Ramen_Ratings[[#This Row],[Stars]] = "Unrated", "NA",Ramen_Ratings[[#This Row],[Stars]]&gt;=4, "Good", Ramen_Ratings[[#This Row],[Stars]]&gt;2.5, "Fair", Ramen_Ratings[[#This Row],[Stars]] &gt;= 0, "Bad")</f>
        <v>Fair</v>
      </c>
      <c r="J1212" t="str">
        <f>LEFT(Ramen_Ratings[[#This Row],[Top Ten]],4)</f>
        <v/>
      </c>
      <c r="K1212" t="str">
        <f>IF(Ramen_Ratings[[#This Row],[Top Ten]]="", "",RIGHT(Ramen_Ratings[[#This Row],[Top Ten]],LEN(Ramen_Ratings[[#This Row],[Top Ten]])-6))</f>
        <v/>
      </c>
    </row>
    <row r="1213" spans="1:11" x14ac:dyDescent="0.25">
      <c r="A1213">
        <v>114</v>
      </c>
      <c r="B1213" t="s">
        <v>2198</v>
      </c>
      <c r="C1213" t="s">
        <v>988</v>
      </c>
      <c r="D1213" t="s">
        <v>13</v>
      </c>
      <c r="E1213" t="s">
        <v>25</v>
      </c>
      <c r="F1213" t="str">
        <f>VLOOKUP(Ramen_Ratings[[#This Row],[Country]],Country_Region[#All],2,FALSE)</f>
        <v>Asia</v>
      </c>
      <c r="G1213">
        <v>2.9</v>
      </c>
      <c r="H1213" t="str" cm="1">
        <f t="array" ref="H1213">_xlfn.IFS(Ramen_Ratings[[#This Row],[Stars]] = "Unrated", "NA",Ramen_Ratings[[#This Row],[Stars]]&gt;=4, "Good", Ramen_Ratings[[#This Row],[Stars]]&gt;2.5, "Fair", Ramen_Ratings[[#This Row],[Stars]] &gt;= 0, "Bad")</f>
        <v>Fair</v>
      </c>
      <c r="J1213" t="str">
        <f>LEFT(Ramen_Ratings[[#This Row],[Top Ten]],4)</f>
        <v/>
      </c>
      <c r="K1213" t="str">
        <f>IF(Ramen_Ratings[[#This Row],[Top Ten]]="", "",RIGHT(Ramen_Ratings[[#This Row],[Top Ten]],LEN(Ramen_Ratings[[#This Row],[Top Ten]])-6))</f>
        <v/>
      </c>
    </row>
    <row r="1214" spans="1:11" x14ac:dyDescent="0.25">
      <c r="A1214">
        <v>113</v>
      </c>
      <c r="B1214" t="s">
        <v>41</v>
      </c>
      <c r="C1214" t="s">
        <v>2760</v>
      </c>
      <c r="D1214" t="s">
        <v>13</v>
      </c>
      <c r="E1214" t="s">
        <v>25</v>
      </c>
      <c r="F1214" t="str">
        <f>VLOOKUP(Ramen_Ratings[[#This Row],[Country]],Country_Region[#All],2,FALSE)</f>
        <v>Asia</v>
      </c>
      <c r="G1214">
        <v>4</v>
      </c>
      <c r="H1214" t="str" cm="1">
        <f t="array" ref="H1214">_xlfn.IFS(Ramen_Ratings[[#This Row],[Stars]] = "Unrated", "NA",Ramen_Ratings[[#This Row],[Stars]]&gt;=4, "Good", Ramen_Ratings[[#This Row],[Stars]]&gt;2.5, "Fair", Ramen_Ratings[[#This Row],[Stars]] &gt;= 0, "Bad")</f>
        <v>Good</v>
      </c>
      <c r="J1214" t="str">
        <f>LEFT(Ramen_Ratings[[#This Row],[Top Ten]],4)</f>
        <v/>
      </c>
      <c r="K1214" t="str">
        <f>IF(Ramen_Ratings[[#This Row],[Top Ten]]="", "",RIGHT(Ramen_Ratings[[#This Row],[Top Ten]],LEN(Ramen_Ratings[[#This Row],[Top Ten]])-6))</f>
        <v/>
      </c>
    </row>
    <row r="1215" spans="1:11" x14ac:dyDescent="0.25">
      <c r="A1215">
        <v>112</v>
      </c>
      <c r="B1215" t="s">
        <v>74</v>
      </c>
      <c r="C1215" t="s">
        <v>2761</v>
      </c>
      <c r="D1215" t="s">
        <v>13</v>
      </c>
      <c r="E1215" t="s">
        <v>25</v>
      </c>
      <c r="F1215" t="str">
        <f>VLOOKUP(Ramen_Ratings[[#This Row],[Country]],Country_Region[#All],2,FALSE)</f>
        <v>Asia</v>
      </c>
      <c r="G1215">
        <v>3.75</v>
      </c>
      <c r="H1215" t="str" cm="1">
        <f t="array" ref="H1215">_xlfn.IFS(Ramen_Ratings[[#This Row],[Stars]] = "Unrated", "NA",Ramen_Ratings[[#This Row],[Stars]]&gt;=4, "Good", Ramen_Ratings[[#This Row],[Stars]]&gt;2.5, "Fair", Ramen_Ratings[[#This Row],[Stars]] &gt;= 0, "Bad")</f>
        <v>Fair</v>
      </c>
      <c r="J1215" t="str">
        <f>LEFT(Ramen_Ratings[[#This Row],[Top Ten]],4)</f>
        <v/>
      </c>
      <c r="K1215" t="str">
        <f>IF(Ramen_Ratings[[#This Row],[Top Ten]]="", "",RIGHT(Ramen_Ratings[[#This Row],[Top Ten]],LEN(Ramen_Ratings[[#This Row],[Top Ten]])-6))</f>
        <v/>
      </c>
    </row>
    <row r="1216" spans="1:11" x14ac:dyDescent="0.25">
      <c r="A1216">
        <v>111</v>
      </c>
      <c r="B1216" t="s">
        <v>74</v>
      </c>
      <c r="C1216" t="s">
        <v>2762</v>
      </c>
      <c r="D1216" t="s">
        <v>13</v>
      </c>
      <c r="E1216" t="s">
        <v>25</v>
      </c>
      <c r="F1216" t="str">
        <f>VLOOKUP(Ramen_Ratings[[#This Row],[Country]],Country_Region[#All],2,FALSE)</f>
        <v>Asia</v>
      </c>
      <c r="G1216">
        <v>3.25</v>
      </c>
      <c r="H1216" t="str" cm="1">
        <f t="array" ref="H1216">_xlfn.IFS(Ramen_Ratings[[#This Row],[Stars]] = "Unrated", "NA",Ramen_Ratings[[#This Row],[Stars]]&gt;=4, "Good", Ramen_Ratings[[#This Row],[Stars]]&gt;2.5, "Fair", Ramen_Ratings[[#This Row],[Stars]] &gt;= 0, "Bad")</f>
        <v>Fair</v>
      </c>
      <c r="J1216" t="str">
        <f>LEFT(Ramen_Ratings[[#This Row],[Top Ten]],4)</f>
        <v/>
      </c>
      <c r="K1216" t="str">
        <f>IF(Ramen_Ratings[[#This Row],[Top Ten]]="", "",RIGHT(Ramen_Ratings[[#This Row],[Top Ten]],LEN(Ramen_Ratings[[#This Row],[Top Ten]])-6))</f>
        <v/>
      </c>
    </row>
    <row r="1217" spans="1:11" x14ac:dyDescent="0.25">
      <c r="A1217">
        <v>107</v>
      </c>
      <c r="B1217" t="s">
        <v>74</v>
      </c>
      <c r="C1217" t="s">
        <v>2766</v>
      </c>
      <c r="D1217" t="s">
        <v>13</v>
      </c>
      <c r="E1217" t="s">
        <v>25</v>
      </c>
      <c r="F1217" t="str">
        <f>VLOOKUP(Ramen_Ratings[[#This Row],[Country]],Country_Region[#All],2,FALSE)</f>
        <v>Asia</v>
      </c>
      <c r="G1217">
        <v>1.1000000000000001</v>
      </c>
      <c r="H1217" t="str" cm="1">
        <f t="array" ref="H1217">_xlfn.IFS(Ramen_Ratings[[#This Row],[Stars]] = "Unrated", "NA",Ramen_Ratings[[#This Row],[Stars]]&gt;=4, "Good", Ramen_Ratings[[#This Row],[Stars]]&gt;2.5, "Fair", Ramen_Ratings[[#This Row],[Stars]] &gt;= 0, "Bad")</f>
        <v>Bad</v>
      </c>
      <c r="J1217" t="str">
        <f>LEFT(Ramen_Ratings[[#This Row],[Top Ten]],4)</f>
        <v/>
      </c>
      <c r="K1217" t="str">
        <f>IF(Ramen_Ratings[[#This Row],[Top Ten]]="", "",RIGHT(Ramen_Ratings[[#This Row],[Top Ten]],LEN(Ramen_Ratings[[#This Row],[Top Ten]])-6))</f>
        <v/>
      </c>
    </row>
    <row r="1218" spans="1:11" x14ac:dyDescent="0.25">
      <c r="A1218">
        <v>88</v>
      </c>
      <c r="B1218" t="s">
        <v>54</v>
      </c>
      <c r="C1218" t="s">
        <v>2781</v>
      </c>
      <c r="D1218" t="s">
        <v>13</v>
      </c>
      <c r="E1218" t="s">
        <v>25</v>
      </c>
      <c r="F1218" t="str">
        <f>VLOOKUP(Ramen_Ratings[[#This Row],[Country]],Country_Region[#All],2,FALSE)</f>
        <v>Asia</v>
      </c>
      <c r="G1218">
        <v>3.25</v>
      </c>
      <c r="H1218" t="str" cm="1">
        <f t="array" ref="H1218">_xlfn.IFS(Ramen_Ratings[[#This Row],[Stars]] = "Unrated", "NA",Ramen_Ratings[[#This Row],[Stars]]&gt;=4, "Good", Ramen_Ratings[[#This Row],[Stars]]&gt;2.5, "Fair", Ramen_Ratings[[#This Row],[Stars]] &gt;= 0, "Bad")</f>
        <v>Fair</v>
      </c>
      <c r="J1218" t="str">
        <f>LEFT(Ramen_Ratings[[#This Row],[Top Ten]],4)</f>
        <v/>
      </c>
      <c r="K1218" t="str">
        <f>IF(Ramen_Ratings[[#This Row],[Top Ten]]="", "",RIGHT(Ramen_Ratings[[#This Row],[Top Ten]],LEN(Ramen_Ratings[[#This Row],[Top Ten]])-6))</f>
        <v/>
      </c>
    </row>
    <row r="1219" spans="1:11" x14ac:dyDescent="0.25">
      <c r="A1219">
        <v>84</v>
      </c>
      <c r="B1219" t="s">
        <v>2198</v>
      </c>
      <c r="C1219" t="s">
        <v>2785</v>
      </c>
      <c r="D1219" t="s">
        <v>13</v>
      </c>
      <c r="E1219" t="s">
        <v>25</v>
      </c>
      <c r="F1219" t="str">
        <f>VLOOKUP(Ramen_Ratings[[#This Row],[Country]],Country_Region[#All],2,FALSE)</f>
        <v>Asia</v>
      </c>
      <c r="G1219">
        <v>1.8</v>
      </c>
      <c r="H1219" t="str" cm="1">
        <f t="array" ref="H1219">_xlfn.IFS(Ramen_Ratings[[#This Row],[Stars]] = "Unrated", "NA",Ramen_Ratings[[#This Row],[Stars]]&gt;=4, "Good", Ramen_Ratings[[#This Row],[Stars]]&gt;2.5, "Fair", Ramen_Ratings[[#This Row],[Stars]] &gt;= 0, "Bad")</f>
        <v>Bad</v>
      </c>
      <c r="J1219" t="str">
        <f>LEFT(Ramen_Ratings[[#This Row],[Top Ten]],4)</f>
        <v/>
      </c>
      <c r="K1219" t="str">
        <f>IF(Ramen_Ratings[[#This Row],[Top Ten]]="", "",RIGHT(Ramen_Ratings[[#This Row],[Top Ten]],LEN(Ramen_Ratings[[#This Row],[Top Ten]])-6))</f>
        <v/>
      </c>
    </row>
    <row r="1220" spans="1:11" x14ac:dyDescent="0.25">
      <c r="A1220">
        <v>22</v>
      </c>
      <c r="B1220" t="s">
        <v>41</v>
      </c>
      <c r="C1220" t="s">
        <v>2839</v>
      </c>
      <c r="D1220" t="s">
        <v>13</v>
      </c>
      <c r="E1220" t="s">
        <v>25</v>
      </c>
      <c r="F1220" t="str">
        <f>VLOOKUP(Ramen_Ratings[[#This Row],[Country]],Country_Region[#All],2,FALSE)</f>
        <v>Asia</v>
      </c>
      <c r="G1220">
        <v>3.75</v>
      </c>
      <c r="H1220" t="str" cm="1">
        <f t="array" ref="H1220">_xlfn.IFS(Ramen_Ratings[[#This Row],[Stars]] = "Unrated", "NA",Ramen_Ratings[[#This Row],[Stars]]&gt;=4, "Good", Ramen_Ratings[[#This Row],[Stars]]&gt;2.5, "Fair", Ramen_Ratings[[#This Row],[Stars]] &gt;= 0, "Bad")</f>
        <v>Fair</v>
      </c>
      <c r="J1220" t="str">
        <f>LEFT(Ramen_Ratings[[#This Row],[Top Ten]],4)</f>
        <v/>
      </c>
      <c r="K1220" t="str">
        <f>IF(Ramen_Ratings[[#This Row],[Top Ten]]="", "",RIGHT(Ramen_Ratings[[#This Row],[Top Ten]],LEN(Ramen_Ratings[[#This Row],[Top Ten]])-6))</f>
        <v/>
      </c>
    </row>
    <row r="1221" spans="1:11" x14ac:dyDescent="0.25">
      <c r="A1221">
        <v>21</v>
      </c>
      <c r="B1221" t="s">
        <v>41</v>
      </c>
      <c r="C1221" t="s">
        <v>2553</v>
      </c>
      <c r="D1221" t="s">
        <v>13</v>
      </c>
      <c r="E1221" t="s">
        <v>25</v>
      </c>
      <c r="F1221" t="str">
        <f>VLOOKUP(Ramen_Ratings[[#This Row],[Country]],Country_Region[#All],2,FALSE)</f>
        <v>Asia</v>
      </c>
      <c r="G1221">
        <v>4</v>
      </c>
      <c r="H1221" t="str" cm="1">
        <f t="array" ref="H1221">_xlfn.IFS(Ramen_Ratings[[#This Row],[Stars]] = "Unrated", "NA",Ramen_Ratings[[#This Row],[Stars]]&gt;=4, "Good", Ramen_Ratings[[#This Row],[Stars]]&gt;2.5, "Fair", Ramen_Ratings[[#This Row],[Stars]] &gt;= 0, "Bad")</f>
        <v>Good</v>
      </c>
      <c r="J1221" t="str">
        <f>LEFT(Ramen_Ratings[[#This Row],[Top Ten]],4)</f>
        <v/>
      </c>
      <c r="K1221" t="str">
        <f>IF(Ramen_Ratings[[#This Row],[Top Ten]]="", "",RIGHT(Ramen_Ratings[[#This Row],[Top Ten]],LEN(Ramen_Ratings[[#This Row],[Top Ten]])-6))</f>
        <v/>
      </c>
    </row>
    <row r="1222" spans="1:11" x14ac:dyDescent="0.25">
      <c r="A1222">
        <v>20</v>
      </c>
      <c r="B1222" t="s">
        <v>41</v>
      </c>
      <c r="C1222" t="s">
        <v>2840</v>
      </c>
      <c r="D1222" t="s">
        <v>13</v>
      </c>
      <c r="E1222" t="s">
        <v>25</v>
      </c>
      <c r="F1222" t="str">
        <f>VLOOKUP(Ramen_Ratings[[#This Row],[Country]],Country_Region[#All],2,FALSE)</f>
        <v>Asia</v>
      </c>
      <c r="G1222">
        <v>3.5</v>
      </c>
      <c r="H1222" t="str" cm="1">
        <f t="array" ref="H1222">_xlfn.IFS(Ramen_Ratings[[#This Row],[Stars]] = "Unrated", "NA",Ramen_Ratings[[#This Row],[Stars]]&gt;=4, "Good", Ramen_Ratings[[#This Row],[Stars]]&gt;2.5, "Fair", Ramen_Ratings[[#This Row],[Stars]] &gt;= 0, "Bad")</f>
        <v>Fair</v>
      </c>
      <c r="J1222" t="str">
        <f>LEFT(Ramen_Ratings[[#This Row],[Top Ten]],4)</f>
        <v/>
      </c>
      <c r="K1222" t="str">
        <f>IF(Ramen_Ratings[[#This Row],[Top Ten]]="", "",RIGHT(Ramen_Ratings[[#This Row],[Top Ten]],LEN(Ramen_Ratings[[#This Row],[Top Ten]])-6))</f>
        <v/>
      </c>
    </row>
    <row r="1223" spans="1:11" x14ac:dyDescent="0.25">
      <c r="A1223">
        <v>19</v>
      </c>
      <c r="B1223" t="s">
        <v>41</v>
      </c>
      <c r="C1223" t="s">
        <v>139</v>
      </c>
      <c r="D1223" t="s">
        <v>13</v>
      </c>
      <c r="E1223" t="s">
        <v>25</v>
      </c>
      <c r="F1223" t="str">
        <f>VLOOKUP(Ramen_Ratings[[#This Row],[Country]],Country_Region[#All],2,FALSE)</f>
        <v>Asia</v>
      </c>
      <c r="G1223">
        <v>4</v>
      </c>
      <c r="H1223" t="str" cm="1">
        <f t="array" ref="H1223">_xlfn.IFS(Ramen_Ratings[[#This Row],[Stars]] = "Unrated", "NA",Ramen_Ratings[[#This Row],[Stars]]&gt;=4, "Good", Ramen_Ratings[[#This Row],[Stars]]&gt;2.5, "Fair", Ramen_Ratings[[#This Row],[Stars]] &gt;= 0, "Bad")</f>
        <v>Good</v>
      </c>
      <c r="J1223" t="str">
        <f>LEFT(Ramen_Ratings[[#This Row],[Top Ten]],4)</f>
        <v/>
      </c>
      <c r="K1223" t="str">
        <f>IF(Ramen_Ratings[[#This Row],[Top Ten]]="", "",RIGHT(Ramen_Ratings[[#This Row],[Top Ten]],LEN(Ramen_Ratings[[#This Row],[Top Ten]])-6))</f>
        <v/>
      </c>
    </row>
    <row r="1224" spans="1:11" x14ac:dyDescent="0.25">
      <c r="A1224">
        <v>18</v>
      </c>
      <c r="B1224" t="s">
        <v>74</v>
      </c>
      <c r="C1224" t="s">
        <v>2841</v>
      </c>
      <c r="D1224" t="s">
        <v>13</v>
      </c>
      <c r="E1224" t="s">
        <v>25</v>
      </c>
      <c r="F1224" t="str">
        <f>VLOOKUP(Ramen_Ratings[[#This Row],[Country]],Country_Region[#All],2,FALSE)</f>
        <v>Asia</v>
      </c>
      <c r="G1224">
        <v>3.5</v>
      </c>
      <c r="H1224" t="str" cm="1">
        <f t="array" ref="H1224">_xlfn.IFS(Ramen_Ratings[[#This Row],[Stars]] = "Unrated", "NA",Ramen_Ratings[[#This Row],[Stars]]&gt;=4, "Good", Ramen_Ratings[[#This Row],[Stars]]&gt;2.5, "Fair", Ramen_Ratings[[#This Row],[Stars]] &gt;= 0, "Bad")</f>
        <v>Fair</v>
      </c>
      <c r="J1224" t="str">
        <f>LEFT(Ramen_Ratings[[#This Row],[Top Ten]],4)</f>
        <v/>
      </c>
      <c r="K1224" t="str">
        <f>IF(Ramen_Ratings[[#This Row],[Top Ten]]="", "",RIGHT(Ramen_Ratings[[#This Row],[Top Ten]],LEN(Ramen_Ratings[[#This Row],[Top Ten]])-6))</f>
        <v/>
      </c>
    </row>
    <row r="1225" spans="1:11" x14ac:dyDescent="0.25">
      <c r="A1225">
        <v>16</v>
      </c>
      <c r="B1225" t="s">
        <v>2198</v>
      </c>
      <c r="C1225" t="s">
        <v>2843</v>
      </c>
      <c r="D1225" t="s">
        <v>13</v>
      </c>
      <c r="E1225" t="s">
        <v>25</v>
      </c>
      <c r="F1225" t="str">
        <f>VLOOKUP(Ramen_Ratings[[#This Row],[Country]],Country_Region[#All],2,FALSE)</f>
        <v>Asia</v>
      </c>
      <c r="G1225">
        <v>3.5</v>
      </c>
      <c r="H1225" t="str" cm="1">
        <f t="array" ref="H1225">_xlfn.IFS(Ramen_Ratings[[#This Row],[Stars]] = "Unrated", "NA",Ramen_Ratings[[#This Row],[Stars]]&gt;=4, "Good", Ramen_Ratings[[#This Row],[Stars]]&gt;2.5, "Fair", Ramen_Ratings[[#This Row],[Stars]] &gt;= 0, "Bad")</f>
        <v>Fair</v>
      </c>
      <c r="J1225" t="str">
        <f>LEFT(Ramen_Ratings[[#This Row],[Top Ten]],4)</f>
        <v/>
      </c>
      <c r="K1225" t="str">
        <f>IF(Ramen_Ratings[[#This Row],[Top Ten]]="", "",RIGHT(Ramen_Ratings[[#This Row],[Top Ten]],LEN(Ramen_Ratings[[#This Row],[Top Ten]])-6))</f>
        <v/>
      </c>
    </row>
    <row r="1226" spans="1:11" x14ac:dyDescent="0.25">
      <c r="A1226">
        <v>15</v>
      </c>
      <c r="B1226" t="s">
        <v>2198</v>
      </c>
      <c r="C1226" t="s">
        <v>2844</v>
      </c>
      <c r="D1226" t="s">
        <v>13</v>
      </c>
      <c r="E1226" t="s">
        <v>25</v>
      </c>
      <c r="F1226" t="str">
        <f>VLOOKUP(Ramen_Ratings[[#This Row],[Country]],Country_Region[#All],2,FALSE)</f>
        <v>Asia</v>
      </c>
      <c r="G1226">
        <v>2.5</v>
      </c>
      <c r="H1226" t="str" cm="1">
        <f t="array" ref="H1226">_xlfn.IFS(Ramen_Ratings[[#This Row],[Stars]] = "Unrated", "NA",Ramen_Ratings[[#This Row],[Stars]]&gt;=4, "Good", Ramen_Ratings[[#This Row],[Stars]]&gt;2.5, "Fair", Ramen_Ratings[[#This Row],[Stars]] &gt;= 0, "Bad")</f>
        <v>Bad</v>
      </c>
      <c r="J1226" t="str">
        <f>LEFT(Ramen_Ratings[[#This Row],[Top Ten]],4)</f>
        <v/>
      </c>
      <c r="K1226" t="str">
        <f>IF(Ramen_Ratings[[#This Row],[Top Ten]]="", "",RIGHT(Ramen_Ratings[[#This Row],[Top Ten]],LEN(Ramen_Ratings[[#This Row],[Top Ten]])-6))</f>
        <v/>
      </c>
    </row>
    <row r="1227" spans="1:11" x14ac:dyDescent="0.25">
      <c r="A1227">
        <v>14</v>
      </c>
      <c r="B1227" t="s">
        <v>2198</v>
      </c>
      <c r="C1227" t="s">
        <v>2845</v>
      </c>
      <c r="D1227" t="s">
        <v>13</v>
      </c>
      <c r="E1227" t="s">
        <v>25</v>
      </c>
      <c r="F1227" t="str">
        <f>VLOOKUP(Ramen_Ratings[[#This Row],[Country]],Country_Region[#All],2,FALSE)</f>
        <v>Asia</v>
      </c>
      <c r="G1227">
        <v>3.5</v>
      </c>
      <c r="H1227" t="str" cm="1">
        <f t="array" ref="H1227">_xlfn.IFS(Ramen_Ratings[[#This Row],[Stars]] = "Unrated", "NA",Ramen_Ratings[[#This Row],[Stars]]&gt;=4, "Good", Ramen_Ratings[[#This Row],[Stars]]&gt;2.5, "Fair", Ramen_Ratings[[#This Row],[Stars]] &gt;= 0, "Bad")</f>
        <v>Fair</v>
      </c>
      <c r="J1227" t="str">
        <f>LEFT(Ramen_Ratings[[#This Row],[Top Ten]],4)</f>
        <v/>
      </c>
      <c r="K1227" t="str">
        <f>IF(Ramen_Ratings[[#This Row],[Top Ten]]="", "",RIGHT(Ramen_Ratings[[#This Row],[Top Ten]],LEN(Ramen_Ratings[[#This Row],[Top Ten]])-6))</f>
        <v/>
      </c>
    </row>
    <row r="1228" spans="1:11" x14ac:dyDescent="0.25">
      <c r="A1228">
        <v>11</v>
      </c>
      <c r="B1228" t="s">
        <v>2287</v>
      </c>
      <c r="C1228" t="s">
        <v>2848</v>
      </c>
      <c r="D1228" t="s">
        <v>13</v>
      </c>
      <c r="E1228" t="s">
        <v>25</v>
      </c>
      <c r="F1228" t="str">
        <f>VLOOKUP(Ramen_Ratings[[#This Row],[Country]],Country_Region[#All],2,FALSE)</f>
        <v>Asia</v>
      </c>
      <c r="G1228">
        <v>2</v>
      </c>
      <c r="H1228" t="str" cm="1">
        <f t="array" ref="H1228">_xlfn.IFS(Ramen_Ratings[[#This Row],[Stars]] = "Unrated", "NA",Ramen_Ratings[[#This Row],[Stars]]&gt;=4, "Good", Ramen_Ratings[[#This Row],[Stars]]&gt;2.5, "Fair", Ramen_Ratings[[#This Row],[Stars]] &gt;= 0, "Bad")</f>
        <v>Bad</v>
      </c>
      <c r="J1228" t="str">
        <f>LEFT(Ramen_Ratings[[#This Row],[Top Ten]],4)</f>
        <v/>
      </c>
      <c r="K1228" t="str">
        <f>IF(Ramen_Ratings[[#This Row],[Top Ten]]="", "",RIGHT(Ramen_Ratings[[#This Row],[Top Ten]],LEN(Ramen_Ratings[[#This Row],[Top Ten]])-6))</f>
        <v/>
      </c>
    </row>
    <row r="1229" spans="1:11" x14ac:dyDescent="0.25">
      <c r="A1229">
        <v>9</v>
      </c>
      <c r="B1229" t="s">
        <v>2851</v>
      </c>
      <c r="C1229" t="s">
        <v>752</v>
      </c>
      <c r="D1229" t="s">
        <v>9</v>
      </c>
      <c r="E1229" t="s">
        <v>25</v>
      </c>
      <c r="F1229" t="str">
        <f>VLOOKUP(Ramen_Ratings[[#This Row],[Country]],Country_Region[#All],2,FALSE)</f>
        <v>Asia</v>
      </c>
      <c r="G1229">
        <v>2</v>
      </c>
      <c r="H1229" t="str" cm="1">
        <f t="array" ref="H1229">_xlfn.IFS(Ramen_Ratings[[#This Row],[Stars]] = "Unrated", "NA",Ramen_Ratings[[#This Row],[Stars]]&gt;=4, "Good", Ramen_Ratings[[#This Row],[Stars]]&gt;2.5, "Fair", Ramen_Ratings[[#This Row],[Stars]] &gt;= 0, "Bad")</f>
        <v>Bad</v>
      </c>
      <c r="J1229" t="str">
        <f>LEFT(Ramen_Ratings[[#This Row],[Top Ten]],4)</f>
        <v/>
      </c>
      <c r="K1229" t="str">
        <f>IF(Ramen_Ratings[[#This Row],[Top Ten]]="", "",RIGHT(Ramen_Ratings[[#This Row],[Top Ten]],LEN(Ramen_Ratings[[#This Row],[Top Ten]])-6))</f>
        <v/>
      </c>
    </row>
    <row r="1230" spans="1:11" x14ac:dyDescent="0.25">
      <c r="A1230">
        <v>1925</v>
      </c>
      <c r="B1230" t="s">
        <v>104</v>
      </c>
      <c r="C1230" t="s">
        <v>830</v>
      </c>
      <c r="D1230" t="s">
        <v>13</v>
      </c>
      <c r="E1230" t="s">
        <v>35</v>
      </c>
      <c r="F1230" t="str">
        <f>VLOOKUP(Ramen_Ratings[[#This Row],[Country]],Country_Region[#All],2,FALSE)</f>
        <v>Asia</v>
      </c>
      <c r="G1230">
        <v>5</v>
      </c>
      <c r="H1230" t="str" cm="1">
        <f t="array" ref="H1230">_xlfn.IFS(Ramen_Ratings[[#This Row],[Stars]] = "Unrated", "NA",Ramen_Ratings[[#This Row],[Stars]]&gt;=4, "Good", Ramen_Ratings[[#This Row],[Stars]]&gt;2.5, "Fair", Ramen_Ratings[[#This Row],[Stars]] &gt;= 0, "Bad")</f>
        <v>Good</v>
      </c>
      <c r="I1230" t="s">
        <v>831</v>
      </c>
      <c r="J1230" t="str">
        <f>LEFT(Ramen_Ratings[[#This Row],[Top Ten]],4)</f>
        <v>2016</v>
      </c>
      <c r="K1230" t="str">
        <f>IF(Ramen_Ratings[[#This Row],[Top Ten]]="", "",RIGHT(Ramen_Ratings[[#This Row],[Top Ten]],LEN(Ramen_Ratings[[#This Row],[Top Ten]])-6))</f>
        <v>8</v>
      </c>
    </row>
    <row r="1231" spans="1:11" x14ac:dyDescent="0.25">
      <c r="A1231">
        <v>1271</v>
      </c>
      <c r="B1231" t="s">
        <v>757</v>
      </c>
      <c r="C1231" t="s">
        <v>1578</v>
      </c>
      <c r="D1231" t="s">
        <v>13</v>
      </c>
      <c r="E1231" t="s">
        <v>35</v>
      </c>
      <c r="F1231" t="str">
        <f>VLOOKUP(Ramen_Ratings[[#This Row],[Country]],Country_Region[#All],2,FALSE)</f>
        <v>Asia</v>
      </c>
      <c r="G1231">
        <v>5</v>
      </c>
      <c r="H1231" t="str" cm="1">
        <f t="array" ref="H1231">_xlfn.IFS(Ramen_Ratings[[#This Row],[Stars]] = "Unrated", "NA",Ramen_Ratings[[#This Row],[Stars]]&gt;=4, "Good", Ramen_Ratings[[#This Row],[Stars]]&gt;2.5, "Fair", Ramen_Ratings[[#This Row],[Stars]] &gt;= 0, "Bad")</f>
        <v>Good</v>
      </c>
      <c r="I1231" t="s">
        <v>1579</v>
      </c>
      <c r="J1231" t="str">
        <f>LEFT(Ramen_Ratings[[#This Row],[Top Ten]],4)</f>
        <v>2014</v>
      </c>
      <c r="K1231" t="str">
        <f>IF(Ramen_Ratings[[#This Row],[Top Ten]]="", "",RIGHT(Ramen_Ratings[[#This Row],[Top Ten]],LEN(Ramen_Ratings[[#This Row],[Top Ten]])-6))</f>
        <v>8</v>
      </c>
    </row>
    <row r="1232" spans="1:11" x14ac:dyDescent="0.25">
      <c r="A1232">
        <v>1907</v>
      </c>
      <c r="B1232" t="s">
        <v>757</v>
      </c>
      <c r="C1232" t="s">
        <v>852</v>
      </c>
      <c r="D1232" t="s">
        <v>13</v>
      </c>
      <c r="E1232" t="s">
        <v>35</v>
      </c>
      <c r="F1232" t="str">
        <f>VLOOKUP(Ramen_Ratings[[#This Row],[Country]],Country_Region[#All],2,FALSE)</f>
        <v>Asia</v>
      </c>
      <c r="G1232">
        <v>5</v>
      </c>
      <c r="H1232" t="str" cm="1">
        <f t="array" ref="H1232">_xlfn.IFS(Ramen_Ratings[[#This Row],[Stars]] = "Unrated", "NA",Ramen_Ratings[[#This Row],[Stars]]&gt;=4, "Good", Ramen_Ratings[[#This Row],[Stars]]&gt;2.5, "Fair", Ramen_Ratings[[#This Row],[Stars]] &gt;= 0, "Bad")</f>
        <v>Good</v>
      </c>
      <c r="I1232" t="s">
        <v>853</v>
      </c>
      <c r="J1232" t="str">
        <f>LEFT(Ramen_Ratings[[#This Row],[Top Ten]],4)</f>
        <v>2016</v>
      </c>
      <c r="K1232" t="str">
        <f>IF(Ramen_Ratings[[#This Row],[Top Ten]]="", "",RIGHT(Ramen_Ratings[[#This Row],[Top Ten]],LEN(Ramen_Ratings[[#This Row],[Top Ten]])-6))</f>
        <v>5</v>
      </c>
    </row>
    <row r="1233" spans="1:11" x14ac:dyDescent="0.25">
      <c r="A1233">
        <v>991</v>
      </c>
      <c r="B1233" t="s">
        <v>757</v>
      </c>
      <c r="C1233" t="s">
        <v>1875</v>
      </c>
      <c r="D1233" t="s">
        <v>13</v>
      </c>
      <c r="E1233" t="s">
        <v>35</v>
      </c>
      <c r="F1233" t="str">
        <f>VLOOKUP(Ramen_Ratings[[#This Row],[Country]],Country_Region[#All],2,FALSE)</f>
        <v>Asia</v>
      </c>
      <c r="G1233">
        <v>5</v>
      </c>
      <c r="H1233" t="str" cm="1">
        <f t="array" ref="H1233">_xlfn.IFS(Ramen_Ratings[[#This Row],[Stars]] = "Unrated", "NA",Ramen_Ratings[[#This Row],[Stars]]&gt;=4, "Good", Ramen_Ratings[[#This Row],[Stars]]&gt;2.5, "Fair", Ramen_Ratings[[#This Row],[Stars]] &gt;= 0, "Bad")</f>
        <v>Good</v>
      </c>
      <c r="I1233" t="s">
        <v>1876</v>
      </c>
      <c r="J1233" t="str">
        <f>LEFT(Ramen_Ratings[[#This Row],[Top Ten]],4)</f>
        <v>2013</v>
      </c>
      <c r="K1233" t="str">
        <f>IF(Ramen_Ratings[[#This Row],[Top Ten]]="", "",RIGHT(Ramen_Ratings[[#This Row],[Top Ten]],LEN(Ramen_Ratings[[#This Row],[Top Ten]])-6))</f>
        <v>2</v>
      </c>
    </row>
    <row r="1234" spans="1:11" x14ac:dyDescent="0.25">
      <c r="A1234">
        <v>608</v>
      </c>
      <c r="B1234" t="s">
        <v>1045</v>
      </c>
      <c r="C1234" t="s">
        <v>2284</v>
      </c>
      <c r="D1234" t="s">
        <v>13</v>
      </c>
      <c r="E1234" t="s">
        <v>35</v>
      </c>
      <c r="F1234" t="str">
        <f>VLOOKUP(Ramen_Ratings[[#This Row],[Country]],Country_Region[#All],2,FALSE)</f>
        <v>Asia</v>
      </c>
      <c r="G1234">
        <v>5</v>
      </c>
      <c r="H1234" t="str" cm="1">
        <f t="array" ref="H1234">_xlfn.IFS(Ramen_Ratings[[#This Row],[Stars]] = "Unrated", "NA",Ramen_Ratings[[#This Row],[Stars]]&gt;=4, "Good", Ramen_Ratings[[#This Row],[Stars]]&gt;2.5, "Fair", Ramen_Ratings[[#This Row],[Stars]] &gt;= 0, "Bad")</f>
        <v>Good</v>
      </c>
      <c r="I1234" t="s">
        <v>2285</v>
      </c>
      <c r="J1234" t="str">
        <f>LEFT(Ramen_Ratings[[#This Row],[Top Ten]],4)</f>
        <v>2012</v>
      </c>
      <c r="K1234" t="str">
        <f>IF(Ramen_Ratings[[#This Row],[Top Ten]]="", "",RIGHT(Ramen_Ratings[[#This Row],[Top Ten]],LEN(Ramen_Ratings[[#This Row],[Top Ten]])-6))</f>
        <v>10</v>
      </c>
    </row>
    <row r="1235" spans="1:11" x14ac:dyDescent="0.25">
      <c r="A1235">
        <v>1947</v>
      </c>
      <c r="B1235" t="s">
        <v>757</v>
      </c>
      <c r="C1235" t="s">
        <v>803</v>
      </c>
      <c r="D1235" t="s">
        <v>13</v>
      </c>
      <c r="E1235" t="s">
        <v>35</v>
      </c>
      <c r="F1235" t="str">
        <f>VLOOKUP(Ramen_Ratings[[#This Row],[Country]],Country_Region[#All],2,FALSE)</f>
        <v>Asia</v>
      </c>
      <c r="G1235">
        <v>5</v>
      </c>
      <c r="H1235" t="str" cm="1">
        <f t="array" ref="H1235">_xlfn.IFS(Ramen_Ratings[[#This Row],[Stars]] = "Unrated", "NA",Ramen_Ratings[[#This Row],[Stars]]&gt;=4, "Good", Ramen_Ratings[[#This Row],[Stars]]&gt;2.5, "Fair", Ramen_Ratings[[#This Row],[Stars]] &gt;= 0, "Bad")</f>
        <v>Good</v>
      </c>
      <c r="I1235" t="s">
        <v>804</v>
      </c>
      <c r="J1235" t="str">
        <f>LEFT(Ramen_Ratings[[#This Row],[Top Ten]],4)</f>
        <v>2016</v>
      </c>
      <c r="K1235" t="str">
        <f>IF(Ramen_Ratings[[#This Row],[Top Ten]]="", "",RIGHT(Ramen_Ratings[[#This Row],[Top Ten]],LEN(Ramen_Ratings[[#This Row],[Top Ten]])-6))</f>
        <v>1</v>
      </c>
    </row>
    <row r="1236" spans="1:11" x14ac:dyDescent="0.25">
      <c r="A1236">
        <v>992</v>
      </c>
      <c r="B1236" t="s">
        <v>757</v>
      </c>
      <c r="C1236" t="s">
        <v>1873</v>
      </c>
      <c r="D1236" t="s">
        <v>13</v>
      </c>
      <c r="E1236" t="s">
        <v>35</v>
      </c>
      <c r="F1236" t="str">
        <f>VLOOKUP(Ramen_Ratings[[#This Row],[Country]],Country_Region[#All],2,FALSE)</f>
        <v>Asia</v>
      </c>
      <c r="G1236">
        <v>5</v>
      </c>
      <c r="H1236" t="str" cm="1">
        <f t="array" ref="H1236">_xlfn.IFS(Ramen_Ratings[[#This Row],[Stars]] = "Unrated", "NA",Ramen_Ratings[[#This Row],[Stars]]&gt;=4, "Good", Ramen_Ratings[[#This Row],[Stars]]&gt;2.5, "Fair", Ramen_Ratings[[#This Row],[Stars]] &gt;= 0, "Bad")</f>
        <v>Good</v>
      </c>
      <c r="I1236" t="s">
        <v>1874</v>
      </c>
      <c r="J1236" t="str">
        <f>LEFT(Ramen_Ratings[[#This Row],[Top Ten]],4)</f>
        <v>2013</v>
      </c>
      <c r="K1236" t="str">
        <f>IF(Ramen_Ratings[[#This Row],[Top Ten]]="", "",RIGHT(Ramen_Ratings[[#This Row],[Top Ten]],LEN(Ramen_Ratings[[#This Row],[Top Ten]])-6))</f>
        <v>1</v>
      </c>
    </row>
    <row r="1237" spans="1:11" x14ac:dyDescent="0.25">
      <c r="A1237">
        <v>2571</v>
      </c>
      <c r="B1237" t="s">
        <v>33</v>
      </c>
      <c r="C1237" t="s">
        <v>34</v>
      </c>
      <c r="D1237" t="s">
        <v>13</v>
      </c>
      <c r="E1237" t="s">
        <v>35</v>
      </c>
      <c r="F1237" t="str">
        <f>VLOOKUP(Ramen_Ratings[[#This Row],[Country]],Country_Region[#All],2,FALSE)</f>
        <v>Asia</v>
      </c>
      <c r="G1237">
        <v>2.5</v>
      </c>
      <c r="H1237" t="str" cm="1">
        <f t="array" ref="H1237">_xlfn.IFS(Ramen_Ratings[[#This Row],[Stars]] = "Unrated", "NA",Ramen_Ratings[[#This Row],[Stars]]&gt;=4, "Good", Ramen_Ratings[[#This Row],[Stars]]&gt;2.5, "Fair", Ramen_Ratings[[#This Row],[Stars]] &gt;= 0, "Bad")</f>
        <v>Bad</v>
      </c>
      <c r="J1237" t="str">
        <f>LEFT(Ramen_Ratings[[#This Row],[Top Ten]],4)</f>
        <v/>
      </c>
      <c r="K1237" t="str">
        <f>IF(Ramen_Ratings[[#This Row],[Top Ten]]="", "",RIGHT(Ramen_Ratings[[#This Row],[Top Ten]],LEN(Ramen_Ratings[[#This Row],[Top Ten]])-6))</f>
        <v/>
      </c>
    </row>
    <row r="1238" spans="1:11" x14ac:dyDescent="0.25">
      <c r="A1238">
        <v>2565</v>
      </c>
      <c r="B1238" t="s">
        <v>33</v>
      </c>
      <c r="C1238" t="s">
        <v>47</v>
      </c>
      <c r="D1238" t="s">
        <v>9</v>
      </c>
      <c r="E1238" t="s">
        <v>35</v>
      </c>
      <c r="F1238" t="str">
        <f>VLOOKUP(Ramen_Ratings[[#This Row],[Country]],Country_Region[#All],2,FALSE)</f>
        <v>Asia</v>
      </c>
      <c r="G1238">
        <v>3.5</v>
      </c>
      <c r="H1238" t="str" cm="1">
        <f t="array" ref="H1238">_xlfn.IFS(Ramen_Ratings[[#This Row],[Stars]] = "Unrated", "NA",Ramen_Ratings[[#This Row],[Stars]]&gt;=4, "Good", Ramen_Ratings[[#This Row],[Stars]]&gt;2.5, "Fair", Ramen_Ratings[[#This Row],[Stars]] &gt;= 0, "Bad")</f>
        <v>Fair</v>
      </c>
      <c r="J1238" t="str">
        <f>LEFT(Ramen_Ratings[[#This Row],[Top Ten]],4)</f>
        <v/>
      </c>
      <c r="K1238" t="str">
        <f>IF(Ramen_Ratings[[#This Row],[Top Ten]]="", "",RIGHT(Ramen_Ratings[[#This Row],[Top Ten]],LEN(Ramen_Ratings[[#This Row],[Top Ten]])-6))</f>
        <v/>
      </c>
    </row>
    <row r="1239" spans="1:11" x14ac:dyDescent="0.25">
      <c r="A1239">
        <v>2558</v>
      </c>
      <c r="B1239" t="s">
        <v>33</v>
      </c>
      <c r="C1239" t="s">
        <v>59</v>
      </c>
      <c r="D1239" t="s">
        <v>9</v>
      </c>
      <c r="E1239" t="s">
        <v>35</v>
      </c>
      <c r="F1239" t="str">
        <f>VLOOKUP(Ramen_Ratings[[#This Row],[Country]],Country_Region[#All],2,FALSE)</f>
        <v>Asia</v>
      </c>
      <c r="G1239">
        <v>5</v>
      </c>
      <c r="H1239" t="str" cm="1">
        <f t="array" ref="H1239">_xlfn.IFS(Ramen_Ratings[[#This Row],[Stars]] = "Unrated", "NA",Ramen_Ratings[[#This Row],[Stars]]&gt;=4, "Good", Ramen_Ratings[[#This Row],[Stars]]&gt;2.5, "Fair", Ramen_Ratings[[#This Row],[Stars]] &gt;= 0, "Bad")</f>
        <v>Good</v>
      </c>
      <c r="J1239" t="str">
        <f>LEFT(Ramen_Ratings[[#This Row],[Top Ten]],4)</f>
        <v/>
      </c>
      <c r="K1239" t="str">
        <f>IF(Ramen_Ratings[[#This Row],[Top Ten]]="", "",RIGHT(Ramen_Ratings[[#This Row],[Top Ten]],LEN(Ramen_Ratings[[#This Row],[Top Ten]])-6))</f>
        <v/>
      </c>
    </row>
    <row r="1240" spans="1:11" x14ac:dyDescent="0.25">
      <c r="A1240">
        <v>2551</v>
      </c>
      <c r="B1240" t="s">
        <v>33</v>
      </c>
      <c r="C1240" t="s">
        <v>70</v>
      </c>
      <c r="D1240" t="s">
        <v>13</v>
      </c>
      <c r="E1240" t="s">
        <v>35</v>
      </c>
      <c r="F1240" t="str">
        <f>VLOOKUP(Ramen_Ratings[[#This Row],[Country]],Country_Region[#All],2,FALSE)</f>
        <v>Asia</v>
      </c>
      <c r="G1240">
        <v>4</v>
      </c>
      <c r="H1240" t="str" cm="1">
        <f t="array" ref="H1240">_xlfn.IFS(Ramen_Ratings[[#This Row],[Stars]] = "Unrated", "NA",Ramen_Ratings[[#This Row],[Stars]]&gt;=4, "Good", Ramen_Ratings[[#This Row],[Stars]]&gt;2.5, "Fair", Ramen_Ratings[[#This Row],[Stars]] &gt;= 0, "Bad")</f>
        <v>Good</v>
      </c>
      <c r="J1240" t="str">
        <f>LEFT(Ramen_Ratings[[#This Row],[Top Ten]],4)</f>
        <v/>
      </c>
      <c r="K1240" t="str">
        <f>IF(Ramen_Ratings[[#This Row],[Top Ten]]="", "",RIGHT(Ramen_Ratings[[#This Row],[Top Ten]],LEN(Ramen_Ratings[[#This Row],[Top Ten]])-6))</f>
        <v/>
      </c>
    </row>
    <row r="1241" spans="1:11" x14ac:dyDescent="0.25">
      <c r="A1241">
        <v>2545</v>
      </c>
      <c r="B1241" t="s">
        <v>33</v>
      </c>
      <c r="C1241" t="s">
        <v>81</v>
      </c>
      <c r="D1241" t="s">
        <v>13</v>
      </c>
      <c r="E1241" t="s">
        <v>35</v>
      </c>
      <c r="F1241" t="str">
        <f>VLOOKUP(Ramen_Ratings[[#This Row],[Country]],Country_Region[#All],2,FALSE)</f>
        <v>Asia</v>
      </c>
      <c r="G1241">
        <v>5</v>
      </c>
      <c r="H1241" t="str" cm="1">
        <f t="array" ref="H1241">_xlfn.IFS(Ramen_Ratings[[#This Row],[Stars]] = "Unrated", "NA",Ramen_Ratings[[#This Row],[Stars]]&gt;=4, "Good", Ramen_Ratings[[#This Row],[Stars]]&gt;2.5, "Fair", Ramen_Ratings[[#This Row],[Stars]] &gt;= 0, "Bad")</f>
        <v>Good</v>
      </c>
      <c r="J1241" t="str">
        <f>LEFT(Ramen_Ratings[[#This Row],[Top Ten]],4)</f>
        <v/>
      </c>
      <c r="K1241" t="str">
        <f>IF(Ramen_Ratings[[#This Row],[Top Ten]]="", "",RIGHT(Ramen_Ratings[[#This Row],[Top Ten]],LEN(Ramen_Ratings[[#This Row],[Top Ten]])-6))</f>
        <v/>
      </c>
    </row>
    <row r="1242" spans="1:11" x14ac:dyDescent="0.25">
      <c r="A1242">
        <v>2543</v>
      </c>
      <c r="B1242" t="s">
        <v>33</v>
      </c>
      <c r="C1242" t="s">
        <v>85</v>
      </c>
      <c r="D1242" t="s">
        <v>9</v>
      </c>
      <c r="E1242" t="s">
        <v>35</v>
      </c>
      <c r="F1242" t="str">
        <f>VLOOKUP(Ramen_Ratings[[#This Row],[Country]],Country_Region[#All],2,FALSE)</f>
        <v>Asia</v>
      </c>
      <c r="G1242">
        <v>5</v>
      </c>
      <c r="H1242" t="str" cm="1">
        <f t="array" ref="H1242">_xlfn.IFS(Ramen_Ratings[[#This Row],[Stars]] = "Unrated", "NA",Ramen_Ratings[[#This Row],[Stars]]&gt;=4, "Good", Ramen_Ratings[[#This Row],[Stars]]&gt;2.5, "Fair", Ramen_Ratings[[#This Row],[Stars]] &gt;= 0, "Bad")</f>
        <v>Good</v>
      </c>
      <c r="J1242" t="str">
        <f>LEFT(Ramen_Ratings[[#This Row],[Top Ten]],4)</f>
        <v/>
      </c>
      <c r="K1242" t="str">
        <f>IF(Ramen_Ratings[[#This Row],[Top Ten]]="", "",RIGHT(Ramen_Ratings[[#This Row],[Top Ten]],LEN(Ramen_Ratings[[#This Row],[Top Ten]])-6))</f>
        <v/>
      </c>
    </row>
    <row r="1243" spans="1:11" x14ac:dyDescent="0.25">
      <c r="A1243">
        <v>2537</v>
      </c>
      <c r="B1243" t="s">
        <v>15</v>
      </c>
      <c r="C1243" t="s">
        <v>91</v>
      </c>
      <c r="D1243" t="s">
        <v>9</v>
      </c>
      <c r="E1243" t="s">
        <v>35</v>
      </c>
      <c r="F1243" t="str">
        <f>VLOOKUP(Ramen_Ratings[[#This Row],[Country]],Country_Region[#All],2,FALSE)</f>
        <v>Asia</v>
      </c>
      <c r="G1243">
        <v>5</v>
      </c>
      <c r="H1243" t="str" cm="1">
        <f t="array" ref="H1243">_xlfn.IFS(Ramen_Ratings[[#This Row],[Stars]] = "Unrated", "NA",Ramen_Ratings[[#This Row],[Stars]]&gt;=4, "Good", Ramen_Ratings[[#This Row],[Stars]]&gt;2.5, "Fair", Ramen_Ratings[[#This Row],[Stars]] &gt;= 0, "Bad")</f>
        <v>Good</v>
      </c>
      <c r="J1243" t="str">
        <f>LEFT(Ramen_Ratings[[#This Row],[Top Ten]],4)</f>
        <v/>
      </c>
      <c r="K1243" t="str">
        <f>IF(Ramen_Ratings[[#This Row],[Top Ten]]="", "",RIGHT(Ramen_Ratings[[#This Row],[Top Ten]],LEN(Ramen_Ratings[[#This Row],[Top Ten]])-6))</f>
        <v/>
      </c>
    </row>
    <row r="1244" spans="1:11" x14ac:dyDescent="0.25">
      <c r="A1244">
        <v>2528</v>
      </c>
      <c r="B1244" t="s">
        <v>104</v>
      </c>
      <c r="C1244" t="s">
        <v>105</v>
      </c>
      <c r="D1244" t="s">
        <v>13</v>
      </c>
      <c r="E1244" t="s">
        <v>35</v>
      </c>
      <c r="F1244" t="str">
        <f>VLOOKUP(Ramen_Ratings[[#This Row],[Country]],Country_Region[#All],2,FALSE)</f>
        <v>Asia</v>
      </c>
      <c r="G1244">
        <v>5</v>
      </c>
      <c r="H1244" t="str" cm="1">
        <f t="array" ref="H1244">_xlfn.IFS(Ramen_Ratings[[#This Row],[Stars]] = "Unrated", "NA",Ramen_Ratings[[#This Row],[Stars]]&gt;=4, "Good", Ramen_Ratings[[#This Row],[Stars]]&gt;2.5, "Fair", Ramen_Ratings[[#This Row],[Stars]] &gt;= 0, "Bad")</f>
        <v>Good</v>
      </c>
      <c r="J1244" t="str">
        <f>LEFT(Ramen_Ratings[[#This Row],[Top Ten]],4)</f>
        <v/>
      </c>
      <c r="K1244" t="str">
        <f>IF(Ramen_Ratings[[#This Row],[Top Ten]]="", "",RIGHT(Ramen_Ratings[[#This Row],[Top Ten]],LEN(Ramen_Ratings[[#This Row],[Top Ten]])-6))</f>
        <v/>
      </c>
    </row>
    <row r="1245" spans="1:11" x14ac:dyDescent="0.25">
      <c r="A1245">
        <v>2524</v>
      </c>
      <c r="B1245" t="s">
        <v>15</v>
      </c>
      <c r="C1245" t="s">
        <v>110</v>
      </c>
      <c r="D1245" t="s">
        <v>13</v>
      </c>
      <c r="E1245" t="s">
        <v>35</v>
      </c>
      <c r="F1245" t="str">
        <f>VLOOKUP(Ramen_Ratings[[#This Row],[Country]],Country_Region[#All],2,FALSE)</f>
        <v>Asia</v>
      </c>
      <c r="G1245">
        <v>5</v>
      </c>
      <c r="H1245" t="str" cm="1">
        <f t="array" ref="H1245">_xlfn.IFS(Ramen_Ratings[[#This Row],[Stars]] = "Unrated", "NA",Ramen_Ratings[[#This Row],[Stars]]&gt;=4, "Good", Ramen_Ratings[[#This Row],[Stars]]&gt;2.5, "Fair", Ramen_Ratings[[#This Row],[Stars]] &gt;= 0, "Bad")</f>
        <v>Good</v>
      </c>
      <c r="J1245" t="str">
        <f>LEFT(Ramen_Ratings[[#This Row],[Top Ten]],4)</f>
        <v/>
      </c>
      <c r="K1245" t="str">
        <f>IF(Ramen_Ratings[[#This Row],[Top Ten]]="", "",RIGHT(Ramen_Ratings[[#This Row],[Top Ten]],LEN(Ramen_Ratings[[#This Row],[Top Ten]])-6))</f>
        <v/>
      </c>
    </row>
    <row r="1246" spans="1:11" x14ac:dyDescent="0.25">
      <c r="A1246">
        <v>2521</v>
      </c>
      <c r="B1246" t="s">
        <v>15</v>
      </c>
      <c r="C1246" t="s">
        <v>114</v>
      </c>
      <c r="D1246" t="s">
        <v>13</v>
      </c>
      <c r="E1246" t="s">
        <v>35</v>
      </c>
      <c r="F1246" t="str">
        <f>VLOOKUP(Ramen_Ratings[[#This Row],[Country]],Country_Region[#All],2,FALSE)</f>
        <v>Asia</v>
      </c>
      <c r="G1246">
        <v>4.5</v>
      </c>
      <c r="H1246" t="str" cm="1">
        <f t="array" ref="H1246">_xlfn.IFS(Ramen_Ratings[[#This Row],[Stars]] = "Unrated", "NA",Ramen_Ratings[[#This Row],[Stars]]&gt;=4, "Good", Ramen_Ratings[[#This Row],[Stars]]&gt;2.5, "Fair", Ramen_Ratings[[#This Row],[Stars]] &gt;= 0, "Bad")</f>
        <v>Good</v>
      </c>
      <c r="J1246" t="str">
        <f>LEFT(Ramen_Ratings[[#This Row],[Top Ten]],4)</f>
        <v/>
      </c>
      <c r="K1246" t="str">
        <f>IF(Ramen_Ratings[[#This Row],[Top Ten]]="", "",RIGHT(Ramen_Ratings[[#This Row],[Top Ten]],LEN(Ramen_Ratings[[#This Row],[Top Ten]])-6))</f>
        <v/>
      </c>
    </row>
    <row r="1247" spans="1:11" x14ac:dyDescent="0.25">
      <c r="A1247">
        <v>2520</v>
      </c>
      <c r="B1247" t="s">
        <v>15</v>
      </c>
      <c r="C1247" t="s">
        <v>115</v>
      </c>
      <c r="D1247" t="s">
        <v>9</v>
      </c>
      <c r="E1247" t="s">
        <v>35</v>
      </c>
      <c r="F1247" t="str">
        <f>VLOOKUP(Ramen_Ratings[[#This Row],[Country]],Country_Region[#All],2,FALSE)</f>
        <v>Asia</v>
      </c>
      <c r="G1247">
        <v>5</v>
      </c>
      <c r="H1247" t="str" cm="1">
        <f t="array" ref="H1247">_xlfn.IFS(Ramen_Ratings[[#This Row],[Stars]] = "Unrated", "NA",Ramen_Ratings[[#This Row],[Stars]]&gt;=4, "Good", Ramen_Ratings[[#This Row],[Stars]]&gt;2.5, "Fair", Ramen_Ratings[[#This Row],[Stars]] &gt;= 0, "Bad")</f>
        <v>Good</v>
      </c>
      <c r="J1247" t="str">
        <f>LEFT(Ramen_Ratings[[#This Row],[Top Ten]],4)</f>
        <v/>
      </c>
      <c r="K1247" t="str">
        <f>IF(Ramen_Ratings[[#This Row],[Top Ten]]="", "",RIGHT(Ramen_Ratings[[#This Row],[Top Ten]],LEN(Ramen_Ratings[[#This Row],[Top Ten]])-6))</f>
        <v/>
      </c>
    </row>
    <row r="1248" spans="1:11" x14ac:dyDescent="0.25">
      <c r="A1248">
        <v>2506</v>
      </c>
      <c r="B1248" t="s">
        <v>33</v>
      </c>
      <c r="C1248" t="s">
        <v>137</v>
      </c>
      <c r="D1248" t="s">
        <v>13</v>
      </c>
      <c r="E1248" t="s">
        <v>35</v>
      </c>
      <c r="F1248" t="str">
        <f>VLOOKUP(Ramen_Ratings[[#This Row],[Country]],Country_Region[#All],2,FALSE)</f>
        <v>Asia</v>
      </c>
      <c r="G1248">
        <v>3.75</v>
      </c>
      <c r="H1248" t="str" cm="1">
        <f t="array" ref="H1248">_xlfn.IFS(Ramen_Ratings[[#This Row],[Stars]] = "Unrated", "NA",Ramen_Ratings[[#This Row],[Stars]]&gt;=4, "Good", Ramen_Ratings[[#This Row],[Stars]]&gt;2.5, "Fair", Ramen_Ratings[[#This Row],[Stars]] &gt;= 0, "Bad")</f>
        <v>Fair</v>
      </c>
      <c r="J1248" t="str">
        <f>LEFT(Ramen_Ratings[[#This Row],[Top Ten]],4)</f>
        <v/>
      </c>
      <c r="K1248" t="str">
        <f>IF(Ramen_Ratings[[#This Row],[Top Ten]]="", "",RIGHT(Ramen_Ratings[[#This Row],[Top Ten]],LEN(Ramen_Ratings[[#This Row],[Top Ten]])-6))</f>
        <v/>
      </c>
    </row>
    <row r="1249" spans="1:11" x14ac:dyDescent="0.25">
      <c r="A1249">
        <v>2499</v>
      </c>
      <c r="B1249" t="s">
        <v>33</v>
      </c>
      <c r="C1249" t="s">
        <v>147</v>
      </c>
      <c r="D1249" t="s">
        <v>9</v>
      </c>
      <c r="E1249" t="s">
        <v>35</v>
      </c>
      <c r="F1249" t="str">
        <f>VLOOKUP(Ramen_Ratings[[#This Row],[Country]],Country_Region[#All],2,FALSE)</f>
        <v>Asia</v>
      </c>
      <c r="G1249">
        <v>5</v>
      </c>
      <c r="H1249" t="str" cm="1">
        <f t="array" ref="H1249">_xlfn.IFS(Ramen_Ratings[[#This Row],[Stars]] = "Unrated", "NA",Ramen_Ratings[[#This Row],[Stars]]&gt;=4, "Good", Ramen_Ratings[[#This Row],[Stars]]&gt;2.5, "Fair", Ramen_Ratings[[#This Row],[Stars]] &gt;= 0, "Bad")</f>
        <v>Good</v>
      </c>
      <c r="J1249" t="str">
        <f>LEFT(Ramen_Ratings[[#This Row],[Top Ten]],4)</f>
        <v/>
      </c>
      <c r="K1249" t="str">
        <f>IF(Ramen_Ratings[[#This Row],[Top Ten]]="", "",RIGHT(Ramen_Ratings[[#This Row],[Top Ten]],LEN(Ramen_Ratings[[#This Row],[Top Ten]])-6))</f>
        <v/>
      </c>
    </row>
    <row r="1250" spans="1:11" x14ac:dyDescent="0.25">
      <c r="A1250">
        <v>2469</v>
      </c>
      <c r="B1250" t="s">
        <v>33</v>
      </c>
      <c r="C1250" t="s">
        <v>185</v>
      </c>
      <c r="D1250" t="s">
        <v>9</v>
      </c>
      <c r="E1250" t="s">
        <v>35</v>
      </c>
      <c r="F1250" t="str">
        <f>VLOOKUP(Ramen_Ratings[[#This Row],[Country]],Country_Region[#All],2,FALSE)</f>
        <v>Asia</v>
      </c>
      <c r="G1250">
        <v>3.5</v>
      </c>
      <c r="H1250" t="str" cm="1">
        <f t="array" ref="H1250">_xlfn.IFS(Ramen_Ratings[[#This Row],[Stars]] = "Unrated", "NA",Ramen_Ratings[[#This Row],[Stars]]&gt;=4, "Good", Ramen_Ratings[[#This Row],[Stars]]&gt;2.5, "Fair", Ramen_Ratings[[#This Row],[Stars]] &gt;= 0, "Bad")</f>
        <v>Fair</v>
      </c>
      <c r="J1250" t="str">
        <f>LEFT(Ramen_Ratings[[#This Row],[Top Ten]],4)</f>
        <v/>
      </c>
      <c r="K1250" t="str">
        <f>IF(Ramen_Ratings[[#This Row],[Top Ten]]="", "",RIGHT(Ramen_Ratings[[#This Row],[Top Ten]],LEN(Ramen_Ratings[[#This Row],[Top Ten]])-6))</f>
        <v/>
      </c>
    </row>
    <row r="1251" spans="1:11" x14ac:dyDescent="0.25">
      <c r="A1251">
        <v>2457</v>
      </c>
      <c r="B1251" t="s">
        <v>33</v>
      </c>
      <c r="C1251" t="s">
        <v>200</v>
      </c>
      <c r="D1251" t="s">
        <v>13</v>
      </c>
      <c r="E1251" t="s">
        <v>35</v>
      </c>
      <c r="F1251" t="str">
        <f>VLOOKUP(Ramen_Ratings[[#This Row],[Country]],Country_Region[#All],2,FALSE)</f>
        <v>Asia</v>
      </c>
      <c r="G1251">
        <v>3.5</v>
      </c>
      <c r="H1251" t="str" cm="1">
        <f t="array" ref="H1251">_xlfn.IFS(Ramen_Ratings[[#This Row],[Stars]] = "Unrated", "NA",Ramen_Ratings[[#This Row],[Stars]]&gt;=4, "Good", Ramen_Ratings[[#This Row],[Stars]]&gt;2.5, "Fair", Ramen_Ratings[[#This Row],[Stars]] &gt;= 0, "Bad")</f>
        <v>Fair</v>
      </c>
      <c r="J1251" t="str">
        <f>LEFT(Ramen_Ratings[[#This Row],[Top Ten]],4)</f>
        <v/>
      </c>
      <c r="K1251" t="str">
        <f>IF(Ramen_Ratings[[#This Row],[Top Ten]]="", "",RIGHT(Ramen_Ratings[[#This Row],[Top Ten]],LEN(Ramen_Ratings[[#This Row],[Top Ten]])-6))</f>
        <v/>
      </c>
    </row>
    <row r="1252" spans="1:11" x14ac:dyDescent="0.25">
      <c r="A1252">
        <v>2456</v>
      </c>
      <c r="B1252" t="s">
        <v>33</v>
      </c>
      <c r="C1252" t="s">
        <v>201</v>
      </c>
      <c r="D1252" t="s">
        <v>13</v>
      </c>
      <c r="E1252" t="s">
        <v>35</v>
      </c>
      <c r="F1252" t="str">
        <f>VLOOKUP(Ramen_Ratings[[#This Row],[Country]],Country_Region[#All],2,FALSE)</f>
        <v>Asia</v>
      </c>
      <c r="G1252">
        <v>4.25</v>
      </c>
      <c r="H1252" t="str" cm="1">
        <f t="array" ref="H1252">_xlfn.IFS(Ramen_Ratings[[#This Row],[Stars]] = "Unrated", "NA",Ramen_Ratings[[#This Row],[Stars]]&gt;=4, "Good", Ramen_Ratings[[#This Row],[Stars]]&gt;2.5, "Fair", Ramen_Ratings[[#This Row],[Stars]] &gt;= 0, "Bad")</f>
        <v>Good</v>
      </c>
      <c r="J1252" t="str">
        <f>LEFT(Ramen_Ratings[[#This Row],[Top Ten]],4)</f>
        <v/>
      </c>
      <c r="K1252" t="str">
        <f>IF(Ramen_Ratings[[#This Row],[Top Ten]]="", "",RIGHT(Ramen_Ratings[[#This Row],[Top Ten]],LEN(Ramen_Ratings[[#This Row],[Top Ten]])-6))</f>
        <v/>
      </c>
    </row>
    <row r="1253" spans="1:11" x14ac:dyDescent="0.25">
      <c r="A1253">
        <v>2455</v>
      </c>
      <c r="B1253" t="s">
        <v>33</v>
      </c>
      <c r="C1253" t="s">
        <v>202</v>
      </c>
      <c r="D1253" t="s">
        <v>9</v>
      </c>
      <c r="E1253" t="s">
        <v>35</v>
      </c>
      <c r="F1253" t="str">
        <f>VLOOKUP(Ramen_Ratings[[#This Row],[Country]],Country_Region[#All],2,FALSE)</f>
        <v>Asia</v>
      </c>
      <c r="G1253">
        <v>5</v>
      </c>
      <c r="H1253" t="str" cm="1">
        <f t="array" ref="H1253">_xlfn.IFS(Ramen_Ratings[[#This Row],[Stars]] = "Unrated", "NA",Ramen_Ratings[[#This Row],[Stars]]&gt;=4, "Good", Ramen_Ratings[[#This Row],[Stars]]&gt;2.5, "Fair", Ramen_Ratings[[#This Row],[Stars]] &gt;= 0, "Bad")</f>
        <v>Good</v>
      </c>
      <c r="J1253" t="str">
        <f>LEFT(Ramen_Ratings[[#This Row],[Top Ten]],4)</f>
        <v/>
      </c>
      <c r="K1253" t="str">
        <f>IF(Ramen_Ratings[[#This Row],[Top Ten]]="", "",RIGHT(Ramen_Ratings[[#This Row],[Top Ten]],LEN(Ramen_Ratings[[#This Row],[Top Ten]])-6))</f>
        <v/>
      </c>
    </row>
    <row r="1254" spans="1:11" x14ac:dyDescent="0.25">
      <c r="A1254">
        <v>2454</v>
      </c>
      <c r="B1254" t="s">
        <v>33</v>
      </c>
      <c r="C1254" t="s">
        <v>203</v>
      </c>
      <c r="D1254" t="s">
        <v>44</v>
      </c>
      <c r="E1254" t="s">
        <v>35</v>
      </c>
      <c r="F1254" t="str">
        <f>VLOOKUP(Ramen_Ratings[[#This Row],[Country]],Country_Region[#All],2,FALSE)</f>
        <v>Asia</v>
      </c>
      <c r="G1254">
        <v>3.25</v>
      </c>
      <c r="H1254" t="str" cm="1">
        <f t="array" ref="H1254">_xlfn.IFS(Ramen_Ratings[[#This Row],[Stars]] = "Unrated", "NA",Ramen_Ratings[[#This Row],[Stars]]&gt;=4, "Good", Ramen_Ratings[[#This Row],[Stars]]&gt;2.5, "Fair", Ramen_Ratings[[#This Row],[Stars]] &gt;= 0, "Bad")</f>
        <v>Fair</v>
      </c>
      <c r="J1254" t="str">
        <f>LEFT(Ramen_Ratings[[#This Row],[Top Ten]],4)</f>
        <v/>
      </c>
      <c r="K1254" t="str">
        <f>IF(Ramen_Ratings[[#This Row],[Top Ten]]="", "",RIGHT(Ramen_Ratings[[#This Row],[Top Ten]],LEN(Ramen_Ratings[[#This Row],[Top Ten]])-6))</f>
        <v/>
      </c>
    </row>
    <row r="1255" spans="1:11" x14ac:dyDescent="0.25">
      <c r="A1255">
        <v>2453</v>
      </c>
      <c r="B1255" t="s">
        <v>33</v>
      </c>
      <c r="C1255" t="s">
        <v>204</v>
      </c>
      <c r="D1255" t="s">
        <v>13</v>
      </c>
      <c r="E1255" t="s">
        <v>35</v>
      </c>
      <c r="F1255" t="str">
        <f>VLOOKUP(Ramen_Ratings[[#This Row],[Country]],Country_Region[#All],2,FALSE)</f>
        <v>Asia</v>
      </c>
      <c r="G1255">
        <v>4.5</v>
      </c>
      <c r="H1255" t="str" cm="1">
        <f t="array" ref="H1255">_xlfn.IFS(Ramen_Ratings[[#This Row],[Stars]] = "Unrated", "NA",Ramen_Ratings[[#This Row],[Stars]]&gt;=4, "Good", Ramen_Ratings[[#This Row],[Stars]]&gt;2.5, "Fair", Ramen_Ratings[[#This Row],[Stars]] &gt;= 0, "Bad")</f>
        <v>Good</v>
      </c>
      <c r="J1255" t="str">
        <f>LEFT(Ramen_Ratings[[#This Row],[Top Ten]],4)</f>
        <v/>
      </c>
      <c r="K1255" t="str">
        <f>IF(Ramen_Ratings[[#This Row],[Top Ten]]="", "",RIGHT(Ramen_Ratings[[#This Row],[Top Ten]],LEN(Ramen_Ratings[[#This Row],[Top Ten]])-6))</f>
        <v/>
      </c>
    </row>
    <row r="1256" spans="1:11" x14ac:dyDescent="0.25">
      <c r="A1256">
        <v>2452</v>
      </c>
      <c r="B1256" t="s">
        <v>33</v>
      </c>
      <c r="C1256" t="s">
        <v>205</v>
      </c>
      <c r="D1256" t="s">
        <v>44</v>
      </c>
      <c r="E1256" t="s">
        <v>35</v>
      </c>
      <c r="F1256" t="str">
        <f>VLOOKUP(Ramen_Ratings[[#This Row],[Country]],Country_Region[#All],2,FALSE)</f>
        <v>Asia</v>
      </c>
      <c r="G1256">
        <v>5</v>
      </c>
      <c r="H1256" t="str" cm="1">
        <f t="array" ref="H1256">_xlfn.IFS(Ramen_Ratings[[#This Row],[Stars]] = "Unrated", "NA",Ramen_Ratings[[#This Row],[Stars]]&gt;=4, "Good", Ramen_Ratings[[#This Row],[Stars]]&gt;2.5, "Fair", Ramen_Ratings[[#This Row],[Stars]] &gt;= 0, "Bad")</f>
        <v>Good</v>
      </c>
      <c r="J1256" t="str">
        <f>LEFT(Ramen_Ratings[[#This Row],[Top Ten]],4)</f>
        <v/>
      </c>
      <c r="K1256" t="str">
        <f>IF(Ramen_Ratings[[#This Row],[Top Ten]]="", "",RIGHT(Ramen_Ratings[[#This Row],[Top Ten]],LEN(Ramen_Ratings[[#This Row],[Top Ten]])-6))</f>
        <v/>
      </c>
    </row>
    <row r="1257" spans="1:11" x14ac:dyDescent="0.25">
      <c r="A1257">
        <v>2451</v>
      </c>
      <c r="B1257" t="s">
        <v>33</v>
      </c>
      <c r="C1257" t="s">
        <v>206</v>
      </c>
      <c r="D1257" t="s">
        <v>13</v>
      </c>
      <c r="E1257" t="s">
        <v>35</v>
      </c>
      <c r="F1257" t="str">
        <f>VLOOKUP(Ramen_Ratings[[#This Row],[Country]],Country_Region[#All],2,FALSE)</f>
        <v>Asia</v>
      </c>
      <c r="G1257">
        <v>5</v>
      </c>
      <c r="H1257" t="str" cm="1">
        <f t="array" ref="H1257">_xlfn.IFS(Ramen_Ratings[[#This Row],[Stars]] = "Unrated", "NA",Ramen_Ratings[[#This Row],[Stars]]&gt;=4, "Good", Ramen_Ratings[[#This Row],[Stars]]&gt;2.5, "Fair", Ramen_Ratings[[#This Row],[Stars]] &gt;= 0, "Bad")</f>
        <v>Good</v>
      </c>
      <c r="J1257" t="str">
        <f>LEFT(Ramen_Ratings[[#This Row],[Top Ten]],4)</f>
        <v/>
      </c>
      <c r="K1257" t="str">
        <f>IF(Ramen_Ratings[[#This Row],[Top Ten]]="", "",RIGHT(Ramen_Ratings[[#This Row],[Top Ten]],LEN(Ramen_Ratings[[#This Row],[Top Ten]])-6))</f>
        <v/>
      </c>
    </row>
    <row r="1258" spans="1:11" x14ac:dyDescent="0.25">
      <c r="A1258">
        <v>2450</v>
      </c>
      <c r="B1258" t="s">
        <v>33</v>
      </c>
      <c r="C1258" t="s">
        <v>207</v>
      </c>
      <c r="D1258" t="s">
        <v>13</v>
      </c>
      <c r="E1258" t="s">
        <v>35</v>
      </c>
      <c r="F1258" t="str">
        <f>VLOOKUP(Ramen_Ratings[[#This Row],[Country]],Country_Region[#All],2,FALSE)</f>
        <v>Asia</v>
      </c>
      <c r="G1258">
        <v>4</v>
      </c>
      <c r="H1258" t="str" cm="1">
        <f t="array" ref="H1258">_xlfn.IFS(Ramen_Ratings[[#This Row],[Stars]] = "Unrated", "NA",Ramen_Ratings[[#This Row],[Stars]]&gt;=4, "Good", Ramen_Ratings[[#This Row],[Stars]]&gt;2.5, "Fair", Ramen_Ratings[[#This Row],[Stars]] &gt;= 0, "Bad")</f>
        <v>Good</v>
      </c>
      <c r="J1258" t="str">
        <f>LEFT(Ramen_Ratings[[#This Row],[Top Ten]],4)</f>
        <v/>
      </c>
      <c r="K1258" t="str">
        <f>IF(Ramen_Ratings[[#This Row],[Top Ten]]="", "",RIGHT(Ramen_Ratings[[#This Row],[Top Ten]],LEN(Ramen_Ratings[[#This Row],[Top Ten]])-6))</f>
        <v/>
      </c>
    </row>
    <row r="1259" spans="1:11" x14ac:dyDescent="0.25">
      <c r="A1259">
        <v>2449</v>
      </c>
      <c r="B1259" t="s">
        <v>33</v>
      </c>
      <c r="C1259" t="s">
        <v>208</v>
      </c>
      <c r="D1259" t="s">
        <v>13</v>
      </c>
      <c r="E1259" t="s">
        <v>35</v>
      </c>
      <c r="F1259" t="str">
        <f>VLOOKUP(Ramen_Ratings[[#This Row],[Country]],Country_Region[#All],2,FALSE)</f>
        <v>Asia</v>
      </c>
      <c r="G1259">
        <v>5</v>
      </c>
      <c r="H1259" t="str" cm="1">
        <f t="array" ref="H1259">_xlfn.IFS(Ramen_Ratings[[#This Row],[Stars]] = "Unrated", "NA",Ramen_Ratings[[#This Row],[Stars]]&gt;=4, "Good", Ramen_Ratings[[#This Row],[Stars]]&gt;2.5, "Fair", Ramen_Ratings[[#This Row],[Stars]] &gt;= 0, "Bad")</f>
        <v>Good</v>
      </c>
      <c r="J1259" t="str">
        <f>LEFT(Ramen_Ratings[[#This Row],[Top Ten]],4)</f>
        <v/>
      </c>
      <c r="K1259" t="str">
        <f>IF(Ramen_Ratings[[#This Row],[Top Ten]]="", "",RIGHT(Ramen_Ratings[[#This Row],[Top Ten]],LEN(Ramen_Ratings[[#This Row],[Top Ten]])-6))</f>
        <v/>
      </c>
    </row>
    <row r="1260" spans="1:11" x14ac:dyDescent="0.25">
      <c r="A1260">
        <v>2448</v>
      </c>
      <c r="B1260" t="s">
        <v>33</v>
      </c>
      <c r="C1260" t="s">
        <v>209</v>
      </c>
      <c r="D1260" t="s">
        <v>9</v>
      </c>
      <c r="E1260" t="s">
        <v>35</v>
      </c>
      <c r="F1260" t="str">
        <f>VLOOKUP(Ramen_Ratings[[#This Row],[Country]],Country_Region[#All],2,FALSE)</f>
        <v>Asia</v>
      </c>
      <c r="G1260">
        <v>3.5</v>
      </c>
      <c r="H1260" t="str" cm="1">
        <f t="array" ref="H1260">_xlfn.IFS(Ramen_Ratings[[#This Row],[Stars]] = "Unrated", "NA",Ramen_Ratings[[#This Row],[Stars]]&gt;=4, "Good", Ramen_Ratings[[#This Row],[Stars]]&gt;2.5, "Fair", Ramen_Ratings[[#This Row],[Stars]] &gt;= 0, "Bad")</f>
        <v>Fair</v>
      </c>
      <c r="J1260" t="str">
        <f>LEFT(Ramen_Ratings[[#This Row],[Top Ten]],4)</f>
        <v/>
      </c>
      <c r="K1260" t="str">
        <f>IF(Ramen_Ratings[[#This Row],[Top Ten]]="", "",RIGHT(Ramen_Ratings[[#This Row],[Top Ten]],LEN(Ramen_Ratings[[#This Row],[Top Ten]])-6))</f>
        <v/>
      </c>
    </row>
    <row r="1261" spans="1:11" x14ac:dyDescent="0.25">
      <c r="A1261">
        <v>2447</v>
      </c>
      <c r="B1261" t="s">
        <v>33</v>
      </c>
      <c r="C1261" t="s">
        <v>210</v>
      </c>
      <c r="D1261" t="s">
        <v>13</v>
      </c>
      <c r="E1261" t="s">
        <v>35</v>
      </c>
      <c r="F1261" t="str">
        <f>VLOOKUP(Ramen_Ratings[[#This Row],[Country]],Country_Region[#All],2,FALSE)</f>
        <v>Asia</v>
      </c>
      <c r="G1261">
        <v>3</v>
      </c>
      <c r="H1261" t="str" cm="1">
        <f t="array" ref="H1261">_xlfn.IFS(Ramen_Ratings[[#This Row],[Stars]] = "Unrated", "NA",Ramen_Ratings[[#This Row],[Stars]]&gt;=4, "Good", Ramen_Ratings[[#This Row],[Stars]]&gt;2.5, "Fair", Ramen_Ratings[[#This Row],[Stars]] &gt;= 0, "Bad")</f>
        <v>Fair</v>
      </c>
      <c r="J1261" t="str">
        <f>LEFT(Ramen_Ratings[[#This Row],[Top Ten]],4)</f>
        <v/>
      </c>
      <c r="K1261" t="str">
        <f>IF(Ramen_Ratings[[#This Row],[Top Ten]]="", "",RIGHT(Ramen_Ratings[[#This Row],[Top Ten]],LEN(Ramen_Ratings[[#This Row],[Top Ten]])-6))</f>
        <v/>
      </c>
    </row>
    <row r="1262" spans="1:11" x14ac:dyDescent="0.25">
      <c r="A1262">
        <v>2446</v>
      </c>
      <c r="B1262" t="s">
        <v>33</v>
      </c>
      <c r="C1262" t="s">
        <v>211</v>
      </c>
      <c r="D1262" t="s">
        <v>9</v>
      </c>
      <c r="E1262" t="s">
        <v>35</v>
      </c>
      <c r="F1262" t="str">
        <f>VLOOKUP(Ramen_Ratings[[#This Row],[Country]],Country_Region[#All],2,FALSE)</f>
        <v>Asia</v>
      </c>
      <c r="G1262">
        <v>5</v>
      </c>
      <c r="H1262" t="str" cm="1">
        <f t="array" ref="H1262">_xlfn.IFS(Ramen_Ratings[[#This Row],[Stars]] = "Unrated", "NA",Ramen_Ratings[[#This Row],[Stars]]&gt;=4, "Good", Ramen_Ratings[[#This Row],[Stars]]&gt;2.5, "Fair", Ramen_Ratings[[#This Row],[Stars]] &gt;= 0, "Bad")</f>
        <v>Good</v>
      </c>
      <c r="J1262" t="str">
        <f>LEFT(Ramen_Ratings[[#This Row],[Top Ten]],4)</f>
        <v/>
      </c>
      <c r="K1262" t="str">
        <f>IF(Ramen_Ratings[[#This Row],[Top Ten]]="", "",RIGHT(Ramen_Ratings[[#This Row],[Top Ten]],LEN(Ramen_Ratings[[#This Row],[Top Ten]])-6))</f>
        <v/>
      </c>
    </row>
    <row r="1263" spans="1:11" x14ac:dyDescent="0.25">
      <c r="A1263">
        <v>2445</v>
      </c>
      <c r="B1263" t="s">
        <v>33</v>
      </c>
      <c r="C1263" t="s">
        <v>212</v>
      </c>
      <c r="D1263" t="s">
        <v>13</v>
      </c>
      <c r="E1263" t="s">
        <v>35</v>
      </c>
      <c r="F1263" t="str">
        <f>VLOOKUP(Ramen_Ratings[[#This Row],[Country]],Country_Region[#All],2,FALSE)</f>
        <v>Asia</v>
      </c>
      <c r="G1263">
        <v>4.25</v>
      </c>
      <c r="H1263" t="str" cm="1">
        <f t="array" ref="H1263">_xlfn.IFS(Ramen_Ratings[[#This Row],[Stars]] = "Unrated", "NA",Ramen_Ratings[[#This Row],[Stars]]&gt;=4, "Good", Ramen_Ratings[[#This Row],[Stars]]&gt;2.5, "Fair", Ramen_Ratings[[#This Row],[Stars]] &gt;= 0, "Bad")</f>
        <v>Good</v>
      </c>
      <c r="J1263" t="str">
        <f>LEFT(Ramen_Ratings[[#This Row],[Top Ten]],4)</f>
        <v/>
      </c>
      <c r="K1263" t="str">
        <f>IF(Ramen_Ratings[[#This Row],[Top Ten]]="", "",RIGHT(Ramen_Ratings[[#This Row],[Top Ten]],LEN(Ramen_Ratings[[#This Row],[Top Ten]])-6))</f>
        <v/>
      </c>
    </row>
    <row r="1264" spans="1:11" x14ac:dyDescent="0.25">
      <c r="A1264">
        <v>2444</v>
      </c>
      <c r="B1264" t="s">
        <v>33</v>
      </c>
      <c r="C1264" t="s">
        <v>213</v>
      </c>
      <c r="D1264" t="s">
        <v>44</v>
      </c>
      <c r="E1264" t="s">
        <v>35</v>
      </c>
      <c r="F1264" t="str">
        <f>VLOOKUP(Ramen_Ratings[[#This Row],[Country]],Country_Region[#All],2,FALSE)</f>
        <v>Asia</v>
      </c>
      <c r="G1264">
        <v>5</v>
      </c>
      <c r="H1264" t="str" cm="1">
        <f t="array" ref="H1264">_xlfn.IFS(Ramen_Ratings[[#This Row],[Stars]] = "Unrated", "NA",Ramen_Ratings[[#This Row],[Stars]]&gt;=4, "Good", Ramen_Ratings[[#This Row],[Stars]]&gt;2.5, "Fair", Ramen_Ratings[[#This Row],[Stars]] &gt;= 0, "Bad")</f>
        <v>Good</v>
      </c>
      <c r="J1264" t="str">
        <f>LEFT(Ramen_Ratings[[#This Row],[Top Ten]],4)</f>
        <v/>
      </c>
      <c r="K1264" t="str">
        <f>IF(Ramen_Ratings[[#This Row],[Top Ten]]="", "",RIGHT(Ramen_Ratings[[#This Row],[Top Ten]],LEN(Ramen_Ratings[[#This Row],[Top Ten]])-6))</f>
        <v/>
      </c>
    </row>
    <row r="1265" spans="1:11" x14ac:dyDescent="0.25">
      <c r="A1265">
        <v>2443</v>
      </c>
      <c r="B1265" t="s">
        <v>33</v>
      </c>
      <c r="C1265" t="s">
        <v>214</v>
      </c>
      <c r="D1265" t="s">
        <v>9</v>
      </c>
      <c r="E1265" t="s">
        <v>35</v>
      </c>
      <c r="F1265" t="str">
        <f>VLOOKUP(Ramen_Ratings[[#This Row],[Country]],Country_Region[#All],2,FALSE)</f>
        <v>Asia</v>
      </c>
      <c r="G1265">
        <v>3.75</v>
      </c>
      <c r="H1265" t="str" cm="1">
        <f t="array" ref="H1265">_xlfn.IFS(Ramen_Ratings[[#This Row],[Stars]] = "Unrated", "NA",Ramen_Ratings[[#This Row],[Stars]]&gt;=4, "Good", Ramen_Ratings[[#This Row],[Stars]]&gt;2.5, "Fair", Ramen_Ratings[[#This Row],[Stars]] &gt;= 0, "Bad")</f>
        <v>Fair</v>
      </c>
      <c r="J1265" t="str">
        <f>LEFT(Ramen_Ratings[[#This Row],[Top Ten]],4)</f>
        <v/>
      </c>
      <c r="K1265" t="str">
        <f>IF(Ramen_Ratings[[#This Row],[Top Ten]]="", "",RIGHT(Ramen_Ratings[[#This Row],[Top Ten]],LEN(Ramen_Ratings[[#This Row],[Top Ten]])-6))</f>
        <v/>
      </c>
    </row>
    <row r="1266" spans="1:11" x14ac:dyDescent="0.25">
      <c r="A1266">
        <v>2404</v>
      </c>
      <c r="B1266" t="s">
        <v>67</v>
      </c>
      <c r="C1266" t="s">
        <v>268</v>
      </c>
      <c r="D1266" t="s">
        <v>13</v>
      </c>
      <c r="E1266" t="s">
        <v>35</v>
      </c>
      <c r="F1266" t="str">
        <f>VLOOKUP(Ramen_Ratings[[#This Row],[Country]],Country_Region[#All],2,FALSE)</f>
        <v>Asia</v>
      </c>
      <c r="G1266">
        <v>5</v>
      </c>
      <c r="H1266" t="str" cm="1">
        <f t="array" ref="H1266">_xlfn.IFS(Ramen_Ratings[[#This Row],[Stars]] = "Unrated", "NA",Ramen_Ratings[[#This Row],[Stars]]&gt;=4, "Good", Ramen_Ratings[[#This Row],[Stars]]&gt;2.5, "Fair", Ramen_Ratings[[#This Row],[Stars]] &gt;= 0, "Bad")</f>
        <v>Good</v>
      </c>
      <c r="J1266" t="str">
        <f>LEFT(Ramen_Ratings[[#This Row],[Top Ten]],4)</f>
        <v/>
      </c>
      <c r="K1266" t="str">
        <f>IF(Ramen_Ratings[[#This Row],[Top Ten]]="", "",RIGHT(Ramen_Ratings[[#This Row],[Top Ten]],LEN(Ramen_Ratings[[#This Row],[Top Ten]])-6))</f>
        <v/>
      </c>
    </row>
    <row r="1267" spans="1:11" x14ac:dyDescent="0.25">
      <c r="A1267">
        <v>2400</v>
      </c>
      <c r="B1267" t="s">
        <v>15</v>
      </c>
      <c r="C1267" t="s">
        <v>274</v>
      </c>
      <c r="D1267" t="s">
        <v>9</v>
      </c>
      <c r="E1267" t="s">
        <v>35</v>
      </c>
      <c r="F1267" t="str">
        <f>VLOOKUP(Ramen_Ratings[[#This Row],[Country]],Country_Region[#All],2,FALSE)</f>
        <v>Asia</v>
      </c>
      <c r="G1267">
        <v>5</v>
      </c>
      <c r="H1267" t="str" cm="1">
        <f t="array" ref="H1267">_xlfn.IFS(Ramen_Ratings[[#This Row],[Stars]] = "Unrated", "NA",Ramen_Ratings[[#This Row],[Stars]]&gt;=4, "Good", Ramen_Ratings[[#This Row],[Stars]]&gt;2.5, "Fair", Ramen_Ratings[[#This Row],[Stars]] &gt;= 0, "Bad")</f>
        <v>Good</v>
      </c>
      <c r="J1267" t="str">
        <f>LEFT(Ramen_Ratings[[#This Row],[Top Ten]],4)</f>
        <v/>
      </c>
      <c r="K1267" t="str">
        <f>IF(Ramen_Ratings[[#This Row],[Top Ten]]="", "",RIGHT(Ramen_Ratings[[#This Row],[Top Ten]],LEN(Ramen_Ratings[[#This Row],[Top Ten]])-6))</f>
        <v/>
      </c>
    </row>
    <row r="1268" spans="1:11" x14ac:dyDescent="0.25">
      <c r="A1268">
        <v>2223</v>
      </c>
      <c r="B1268" t="s">
        <v>33</v>
      </c>
      <c r="C1268" t="s">
        <v>487</v>
      </c>
      <c r="D1268" t="s">
        <v>13</v>
      </c>
      <c r="E1268" t="s">
        <v>35</v>
      </c>
      <c r="F1268" t="str">
        <f>VLOOKUP(Ramen_Ratings[[#This Row],[Country]],Country_Region[#All],2,FALSE)</f>
        <v>Asia</v>
      </c>
      <c r="G1268">
        <v>4</v>
      </c>
      <c r="H1268" t="str" cm="1">
        <f t="array" ref="H1268">_xlfn.IFS(Ramen_Ratings[[#This Row],[Stars]] = "Unrated", "NA",Ramen_Ratings[[#This Row],[Stars]]&gt;=4, "Good", Ramen_Ratings[[#This Row],[Stars]]&gt;2.5, "Fair", Ramen_Ratings[[#This Row],[Stars]] &gt;= 0, "Bad")</f>
        <v>Good</v>
      </c>
      <c r="J1268" t="str">
        <f>LEFT(Ramen_Ratings[[#This Row],[Top Ten]],4)</f>
        <v/>
      </c>
      <c r="K1268" t="str">
        <f>IF(Ramen_Ratings[[#This Row],[Top Ten]]="", "",RIGHT(Ramen_Ratings[[#This Row],[Top Ten]],LEN(Ramen_Ratings[[#This Row],[Top Ten]])-6))</f>
        <v/>
      </c>
    </row>
    <row r="1269" spans="1:11" x14ac:dyDescent="0.25">
      <c r="A1269">
        <v>2215</v>
      </c>
      <c r="B1269" t="s">
        <v>183</v>
      </c>
      <c r="C1269" t="s">
        <v>498</v>
      </c>
      <c r="D1269" t="s">
        <v>13</v>
      </c>
      <c r="E1269" t="s">
        <v>35</v>
      </c>
      <c r="F1269" t="str">
        <f>VLOOKUP(Ramen_Ratings[[#This Row],[Country]],Country_Region[#All],2,FALSE)</f>
        <v>Asia</v>
      </c>
      <c r="G1269">
        <v>5</v>
      </c>
      <c r="H1269" t="str" cm="1">
        <f t="array" ref="H1269">_xlfn.IFS(Ramen_Ratings[[#This Row],[Stars]] = "Unrated", "NA",Ramen_Ratings[[#This Row],[Stars]]&gt;=4, "Good", Ramen_Ratings[[#This Row],[Stars]]&gt;2.5, "Fair", Ramen_Ratings[[#This Row],[Stars]] &gt;= 0, "Bad")</f>
        <v>Good</v>
      </c>
      <c r="J1269" t="str">
        <f>LEFT(Ramen_Ratings[[#This Row],[Top Ten]],4)</f>
        <v/>
      </c>
      <c r="K1269" t="str">
        <f>IF(Ramen_Ratings[[#This Row],[Top Ten]]="", "",RIGHT(Ramen_Ratings[[#This Row],[Top Ten]],LEN(Ramen_Ratings[[#This Row],[Top Ten]])-6))</f>
        <v/>
      </c>
    </row>
    <row r="1270" spans="1:11" x14ac:dyDescent="0.25">
      <c r="A1270">
        <v>2169</v>
      </c>
      <c r="B1270" t="s">
        <v>549</v>
      </c>
      <c r="C1270" t="s">
        <v>550</v>
      </c>
      <c r="D1270" t="s">
        <v>13</v>
      </c>
      <c r="E1270" t="s">
        <v>35</v>
      </c>
      <c r="F1270" t="str">
        <f>VLOOKUP(Ramen_Ratings[[#This Row],[Country]],Country_Region[#All],2,FALSE)</f>
        <v>Asia</v>
      </c>
      <c r="G1270">
        <v>4</v>
      </c>
      <c r="H1270" t="str" cm="1">
        <f t="array" ref="H1270">_xlfn.IFS(Ramen_Ratings[[#This Row],[Stars]] = "Unrated", "NA",Ramen_Ratings[[#This Row],[Stars]]&gt;=4, "Good", Ramen_Ratings[[#This Row],[Stars]]&gt;2.5, "Fair", Ramen_Ratings[[#This Row],[Stars]] &gt;= 0, "Bad")</f>
        <v>Good</v>
      </c>
      <c r="J1270" t="str">
        <f>LEFT(Ramen_Ratings[[#This Row],[Top Ten]],4)</f>
        <v/>
      </c>
      <c r="K1270" t="str">
        <f>IF(Ramen_Ratings[[#This Row],[Top Ten]]="", "",RIGHT(Ramen_Ratings[[#This Row],[Top Ten]],LEN(Ramen_Ratings[[#This Row],[Top Ten]])-6))</f>
        <v/>
      </c>
    </row>
    <row r="1271" spans="1:11" x14ac:dyDescent="0.25">
      <c r="A1271">
        <v>2131</v>
      </c>
      <c r="B1271" t="s">
        <v>183</v>
      </c>
      <c r="C1271" t="s">
        <v>593</v>
      </c>
      <c r="D1271" t="s">
        <v>13</v>
      </c>
      <c r="E1271" t="s">
        <v>35</v>
      </c>
      <c r="F1271" t="str">
        <f>VLOOKUP(Ramen_Ratings[[#This Row],[Country]],Country_Region[#All],2,FALSE)</f>
        <v>Asia</v>
      </c>
      <c r="G1271">
        <v>4</v>
      </c>
      <c r="H1271" t="str" cm="1">
        <f t="array" ref="H1271">_xlfn.IFS(Ramen_Ratings[[#This Row],[Stars]] = "Unrated", "NA",Ramen_Ratings[[#This Row],[Stars]]&gt;=4, "Good", Ramen_Ratings[[#This Row],[Stars]]&gt;2.5, "Fair", Ramen_Ratings[[#This Row],[Stars]] &gt;= 0, "Bad")</f>
        <v>Good</v>
      </c>
      <c r="J1271" t="str">
        <f>LEFT(Ramen_Ratings[[#This Row],[Top Ten]],4)</f>
        <v/>
      </c>
      <c r="K1271" t="str">
        <f>IF(Ramen_Ratings[[#This Row],[Top Ten]]="", "",RIGHT(Ramen_Ratings[[#This Row],[Top Ten]],LEN(Ramen_Ratings[[#This Row],[Top Ten]])-6))</f>
        <v/>
      </c>
    </row>
    <row r="1272" spans="1:11" x14ac:dyDescent="0.25">
      <c r="A1272">
        <v>2125</v>
      </c>
      <c r="B1272" t="s">
        <v>549</v>
      </c>
      <c r="C1272" t="s">
        <v>85</v>
      </c>
      <c r="D1272" t="s">
        <v>13</v>
      </c>
      <c r="E1272" t="s">
        <v>35</v>
      </c>
      <c r="F1272" t="str">
        <f>VLOOKUP(Ramen_Ratings[[#This Row],[Country]],Country_Region[#All],2,FALSE)</f>
        <v>Asia</v>
      </c>
      <c r="G1272">
        <v>4</v>
      </c>
      <c r="H1272" t="str" cm="1">
        <f t="array" ref="H1272">_xlfn.IFS(Ramen_Ratings[[#This Row],[Stars]] = "Unrated", "NA",Ramen_Ratings[[#This Row],[Stars]]&gt;=4, "Good", Ramen_Ratings[[#This Row],[Stars]]&gt;2.5, "Fair", Ramen_Ratings[[#This Row],[Stars]] &gt;= 0, "Bad")</f>
        <v>Good</v>
      </c>
      <c r="J1272" t="str">
        <f>LEFT(Ramen_Ratings[[#This Row],[Top Ten]],4)</f>
        <v/>
      </c>
      <c r="K1272" t="str">
        <f>IF(Ramen_Ratings[[#This Row],[Top Ten]]="", "",RIGHT(Ramen_Ratings[[#This Row],[Top Ten]],LEN(Ramen_Ratings[[#This Row],[Top Ten]])-6))</f>
        <v/>
      </c>
    </row>
    <row r="1273" spans="1:11" x14ac:dyDescent="0.25">
      <c r="A1273">
        <v>2100</v>
      </c>
      <c r="B1273" t="s">
        <v>183</v>
      </c>
      <c r="C1273" t="s">
        <v>628</v>
      </c>
      <c r="D1273" t="s">
        <v>13</v>
      </c>
      <c r="E1273" t="s">
        <v>35</v>
      </c>
      <c r="F1273" t="str">
        <f>VLOOKUP(Ramen_Ratings[[#This Row],[Country]],Country_Region[#All],2,FALSE)</f>
        <v>Asia</v>
      </c>
      <c r="G1273">
        <v>4</v>
      </c>
      <c r="H1273" t="str" cm="1">
        <f t="array" ref="H1273">_xlfn.IFS(Ramen_Ratings[[#This Row],[Stars]] = "Unrated", "NA",Ramen_Ratings[[#This Row],[Stars]]&gt;=4, "Good", Ramen_Ratings[[#This Row],[Stars]]&gt;2.5, "Fair", Ramen_Ratings[[#This Row],[Stars]] &gt;= 0, "Bad")</f>
        <v>Good</v>
      </c>
      <c r="J1273" t="str">
        <f>LEFT(Ramen_Ratings[[#This Row],[Top Ten]],4)</f>
        <v/>
      </c>
      <c r="K1273" t="str">
        <f>IF(Ramen_Ratings[[#This Row],[Top Ten]]="", "",RIGHT(Ramen_Ratings[[#This Row],[Top Ten]],LEN(Ramen_Ratings[[#This Row],[Top Ten]])-6))</f>
        <v/>
      </c>
    </row>
    <row r="1274" spans="1:11" x14ac:dyDescent="0.25">
      <c r="A1274">
        <v>2095</v>
      </c>
      <c r="B1274" t="s">
        <v>15</v>
      </c>
      <c r="C1274" t="s">
        <v>634</v>
      </c>
      <c r="D1274" t="s">
        <v>13</v>
      </c>
      <c r="E1274" t="s">
        <v>35</v>
      </c>
      <c r="F1274" t="str">
        <f>VLOOKUP(Ramen_Ratings[[#This Row],[Country]],Country_Region[#All],2,FALSE)</f>
        <v>Asia</v>
      </c>
      <c r="G1274">
        <v>5</v>
      </c>
      <c r="H1274" t="str" cm="1">
        <f t="array" ref="H1274">_xlfn.IFS(Ramen_Ratings[[#This Row],[Stars]] = "Unrated", "NA",Ramen_Ratings[[#This Row],[Stars]]&gt;=4, "Good", Ramen_Ratings[[#This Row],[Stars]]&gt;2.5, "Fair", Ramen_Ratings[[#This Row],[Stars]] &gt;= 0, "Bad")</f>
        <v>Good</v>
      </c>
      <c r="J1274" t="str">
        <f>LEFT(Ramen_Ratings[[#This Row],[Top Ten]],4)</f>
        <v/>
      </c>
      <c r="K1274" t="str">
        <f>IF(Ramen_Ratings[[#This Row],[Top Ten]]="", "",RIGHT(Ramen_Ratings[[#This Row],[Top Ten]],LEN(Ramen_Ratings[[#This Row],[Top Ten]])-6))</f>
        <v/>
      </c>
    </row>
    <row r="1275" spans="1:11" x14ac:dyDescent="0.25">
      <c r="A1275">
        <v>1985</v>
      </c>
      <c r="B1275" t="s">
        <v>757</v>
      </c>
      <c r="C1275" t="s">
        <v>758</v>
      </c>
      <c r="D1275" t="s">
        <v>13</v>
      </c>
      <c r="E1275" t="s">
        <v>35</v>
      </c>
      <c r="F1275" t="str">
        <f>VLOOKUP(Ramen_Ratings[[#This Row],[Country]],Country_Region[#All],2,FALSE)</f>
        <v>Asia</v>
      </c>
      <c r="G1275">
        <v>5</v>
      </c>
      <c r="H1275" t="str" cm="1">
        <f t="array" ref="H1275">_xlfn.IFS(Ramen_Ratings[[#This Row],[Stars]] = "Unrated", "NA",Ramen_Ratings[[#This Row],[Stars]]&gt;=4, "Good", Ramen_Ratings[[#This Row],[Stars]]&gt;2.5, "Fair", Ramen_Ratings[[#This Row],[Stars]] &gt;= 0, "Bad")</f>
        <v>Good</v>
      </c>
      <c r="J1275" t="str">
        <f>LEFT(Ramen_Ratings[[#This Row],[Top Ten]],4)</f>
        <v/>
      </c>
      <c r="K1275" t="str">
        <f>IF(Ramen_Ratings[[#This Row],[Top Ten]]="", "",RIGHT(Ramen_Ratings[[#This Row],[Top Ten]],LEN(Ramen_Ratings[[#This Row],[Top Ten]])-6))</f>
        <v/>
      </c>
    </row>
    <row r="1276" spans="1:11" x14ac:dyDescent="0.25">
      <c r="A1276">
        <v>1953</v>
      </c>
      <c r="B1276" t="s">
        <v>757</v>
      </c>
      <c r="C1276" t="s">
        <v>796</v>
      </c>
      <c r="D1276" t="s">
        <v>13</v>
      </c>
      <c r="E1276" t="s">
        <v>35</v>
      </c>
      <c r="F1276" t="str">
        <f>VLOOKUP(Ramen_Ratings[[#This Row],[Country]],Country_Region[#All],2,FALSE)</f>
        <v>Asia</v>
      </c>
      <c r="G1276">
        <v>5</v>
      </c>
      <c r="H1276" t="str" cm="1">
        <f t="array" ref="H1276">_xlfn.IFS(Ramen_Ratings[[#This Row],[Stars]] = "Unrated", "NA",Ramen_Ratings[[#This Row],[Stars]]&gt;=4, "Good", Ramen_Ratings[[#This Row],[Stars]]&gt;2.5, "Fair", Ramen_Ratings[[#This Row],[Stars]] &gt;= 0, "Bad")</f>
        <v>Good</v>
      </c>
      <c r="J1276" t="str">
        <f>LEFT(Ramen_Ratings[[#This Row],[Top Ten]],4)</f>
        <v/>
      </c>
      <c r="K1276" t="str">
        <f>IF(Ramen_Ratings[[#This Row],[Top Ten]]="", "",RIGHT(Ramen_Ratings[[#This Row],[Top Ten]],LEN(Ramen_Ratings[[#This Row],[Top Ten]])-6))</f>
        <v/>
      </c>
    </row>
    <row r="1277" spans="1:11" x14ac:dyDescent="0.25">
      <c r="A1277">
        <v>1914</v>
      </c>
      <c r="B1277" t="s">
        <v>104</v>
      </c>
      <c r="C1277" t="s">
        <v>843</v>
      </c>
      <c r="D1277" t="s">
        <v>13</v>
      </c>
      <c r="E1277" t="s">
        <v>35</v>
      </c>
      <c r="F1277" t="str">
        <f>VLOOKUP(Ramen_Ratings[[#This Row],[Country]],Country_Region[#All],2,FALSE)</f>
        <v>Asia</v>
      </c>
      <c r="G1277">
        <v>5</v>
      </c>
      <c r="H1277" t="str" cm="1">
        <f t="array" ref="H1277">_xlfn.IFS(Ramen_Ratings[[#This Row],[Stars]] = "Unrated", "NA",Ramen_Ratings[[#This Row],[Stars]]&gt;=4, "Good", Ramen_Ratings[[#This Row],[Stars]]&gt;2.5, "Fair", Ramen_Ratings[[#This Row],[Stars]] &gt;= 0, "Bad")</f>
        <v>Good</v>
      </c>
      <c r="J1277" t="str">
        <f>LEFT(Ramen_Ratings[[#This Row],[Top Ten]],4)</f>
        <v/>
      </c>
      <c r="K1277" t="str">
        <f>IF(Ramen_Ratings[[#This Row],[Top Ten]]="", "",RIGHT(Ramen_Ratings[[#This Row],[Top Ten]],LEN(Ramen_Ratings[[#This Row],[Top Ten]])-6))</f>
        <v/>
      </c>
    </row>
    <row r="1278" spans="1:11" x14ac:dyDescent="0.25">
      <c r="A1278">
        <v>1901</v>
      </c>
      <c r="B1278" t="s">
        <v>104</v>
      </c>
      <c r="C1278" t="s">
        <v>862</v>
      </c>
      <c r="D1278" t="s">
        <v>13</v>
      </c>
      <c r="E1278" t="s">
        <v>35</v>
      </c>
      <c r="F1278" t="str">
        <f>VLOOKUP(Ramen_Ratings[[#This Row],[Country]],Country_Region[#All],2,FALSE)</f>
        <v>Asia</v>
      </c>
      <c r="G1278">
        <v>5</v>
      </c>
      <c r="H1278" t="str" cm="1">
        <f t="array" ref="H1278">_xlfn.IFS(Ramen_Ratings[[#This Row],[Stars]] = "Unrated", "NA",Ramen_Ratings[[#This Row],[Stars]]&gt;=4, "Good", Ramen_Ratings[[#This Row],[Stars]]&gt;2.5, "Fair", Ramen_Ratings[[#This Row],[Stars]] &gt;= 0, "Bad")</f>
        <v>Good</v>
      </c>
      <c r="J1278" t="str">
        <f>LEFT(Ramen_Ratings[[#This Row],[Top Ten]],4)</f>
        <v/>
      </c>
      <c r="K1278" t="str">
        <f>IF(Ramen_Ratings[[#This Row],[Top Ten]]="", "",RIGHT(Ramen_Ratings[[#This Row],[Top Ten]],LEN(Ramen_Ratings[[#This Row],[Top Ten]])-6))</f>
        <v/>
      </c>
    </row>
    <row r="1279" spans="1:11" x14ac:dyDescent="0.25">
      <c r="A1279">
        <v>1888</v>
      </c>
      <c r="B1279" t="s">
        <v>15</v>
      </c>
      <c r="C1279" t="s">
        <v>875</v>
      </c>
      <c r="D1279" t="s">
        <v>9</v>
      </c>
      <c r="E1279" t="s">
        <v>35</v>
      </c>
      <c r="F1279" t="str">
        <f>VLOOKUP(Ramen_Ratings[[#This Row],[Country]],Country_Region[#All],2,FALSE)</f>
        <v>Asia</v>
      </c>
      <c r="G1279">
        <v>3.5</v>
      </c>
      <c r="H1279" t="str" cm="1">
        <f t="array" ref="H1279">_xlfn.IFS(Ramen_Ratings[[#This Row],[Stars]] = "Unrated", "NA",Ramen_Ratings[[#This Row],[Stars]]&gt;=4, "Good", Ramen_Ratings[[#This Row],[Stars]]&gt;2.5, "Fair", Ramen_Ratings[[#This Row],[Stars]] &gt;= 0, "Bad")</f>
        <v>Fair</v>
      </c>
      <c r="J1279" t="str">
        <f>LEFT(Ramen_Ratings[[#This Row],[Top Ten]],4)</f>
        <v/>
      </c>
      <c r="K1279" t="str">
        <f>IF(Ramen_Ratings[[#This Row],[Top Ten]]="", "",RIGHT(Ramen_Ratings[[#This Row],[Top Ten]],LEN(Ramen_Ratings[[#This Row],[Top Ten]])-6))</f>
        <v/>
      </c>
    </row>
    <row r="1280" spans="1:11" x14ac:dyDescent="0.25">
      <c r="A1280">
        <v>1887</v>
      </c>
      <c r="B1280" t="s">
        <v>183</v>
      </c>
      <c r="C1280" t="s">
        <v>876</v>
      </c>
      <c r="D1280" t="s">
        <v>13</v>
      </c>
      <c r="E1280" t="s">
        <v>35</v>
      </c>
      <c r="F1280" t="str">
        <f>VLOOKUP(Ramen_Ratings[[#This Row],[Country]],Country_Region[#All],2,FALSE)</f>
        <v>Asia</v>
      </c>
      <c r="G1280">
        <v>4.25</v>
      </c>
      <c r="H1280" t="str" cm="1">
        <f t="array" ref="H1280">_xlfn.IFS(Ramen_Ratings[[#This Row],[Stars]] = "Unrated", "NA",Ramen_Ratings[[#This Row],[Stars]]&gt;=4, "Good", Ramen_Ratings[[#This Row],[Stars]]&gt;2.5, "Fair", Ramen_Ratings[[#This Row],[Stars]] &gt;= 0, "Bad")</f>
        <v>Good</v>
      </c>
      <c r="J1280" t="str">
        <f>LEFT(Ramen_Ratings[[#This Row],[Top Ten]],4)</f>
        <v/>
      </c>
      <c r="K1280" t="str">
        <f>IF(Ramen_Ratings[[#This Row],[Top Ten]]="", "",RIGHT(Ramen_Ratings[[#This Row],[Top Ten]],LEN(Ramen_Ratings[[#This Row],[Top Ten]])-6))</f>
        <v/>
      </c>
    </row>
    <row r="1281" spans="1:11" x14ac:dyDescent="0.25">
      <c r="A1281">
        <v>1886</v>
      </c>
      <c r="B1281" t="s">
        <v>183</v>
      </c>
      <c r="C1281" t="s">
        <v>877</v>
      </c>
      <c r="D1281" t="s">
        <v>44</v>
      </c>
      <c r="E1281" t="s">
        <v>35</v>
      </c>
      <c r="F1281" t="str">
        <f>VLOOKUP(Ramen_Ratings[[#This Row],[Country]],Country_Region[#All],2,FALSE)</f>
        <v>Asia</v>
      </c>
      <c r="G1281">
        <v>3.75</v>
      </c>
      <c r="H1281" t="str" cm="1">
        <f t="array" ref="H1281">_xlfn.IFS(Ramen_Ratings[[#This Row],[Stars]] = "Unrated", "NA",Ramen_Ratings[[#This Row],[Stars]]&gt;=4, "Good", Ramen_Ratings[[#This Row],[Stars]]&gt;2.5, "Fair", Ramen_Ratings[[#This Row],[Stars]] &gt;= 0, "Bad")</f>
        <v>Fair</v>
      </c>
      <c r="J1281" t="str">
        <f>LEFT(Ramen_Ratings[[#This Row],[Top Ten]],4)</f>
        <v/>
      </c>
      <c r="K1281" t="str">
        <f>IF(Ramen_Ratings[[#This Row],[Top Ten]]="", "",RIGHT(Ramen_Ratings[[#This Row],[Top Ten]],LEN(Ramen_Ratings[[#This Row],[Top Ten]])-6))</f>
        <v/>
      </c>
    </row>
    <row r="1282" spans="1:11" x14ac:dyDescent="0.25">
      <c r="A1282">
        <v>1885</v>
      </c>
      <c r="B1282" t="s">
        <v>183</v>
      </c>
      <c r="C1282" t="s">
        <v>878</v>
      </c>
      <c r="D1282" t="s">
        <v>13</v>
      </c>
      <c r="E1282" t="s">
        <v>35</v>
      </c>
      <c r="F1282" t="str">
        <f>VLOOKUP(Ramen_Ratings[[#This Row],[Country]],Country_Region[#All],2,FALSE)</f>
        <v>Asia</v>
      </c>
      <c r="G1282">
        <v>3</v>
      </c>
      <c r="H1282" t="str" cm="1">
        <f t="array" ref="H1282">_xlfn.IFS(Ramen_Ratings[[#This Row],[Stars]] = "Unrated", "NA",Ramen_Ratings[[#This Row],[Stars]]&gt;=4, "Good", Ramen_Ratings[[#This Row],[Stars]]&gt;2.5, "Fair", Ramen_Ratings[[#This Row],[Stars]] &gt;= 0, "Bad")</f>
        <v>Fair</v>
      </c>
      <c r="J1282" t="str">
        <f>LEFT(Ramen_Ratings[[#This Row],[Top Ten]],4)</f>
        <v/>
      </c>
      <c r="K1282" t="str">
        <f>IF(Ramen_Ratings[[#This Row],[Top Ten]]="", "",RIGHT(Ramen_Ratings[[#This Row],[Top Ten]],LEN(Ramen_Ratings[[#This Row],[Top Ten]])-6))</f>
        <v/>
      </c>
    </row>
    <row r="1283" spans="1:11" x14ac:dyDescent="0.25">
      <c r="A1283">
        <v>1884</v>
      </c>
      <c r="B1283" t="s">
        <v>183</v>
      </c>
      <c r="C1283" t="s">
        <v>879</v>
      </c>
      <c r="D1283" t="s">
        <v>44</v>
      </c>
      <c r="E1283" t="s">
        <v>35</v>
      </c>
      <c r="F1283" t="str">
        <f>VLOOKUP(Ramen_Ratings[[#This Row],[Country]],Country_Region[#All],2,FALSE)</f>
        <v>Asia</v>
      </c>
      <c r="G1283">
        <v>4.5</v>
      </c>
      <c r="H1283" t="str" cm="1">
        <f t="array" ref="H1283">_xlfn.IFS(Ramen_Ratings[[#This Row],[Stars]] = "Unrated", "NA",Ramen_Ratings[[#This Row],[Stars]]&gt;=4, "Good", Ramen_Ratings[[#This Row],[Stars]]&gt;2.5, "Fair", Ramen_Ratings[[#This Row],[Stars]] &gt;= 0, "Bad")</f>
        <v>Good</v>
      </c>
      <c r="J1283" t="str">
        <f>LEFT(Ramen_Ratings[[#This Row],[Top Ten]],4)</f>
        <v/>
      </c>
      <c r="K1283" t="str">
        <f>IF(Ramen_Ratings[[#This Row],[Top Ten]]="", "",RIGHT(Ramen_Ratings[[#This Row],[Top Ten]],LEN(Ramen_Ratings[[#This Row],[Top Ten]])-6))</f>
        <v/>
      </c>
    </row>
    <row r="1284" spans="1:11" x14ac:dyDescent="0.25">
      <c r="A1284">
        <v>1883</v>
      </c>
      <c r="B1284" t="s">
        <v>183</v>
      </c>
      <c r="C1284" t="s">
        <v>880</v>
      </c>
      <c r="D1284" t="s">
        <v>13</v>
      </c>
      <c r="E1284" t="s">
        <v>35</v>
      </c>
      <c r="F1284" t="str">
        <f>VLOOKUP(Ramen_Ratings[[#This Row],[Country]],Country_Region[#All],2,FALSE)</f>
        <v>Asia</v>
      </c>
      <c r="G1284">
        <v>4</v>
      </c>
      <c r="H1284" t="str" cm="1">
        <f t="array" ref="H1284">_xlfn.IFS(Ramen_Ratings[[#This Row],[Stars]] = "Unrated", "NA",Ramen_Ratings[[#This Row],[Stars]]&gt;=4, "Good", Ramen_Ratings[[#This Row],[Stars]]&gt;2.5, "Fair", Ramen_Ratings[[#This Row],[Stars]] &gt;= 0, "Bad")</f>
        <v>Good</v>
      </c>
      <c r="J1284" t="str">
        <f>LEFT(Ramen_Ratings[[#This Row],[Top Ten]],4)</f>
        <v/>
      </c>
      <c r="K1284" t="str">
        <f>IF(Ramen_Ratings[[#This Row],[Top Ten]]="", "",RIGHT(Ramen_Ratings[[#This Row],[Top Ten]],LEN(Ramen_Ratings[[#This Row],[Top Ten]])-6))</f>
        <v/>
      </c>
    </row>
    <row r="1285" spans="1:11" x14ac:dyDescent="0.25">
      <c r="A1285">
        <v>1882</v>
      </c>
      <c r="B1285" t="s">
        <v>183</v>
      </c>
      <c r="C1285" t="s">
        <v>881</v>
      </c>
      <c r="D1285" t="s">
        <v>44</v>
      </c>
      <c r="E1285" t="s">
        <v>35</v>
      </c>
      <c r="F1285" t="str">
        <f>VLOOKUP(Ramen_Ratings[[#This Row],[Country]],Country_Region[#All],2,FALSE)</f>
        <v>Asia</v>
      </c>
      <c r="G1285">
        <v>4.75</v>
      </c>
      <c r="H1285" t="str" cm="1">
        <f t="array" ref="H1285">_xlfn.IFS(Ramen_Ratings[[#This Row],[Stars]] = "Unrated", "NA",Ramen_Ratings[[#This Row],[Stars]]&gt;=4, "Good", Ramen_Ratings[[#This Row],[Stars]]&gt;2.5, "Fair", Ramen_Ratings[[#This Row],[Stars]] &gt;= 0, "Bad")</f>
        <v>Good</v>
      </c>
      <c r="J1285" t="str">
        <f>LEFT(Ramen_Ratings[[#This Row],[Top Ten]],4)</f>
        <v/>
      </c>
      <c r="K1285" t="str">
        <f>IF(Ramen_Ratings[[#This Row],[Top Ten]]="", "",RIGHT(Ramen_Ratings[[#This Row],[Top Ten]],LEN(Ramen_Ratings[[#This Row],[Top Ten]])-6))</f>
        <v/>
      </c>
    </row>
    <row r="1286" spans="1:11" x14ac:dyDescent="0.25">
      <c r="A1286">
        <v>1881</v>
      </c>
      <c r="B1286" t="s">
        <v>183</v>
      </c>
      <c r="C1286" t="s">
        <v>877</v>
      </c>
      <c r="D1286" t="s">
        <v>13</v>
      </c>
      <c r="E1286" t="s">
        <v>35</v>
      </c>
      <c r="F1286" t="str">
        <f>VLOOKUP(Ramen_Ratings[[#This Row],[Country]],Country_Region[#All],2,FALSE)</f>
        <v>Asia</v>
      </c>
      <c r="G1286">
        <v>3.5</v>
      </c>
      <c r="H1286" t="str" cm="1">
        <f t="array" ref="H1286">_xlfn.IFS(Ramen_Ratings[[#This Row],[Stars]] = "Unrated", "NA",Ramen_Ratings[[#This Row],[Stars]]&gt;=4, "Good", Ramen_Ratings[[#This Row],[Stars]]&gt;2.5, "Fair", Ramen_Ratings[[#This Row],[Stars]] &gt;= 0, "Bad")</f>
        <v>Fair</v>
      </c>
      <c r="J1286" t="str">
        <f>LEFT(Ramen_Ratings[[#This Row],[Top Ten]],4)</f>
        <v/>
      </c>
      <c r="K1286" t="str">
        <f>IF(Ramen_Ratings[[#This Row],[Top Ten]]="", "",RIGHT(Ramen_Ratings[[#This Row],[Top Ten]],LEN(Ramen_Ratings[[#This Row],[Top Ten]])-6))</f>
        <v/>
      </c>
    </row>
    <row r="1287" spans="1:11" x14ac:dyDescent="0.25">
      <c r="A1287">
        <v>1880</v>
      </c>
      <c r="B1287" t="s">
        <v>183</v>
      </c>
      <c r="C1287" t="s">
        <v>882</v>
      </c>
      <c r="D1287" t="s">
        <v>44</v>
      </c>
      <c r="E1287" t="s">
        <v>35</v>
      </c>
      <c r="F1287" t="str">
        <f>VLOOKUP(Ramen_Ratings[[#This Row],[Country]],Country_Region[#All],2,FALSE)</f>
        <v>Asia</v>
      </c>
      <c r="G1287">
        <v>3.75</v>
      </c>
      <c r="H1287" t="str" cm="1">
        <f t="array" ref="H1287">_xlfn.IFS(Ramen_Ratings[[#This Row],[Stars]] = "Unrated", "NA",Ramen_Ratings[[#This Row],[Stars]]&gt;=4, "Good", Ramen_Ratings[[#This Row],[Stars]]&gt;2.5, "Fair", Ramen_Ratings[[#This Row],[Stars]] &gt;= 0, "Bad")</f>
        <v>Fair</v>
      </c>
      <c r="J1287" t="str">
        <f>LEFT(Ramen_Ratings[[#This Row],[Top Ten]],4)</f>
        <v/>
      </c>
      <c r="K1287" t="str">
        <f>IF(Ramen_Ratings[[#This Row],[Top Ten]]="", "",RIGHT(Ramen_Ratings[[#This Row],[Top Ten]],LEN(Ramen_Ratings[[#This Row],[Top Ten]])-6))</f>
        <v/>
      </c>
    </row>
    <row r="1288" spans="1:11" x14ac:dyDescent="0.25">
      <c r="A1288">
        <v>1879</v>
      </c>
      <c r="B1288" t="s">
        <v>183</v>
      </c>
      <c r="C1288" t="s">
        <v>883</v>
      </c>
      <c r="D1288" t="s">
        <v>13</v>
      </c>
      <c r="E1288" t="s">
        <v>35</v>
      </c>
      <c r="F1288" t="str">
        <f>VLOOKUP(Ramen_Ratings[[#This Row],[Country]],Country_Region[#All],2,FALSE)</f>
        <v>Asia</v>
      </c>
      <c r="G1288">
        <v>3.5</v>
      </c>
      <c r="H1288" t="str" cm="1">
        <f t="array" ref="H1288">_xlfn.IFS(Ramen_Ratings[[#This Row],[Stars]] = "Unrated", "NA",Ramen_Ratings[[#This Row],[Stars]]&gt;=4, "Good", Ramen_Ratings[[#This Row],[Stars]]&gt;2.5, "Fair", Ramen_Ratings[[#This Row],[Stars]] &gt;= 0, "Bad")</f>
        <v>Fair</v>
      </c>
      <c r="J1288" t="str">
        <f>LEFT(Ramen_Ratings[[#This Row],[Top Ten]],4)</f>
        <v/>
      </c>
      <c r="K1288" t="str">
        <f>IF(Ramen_Ratings[[#This Row],[Top Ten]]="", "",RIGHT(Ramen_Ratings[[#This Row],[Top Ten]],LEN(Ramen_Ratings[[#This Row],[Top Ten]])-6))</f>
        <v/>
      </c>
    </row>
    <row r="1289" spans="1:11" x14ac:dyDescent="0.25">
      <c r="A1289">
        <v>1878</v>
      </c>
      <c r="B1289" t="s">
        <v>183</v>
      </c>
      <c r="C1289" t="s">
        <v>884</v>
      </c>
      <c r="D1289" t="s">
        <v>44</v>
      </c>
      <c r="E1289" t="s">
        <v>35</v>
      </c>
      <c r="F1289" t="str">
        <f>VLOOKUP(Ramen_Ratings[[#This Row],[Country]],Country_Region[#All],2,FALSE)</f>
        <v>Asia</v>
      </c>
      <c r="G1289">
        <v>5</v>
      </c>
      <c r="H1289" t="str" cm="1">
        <f t="array" ref="H1289">_xlfn.IFS(Ramen_Ratings[[#This Row],[Stars]] = "Unrated", "NA",Ramen_Ratings[[#This Row],[Stars]]&gt;=4, "Good", Ramen_Ratings[[#This Row],[Stars]]&gt;2.5, "Fair", Ramen_Ratings[[#This Row],[Stars]] &gt;= 0, "Bad")</f>
        <v>Good</v>
      </c>
      <c r="J1289" t="str">
        <f>LEFT(Ramen_Ratings[[#This Row],[Top Ten]],4)</f>
        <v/>
      </c>
      <c r="K1289" t="str">
        <f>IF(Ramen_Ratings[[#This Row],[Top Ten]]="", "",RIGHT(Ramen_Ratings[[#This Row],[Top Ten]],LEN(Ramen_Ratings[[#This Row],[Top Ten]])-6))</f>
        <v/>
      </c>
    </row>
    <row r="1290" spans="1:11" x14ac:dyDescent="0.25">
      <c r="A1290">
        <v>1877</v>
      </c>
      <c r="B1290" t="s">
        <v>183</v>
      </c>
      <c r="C1290" t="s">
        <v>885</v>
      </c>
      <c r="D1290" t="s">
        <v>13</v>
      </c>
      <c r="E1290" t="s">
        <v>35</v>
      </c>
      <c r="F1290" t="str">
        <f>VLOOKUP(Ramen_Ratings[[#This Row],[Country]],Country_Region[#All],2,FALSE)</f>
        <v>Asia</v>
      </c>
      <c r="G1290">
        <v>4.5</v>
      </c>
      <c r="H1290" t="str" cm="1">
        <f t="array" ref="H1290">_xlfn.IFS(Ramen_Ratings[[#This Row],[Stars]] = "Unrated", "NA",Ramen_Ratings[[#This Row],[Stars]]&gt;=4, "Good", Ramen_Ratings[[#This Row],[Stars]]&gt;2.5, "Fair", Ramen_Ratings[[#This Row],[Stars]] &gt;= 0, "Bad")</f>
        <v>Good</v>
      </c>
      <c r="J1290" t="str">
        <f>LEFT(Ramen_Ratings[[#This Row],[Top Ten]],4)</f>
        <v/>
      </c>
      <c r="K1290" t="str">
        <f>IF(Ramen_Ratings[[#This Row],[Top Ten]]="", "",RIGHT(Ramen_Ratings[[#This Row],[Top Ten]],LEN(Ramen_Ratings[[#This Row],[Top Ten]])-6))</f>
        <v/>
      </c>
    </row>
    <row r="1291" spans="1:11" x14ac:dyDescent="0.25">
      <c r="A1291">
        <v>1876</v>
      </c>
      <c r="B1291" t="s">
        <v>183</v>
      </c>
      <c r="C1291" t="s">
        <v>886</v>
      </c>
      <c r="D1291" t="s">
        <v>13</v>
      </c>
      <c r="E1291" t="s">
        <v>35</v>
      </c>
      <c r="F1291" t="str">
        <f>VLOOKUP(Ramen_Ratings[[#This Row],[Country]],Country_Region[#All],2,FALSE)</f>
        <v>Asia</v>
      </c>
      <c r="G1291">
        <v>3.75</v>
      </c>
      <c r="H1291" t="str" cm="1">
        <f t="array" ref="H1291">_xlfn.IFS(Ramen_Ratings[[#This Row],[Stars]] = "Unrated", "NA",Ramen_Ratings[[#This Row],[Stars]]&gt;=4, "Good", Ramen_Ratings[[#This Row],[Stars]]&gt;2.5, "Fair", Ramen_Ratings[[#This Row],[Stars]] &gt;= 0, "Bad")</f>
        <v>Fair</v>
      </c>
      <c r="J1291" t="str">
        <f>LEFT(Ramen_Ratings[[#This Row],[Top Ten]],4)</f>
        <v/>
      </c>
      <c r="K1291" t="str">
        <f>IF(Ramen_Ratings[[#This Row],[Top Ten]]="", "",RIGHT(Ramen_Ratings[[#This Row],[Top Ten]],LEN(Ramen_Ratings[[#This Row],[Top Ten]])-6))</f>
        <v/>
      </c>
    </row>
    <row r="1292" spans="1:11" x14ac:dyDescent="0.25">
      <c r="A1292">
        <v>1734</v>
      </c>
      <c r="B1292" t="s">
        <v>1045</v>
      </c>
      <c r="C1292" t="s">
        <v>1046</v>
      </c>
      <c r="D1292" t="s">
        <v>13</v>
      </c>
      <c r="E1292" t="s">
        <v>35</v>
      </c>
      <c r="F1292" t="str">
        <f>VLOOKUP(Ramen_Ratings[[#This Row],[Country]],Country_Region[#All],2,FALSE)</f>
        <v>Asia</v>
      </c>
      <c r="G1292">
        <v>4.25</v>
      </c>
      <c r="H1292" t="str" cm="1">
        <f t="array" ref="H1292">_xlfn.IFS(Ramen_Ratings[[#This Row],[Stars]] = "Unrated", "NA",Ramen_Ratings[[#This Row],[Stars]]&gt;=4, "Good", Ramen_Ratings[[#This Row],[Stars]]&gt;2.5, "Fair", Ramen_Ratings[[#This Row],[Stars]] &gt;= 0, "Bad")</f>
        <v>Good</v>
      </c>
      <c r="J1292" t="str">
        <f>LEFT(Ramen_Ratings[[#This Row],[Top Ten]],4)</f>
        <v/>
      </c>
      <c r="K1292" t="str">
        <f>IF(Ramen_Ratings[[#This Row],[Top Ten]]="", "",RIGHT(Ramen_Ratings[[#This Row],[Top Ten]],LEN(Ramen_Ratings[[#This Row],[Top Ten]])-6))</f>
        <v/>
      </c>
    </row>
    <row r="1293" spans="1:11" x14ac:dyDescent="0.25">
      <c r="A1293">
        <v>1619</v>
      </c>
      <c r="B1293" t="s">
        <v>15</v>
      </c>
      <c r="C1293" t="s">
        <v>1189</v>
      </c>
      <c r="D1293" t="s">
        <v>13</v>
      </c>
      <c r="E1293" t="s">
        <v>35</v>
      </c>
      <c r="F1293" t="str">
        <f>VLOOKUP(Ramen_Ratings[[#This Row],[Country]],Country_Region[#All],2,FALSE)</f>
        <v>Asia</v>
      </c>
      <c r="G1293">
        <v>3.75</v>
      </c>
      <c r="H1293" t="str" cm="1">
        <f t="array" ref="H1293">_xlfn.IFS(Ramen_Ratings[[#This Row],[Stars]] = "Unrated", "NA",Ramen_Ratings[[#This Row],[Stars]]&gt;=4, "Good", Ramen_Ratings[[#This Row],[Stars]]&gt;2.5, "Fair", Ramen_Ratings[[#This Row],[Stars]] &gt;= 0, "Bad")</f>
        <v>Fair</v>
      </c>
      <c r="J1293" t="str">
        <f>LEFT(Ramen_Ratings[[#This Row],[Top Ten]],4)</f>
        <v/>
      </c>
      <c r="K1293" t="str">
        <f>IF(Ramen_Ratings[[#This Row],[Top Ten]]="", "",RIGHT(Ramen_Ratings[[#This Row],[Top Ten]],LEN(Ramen_Ratings[[#This Row],[Top Ten]])-6))</f>
        <v/>
      </c>
    </row>
    <row r="1294" spans="1:11" x14ac:dyDescent="0.25">
      <c r="A1294">
        <v>1562</v>
      </c>
      <c r="B1294" t="s">
        <v>1045</v>
      </c>
      <c r="C1294" t="s">
        <v>1259</v>
      </c>
      <c r="D1294" t="s">
        <v>13</v>
      </c>
      <c r="E1294" t="s">
        <v>35</v>
      </c>
      <c r="F1294" t="str">
        <f>VLOOKUP(Ramen_Ratings[[#This Row],[Country]],Country_Region[#All],2,FALSE)</f>
        <v>Asia</v>
      </c>
      <c r="G1294">
        <v>2.75</v>
      </c>
      <c r="H1294" t="str" cm="1">
        <f t="array" ref="H1294">_xlfn.IFS(Ramen_Ratings[[#This Row],[Stars]] = "Unrated", "NA",Ramen_Ratings[[#This Row],[Stars]]&gt;=4, "Good", Ramen_Ratings[[#This Row],[Stars]]&gt;2.5, "Fair", Ramen_Ratings[[#This Row],[Stars]] &gt;= 0, "Bad")</f>
        <v>Fair</v>
      </c>
      <c r="J1294" t="str">
        <f>LEFT(Ramen_Ratings[[#This Row],[Top Ten]],4)</f>
        <v/>
      </c>
      <c r="K1294" t="str">
        <f>IF(Ramen_Ratings[[#This Row],[Top Ten]]="", "",RIGHT(Ramen_Ratings[[#This Row],[Top Ten]],LEN(Ramen_Ratings[[#This Row],[Top Ten]])-6))</f>
        <v/>
      </c>
    </row>
    <row r="1295" spans="1:11" x14ac:dyDescent="0.25">
      <c r="A1295">
        <v>1542</v>
      </c>
      <c r="B1295" t="s">
        <v>1045</v>
      </c>
      <c r="C1295" t="s">
        <v>416</v>
      </c>
      <c r="D1295" t="s">
        <v>9</v>
      </c>
      <c r="E1295" t="s">
        <v>35</v>
      </c>
      <c r="F1295" t="str">
        <f>VLOOKUP(Ramen_Ratings[[#This Row],[Country]],Country_Region[#All],2,FALSE)</f>
        <v>Asia</v>
      </c>
      <c r="G1295">
        <v>2.5</v>
      </c>
      <c r="H1295" t="str" cm="1">
        <f t="array" ref="H1295">_xlfn.IFS(Ramen_Ratings[[#This Row],[Stars]] = "Unrated", "NA",Ramen_Ratings[[#This Row],[Stars]]&gt;=4, "Good", Ramen_Ratings[[#This Row],[Stars]]&gt;2.5, "Fair", Ramen_Ratings[[#This Row],[Stars]] &gt;= 0, "Bad")</f>
        <v>Bad</v>
      </c>
      <c r="J1295" t="str">
        <f>LEFT(Ramen_Ratings[[#This Row],[Top Ten]],4)</f>
        <v/>
      </c>
      <c r="K1295" t="str">
        <f>IF(Ramen_Ratings[[#This Row],[Top Ten]]="", "",RIGHT(Ramen_Ratings[[#This Row],[Top Ten]],LEN(Ramen_Ratings[[#This Row],[Top Ten]])-6))</f>
        <v/>
      </c>
    </row>
    <row r="1296" spans="1:11" x14ac:dyDescent="0.25">
      <c r="A1296">
        <v>1524</v>
      </c>
      <c r="B1296" t="s">
        <v>15</v>
      </c>
      <c r="C1296" t="s">
        <v>1302</v>
      </c>
      <c r="D1296" t="s">
        <v>13</v>
      </c>
      <c r="E1296" t="s">
        <v>35</v>
      </c>
      <c r="F1296" t="str">
        <f>VLOOKUP(Ramen_Ratings[[#This Row],[Country]],Country_Region[#All],2,FALSE)</f>
        <v>Asia</v>
      </c>
      <c r="G1296">
        <v>3.5</v>
      </c>
      <c r="H1296" t="str" cm="1">
        <f t="array" ref="H1296">_xlfn.IFS(Ramen_Ratings[[#This Row],[Stars]] = "Unrated", "NA",Ramen_Ratings[[#This Row],[Stars]]&gt;=4, "Good", Ramen_Ratings[[#This Row],[Stars]]&gt;2.5, "Fair", Ramen_Ratings[[#This Row],[Stars]] &gt;= 0, "Bad")</f>
        <v>Fair</v>
      </c>
      <c r="J1296" t="str">
        <f>LEFT(Ramen_Ratings[[#This Row],[Top Ten]],4)</f>
        <v/>
      </c>
      <c r="K1296" t="str">
        <f>IF(Ramen_Ratings[[#This Row],[Top Ten]]="", "",RIGHT(Ramen_Ratings[[#This Row],[Top Ten]],LEN(Ramen_Ratings[[#This Row],[Top Ten]])-6))</f>
        <v/>
      </c>
    </row>
    <row r="1297" spans="1:11" x14ac:dyDescent="0.25">
      <c r="A1297">
        <v>1507</v>
      </c>
      <c r="B1297" t="s">
        <v>15</v>
      </c>
      <c r="C1297" t="s">
        <v>1324</v>
      </c>
      <c r="D1297" t="s">
        <v>13</v>
      </c>
      <c r="E1297" t="s">
        <v>35</v>
      </c>
      <c r="F1297" t="str">
        <f>VLOOKUP(Ramen_Ratings[[#This Row],[Country]],Country_Region[#All],2,FALSE)</f>
        <v>Asia</v>
      </c>
      <c r="G1297">
        <v>3.5</v>
      </c>
      <c r="H1297" t="str" cm="1">
        <f t="array" ref="H1297">_xlfn.IFS(Ramen_Ratings[[#This Row],[Stars]] = "Unrated", "NA",Ramen_Ratings[[#This Row],[Stars]]&gt;=4, "Good", Ramen_Ratings[[#This Row],[Stars]]&gt;2.5, "Fair", Ramen_Ratings[[#This Row],[Stars]] &gt;= 0, "Bad")</f>
        <v>Fair</v>
      </c>
      <c r="J1297" t="str">
        <f>LEFT(Ramen_Ratings[[#This Row],[Top Ten]],4)</f>
        <v/>
      </c>
      <c r="K1297" t="str">
        <f>IF(Ramen_Ratings[[#This Row],[Top Ten]]="", "",RIGHT(Ramen_Ratings[[#This Row],[Top Ten]],LEN(Ramen_Ratings[[#This Row],[Top Ten]])-6))</f>
        <v/>
      </c>
    </row>
    <row r="1298" spans="1:11" x14ac:dyDescent="0.25">
      <c r="A1298">
        <v>1461</v>
      </c>
      <c r="B1298" t="s">
        <v>15</v>
      </c>
      <c r="C1298" t="s">
        <v>462</v>
      </c>
      <c r="D1298" t="s">
        <v>9</v>
      </c>
      <c r="E1298" t="s">
        <v>35</v>
      </c>
      <c r="F1298" t="str">
        <f>VLOOKUP(Ramen_Ratings[[#This Row],[Country]],Country_Region[#All],2,FALSE)</f>
        <v>Asia</v>
      </c>
      <c r="G1298">
        <v>4</v>
      </c>
      <c r="H1298" t="str" cm="1">
        <f t="array" ref="H1298">_xlfn.IFS(Ramen_Ratings[[#This Row],[Stars]] = "Unrated", "NA",Ramen_Ratings[[#This Row],[Stars]]&gt;=4, "Good", Ramen_Ratings[[#This Row],[Stars]]&gt;2.5, "Fair", Ramen_Ratings[[#This Row],[Stars]] &gt;= 0, "Bad")</f>
        <v>Good</v>
      </c>
      <c r="J1298" t="str">
        <f>LEFT(Ramen_Ratings[[#This Row],[Top Ten]],4)</f>
        <v/>
      </c>
      <c r="K1298" t="str">
        <f>IF(Ramen_Ratings[[#This Row],[Top Ten]]="", "",RIGHT(Ramen_Ratings[[#This Row],[Top Ten]],LEN(Ramen_Ratings[[#This Row],[Top Ten]])-6))</f>
        <v/>
      </c>
    </row>
    <row r="1299" spans="1:11" x14ac:dyDescent="0.25">
      <c r="A1299">
        <v>1460</v>
      </c>
      <c r="B1299" t="s">
        <v>15</v>
      </c>
      <c r="C1299" t="s">
        <v>1371</v>
      </c>
      <c r="D1299" t="s">
        <v>13</v>
      </c>
      <c r="E1299" t="s">
        <v>35</v>
      </c>
      <c r="F1299" t="str">
        <f>VLOOKUP(Ramen_Ratings[[#This Row],[Country]],Country_Region[#All],2,FALSE)</f>
        <v>Asia</v>
      </c>
      <c r="G1299">
        <v>3.75</v>
      </c>
      <c r="H1299" t="str" cm="1">
        <f t="array" ref="H1299">_xlfn.IFS(Ramen_Ratings[[#This Row],[Stars]] = "Unrated", "NA",Ramen_Ratings[[#This Row],[Stars]]&gt;=4, "Good", Ramen_Ratings[[#This Row],[Stars]]&gt;2.5, "Fair", Ramen_Ratings[[#This Row],[Stars]] &gt;= 0, "Bad")</f>
        <v>Fair</v>
      </c>
      <c r="J1299" t="str">
        <f>LEFT(Ramen_Ratings[[#This Row],[Top Ten]],4)</f>
        <v/>
      </c>
      <c r="K1299" t="str">
        <f>IF(Ramen_Ratings[[#This Row],[Top Ten]]="", "",RIGHT(Ramen_Ratings[[#This Row],[Top Ten]],LEN(Ramen_Ratings[[#This Row],[Top Ten]])-6))</f>
        <v/>
      </c>
    </row>
    <row r="1300" spans="1:11" x14ac:dyDescent="0.25">
      <c r="A1300">
        <v>1459</v>
      </c>
      <c r="B1300" t="s">
        <v>15</v>
      </c>
      <c r="C1300" t="s">
        <v>1372</v>
      </c>
      <c r="D1300" t="s">
        <v>9</v>
      </c>
      <c r="E1300" t="s">
        <v>35</v>
      </c>
      <c r="F1300" t="str">
        <f>VLOOKUP(Ramen_Ratings[[#This Row],[Country]],Country_Region[#All],2,FALSE)</f>
        <v>Asia</v>
      </c>
      <c r="G1300">
        <v>4</v>
      </c>
      <c r="H1300" t="str" cm="1">
        <f t="array" ref="H1300">_xlfn.IFS(Ramen_Ratings[[#This Row],[Stars]] = "Unrated", "NA",Ramen_Ratings[[#This Row],[Stars]]&gt;=4, "Good", Ramen_Ratings[[#This Row],[Stars]]&gt;2.5, "Fair", Ramen_Ratings[[#This Row],[Stars]] &gt;= 0, "Bad")</f>
        <v>Good</v>
      </c>
      <c r="J1300" t="str">
        <f>LEFT(Ramen_Ratings[[#This Row],[Top Ten]],4)</f>
        <v/>
      </c>
      <c r="K1300" t="str">
        <f>IF(Ramen_Ratings[[#This Row],[Top Ten]]="", "",RIGHT(Ramen_Ratings[[#This Row],[Top Ten]],LEN(Ramen_Ratings[[#This Row],[Top Ten]])-6))</f>
        <v/>
      </c>
    </row>
    <row r="1301" spans="1:11" x14ac:dyDescent="0.25">
      <c r="A1301">
        <v>1458</v>
      </c>
      <c r="B1301" t="s">
        <v>15</v>
      </c>
      <c r="C1301" t="s">
        <v>1373</v>
      </c>
      <c r="D1301" t="s">
        <v>44</v>
      </c>
      <c r="E1301" t="s">
        <v>35</v>
      </c>
      <c r="F1301" t="str">
        <f>VLOOKUP(Ramen_Ratings[[#This Row],[Country]],Country_Region[#All],2,FALSE)</f>
        <v>Asia</v>
      </c>
      <c r="G1301">
        <v>3.75</v>
      </c>
      <c r="H1301" t="str" cm="1">
        <f t="array" ref="H1301">_xlfn.IFS(Ramen_Ratings[[#This Row],[Stars]] = "Unrated", "NA",Ramen_Ratings[[#This Row],[Stars]]&gt;=4, "Good", Ramen_Ratings[[#This Row],[Stars]]&gt;2.5, "Fair", Ramen_Ratings[[#This Row],[Stars]] &gt;= 0, "Bad")</f>
        <v>Fair</v>
      </c>
      <c r="J1301" t="str">
        <f>LEFT(Ramen_Ratings[[#This Row],[Top Ten]],4)</f>
        <v/>
      </c>
      <c r="K1301" t="str">
        <f>IF(Ramen_Ratings[[#This Row],[Top Ten]]="", "",RIGHT(Ramen_Ratings[[#This Row],[Top Ten]],LEN(Ramen_Ratings[[#This Row],[Top Ten]])-6))</f>
        <v/>
      </c>
    </row>
    <row r="1302" spans="1:11" x14ac:dyDescent="0.25">
      <c r="A1302">
        <v>1457</v>
      </c>
      <c r="B1302" t="s">
        <v>15</v>
      </c>
      <c r="C1302" t="s">
        <v>1374</v>
      </c>
      <c r="D1302" t="s">
        <v>13</v>
      </c>
      <c r="E1302" t="s">
        <v>35</v>
      </c>
      <c r="F1302" t="str">
        <f>VLOOKUP(Ramen_Ratings[[#This Row],[Country]],Country_Region[#All],2,FALSE)</f>
        <v>Asia</v>
      </c>
      <c r="G1302">
        <v>3.75</v>
      </c>
      <c r="H1302" t="str" cm="1">
        <f t="array" ref="H1302">_xlfn.IFS(Ramen_Ratings[[#This Row],[Stars]] = "Unrated", "NA",Ramen_Ratings[[#This Row],[Stars]]&gt;=4, "Good", Ramen_Ratings[[#This Row],[Stars]]&gt;2.5, "Fair", Ramen_Ratings[[#This Row],[Stars]] &gt;= 0, "Bad")</f>
        <v>Fair</v>
      </c>
      <c r="J1302" t="str">
        <f>LEFT(Ramen_Ratings[[#This Row],[Top Ten]],4)</f>
        <v/>
      </c>
      <c r="K1302" t="str">
        <f>IF(Ramen_Ratings[[#This Row],[Top Ten]]="", "",RIGHT(Ramen_Ratings[[#This Row],[Top Ten]],LEN(Ramen_Ratings[[#This Row],[Top Ten]])-6))</f>
        <v/>
      </c>
    </row>
    <row r="1303" spans="1:11" x14ac:dyDescent="0.25">
      <c r="A1303">
        <v>1456</v>
      </c>
      <c r="B1303" t="s">
        <v>15</v>
      </c>
      <c r="C1303" t="s">
        <v>1375</v>
      </c>
      <c r="D1303" t="s">
        <v>9</v>
      </c>
      <c r="E1303" t="s">
        <v>35</v>
      </c>
      <c r="F1303" t="str">
        <f>VLOOKUP(Ramen_Ratings[[#This Row],[Country]],Country_Region[#All],2,FALSE)</f>
        <v>Asia</v>
      </c>
      <c r="G1303">
        <v>3.5</v>
      </c>
      <c r="H1303" t="str" cm="1">
        <f t="array" ref="H1303">_xlfn.IFS(Ramen_Ratings[[#This Row],[Stars]] = "Unrated", "NA",Ramen_Ratings[[#This Row],[Stars]]&gt;=4, "Good", Ramen_Ratings[[#This Row],[Stars]]&gt;2.5, "Fair", Ramen_Ratings[[#This Row],[Stars]] &gt;= 0, "Bad")</f>
        <v>Fair</v>
      </c>
      <c r="J1303" t="str">
        <f>LEFT(Ramen_Ratings[[#This Row],[Top Ten]],4)</f>
        <v/>
      </c>
      <c r="K1303" t="str">
        <f>IF(Ramen_Ratings[[#This Row],[Top Ten]]="", "",RIGHT(Ramen_Ratings[[#This Row],[Top Ten]],LEN(Ramen_Ratings[[#This Row],[Top Ten]])-6))</f>
        <v/>
      </c>
    </row>
    <row r="1304" spans="1:11" x14ac:dyDescent="0.25">
      <c r="A1304">
        <v>1455</v>
      </c>
      <c r="B1304" t="s">
        <v>15</v>
      </c>
      <c r="C1304" t="s">
        <v>1376</v>
      </c>
      <c r="D1304" t="s">
        <v>13</v>
      </c>
      <c r="E1304" t="s">
        <v>35</v>
      </c>
      <c r="F1304" t="str">
        <f>VLOOKUP(Ramen_Ratings[[#This Row],[Country]],Country_Region[#All],2,FALSE)</f>
        <v>Asia</v>
      </c>
      <c r="G1304">
        <v>3.75</v>
      </c>
      <c r="H1304" t="str" cm="1">
        <f t="array" ref="H1304">_xlfn.IFS(Ramen_Ratings[[#This Row],[Stars]] = "Unrated", "NA",Ramen_Ratings[[#This Row],[Stars]]&gt;=4, "Good", Ramen_Ratings[[#This Row],[Stars]]&gt;2.5, "Fair", Ramen_Ratings[[#This Row],[Stars]] &gt;= 0, "Bad")</f>
        <v>Fair</v>
      </c>
      <c r="J1304" t="str">
        <f>LEFT(Ramen_Ratings[[#This Row],[Top Ten]],4)</f>
        <v/>
      </c>
      <c r="K1304" t="str">
        <f>IF(Ramen_Ratings[[#This Row],[Top Ten]]="", "",RIGHT(Ramen_Ratings[[#This Row],[Top Ten]],LEN(Ramen_Ratings[[#This Row],[Top Ten]])-6))</f>
        <v/>
      </c>
    </row>
    <row r="1305" spans="1:11" x14ac:dyDescent="0.25">
      <c r="A1305">
        <v>1454</v>
      </c>
      <c r="B1305" t="s">
        <v>15</v>
      </c>
      <c r="C1305" t="s">
        <v>614</v>
      </c>
      <c r="D1305" t="s">
        <v>9</v>
      </c>
      <c r="E1305" t="s">
        <v>35</v>
      </c>
      <c r="F1305" t="str">
        <f>VLOOKUP(Ramen_Ratings[[#This Row],[Country]],Country_Region[#All],2,FALSE)</f>
        <v>Asia</v>
      </c>
      <c r="G1305">
        <v>4</v>
      </c>
      <c r="H1305" t="str" cm="1">
        <f t="array" ref="H1305">_xlfn.IFS(Ramen_Ratings[[#This Row],[Stars]] = "Unrated", "NA",Ramen_Ratings[[#This Row],[Stars]]&gt;=4, "Good", Ramen_Ratings[[#This Row],[Stars]]&gt;2.5, "Fair", Ramen_Ratings[[#This Row],[Stars]] &gt;= 0, "Bad")</f>
        <v>Good</v>
      </c>
      <c r="J1305" t="str">
        <f>LEFT(Ramen_Ratings[[#This Row],[Top Ten]],4)</f>
        <v/>
      </c>
      <c r="K1305" t="str">
        <f>IF(Ramen_Ratings[[#This Row],[Top Ten]]="", "",RIGHT(Ramen_Ratings[[#This Row],[Top Ten]],LEN(Ramen_Ratings[[#This Row],[Top Ten]])-6))</f>
        <v/>
      </c>
    </row>
    <row r="1306" spans="1:11" x14ac:dyDescent="0.25">
      <c r="A1306">
        <v>1453</v>
      </c>
      <c r="B1306" t="s">
        <v>15</v>
      </c>
      <c r="C1306" t="s">
        <v>1377</v>
      </c>
      <c r="D1306" t="s">
        <v>13</v>
      </c>
      <c r="E1306" t="s">
        <v>35</v>
      </c>
      <c r="F1306" t="str">
        <f>VLOOKUP(Ramen_Ratings[[#This Row],[Country]],Country_Region[#All],2,FALSE)</f>
        <v>Asia</v>
      </c>
      <c r="G1306">
        <v>5</v>
      </c>
      <c r="H1306" t="str" cm="1">
        <f t="array" ref="H1306">_xlfn.IFS(Ramen_Ratings[[#This Row],[Stars]] = "Unrated", "NA",Ramen_Ratings[[#This Row],[Stars]]&gt;=4, "Good", Ramen_Ratings[[#This Row],[Stars]]&gt;2.5, "Fair", Ramen_Ratings[[#This Row],[Stars]] &gt;= 0, "Bad")</f>
        <v>Good</v>
      </c>
      <c r="J1306" t="str">
        <f>LEFT(Ramen_Ratings[[#This Row],[Top Ten]],4)</f>
        <v/>
      </c>
      <c r="K1306" t="str">
        <f>IF(Ramen_Ratings[[#This Row],[Top Ten]]="", "",RIGHT(Ramen_Ratings[[#This Row],[Top Ten]],LEN(Ramen_Ratings[[#This Row],[Top Ten]])-6))</f>
        <v/>
      </c>
    </row>
    <row r="1307" spans="1:11" x14ac:dyDescent="0.25">
      <c r="A1307">
        <v>1452</v>
      </c>
      <c r="B1307" t="s">
        <v>15</v>
      </c>
      <c r="C1307" t="s">
        <v>1371</v>
      </c>
      <c r="D1307" t="s">
        <v>44</v>
      </c>
      <c r="E1307" t="s">
        <v>35</v>
      </c>
      <c r="F1307" t="str">
        <f>VLOOKUP(Ramen_Ratings[[#This Row],[Country]],Country_Region[#All],2,FALSE)</f>
        <v>Asia</v>
      </c>
      <c r="G1307">
        <v>3.75</v>
      </c>
      <c r="H1307" t="str" cm="1">
        <f t="array" ref="H1307">_xlfn.IFS(Ramen_Ratings[[#This Row],[Stars]] = "Unrated", "NA",Ramen_Ratings[[#This Row],[Stars]]&gt;=4, "Good", Ramen_Ratings[[#This Row],[Stars]]&gt;2.5, "Fair", Ramen_Ratings[[#This Row],[Stars]] &gt;= 0, "Bad")</f>
        <v>Fair</v>
      </c>
      <c r="J1307" t="str">
        <f>LEFT(Ramen_Ratings[[#This Row],[Top Ten]],4)</f>
        <v/>
      </c>
      <c r="K1307" t="str">
        <f>IF(Ramen_Ratings[[#This Row],[Top Ten]]="", "",RIGHT(Ramen_Ratings[[#This Row],[Top Ten]],LEN(Ramen_Ratings[[#This Row],[Top Ten]])-6))</f>
        <v/>
      </c>
    </row>
    <row r="1308" spans="1:11" x14ac:dyDescent="0.25">
      <c r="A1308">
        <v>1451</v>
      </c>
      <c r="B1308" t="s">
        <v>15</v>
      </c>
      <c r="C1308" t="s">
        <v>274</v>
      </c>
      <c r="D1308" t="s">
        <v>9</v>
      </c>
      <c r="E1308" t="s">
        <v>35</v>
      </c>
      <c r="F1308" t="str">
        <f>VLOOKUP(Ramen_Ratings[[#This Row],[Country]],Country_Region[#All],2,FALSE)</f>
        <v>Asia</v>
      </c>
      <c r="G1308">
        <v>4</v>
      </c>
      <c r="H1308" t="str" cm="1">
        <f t="array" ref="H1308">_xlfn.IFS(Ramen_Ratings[[#This Row],[Stars]] = "Unrated", "NA",Ramen_Ratings[[#This Row],[Stars]]&gt;=4, "Good", Ramen_Ratings[[#This Row],[Stars]]&gt;2.5, "Fair", Ramen_Ratings[[#This Row],[Stars]] &gt;= 0, "Bad")</f>
        <v>Good</v>
      </c>
      <c r="J1308" t="str">
        <f>LEFT(Ramen_Ratings[[#This Row],[Top Ten]],4)</f>
        <v/>
      </c>
      <c r="K1308" t="str">
        <f>IF(Ramen_Ratings[[#This Row],[Top Ten]]="", "",RIGHT(Ramen_Ratings[[#This Row],[Top Ten]],LEN(Ramen_Ratings[[#This Row],[Top Ten]])-6))</f>
        <v/>
      </c>
    </row>
    <row r="1309" spans="1:11" x14ac:dyDescent="0.25">
      <c r="A1309">
        <v>1450</v>
      </c>
      <c r="B1309" t="s">
        <v>15</v>
      </c>
      <c r="C1309" t="s">
        <v>1378</v>
      </c>
      <c r="D1309" t="s">
        <v>13</v>
      </c>
      <c r="E1309" t="s">
        <v>35</v>
      </c>
      <c r="F1309" t="str">
        <f>VLOOKUP(Ramen_Ratings[[#This Row],[Country]],Country_Region[#All],2,FALSE)</f>
        <v>Asia</v>
      </c>
      <c r="G1309">
        <v>5</v>
      </c>
      <c r="H1309" t="str" cm="1">
        <f t="array" ref="H1309">_xlfn.IFS(Ramen_Ratings[[#This Row],[Stars]] = "Unrated", "NA",Ramen_Ratings[[#This Row],[Stars]]&gt;=4, "Good", Ramen_Ratings[[#This Row],[Stars]]&gt;2.5, "Fair", Ramen_Ratings[[#This Row],[Stars]] &gt;= 0, "Bad")</f>
        <v>Good</v>
      </c>
      <c r="J1309" t="str">
        <f>LEFT(Ramen_Ratings[[#This Row],[Top Ten]],4)</f>
        <v/>
      </c>
      <c r="K1309" t="str">
        <f>IF(Ramen_Ratings[[#This Row],[Top Ten]]="", "",RIGHT(Ramen_Ratings[[#This Row],[Top Ten]],LEN(Ramen_Ratings[[#This Row],[Top Ten]])-6))</f>
        <v/>
      </c>
    </row>
    <row r="1310" spans="1:11" x14ac:dyDescent="0.25">
      <c r="A1310">
        <v>1449</v>
      </c>
      <c r="B1310" t="s">
        <v>15</v>
      </c>
      <c r="C1310" t="s">
        <v>1379</v>
      </c>
      <c r="D1310" t="s">
        <v>9</v>
      </c>
      <c r="E1310" t="s">
        <v>35</v>
      </c>
      <c r="F1310" t="str">
        <f>VLOOKUP(Ramen_Ratings[[#This Row],[Country]],Country_Region[#All],2,FALSE)</f>
        <v>Asia</v>
      </c>
      <c r="G1310">
        <v>4</v>
      </c>
      <c r="H1310" t="str" cm="1">
        <f t="array" ref="H1310">_xlfn.IFS(Ramen_Ratings[[#This Row],[Stars]] = "Unrated", "NA",Ramen_Ratings[[#This Row],[Stars]]&gt;=4, "Good", Ramen_Ratings[[#This Row],[Stars]]&gt;2.5, "Fair", Ramen_Ratings[[#This Row],[Stars]] &gt;= 0, "Bad")</f>
        <v>Good</v>
      </c>
      <c r="J1310" t="str">
        <f>LEFT(Ramen_Ratings[[#This Row],[Top Ten]],4)</f>
        <v/>
      </c>
      <c r="K1310" t="str">
        <f>IF(Ramen_Ratings[[#This Row],[Top Ten]]="", "",RIGHT(Ramen_Ratings[[#This Row],[Top Ten]],LEN(Ramen_Ratings[[#This Row],[Top Ten]])-6))</f>
        <v/>
      </c>
    </row>
    <row r="1311" spans="1:11" x14ac:dyDescent="0.25">
      <c r="A1311">
        <v>1448</v>
      </c>
      <c r="B1311" t="s">
        <v>15</v>
      </c>
      <c r="C1311" t="s">
        <v>1373</v>
      </c>
      <c r="D1311" t="s">
        <v>13</v>
      </c>
      <c r="E1311" t="s">
        <v>35</v>
      </c>
      <c r="F1311" t="str">
        <f>VLOOKUP(Ramen_Ratings[[#This Row],[Country]],Country_Region[#All],2,FALSE)</f>
        <v>Asia</v>
      </c>
      <c r="G1311">
        <v>4.25</v>
      </c>
      <c r="H1311" t="str" cm="1">
        <f t="array" ref="H1311">_xlfn.IFS(Ramen_Ratings[[#This Row],[Stars]] = "Unrated", "NA",Ramen_Ratings[[#This Row],[Stars]]&gt;=4, "Good", Ramen_Ratings[[#This Row],[Stars]]&gt;2.5, "Fair", Ramen_Ratings[[#This Row],[Stars]] &gt;= 0, "Bad")</f>
        <v>Good</v>
      </c>
      <c r="J1311" t="str">
        <f>LEFT(Ramen_Ratings[[#This Row],[Top Ten]],4)</f>
        <v/>
      </c>
      <c r="K1311" t="str">
        <f>IF(Ramen_Ratings[[#This Row],[Top Ten]]="", "",RIGHT(Ramen_Ratings[[#This Row],[Top Ten]],LEN(Ramen_Ratings[[#This Row],[Top Ten]])-6))</f>
        <v/>
      </c>
    </row>
    <row r="1312" spans="1:11" x14ac:dyDescent="0.25">
      <c r="A1312">
        <v>1447</v>
      </c>
      <c r="B1312" t="s">
        <v>15</v>
      </c>
      <c r="C1312" t="s">
        <v>1380</v>
      </c>
      <c r="D1312" t="s">
        <v>9</v>
      </c>
      <c r="E1312" t="s">
        <v>35</v>
      </c>
      <c r="F1312" t="str">
        <f>VLOOKUP(Ramen_Ratings[[#This Row],[Country]],Country_Region[#All],2,FALSE)</f>
        <v>Asia</v>
      </c>
      <c r="G1312">
        <v>4</v>
      </c>
      <c r="H1312" t="str" cm="1">
        <f t="array" ref="H1312">_xlfn.IFS(Ramen_Ratings[[#This Row],[Stars]] = "Unrated", "NA",Ramen_Ratings[[#This Row],[Stars]]&gt;=4, "Good", Ramen_Ratings[[#This Row],[Stars]]&gt;2.5, "Fair", Ramen_Ratings[[#This Row],[Stars]] &gt;= 0, "Bad")</f>
        <v>Good</v>
      </c>
      <c r="J1312" t="str">
        <f>LEFT(Ramen_Ratings[[#This Row],[Top Ten]],4)</f>
        <v/>
      </c>
      <c r="K1312" t="str">
        <f>IF(Ramen_Ratings[[#This Row],[Top Ten]]="", "",RIGHT(Ramen_Ratings[[#This Row],[Top Ten]],LEN(Ramen_Ratings[[#This Row],[Top Ten]])-6))</f>
        <v/>
      </c>
    </row>
    <row r="1313" spans="1:11" x14ac:dyDescent="0.25">
      <c r="A1313">
        <v>1442</v>
      </c>
      <c r="B1313" t="s">
        <v>132</v>
      </c>
      <c r="C1313" t="s">
        <v>1385</v>
      </c>
      <c r="D1313" t="s">
        <v>13</v>
      </c>
      <c r="E1313" t="s">
        <v>35</v>
      </c>
      <c r="F1313" t="str">
        <f>VLOOKUP(Ramen_Ratings[[#This Row],[Country]],Country_Region[#All],2,FALSE)</f>
        <v>Asia</v>
      </c>
      <c r="G1313">
        <v>3.5</v>
      </c>
      <c r="H1313" t="str" cm="1">
        <f t="array" ref="H1313">_xlfn.IFS(Ramen_Ratings[[#This Row],[Stars]] = "Unrated", "NA",Ramen_Ratings[[#This Row],[Stars]]&gt;=4, "Good", Ramen_Ratings[[#This Row],[Stars]]&gt;2.5, "Fair", Ramen_Ratings[[#This Row],[Stars]] &gt;= 0, "Bad")</f>
        <v>Fair</v>
      </c>
      <c r="J1313" t="str">
        <f>LEFT(Ramen_Ratings[[#This Row],[Top Ten]],4)</f>
        <v/>
      </c>
      <c r="K1313" t="str">
        <f>IF(Ramen_Ratings[[#This Row],[Top Ten]]="", "",RIGHT(Ramen_Ratings[[#This Row],[Top Ten]],LEN(Ramen_Ratings[[#This Row],[Top Ten]])-6))</f>
        <v/>
      </c>
    </row>
    <row r="1314" spans="1:11" x14ac:dyDescent="0.25">
      <c r="A1314">
        <v>1435</v>
      </c>
      <c r="B1314" t="s">
        <v>132</v>
      </c>
      <c r="C1314" t="s">
        <v>1393</v>
      </c>
      <c r="D1314" t="s">
        <v>13</v>
      </c>
      <c r="E1314" t="s">
        <v>35</v>
      </c>
      <c r="F1314" t="str">
        <f>VLOOKUP(Ramen_Ratings[[#This Row],[Country]],Country_Region[#All],2,FALSE)</f>
        <v>Asia</v>
      </c>
      <c r="G1314">
        <v>4</v>
      </c>
      <c r="H1314" t="str" cm="1">
        <f t="array" ref="H1314">_xlfn.IFS(Ramen_Ratings[[#This Row],[Stars]] = "Unrated", "NA",Ramen_Ratings[[#This Row],[Stars]]&gt;=4, "Good", Ramen_Ratings[[#This Row],[Stars]]&gt;2.5, "Fair", Ramen_Ratings[[#This Row],[Stars]] &gt;= 0, "Bad")</f>
        <v>Good</v>
      </c>
      <c r="J1314" t="str">
        <f>LEFT(Ramen_Ratings[[#This Row],[Top Ten]],4)</f>
        <v/>
      </c>
      <c r="K1314" t="str">
        <f>IF(Ramen_Ratings[[#This Row],[Top Ten]]="", "",RIGHT(Ramen_Ratings[[#This Row],[Top Ten]],LEN(Ramen_Ratings[[#This Row],[Top Ten]])-6))</f>
        <v/>
      </c>
    </row>
    <row r="1315" spans="1:11" x14ac:dyDescent="0.25">
      <c r="A1315">
        <v>1433</v>
      </c>
      <c r="B1315" t="s">
        <v>132</v>
      </c>
      <c r="C1315" t="s">
        <v>292</v>
      </c>
      <c r="D1315" t="s">
        <v>13</v>
      </c>
      <c r="E1315" t="s">
        <v>35</v>
      </c>
      <c r="F1315" t="str">
        <f>VLOOKUP(Ramen_Ratings[[#This Row],[Country]],Country_Region[#All],2,FALSE)</f>
        <v>Asia</v>
      </c>
      <c r="G1315">
        <v>3.75</v>
      </c>
      <c r="H1315" t="str" cm="1">
        <f t="array" ref="H1315">_xlfn.IFS(Ramen_Ratings[[#This Row],[Stars]] = "Unrated", "NA",Ramen_Ratings[[#This Row],[Stars]]&gt;=4, "Good", Ramen_Ratings[[#This Row],[Stars]]&gt;2.5, "Fair", Ramen_Ratings[[#This Row],[Stars]] &gt;= 0, "Bad")</f>
        <v>Fair</v>
      </c>
      <c r="J1315" t="str">
        <f>LEFT(Ramen_Ratings[[#This Row],[Top Ten]],4)</f>
        <v/>
      </c>
      <c r="K1315" t="str">
        <f>IF(Ramen_Ratings[[#This Row],[Top Ten]]="", "",RIGHT(Ramen_Ratings[[#This Row],[Top Ten]],LEN(Ramen_Ratings[[#This Row],[Top Ten]])-6))</f>
        <v/>
      </c>
    </row>
    <row r="1316" spans="1:11" x14ac:dyDescent="0.25">
      <c r="A1316">
        <v>1432</v>
      </c>
      <c r="B1316" t="s">
        <v>132</v>
      </c>
      <c r="C1316" t="s">
        <v>1395</v>
      </c>
      <c r="D1316" t="s">
        <v>13</v>
      </c>
      <c r="E1316" t="s">
        <v>35</v>
      </c>
      <c r="F1316" t="str">
        <f>VLOOKUP(Ramen_Ratings[[#This Row],[Country]],Country_Region[#All],2,FALSE)</f>
        <v>Asia</v>
      </c>
      <c r="G1316">
        <v>5</v>
      </c>
      <c r="H1316" t="str" cm="1">
        <f t="array" ref="H1316">_xlfn.IFS(Ramen_Ratings[[#This Row],[Stars]] = "Unrated", "NA",Ramen_Ratings[[#This Row],[Stars]]&gt;=4, "Good", Ramen_Ratings[[#This Row],[Stars]]&gt;2.5, "Fair", Ramen_Ratings[[#This Row],[Stars]] &gt;= 0, "Bad")</f>
        <v>Good</v>
      </c>
      <c r="J1316" t="str">
        <f>LEFT(Ramen_Ratings[[#This Row],[Top Ten]],4)</f>
        <v/>
      </c>
      <c r="K1316" t="str">
        <f>IF(Ramen_Ratings[[#This Row],[Top Ten]]="", "",RIGHT(Ramen_Ratings[[#This Row],[Top Ten]],LEN(Ramen_Ratings[[#This Row],[Top Ten]])-6))</f>
        <v/>
      </c>
    </row>
    <row r="1317" spans="1:11" x14ac:dyDescent="0.25">
      <c r="A1317">
        <v>1431</v>
      </c>
      <c r="B1317" t="s">
        <v>132</v>
      </c>
      <c r="C1317" t="s">
        <v>1396</v>
      </c>
      <c r="D1317" t="s">
        <v>13</v>
      </c>
      <c r="E1317" t="s">
        <v>35</v>
      </c>
      <c r="F1317" t="str">
        <f>VLOOKUP(Ramen_Ratings[[#This Row],[Country]],Country_Region[#All],2,FALSE)</f>
        <v>Asia</v>
      </c>
      <c r="G1317">
        <v>5</v>
      </c>
      <c r="H1317" t="str" cm="1">
        <f t="array" ref="H1317">_xlfn.IFS(Ramen_Ratings[[#This Row],[Stars]] = "Unrated", "NA",Ramen_Ratings[[#This Row],[Stars]]&gt;=4, "Good", Ramen_Ratings[[#This Row],[Stars]]&gt;2.5, "Fair", Ramen_Ratings[[#This Row],[Stars]] &gt;= 0, "Bad")</f>
        <v>Good</v>
      </c>
      <c r="J1317" t="str">
        <f>LEFT(Ramen_Ratings[[#This Row],[Top Ten]],4)</f>
        <v/>
      </c>
      <c r="K1317" t="str">
        <f>IF(Ramen_Ratings[[#This Row],[Top Ten]]="", "",RIGHT(Ramen_Ratings[[#This Row],[Top Ten]],LEN(Ramen_Ratings[[#This Row],[Top Ten]])-6))</f>
        <v/>
      </c>
    </row>
    <row r="1318" spans="1:11" x14ac:dyDescent="0.25">
      <c r="A1318">
        <v>1398</v>
      </c>
      <c r="B1318" t="s">
        <v>15</v>
      </c>
      <c r="C1318" t="s">
        <v>1436</v>
      </c>
      <c r="D1318" t="s">
        <v>13</v>
      </c>
      <c r="E1318" t="s">
        <v>35</v>
      </c>
      <c r="F1318" t="str">
        <f>VLOOKUP(Ramen_Ratings[[#This Row],[Country]],Country_Region[#All],2,FALSE)</f>
        <v>Asia</v>
      </c>
      <c r="G1318">
        <v>3</v>
      </c>
      <c r="H1318" t="str" cm="1">
        <f t="array" ref="H1318">_xlfn.IFS(Ramen_Ratings[[#This Row],[Stars]] = "Unrated", "NA",Ramen_Ratings[[#This Row],[Stars]]&gt;=4, "Good", Ramen_Ratings[[#This Row],[Stars]]&gt;2.5, "Fair", Ramen_Ratings[[#This Row],[Stars]] &gt;= 0, "Bad")</f>
        <v>Fair</v>
      </c>
      <c r="J1318" t="str">
        <f>LEFT(Ramen_Ratings[[#This Row],[Top Ten]],4)</f>
        <v/>
      </c>
      <c r="K1318" t="str">
        <f>IF(Ramen_Ratings[[#This Row],[Top Ten]]="", "",RIGHT(Ramen_Ratings[[#This Row],[Top Ten]],LEN(Ramen_Ratings[[#This Row],[Top Ten]])-6))</f>
        <v/>
      </c>
    </row>
    <row r="1319" spans="1:11" x14ac:dyDescent="0.25">
      <c r="A1319">
        <v>1325</v>
      </c>
      <c r="B1319" t="s">
        <v>1045</v>
      </c>
      <c r="C1319" t="s">
        <v>1519</v>
      </c>
      <c r="D1319" t="s">
        <v>9</v>
      </c>
      <c r="E1319" t="s">
        <v>35</v>
      </c>
      <c r="F1319" t="str">
        <f>VLOOKUP(Ramen_Ratings[[#This Row],[Country]],Country_Region[#All],2,FALSE)</f>
        <v>Asia</v>
      </c>
      <c r="G1319">
        <v>3.25</v>
      </c>
      <c r="H1319" t="str" cm="1">
        <f t="array" ref="H1319">_xlfn.IFS(Ramen_Ratings[[#This Row],[Stars]] = "Unrated", "NA",Ramen_Ratings[[#This Row],[Stars]]&gt;=4, "Good", Ramen_Ratings[[#This Row],[Stars]]&gt;2.5, "Fair", Ramen_Ratings[[#This Row],[Stars]] &gt;= 0, "Bad")</f>
        <v>Fair</v>
      </c>
      <c r="J1319" t="str">
        <f>LEFT(Ramen_Ratings[[#This Row],[Top Ten]],4)</f>
        <v/>
      </c>
      <c r="K1319" t="str">
        <f>IF(Ramen_Ratings[[#This Row],[Top Ten]]="", "",RIGHT(Ramen_Ratings[[#This Row],[Top Ten]],LEN(Ramen_Ratings[[#This Row],[Top Ten]])-6))</f>
        <v/>
      </c>
    </row>
    <row r="1320" spans="1:11" x14ac:dyDescent="0.25">
      <c r="A1320">
        <v>1306</v>
      </c>
      <c r="B1320" t="s">
        <v>1045</v>
      </c>
      <c r="C1320" t="s">
        <v>1538</v>
      </c>
      <c r="D1320" t="s">
        <v>13</v>
      </c>
      <c r="E1320" t="s">
        <v>35</v>
      </c>
      <c r="F1320" t="str">
        <f>VLOOKUP(Ramen_Ratings[[#This Row],[Country]],Country_Region[#All],2,FALSE)</f>
        <v>Asia</v>
      </c>
      <c r="G1320">
        <v>2.5</v>
      </c>
      <c r="H1320" t="str" cm="1">
        <f t="array" ref="H1320">_xlfn.IFS(Ramen_Ratings[[#This Row],[Stars]] = "Unrated", "NA",Ramen_Ratings[[#This Row],[Stars]]&gt;=4, "Good", Ramen_Ratings[[#This Row],[Stars]]&gt;2.5, "Fair", Ramen_Ratings[[#This Row],[Stars]] &gt;= 0, "Bad")</f>
        <v>Bad</v>
      </c>
      <c r="J1320" t="str">
        <f>LEFT(Ramen_Ratings[[#This Row],[Top Ten]],4)</f>
        <v/>
      </c>
      <c r="K1320" t="str">
        <f>IF(Ramen_Ratings[[#This Row],[Top Ten]]="", "",RIGHT(Ramen_Ratings[[#This Row],[Top Ten]],LEN(Ramen_Ratings[[#This Row],[Top Ten]])-6))</f>
        <v/>
      </c>
    </row>
    <row r="1321" spans="1:11" x14ac:dyDescent="0.25">
      <c r="A1321">
        <v>1293</v>
      </c>
      <c r="B1321" t="s">
        <v>183</v>
      </c>
      <c r="C1321" t="s">
        <v>1554</v>
      </c>
      <c r="D1321" t="s">
        <v>13</v>
      </c>
      <c r="E1321" t="s">
        <v>35</v>
      </c>
      <c r="F1321" t="str">
        <f>VLOOKUP(Ramen_Ratings[[#This Row],[Country]],Country_Region[#All],2,FALSE)</f>
        <v>Asia</v>
      </c>
      <c r="G1321">
        <v>4.25</v>
      </c>
      <c r="H1321" t="str" cm="1">
        <f t="array" ref="H1321">_xlfn.IFS(Ramen_Ratings[[#This Row],[Stars]] = "Unrated", "NA",Ramen_Ratings[[#This Row],[Stars]]&gt;=4, "Good", Ramen_Ratings[[#This Row],[Stars]]&gt;2.5, "Fair", Ramen_Ratings[[#This Row],[Stars]] &gt;= 0, "Bad")</f>
        <v>Good</v>
      </c>
      <c r="J1321" t="str">
        <f>LEFT(Ramen_Ratings[[#This Row],[Top Ten]],4)</f>
        <v/>
      </c>
      <c r="K1321" t="str">
        <f>IF(Ramen_Ratings[[#This Row],[Top Ten]]="", "",RIGHT(Ramen_Ratings[[#This Row],[Top Ten]],LEN(Ramen_Ratings[[#This Row],[Top Ten]])-6))</f>
        <v/>
      </c>
    </row>
    <row r="1322" spans="1:11" x14ac:dyDescent="0.25">
      <c r="A1322">
        <v>1282</v>
      </c>
      <c r="B1322" t="s">
        <v>1045</v>
      </c>
      <c r="C1322" t="s">
        <v>1566</v>
      </c>
      <c r="D1322" t="s">
        <v>13</v>
      </c>
      <c r="E1322" t="s">
        <v>35</v>
      </c>
      <c r="F1322" t="str">
        <f>VLOOKUP(Ramen_Ratings[[#This Row],[Country]],Country_Region[#All],2,FALSE)</f>
        <v>Asia</v>
      </c>
      <c r="G1322">
        <v>2.75</v>
      </c>
      <c r="H1322" t="str" cm="1">
        <f t="array" ref="H1322">_xlfn.IFS(Ramen_Ratings[[#This Row],[Stars]] = "Unrated", "NA",Ramen_Ratings[[#This Row],[Stars]]&gt;=4, "Good", Ramen_Ratings[[#This Row],[Stars]]&gt;2.5, "Fair", Ramen_Ratings[[#This Row],[Stars]] &gt;= 0, "Bad")</f>
        <v>Fair</v>
      </c>
      <c r="J1322" t="str">
        <f>LEFT(Ramen_Ratings[[#This Row],[Top Ten]],4)</f>
        <v/>
      </c>
      <c r="K1322" t="str">
        <f>IF(Ramen_Ratings[[#This Row],[Top Ten]]="", "",RIGHT(Ramen_Ratings[[#This Row],[Top Ten]],LEN(Ramen_Ratings[[#This Row],[Top Ten]])-6))</f>
        <v/>
      </c>
    </row>
    <row r="1323" spans="1:11" x14ac:dyDescent="0.25">
      <c r="A1323">
        <v>1137</v>
      </c>
      <c r="B1323" t="s">
        <v>1045</v>
      </c>
      <c r="C1323" t="s">
        <v>1724</v>
      </c>
      <c r="D1323" t="s">
        <v>13</v>
      </c>
      <c r="E1323" t="s">
        <v>35</v>
      </c>
      <c r="F1323" t="str">
        <f>VLOOKUP(Ramen_Ratings[[#This Row],[Country]],Country_Region[#All],2,FALSE)</f>
        <v>Asia</v>
      </c>
      <c r="G1323">
        <v>3.75</v>
      </c>
      <c r="H1323" t="str" cm="1">
        <f t="array" ref="H1323">_xlfn.IFS(Ramen_Ratings[[#This Row],[Stars]] = "Unrated", "NA",Ramen_Ratings[[#This Row],[Stars]]&gt;=4, "Good", Ramen_Ratings[[#This Row],[Stars]]&gt;2.5, "Fair", Ramen_Ratings[[#This Row],[Stars]] &gt;= 0, "Bad")</f>
        <v>Fair</v>
      </c>
      <c r="J1323" t="str">
        <f>LEFT(Ramen_Ratings[[#This Row],[Top Ten]],4)</f>
        <v/>
      </c>
      <c r="K1323" t="str">
        <f>IF(Ramen_Ratings[[#This Row],[Top Ten]]="", "",RIGHT(Ramen_Ratings[[#This Row],[Top Ten]],LEN(Ramen_Ratings[[#This Row],[Top Ten]])-6))</f>
        <v/>
      </c>
    </row>
    <row r="1324" spans="1:11" x14ac:dyDescent="0.25">
      <c r="A1324">
        <v>1068</v>
      </c>
      <c r="B1324" t="s">
        <v>1045</v>
      </c>
      <c r="C1324" t="s">
        <v>1796</v>
      </c>
      <c r="D1324" t="s">
        <v>13</v>
      </c>
      <c r="E1324" t="s">
        <v>35</v>
      </c>
      <c r="F1324" t="str">
        <f>VLOOKUP(Ramen_Ratings[[#This Row],[Country]],Country_Region[#All],2,FALSE)</f>
        <v>Asia</v>
      </c>
      <c r="G1324">
        <v>3.75</v>
      </c>
      <c r="H1324" t="str" cm="1">
        <f t="array" ref="H1324">_xlfn.IFS(Ramen_Ratings[[#This Row],[Stars]] = "Unrated", "NA",Ramen_Ratings[[#This Row],[Stars]]&gt;=4, "Good", Ramen_Ratings[[#This Row],[Stars]]&gt;2.5, "Fair", Ramen_Ratings[[#This Row],[Stars]] &gt;= 0, "Bad")</f>
        <v>Fair</v>
      </c>
      <c r="J1324" t="str">
        <f>LEFT(Ramen_Ratings[[#This Row],[Top Ten]],4)</f>
        <v/>
      </c>
      <c r="K1324" t="str">
        <f>IF(Ramen_Ratings[[#This Row],[Top Ten]]="", "",RIGHT(Ramen_Ratings[[#This Row],[Top Ten]],LEN(Ramen_Ratings[[#This Row],[Top Ten]])-6))</f>
        <v/>
      </c>
    </row>
    <row r="1325" spans="1:11" x14ac:dyDescent="0.25">
      <c r="A1325">
        <v>637</v>
      </c>
      <c r="B1325" t="s">
        <v>1439</v>
      </c>
      <c r="C1325" t="s">
        <v>2251</v>
      </c>
      <c r="D1325" t="s">
        <v>9</v>
      </c>
      <c r="E1325" t="s">
        <v>35</v>
      </c>
      <c r="F1325" t="str">
        <f>VLOOKUP(Ramen_Ratings[[#This Row],[Country]],Country_Region[#All],2,FALSE)</f>
        <v>Asia</v>
      </c>
      <c r="G1325">
        <v>2.5</v>
      </c>
      <c r="H1325" t="str" cm="1">
        <f t="array" ref="H1325">_xlfn.IFS(Ramen_Ratings[[#This Row],[Stars]] = "Unrated", "NA",Ramen_Ratings[[#This Row],[Stars]]&gt;=4, "Good", Ramen_Ratings[[#This Row],[Stars]]&gt;2.5, "Fair", Ramen_Ratings[[#This Row],[Stars]] &gt;= 0, "Bad")</f>
        <v>Bad</v>
      </c>
      <c r="J1325" t="str">
        <f>LEFT(Ramen_Ratings[[#This Row],[Top Ten]],4)</f>
        <v/>
      </c>
      <c r="K1325" t="str">
        <f>IF(Ramen_Ratings[[#This Row],[Top Ten]]="", "",RIGHT(Ramen_Ratings[[#This Row],[Top Ten]],LEN(Ramen_Ratings[[#This Row],[Top Ten]])-6))</f>
        <v/>
      </c>
    </row>
    <row r="1326" spans="1:11" x14ac:dyDescent="0.25">
      <c r="A1326">
        <v>519</v>
      </c>
      <c r="B1326" t="s">
        <v>1439</v>
      </c>
      <c r="C1326" t="s">
        <v>2370</v>
      </c>
      <c r="D1326" t="s">
        <v>9</v>
      </c>
      <c r="E1326" t="s">
        <v>35</v>
      </c>
      <c r="F1326" t="str">
        <f>VLOOKUP(Ramen_Ratings[[#This Row],[Country]],Country_Region[#All],2,FALSE)</f>
        <v>Asia</v>
      </c>
      <c r="G1326">
        <v>2</v>
      </c>
      <c r="H1326" t="str" cm="1">
        <f t="array" ref="H1326">_xlfn.IFS(Ramen_Ratings[[#This Row],[Stars]] = "Unrated", "NA",Ramen_Ratings[[#This Row],[Stars]]&gt;=4, "Good", Ramen_Ratings[[#This Row],[Stars]]&gt;2.5, "Fair", Ramen_Ratings[[#This Row],[Stars]] &gt;= 0, "Bad")</f>
        <v>Bad</v>
      </c>
      <c r="J1326" t="str">
        <f>LEFT(Ramen_Ratings[[#This Row],[Top Ten]],4)</f>
        <v/>
      </c>
      <c r="K1326" t="str">
        <f>IF(Ramen_Ratings[[#This Row],[Top Ten]]="", "",RIGHT(Ramen_Ratings[[#This Row],[Top Ten]],LEN(Ramen_Ratings[[#This Row],[Top Ten]])-6))</f>
        <v/>
      </c>
    </row>
    <row r="1327" spans="1:11" x14ac:dyDescent="0.25">
      <c r="A1327">
        <v>510</v>
      </c>
      <c r="B1327" t="s">
        <v>1439</v>
      </c>
      <c r="C1327" t="s">
        <v>2377</v>
      </c>
      <c r="D1327" t="s">
        <v>9</v>
      </c>
      <c r="E1327" t="s">
        <v>35</v>
      </c>
      <c r="F1327" t="str">
        <f>VLOOKUP(Ramen_Ratings[[#This Row],[Country]],Country_Region[#All],2,FALSE)</f>
        <v>Asia</v>
      </c>
      <c r="G1327">
        <v>3.75</v>
      </c>
      <c r="H1327" t="str" cm="1">
        <f t="array" ref="H1327">_xlfn.IFS(Ramen_Ratings[[#This Row],[Stars]] = "Unrated", "NA",Ramen_Ratings[[#This Row],[Stars]]&gt;=4, "Good", Ramen_Ratings[[#This Row],[Stars]]&gt;2.5, "Fair", Ramen_Ratings[[#This Row],[Stars]] &gt;= 0, "Bad")</f>
        <v>Fair</v>
      </c>
      <c r="J1327" t="str">
        <f>LEFT(Ramen_Ratings[[#This Row],[Top Ten]],4)</f>
        <v/>
      </c>
      <c r="K1327" t="str">
        <f>IF(Ramen_Ratings[[#This Row],[Top Ten]]="", "",RIGHT(Ramen_Ratings[[#This Row],[Top Ten]],LEN(Ramen_Ratings[[#This Row],[Top Ten]])-6))</f>
        <v/>
      </c>
    </row>
    <row r="1328" spans="1:11" x14ac:dyDescent="0.25">
      <c r="A1328">
        <v>494</v>
      </c>
      <c r="B1328" t="s">
        <v>1439</v>
      </c>
      <c r="C1328" t="s">
        <v>2391</v>
      </c>
      <c r="D1328" t="s">
        <v>9</v>
      </c>
      <c r="E1328" t="s">
        <v>35</v>
      </c>
      <c r="F1328" t="str">
        <f>VLOOKUP(Ramen_Ratings[[#This Row],[Country]],Country_Region[#All],2,FALSE)</f>
        <v>Asia</v>
      </c>
      <c r="G1328">
        <v>3.5</v>
      </c>
      <c r="H1328" t="str" cm="1">
        <f t="array" ref="H1328">_xlfn.IFS(Ramen_Ratings[[#This Row],[Stars]] = "Unrated", "NA",Ramen_Ratings[[#This Row],[Stars]]&gt;=4, "Good", Ramen_Ratings[[#This Row],[Stars]]&gt;2.5, "Fair", Ramen_Ratings[[#This Row],[Stars]] &gt;= 0, "Bad")</f>
        <v>Fair</v>
      </c>
      <c r="J1328" t="str">
        <f>LEFT(Ramen_Ratings[[#This Row],[Top Ten]],4)</f>
        <v/>
      </c>
      <c r="K1328" t="str">
        <f>IF(Ramen_Ratings[[#This Row],[Top Ten]]="", "",RIGHT(Ramen_Ratings[[#This Row],[Top Ten]],LEN(Ramen_Ratings[[#This Row],[Top Ten]])-6))</f>
        <v/>
      </c>
    </row>
    <row r="1329" spans="1:11" x14ac:dyDescent="0.25">
      <c r="A1329">
        <v>427</v>
      </c>
      <c r="B1329" t="s">
        <v>1045</v>
      </c>
      <c r="C1329" t="s">
        <v>2453</v>
      </c>
      <c r="D1329" t="s">
        <v>13</v>
      </c>
      <c r="E1329" t="s">
        <v>35</v>
      </c>
      <c r="F1329" t="str">
        <f>VLOOKUP(Ramen_Ratings[[#This Row],[Country]],Country_Region[#All],2,FALSE)</f>
        <v>Asia</v>
      </c>
      <c r="G1329">
        <v>5</v>
      </c>
      <c r="H1329" t="str" cm="1">
        <f t="array" ref="H1329">_xlfn.IFS(Ramen_Ratings[[#This Row],[Stars]] = "Unrated", "NA",Ramen_Ratings[[#This Row],[Stars]]&gt;=4, "Good", Ramen_Ratings[[#This Row],[Stars]]&gt;2.5, "Fair", Ramen_Ratings[[#This Row],[Stars]] &gt;= 0, "Bad")</f>
        <v>Good</v>
      </c>
      <c r="J1329" t="str">
        <f>LEFT(Ramen_Ratings[[#This Row],[Top Ten]],4)</f>
        <v/>
      </c>
      <c r="K1329" t="str">
        <f>IF(Ramen_Ratings[[#This Row],[Top Ten]]="", "",RIGHT(Ramen_Ratings[[#This Row],[Top Ten]],LEN(Ramen_Ratings[[#This Row],[Top Ten]])-6))</f>
        <v/>
      </c>
    </row>
    <row r="1330" spans="1:11" x14ac:dyDescent="0.25">
      <c r="A1330">
        <v>365</v>
      </c>
      <c r="B1330" t="s">
        <v>15</v>
      </c>
      <c r="C1330" t="s">
        <v>2519</v>
      </c>
      <c r="D1330" t="s">
        <v>9</v>
      </c>
      <c r="E1330" t="s">
        <v>35</v>
      </c>
      <c r="F1330" t="str">
        <f>VLOOKUP(Ramen_Ratings[[#This Row],[Country]],Country_Region[#All],2,FALSE)</f>
        <v>Asia</v>
      </c>
      <c r="G1330">
        <v>3.25</v>
      </c>
      <c r="H1330" t="str" cm="1">
        <f t="array" ref="H1330">_xlfn.IFS(Ramen_Ratings[[#This Row],[Stars]] = "Unrated", "NA",Ramen_Ratings[[#This Row],[Stars]]&gt;=4, "Good", Ramen_Ratings[[#This Row],[Stars]]&gt;2.5, "Fair", Ramen_Ratings[[#This Row],[Stars]] &gt;= 0, "Bad")</f>
        <v>Fair</v>
      </c>
      <c r="J1330" t="str">
        <f>LEFT(Ramen_Ratings[[#This Row],[Top Ten]],4)</f>
        <v/>
      </c>
      <c r="K1330" t="str">
        <f>IF(Ramen_Ratings[[#This Row],[Top Ten]]="", "",RIGHT(Ramen_Ratings[[#This Row],[Top Ten]],LEN(Ramen_Ratings[[#This Row],[Top Ten]])-6))</f>
        <v/>
      </c>
    </row>
    <row r="1331" spans="1:11" x14ac:dyDescent="0.25">
      <c r="A1331">
        <v>248</v>
      </c>
      <c r="B1331" t="s">
        <v>1045</v>
      </c>
      <c r="C1331" t="s">
        <v>2632</v>
      </c>
      <c r="D1331" t="s">
        <v>13</v>
      </c>
      <c r="E1331" t="s">
        <v>35</v>
      </c>
      <c r="F1331" t="str">
        <f>VLOOKUP(Ramen_Ratings[[#This Row],[Country]],Country_Region[#All],2,FALSE)</f>
        <v>Asia</v>
      </c>
      <c r="G1331">
        <v>4.75</v>
      </c>
      <c r="H1331" t="str" cm="1">
        <f t="array" ref="H1331">_xlfn.IFS(Ramen_Ratings[[#This Row],[Stars]] = "Unrated", "NA",Ramen_Ratings[[#This Row],[Stars]]&gt;=4, "Good", Ramen_Ratings[[#This Row],[Stars]]&gt;2.5, "Fair", Ramen_Ratings[[#This Row],[Stars]] &gt;= 0, "Bad")</f>
        <v>Good</v>
      </c>
      <c r="J1331" t="str">
        <f>LEFT(Ramen_Ratings[[#This Row],[Top Ten]],4)</f>
        <v/>
      </c>
      <c r="K1331" t="str">
        <f>IF(Ramen_Ratings[[#This Row],[Top Ten]]="", "",RIGHT(Ramen_Ratings[[#This Row],[Top Ten]],LEN(Ramen_Ratings[[#This Row],[Top Ten]])-6))</f>
        <v/>
      </c>
    </row>
    <row r="1332" spans="1:11" x14ac:dyDescent="0.25">
      <c r="A1332">
        <v>237</v>
      </c>
      <c r="B1332" t="s">
        <v>1045</v>
      </c>
      <c r="C1332" t="s">
        <v>2643</v>
      </c>
      <c r="D1332" t="s">
        <v>44</v>
      </c>
      <c r="E1332" t="s">
        <v>35</v>
      </c>
      <c r="F1332" t="str">
        <f>VLOOKUP(Ramen_Ratings[[#This Row],[Country]],Country_Region[#All],2,FALSE)</f>
        <v>Asia</v>
      </c>
      <c r="G1332">
        <v>3</v>
      </c>
      <c r="H1332" t="str" cm="1">
        <f t="array" ref="H1332">_xlfn.IFS(Ramen_Ratings[[#This Row],[Stars]] = "Unrated", "NA",Ramen_Ratings[[#This Row],[Stars]]&gt;=4, "Good", Ramen_Ratings[[#This Row],[Stars]]&gt;2.5, "Fair", Ramen_Ratings[[#This Row],[Stars]] &gt;= 0, "Bad")</f>
        <v>Fair</v>
      </c>
      <c r="J1332" t="str">
        <f>LEFT(Ramen_Ratings[[#This Row],[Top Ten]],4)</f>
        <v/>
      </c>
      <c r="K1332" t="str">
        <f>IF(Ramen_Ratings[[#This Row],[Top Ten]]="", "",RIGHT(Ramen_Ratings[[#This Row],[Top Ten]],LEN(Ramen_Ratings[[#This Row],[Top Ten]])-6))</f>
        <v/>
      </c>
    </row>
    <row r="1333" spans="1:11" x14ac:dyDescent="0.25">
      <c r="A1333">
        <v>236</v>
      </c>
      <c r="B1333" t="s">
        <v>1045</v>
      </c>
      <c r="C1333" t="s">
        <v>2644</v>
      </c>
      <c r="D1333" t="s">
        <v>13</v>
      </c>
      <c r="E1333" t="s">
        <v>35</v>
      </c>
      <c r="F1333" t="str">
        <f>VLOOKUP(Ramen_Ratings[[#This Row],[Country]],Country_Region[#All],2,FALSE)</f>
        <v>Asia</v>
      </c>
      <c r="G1333">
        <v>5</v>
      </c>
      <c r="H1333" t="str" cm="1">
        <f t="array" ref="H1333">_xlfn.IFS(Ramen_Ratings[[#This Row],[Stars]] = "Unrated", "NA",Ramen_Ratings[[#This Row],[Stars]]&gt;=4, "Good", Ramen_Ratings[[#This Row],[Stars]]&gt;2.5, "Fair", Ramen_Ratings[[#This Row],[Stars]] &gt;= 0, "Bad")</f>
        <v>Good</v>
      </c>
      <c r="J1333" t="str">
        <f>LEFT(Ramen_Ratings[[#This Row],[Top Ten]],4)</f>
        <v/>
      </c>
      <c r="K1333" t="str">
        <f>IF(Ramen_Ratings[[#This Row],[Top Ten]]="", "",RIGHT(Ramen_Ratings[[#This Row],[Top Ten]],LEN(Ramen_Ratings[[#This Row],[Top Ten]])-6))</f>
        <v/>
      </c>
    </row>
    <row r="1334" spans="1:11" x14ac:dyDescent="0.25">
      <c r="A1334">
        <v>235</v>
      </c>
      <c r="B1334" t="s">
        <v>1045</v>
      </c>
      <c r="C1334" t="s">
        <v>2645</v>
      </c>
      <c r="D1334" t="s">
        <v>13</v>
      </c>
      <c r="E1334" t="s">
        <v>35</v>
      </c>
      <c r="F1334" t="str">
        <f>VLOOKUP(Ramen_Ratings[[#This Row],[Country]],Country_Region[#All],2,FALSE)</f>
        <v>Asia</v>
      </c>
      <c r="G1334">
        <v>4.25</v>
      </c>
      <c r="H1334" t="str" cm="1">
        <f t="array" ref="H1334">_xlfn.IFS(Ramen_Ratings[[#This Row],[Stars]] = "Unrated", "NA",Ramen_Ratings[[#This Row],[Stars]]&gt;=4, "Good", Ramen_Ratings[[#This Row],[Stars]]&gt;2.5, "Fair", Ramen_Ratings[[#This Row],[Stars]] &gt;= 0, "Bad")</f>
        <v>Good</v>
      </c>
      <c r="J1334" t="str">
        <f>LEFT(Ramen_Ratings[[#This Row],[Top Ten]],4)</f>
        <v/>
      </c>
      <c r="K1334" t="str">
        <f>IF(Ramen_Ratings[[#This Row],[Top Ten]]="", "",RIGHT(Ramen_Ratings[[#This Row],[Top Ten]],LEN(Ramen_Ratings[[#This Row],[Top Ten]])-6))</f>
        <v/>
      </c>
    </row>
    <row r="1335" spans="1:11" x14ac:dyDescent="0.25">
      <c r="A1335">
        <v>233</v>
      </c>
      <c r="B1335" t="s">
        <v>1045</v>
      </c>
      <c r="C1335" t="s">
        <v>2647</v>
      </c>
      <c r="D1335" t="s">
        <v>44</v>
      </c>
      <c r="E1335" t="s">
        <v>35</v>
      </c>
      <c r="F1335" t="str">
        <f>VLOOKUP(Ramen_Ratings[[#This Row],[Country]],Country_Region[#All],2,FALSE)</f>
        <v>Asia</v>
      </c>
      <c r="G1335">
        <v>3.5</v>
      </c>
      <c r="H1335" t="str" cm="1">
        <f t="array" ref="H1335">_xlfn.IFS(Ramen_Ratings[[#This Row],[Stars]] = "Unrated", "NA",Ramen_Ratings[[#This Row],[Stars]]&gt;=4, "Good", Ramen_Ratings[[#This Row],[Stars]]&gt;2.5, "Fair", Ramen_Ratings[[#This Row],[Stars]] &gt;= 0, "Bad")</f>
        <v>Fair</v>
      </c>
      <c r="J1335" t="str">
        <f>LEFT(Ramen_Ratings[[#This Row],[Top Ten]],4)</f>
        <v/>
      </c>
      <c r="K1335" t="str">
        <f>IF(Ramen_Ratings[[#This Row],[Top Ten]]="", "",RIGHT(Ramen_Ratings[[#This Row],[Top Ten]],LEN(Ramen_Ratings[[#This Row],[Top Ten]])-6))</f>
        <v/>
      </c>
    </row>
    <row r="1336" spans="1:11" x14ac:dyDescent="0.25">
      <c r="A1336">
        <v>223</v>
      </c>
      <c r="B1336" t="s">
        <v>1045</v>
      </c>
      <c r="C1336" t="s">
        <v>1046</v>
      </c>
      <c r="D1336" t="s">
        <v>44</v>
      </c>
      <c r="E1336" t="s">
        <v>35</v>
      </c>
      <c r="F1336" t="str">
        <f>VLOOKUP(Ramen_Ratings[[#This Row],[Country]],Country_Region[#All],2,FALSE)</f>
        <v>Asia</v>
      </c>
      <c r="G1336">
        <v>4.25</v>
      </c>
      <c r="H1336" t="str" cm="1">
        <f t="array" ref="H1336">_xlfn.IFS(Ramen_Ratings[[#This Row],[Stars]] = "Unrated", "NA",Ramen_Ratings[[#This Row],[Stars]]&gt;=4, "Good", Ramen_Ratings[[#This Row],[Stars]]&gt;2.5, "Fair", Ramen_Ratings[[#This Row],[Stars]] &gt;= 0, "Bad")</f>
        <v>Good</v>
      </c>
      <c r="J1336" t="str">
        <f>LEFT(Ramen_Ratings[[#This Row],[Top Ten]],4)</f>
        <v/>
      </c>
      <c r="K1336" t="str">
        <f>IF(Ramen_Ratings[[#This Row],[Top Ten]]="", "",RIGHT(Ramen_Ratings[[#This Row],[Top Ten]],LEN(Ramen_Ratings[[#This Row],[Top Ten]])-6))</f>
        <v/>
      </c>
    </row>
    <row r="1337" spans="1:11" x14ac:dyDescent="0.25">
      <c r="A1337">
        <v>33</v>
      </c>
      <c r="B1337" t="s">
        <v>1045</v>
      </c>
      <c r="C1337" t="s">
        <v>2830</v>
      </c>
      <c r="D1337" t="s">
        <v>13</v>
      </c>
      <c r="E1337" t="s">
        <v>35</v>
      </c>
      <c r="F1337" t="str">
        <f>VLOOKUP(Ramen_Ratings[[#This Row],[Country]],Country_Region[#All],2,FALSE)</f>
        <v>Asia</v>
      </c>
      <c r="G1337">
        <v>3.75</v>
      </c>
      <c r="H1337" t="str" cm="1">
        <f t="array" ref="H1337">_xlfn.IFS(Ramen_Ratings[[#This Row],[Stars]] = "Unrated", "NA",Ramen_Ratings[[#This Row],[Stars]]&gt;=4, "Good", Ramen_Ratings[[#This Row],[Stars]]&gt;2.5, "Fair", Ramen_Ratings[[#This Row],[Stars]] &gt;= 0, "Bad")</f>
        <v>Fair</v>
      </c>
      <c r="J1337" t="str">
        <f>LEFT(Ramen_Ratings[[#This Row],[Top Ten]],4)</f>
        <v/>
      </c>
      <c r="K1337" t="str">
        <f>IF(Ramen_Ratings[[#This Row],[Top Ten]]="", "",RIGHT(Ramen_Ratings[[#This Row],[Top Ten]],LEN(Ramen_Ratings[[#This Row],[Top Ten]])-6))</f>
        <v/>
      </c>
    </row>
    <row r="1338" spans="1:11" x14ac:dyDescent="0.25">
      <c r="A1338">
        <v>32</v>
      </c>
      <c r="B1338" t="s">
        <v>1045</v>
      </c>
      <c r="C1338" t="s">
        <v>2453</v>
      </c>
      <c r="D1338" t="s">
        <v>13</v>
      </c>
      <c r="E1338" t="s">
        <v>35</v>
      </c>
      <c r="F1338" t="str">
        <f>VLOOKUP(Ramen_Ratings[[#This Row],[Country]],Country_Region[#All],2,FALSE)</f>
        <v>Asia</v>
      </c>
      <c r="G1338">
        <v>3.5</v>
      </c>
      <c r="H1338" t="str" cm="1">
        <f t="array" ref="H1338">_xlfn.IFS(Ramen_Ratings[[#This Row],[Stars]] = "Unrated", "NA",Ramen_Ratings[[#This Row],[Stars]]&gt;=4, "Good", Ramen_Ratings[[#This Row],[Stars]]&gt;2.5, "Fair", Ramen_Ratings[[#This Row],[Stars]] &gt;= 0, "Bad")</f>
        <v>Fair</v>
      </c>
      <c r="J1338" t="str">
        <f>LEFT(Ramen_Ratings[[#This Row],[Top Ten]],4)</f>
        <v/>
      </c>
      <c r="K1338" t="str">
        <f>IF(Ramen_Ratings[[#This Row],[Top Ten]]="", "",RIGHT(Ramen_Ratings[[#This Row],[Top Ten]],LEN(Ramen_Ratings[[#This Row],[Top Ten]])-6))</f>
        <v/>
      </c>
    </row>
    <row r="1339" spans="1:11" x14ac:dyDescent="0.25">
      <c r="A1339">
        <v>1717</v>
      </c>
      <c r="B1339" t="s">
        <v>1066</v>
      </c>
      <c r="C1339" t="s">
        <v>1067</v>
      </c>
      <c r="D1339" t="s">
        <v>13</v>
      </c>
      <c r="E1339" t="s">
        <v>1068</v>
      </c>
      <c r="F1339" t="str">
        <f>VLOOKUP(Ramen_Ratings[[#This Row],[Country]],Country_Region[#All],2,FALSE)</f>
        <v>Asia</v>
      </c>
      <c r="G1339">
        <v>4</v>
      </c>
      <c r="H1339" t="str" cm="1">
        <f t="array" ref="H1339">_xlfn.IFS(Ramen_Ratings[[#This Row],[Stars]] = "Unrated", "NA",Ramen_Ratings[[#This Row],[Stars]]&gt;=4, "Good", Ramen_Ratings[[#This Row],[Stars]]&gt;2.5, "Fair", Ramen_Ratings[[#This Row],[Stars]] &gt;= 0, "Bad")</f>
        <v>Good</v>
      </c>
      <c r="J1339" t="str">
        <f>LEFT(Ramen_Ratings[[#This Row],[Top Ten]],4)</f>
        <v/>
      </c>
      <c r="K1339" t="str">
        <f>IF(Ramen_Ratings[[#This Row],[Top Ten]]="", "",RIGHT(Ramen_Ratings[[#This Row],[Top Ten]],LEN(Ramen_Ratings[[#This Row],[Top Ten]])-6))</f>
        <v/>
      </c>
    </row>
    <row r="1340" spans="1:11" x14ac:dyDescent="0.25">
      <c r="A1340">
        <v>1708</v>
      </c>
      <c r="B1340" t="s">
        <v>1078</v>
      </c>
      <c r="C1340" t="s">
        <v>1079</v>
      </c>
      <c r="D1340" t="s">
        <v>13</v>
      </c>
      <c r="E1340" t="s">
        <v>1068</v>
      </c>
      <c r="F1340" t="str">
        <f>VLOOKUP(Ramen_Ratings[[#This Row],[Country]],Country_Region[#All],2,FALSE)</f>
        <v>Asia</v>
      </c>
      <c r="G1340">
        <v>4</v>
      </c>
      <c r="H1340" t="str" cm="1">
        <f t="array" ref="H1340">_xlfn.IFS(Ramen_Ratings[[#This Row],[Stars]] = "Unrated", "NA",Ramen_Ratings[[#This Row],[Stars]]&gt;=4, "Good", Ramen_Ratings[[#This Row],[Stars]]&gt;2.5, "Fair", Ramen_Ratings[[#This Row],[Stars]] &gt;= 0, "Bad")</f>
        <v>Good</v>
      </c>
      <c r="J1340" t="str">
        <f>LEFT(Ramen_Ratings[[#This Row],[Top Ten]],4)</f>
        <v/>
      </c>
      <c r="K1340" t="str">
        <f>IF(Ramen_Ratings[[#This Row],[Top Ten]]="", "",RIGHT(Ramen_Ratings[[#This Row],[Top Ten]],LEN(Ramen_Ratings[[#This Row],[Top Ten]])-6))</f>
        <v/>
      </c>
    </row>
    <row r="1341" spans="1:11" x14ac:dyDescent="0.25">
      <c r="A1341">
        <v>1697</v>
      </c>
      <c r="B1341" t="s">
        <v>1078</v>
      </c>
      <c r="C1341" t="s">
        <v>1091</v>
      </c>
      <c r="D1341" t="s">
        <v>13</v>
      </c>
      <c r="E1341" t="s">
        <v>1068</v>
      </c>
      <c r="F1341" t="str">
        <f>VLOOKUP(Ramen_Ratings[[#This Row],[Country]],Country_Region[#All],2,FALSE)</f>
        <v>Asia</v>
      </c>
      <c r="G1341">
        <v>5</v>
      </c>
      <c r="H1341" t="str" cm="1">
        <f t="array" ref="H1341">_xlfn.IFS(Ramen_Ratings[[#This Row],[Stars]] = "Unrated", "NA",Ramen_Ratings[[#This Row],[Stars]]&gt;=4, "Good", Ramen_Ratings[[#This Row],[Stars]]&gt;2.5, "Fair", Ramen_Ratings[[#This Row],[Stars]] &gt;= 0, "Bad")</f>
        <v>Good</v>
      </c>
      <c r="J1341" t="str">
        <f>LEFT(Ramen_Ratings[[#This Row],[Top Ten]],4)</f>
        <v/>
      </c>
      <c r="K1341" t="str">
        <f>IF(Ramen_Ratings[[#This Row],[Top Ten]]="", "",RIGHT(Ramen_Ratings[[#This Row],[Top Ten]],LEN(Ramen_Ratings[[#This Row],[Top Ten]])-6))</f>
        <v/>
      </c>
    </row>
    <row r="1342" spans="1:11" x14ac:dyDescent="0.25">
      <c r="A1342">
        <v>1006</v>
      </c>
      <c r="B1342" t="s">
        <v>1859</v>
      </c>
      <c r="C1342" t="s">
        <v>1860</v>
      </c>
      <c r="D1342" t="s">
        <v>13</v>
      </c>
      <c r="E1342" t="s">
        <v>1861</v>
      </c>
      <c r="F1342" t="str">
        <f>VLOOKUP(Ramen_Ratings[[#This Row],[Country]],Country_Region[#All],2,FALSE)</f>
        <v>Europe</v>
      </c>
      <c r="G1342">
        <v>4</v>
      </c>
      <c r="H1342" t="str" cm="1">
        <f t="array" ref="H1342">_xlfn.IFS(Ramen_Ratings[[#This Row],[Stars]] = "Unrated", "NA",Ramen_Ratings[[#This Row],[Stars]]&gt;=4, "Good", Ramen_Ratings[[#This Row],[Stars]]&gt;2.5, "Fair", Ramen_Ratings[[#This Row],[Stars]] &gt;= 0, "Bad")</f>
        <v>Good</v>
      </c>
      <c r="J1342" t="str">
        <f>LEFT(Ramen_Ratings[[#This Row],[Top Ten]],4)</f>
        <v/>
      </c>
      <c r="K1342" t="str">
        <f>IF(Ramen_Ratings[[#This Row],[Top Ten]]="", "",RIGHT(Ramen_Ratings[[#This Row],[Top Ten]],LEN(Ramen_Ratings[[#This Row],[Top Ten]])-6))</f>
        <v/>
      </c>
    </row>
    <row r="1343" spans="1:11" x14ac:dyDescent="0.25">
      <c r="A1343">
        <v>988</v>
      </c>
      <c r="B1343" t="s">
        <v>1859</v>
      </c>
      <c r="C1343" t="s">
        <v>1879</v>
      </c>
      <c r="D1343" t="s">
        <v>13</v>
      </c>
      <c r="E1343" t="s">
        <v>1861</v>
      </c>
      <c r="F1343" t="str">
        <f>VLOOKUP(Ramen_Ratings[[#This Row],[Country]],Country_Region[#All],2,FALSE)</f>
        <v>Europe</v>
      </c>
      <c r="G1343">
        <v>3.25</v>
      </c>
      <c r="H1343" t="str" cm="1">
        <f t="array" ref="H1343">_xlfn.IFS(Ramen_Ratings[[#This Row],[Stars]] = "Unrated", "NA",Ramen_Ratings[[#This Row],[Stars]]&gt;=4, "Good", Ramen_Ratings[[#This Row],[Stars]]&gt;2.5, "Fair", Ramen_Ratings[[#This Row],[Stars]] &gt;= 0, "Bad")</f>
        <v>Fair</v>
      </c>
      <c r="J1343" t="str">
        <f>LEFT(Ramen_Ratings[[#This Row],[Top Ten]],4)</f>
        <v/>
      </c>
      <c r="K1343" t="str">
        <f>IF(Ramen_Ratings[[#This Row],[Top Ten]]="", "",RIGHT(Ramen_Ratings[[#This Row],[Top Ten]],LEN(Ramen_Ratings[[#This Row],[Top Ten]])-6))</f>
        <v/>
      </c>
    </row>
    <row r="1344" spans="1:11" x14ac:dyDescent="0.25">
      <c r="A1344">
        <v>951</v>
      </c>
      <c r="B1344" t="s">
        <v>331</v>
      </c>
      <c r="C1344" t="s">
        <v>1916</v>
      </c>
      <c r="D1344" t="s">
        <v>13</v>
      </c>
      <c r="E1344" t="s">
        <v>1861</v>
      </c>
      <c r="F1344" t="str">
        <f>VLOOKUP(Ramen_Ratings[[#This Row],[Country]],Country_Region[#All],2,FALSE)</f>
        <v>Europe</v>
      </c>
      <c r="G1344">
        <v>4</v>
      </c>
      <c r="H1344" t="str" cm="1">
        <f t="array" ref="H1344">_xlfn.IFS(Ramen_Ratings[[#This Row],[Stars]] = "Unrated", "NA",Ramen_Ratings[[#This Row],[Stars]]&gt;=4, "Good", Ramen_Ratings[[#This Row],[Stars]]&gt;2.5, "Fair", Ramen_Ratings[[#This Row],[Stars]] &gt;= 0, "Bad")</f>
        <v>Good</v>
      </c>
      <c r="J1344" t="str">
        <f>LEFT(Ramen_Ratings[[#This Row],[Top Ten]],4)</f>
        <v/>
      </c>
      <c r="K1344" t="str">
        <f>IF(Ramen_Ratings[[#This Row],[Top Ten]]="", "",RIGHT(Ramen_Ratings[[#This Row],[Top Ten]],LEN(Ramen_Ratings[[#This Row],[Top Ten]])-6))</f>
        <v/>
      </c>
    </row>
    <row r="1345" spans="1:11" x14ac:dyDescent="0.25">
      <c r="A1345">
        <v>943</v>
      </c>
      <c r="B1345" t="s">
        <v>1859</v>
      </c>
      <c r="C1345" t="s">
        <v>1925</v>
      </c>
      <c r="D1345" t="s">
        <v>13</v>
      </c>
      <c r="E1345" t="s">
        <v>1861</v>
      </c>
      <c r="F1345" t="str">
        <f>VLOOKUP(Ramen_Ratings[[#This Row],[Country]],Country_Region[#All],2,FALSE)</f>
        <v>Europe</v>
      </c>
      <c r="G1345">
        <v>3.25</v>
      </c>
      <c r="H1345" t="str" cm="1">
        <f t="array" ref="H1345">_xlfn.IFS(Ramen_Ratings[[#This Row],[Stars]] = "Unrated", "NA",Ramen_Ratings[[#This Row],[Stars]]&gt;=4, "Good", Ramen_Ratings[[#This Row],[Stars]]&gt;2.5, "Fair", Ramen_Ratings[[#This Row],[Stars]] &gt;= 0, "Bad")</f>
        <v>Fair</v>
      </c>
      <c r="J1345" t="str">
        <f>LEFT(Ramen_Ratings[[#This Row],[Top Ten]],4)</f>
        <v/>
      </c>
      <c r="K1345" t="str">
        <f>IF(Ramen_Ratings[[#This Row],[Top Ten]]="", "",RIGHT(Ramen_Ratings[[#This Row],[Top Ten]],LEN(Ramen_Ratings[[#This Row],[Top Ten]])-6))</f>
        <v/>
      </c>
    </row>
    <row r="1346" spans="1:11" x14ac:dyDescent="0.25">
      <c r="A1346">
        <v>1645</v>
      </c>
      <c r="B1346" t="s">
        <v>1157</v>
      </c>
      <c r="C1346" t="s">
        <v>1158</v>
      </c>
      <c r="D1346" t="s">
        <v>44</v>
      </c>
      <c r="E1346" t="s">
        <v>1159</v>
      </c>
      <c r="F1346" t="str">
        <f>VLOOKUP(Ramen_Ratings[[#This Row],[Country]],Country_Region[#All],2,FALSE)</f>
        <v>Asia</v>
      </c>
      <c r="G1346">
        <v>3.75</v>
      </c>
      <c r="H1346" t="str" cm="1">
        <f t="array" ref="H1346">_xlfn.IFS(Ramen_Ratings[[#This Row],[Stars]] = "Unrated", "NA",Ramen_Ratings[[#This Row],[Stars]]&gt;=4, "Good", Ramen_Ratings[[#This Row],[Stars]]&gt;2.5, "Fair", Ramen_Ratings[[#This Row],[Stars]] &gt;= 0, "Bad")</f>
        <v>Fair</v>
      </c>
      <c r="J1346" t="str">
        <f>LEFT(Ramen_Ratings[[#This Row],[Top Ten]],4)</f>
        <v/>
      </c>
      <c r="K1346" t="str">
        <f>IF(Ramen_Ratings[[#This Row],[Top Ten]]="", "",RIGHT(Ramen_Ratings[[#This Row],[Top Ten]],LEN(Ramen_Ratings[[#This Row],[Top Ten]])-6))</f>
        <v/>
      </c>
    </row>
    <row r="1347" spans="1:11" x14ac:dyDescent="0.25">
      <c r="A1347">
        <v>1611</v>
      </c>
      <c r="B1347" t="s">
        <v>1157</v>
      </c>
      <c r="C1347" t="s">
        <v>1201</v>
      </c>
      <c r="D1347" t="s">
        <v>44</v>
      </c>
      <c r="E1347" t="s">
        <v>1159</v>
      </c>
      <c r="F1347" t="str">
        <f>VLOOKUP(Ramen_Ratings[[#This Row],[Country]],Country_Region[#All],2,FALSE)</f>
        <v>Asia</v>
      </c>
      <c r="G1347">
        <v>4</v>
      </c>
      <c r="H1347" t="str" cm="1">
        <f t="array" ref="H1347">_xlfn.IFS(Ramen_Ratings[[#This Row],[Stars]] = "Unrated", "NA",Ramen_Ratings[[#This Row],[Stars]]&gt;=4, "Good", Ramen_Ratings[[#This Row],[Stars]]&gt;2.5, "Fair", Ramen_Ratings[[#This Row],[Stars]] &gt;= 0, "Bad")</f>
        <v>Good</v>
      </c>
      <c r="J1347" t="str">
        <f>LEFT(Ramen_Ratings[[#This Row],[Top Ten]],4)</f>
        <v/>
      </c>
      <c r="K1347" t="str">
        <f>IF(Ramen_Ratings[[#This Row],[Top Ten]]="", "",RIGHT(Ramen_Ratings[[#This Row],[Top Ten]],LEN(Ramen_Ratings[[#This Row],[Top Ten]])-6))</f>
        <v/>
      </c>
    </row>
    <row r="1348" spans="1:11" x14ac:dyDescent="0.25">
      <c r="A1348">
        <v>1532</v>
      </c>
      <c r="B1348" t="s">
        <v>1157</v>
      </c>
      <c r="C1348" t="s">
        <v>1294</v>
      </c>
      <c r="D1348" t="s">
        <v>13</v>
      </c>
      <c r="E1348" t="s">
        <v>1159</v>
      </c>
      <c r="F1348" t="str">
        <f>VLOOKUP(Ramen_Ratings[[#This Row],[Country]],Country_Region[#All],2,FALSE)</f>
        <v>Asia</v>
      </c>
      <c r="G1348">
        <v>4.5</v>
      </c>
      <c r="H1348" t="str" cm="1">
        <f t="array" ref="H1348">_xlfn.IFS(Ramen_Ratings[[#This Row],[Stars]] = "Unrated", "NA",Ramen_Ratings[[#This Row],[Stars]]&gt;=4, "Good", Ramen_Ratings[[#This Row],[Stars]]&gt;2.5, "Fair", Ramen_Ratings[[#This Row],[Stars]] &gt;= 0, "Bad")</f>
        <v>Good</v>
      </c>
      <c r="J1348" t="str">
        <f>LEFT(Ramen_Ratings[[#This Row],[Top Ten]],4)</f>
        <v/>
      </c>
      <c r="K1348" t="str">
        <f>IF(Ramen_Ratings[[#This Row],[Top Ten]]="", "",RIGHT(Ramen_Ratings[[#This Row],[Top Ten]],LEN(Ramen_Ratings[[#This Row],[Top Ten]])-6))</f>
        <v/>
      </c>
    </row>
    <row r="1349" spans="1:11" x14ac:dyDescent="0.25">
      <c r="A1349">
        <v>1531</v>
      </c>
      <c r="B1349" t="s">
        <v>1157</v>
      </c>
      <c r="C1349" t="s">
        <v>1295</v>
      </c>
      <c r="D1349" t="s">
        <v>13</v>
      </c>
      <c r="E1349" t="s">
        <v>1159</v>
      </c>
      <c r="F1349" t="str">
        <f>VLOOKUP(Ramen_Ratings[[#This Row],[Country]],Country_Region[#All],2,FALSE)</f>
        <v>Asia</v>
      </c>
      <c r="G1349">
        <v>3.75</v>
      </c>
      <c r="H1349" t="str" cm="1">
        <f t="array" ref="H1349">_xlfn.IFS(Ramen_Ratings[[#This Row],[Stars]] = "Unrated", "NA",Ramen_Ratings[[#This Row],[Stars]]&gt;=4, "Good", Ramen_Ratings[[#This Row],[Stars]]&gt;2.5, "Fair", Ramen_Ratings[[#This Row],[Stars]] &gt;= 0, "Bad")</f>
        <v>Fair</v>
      </c>
      <c r="J1349" t="str">
        <f>LEFT(Ramen_Ratings[[#This Row],[Top Ten]],4)</f>
        <v/>
      </c>
      <c r="K1349" t="str">
        <f>IF(Ramen_Ratings[[#This Row],[Top Ten]]="", "",RIGHT(Ramen_Ratings[[#This Row],[Top Ten]],LEN(Ramen_Ratings[[#This Row],[Top Ten]])-6))</f>
        <v/>
      </c>
    </row>
    <row r="1350" spans="1:11" x14ac:dyDescent="0.25">
      <c r="A1350">
        <v>1530</v>
      </c>
      <c r="B1350" t="s">
        <v>1157</v>
      </c>
      <c r="C1350" t="s">
        <v>1296</v>
      </c>
      <c r="D1350" t="s">
        <v>13</v>
      </c>
      <c r="E1350" t="s">
        <v>1159</v>
      </c>
      <c r="F1350" t="str">
        <f>VLOOKUP(Ramen_Ratings[[#This Row],[Country]],Country_Region[#All],2,FALSE)</f>
        <v>Asia</v>
      </c>
      <c r="G1350">
        <v>4</v>
      </c>
      <c r="H1350" t="str" cm="1">
        <f t="array" ref="H1350">_xlfn.IFS(Ramen_Ratings[[#This Row],[Stars]] = "Unrated", "NA",Ramen_Ratings[[#This Row],[Stars]]&gt;=4, "Good", Ramen_Ratings[[#This Row],[Stars]]&gt;2.5, "Fair", Ramen_Ratings[[#This Row],[Stars]] &gt;= 0, "Bad")</f>
        <v>Good</v>
      </c>
      <c r="J1350" t="str">
        <f>LEFT(Ramen_Ratings[[#This Row],[Top Ten]],4)</f>
        <v/>
      </c>
      <c r="K1350" t="str">
        <f>IF(Ramen_Ratings[[#This Row],[Top Ten]]="", "",RIGHT(Ramen_Ratings[[#This Row],[Top Ten]],LEN(Ramen_Ratings[[#This Row],[Top Ten]])-6))</f>
        <v/>
      </c>
    </row>
    <row r="1351" spans="1:11" x14ac:dyDescent="0.25">
      <c r="A1351">
        <v>1529</v>
      </c>
      <c r="B1351" t="s">
        <v>1157</v>
      </c>
      <c r="C1351" t="s">
        <v>1297</v>
      </c>
      <c r="D1351" t="s">
        <v>13</v>
      </c>
      <c r="E1351" t="s">
        <v>1159</v>
      </c>
      <c r="F1351" t="str">
        <f>VLOOKUP(Ramen_Ratings[[#This Row],[Country]],Country_Region[#All],2,FALSE)</f>
        <v>Asia</v>
      </c>
      <c r="G1351">
        <v>4</v>
      </c>
      <c r="H1351" t="str" cm="1">
        <f t="array" ref="H1351">_xlfn.IFS(Ramen_Ratings[[#This Row],[Stars]] = "Unrated", "NA",Ramen_Ratings[[#This Row],[Stars]]&gt;=4, "Good", Ramen_Ratings[[#This Row],[Stars]]&gt;2.5, "Fair", Ramen_Ratings[[#This Row],[Stars]] &gt;= 0, "Bad")</f>
        <v>Good</v>
      </c>
      <c r="J1351" t="str">
        <f>LEFT(Ramen_Ratings[[#This Row],[Top Ten]],4)</f>
        <v/>
      </c>
      <c r="K1351" t="str">
        <f>IF(Ramen_Ratings[[#This Row],[Top Ten]]="", "",RIGHT(Ramen_Ratings[[#This Row],[Top Ten]],LEN(Ramen_Ratings[[#This Row],[Top Ten]])-6))</f>
        <v/>
      </c>
    </row>
    <row r="1352" spans="1:11" x14ac:dyDescent="0.25">
      <c r="A1352">
        <v>1528</v>
      </c>
      <c r="B1352" t="s">
        <v>1157</v>
      </c>
      <c r="C1352" t="s">
        <v>1298</v>
      </c>
      <c r="D1352" t="s">
        <v>9</v>
      </c>
      <c r="E1352" t="s">
        <v>1159</v>
      </c>
      <c r="F1352" t="str">
        <f>VLOOKUP(Ramen_Ratings[[#This Row],[Country]],Country_Region[#All],2,FALSE)</f>
        <v>Asia</v>
      </c>
      <c r="G1352">
        <v>3.25</v>
      </c>
      <c r="H1352" t="str" cm="1">
        <f t="array" ref="H1352">_xlfn.IFS(Ramen_Ratings[[#This Row],[Stars]] = "Unrated", "NA",Ramen_Ratings[[#This Row],[Stars]]&gt;=4, "Good", Ramen_Ratings[[#This Row],[Stars]]&gt;2.5, "Fair", Ramen_Ratings[[#This Row],[Stars]] &gt;= 0, "Bad")</f>
        <v>Fair</v>
      </c>
      <c r="J1352" t="str">
        <f>LEFT(Ramen_Ratings[[#This Row],[Top Ten]],4)</f>
        <v/>
      </c>
      <c r="K1352" t="str">
        <f>IF(Ramen_Ratings[[#This Row],[Top Ten]]="", "",RIGHT(Ramen_Ratings[[#This Row],[Top Ten]],LEN(Ramen_Ratings[[#This Row],[Top Ten]])-6))</f>
        <v/>
      </c>
    </row>
    <row r="1353" spans="1:11" x14ac:dyDescent="0.25">
      <c r="A1353">
        <v>1527</v>
      </c>
      <c r="B1353" t="s">
        <v>1157</v>
      </c>
      <c r="C1353" t="s">
        <v>1299</v>
      </c>
      <c r="D1353" t="s">
        <v>13</v>
      </c>
      <c r="E1353" t="s">
        <v>1159</v>
      </c>
      <c r="F1353" t="str">
        <f>VLOOKUP(Ramen_Ratings[[#This Row],[Country]],Country_Region[#All],2,FALSE)</f>
        <v>Asia</v>
      </c>
      <c r="G1353">
        <v>4.5</v>
      </c>
      <c r="H1353" t="str" cm="1">
        <f t="array" ref="H1353">_xlfn.IFS(Ramen_Ratings[[#This Row],[Stars]] = "Unrated", "NA",Ramen_Ratings[[#This Row],[Stars]]&gt;=4, "Good", Ramen_Ratings[[#This Row],[Stars]]&gt;2.5, "Fair", Ramen_Ratings[[#This Row],[Stars]] &gt;= 0, "Bad")</f>
        <v>Good</v>
      </c>
      <c r="J1353" t="str">
        <f>LEFT(Ramen_Ratings[[#This Row],[Top Ten]],4)</f>
        <v/>
      </c>
      <c r="K1353" t="str">
        <f>IF(Ramen_Ratings[[#This Row],[Top Ten]]="", "",RIGHT(Ramen_Ratings[[#This Row],[Top Ten]],LEN(Ramen_Ratings[[#This Row],[Top Ten]])-6))</f>
        <v/>
      </c>
    </row>
    <row r="1354" spans="1:11" x14ac:dyDescent="0.25">
      <c r="A1354">
        <v>1526</v>
      </c>
      <c r="B1354" t="s">
        <v>1157</v>
      </c>
      <c r="C1354" t="s">
        <v>1300</v>
      </c>
      <c r="D1354" t="s">
        <v>13</v>
      </c>
      <c r="E1354" t="s">
        <v>1159</v>
      </c>
      <c r="F1354" t="str">
        <f>VLOOKUP(Ramen_Ratings[[#This Row],[Country]],Country_Region[#All],2,FALSE)</f>
        <v>Asia</v>
      </c>
      <c r="G1354">
        <v>3.75</v>
      </c>
      <c r="H1354" t="str" cm="1">
        <f t="array" ref="H1354">_xlfn.IFS(Ramen_Ratings[[#This Row],[Stars]] = "Unrated", "NA",Ramen_Ratings[[#This Row],[Stars]]&gt;=4, "Good", Ramen_Ratings[[#This Row],[Stars]]&gt;2.5, "Fair", Ramen_Ratings[[#This Row],[Stars]] &gt;= 0, "Bad")</f>
        <v>Fair</v>
      </c>
      <c r="J1354" t="str">
        <f>LEFT(Ramen_Ratings[[#This Row],[Top Ten]],4)</f>
        <v/>
      </c>
      <c r="K1354" t="str">
        <f>IF(Ramen_Ratings[[#This Row],[Top Ten]]="", "",RIGHT(Ramen_Ratings[[#This Row],[Top Ten]],LEN(Ramen_Ratings[[#This Row],[Top Ten]])-6))</f>
        <v/>
      </c>
    </row>
    <row r="1355" spans="1:11" x14ac:dyDescent="0.25">
      <c r="A1355">
        <v>1408</v>
      </c>
      <c r="B1355" t="s">
        <v>1420</v>
      </c>
      <c r="C1355" t="s">
        <v>1421</v>
      </c>
      <c r="D1355" t="s">
        <v>9</v>
      </c>
      <c r="E1355" t="s">
        <v>1159</v>
      </c>
      <c r="F1355" t="str">
        <f>VLOOKUP(Ramen_Ratings[[#This Row],[Country]],Country_Region[#All],2,FALSE)</f>
        <v>Asia</v>
      </c>
      <c r="G1355">
        <v>3.5</v>
      </c>
      <c r="H1355" t="str" cm="1">
        <f t="array" ref="H1355">_xlfn.IFS(Ramen_Ratings[[#This Row],[Stars]] = "Unrated", "NA",Ramen_Ratings[[#This Row],[Stars]]&gt;=4, "Good", Ramen_Ratings[[#This Row],[Stars]]&gt;2.5, "Fair", Ramen_Ratings[[#This Row],[Stars]] &gt;= 0, "Bad")</f>
        <v>Fair</v>
      </c>
      <c r="J1355" t="str">
        <f>LEFT(Ramen_Ratings[[#This Row],[Top Ten]],4)</f>
        <v/>
      </c>
      <c r="K1355" t="str">
        <f>IF(Ramen_Ratings[[#This Row],[Top Ten]]="", "",RIGHT(Ramen_Ratings[[#This Row],[Top Ten]],LEN(Ramen_Ratings[[#This Row],[Top Ten]])-6))</f>
        <v/>
      </c>
    </row>
    <row r="1356" spans="1:11" x14ac:dyDescent="0.25">
      <c r="A1356">
        <v>1285</v>
      </c>
      <c r="B1356" t="s">
        <v>1157</v>
      </c>
      <c r="C1356" t="s">
        <v>1563</v>
      </c>
      <c r="D1356" t="s">
        <v>44</v>
      </c>
      <c r="E1356" t="s">
        <v>1159</v>
      </c>
      <c r="F1356" t="str">
        <f>VLOOKUP(Ramen_Ratings[[#This Row],[Country]],Country_Region[#All],2,FALSE)</f>
        <v>Asia</v>
      </c>
      <c r="G1356">
        <v>3.25</v>
      </c>
      <c r="H1356" t="str" cm="1">
        <f t="array" ref="H1356">_xlfn.IFS(Ramen_Ratings[[#This Row],[Stars]] = "Unrated", "NA",Ramen_Ratings[[#This Row],[Stars]]&gt;=4, "Good", Ramen_Ratings[[#This Row],[Stars]]&gt;2.5, "Fair", Ramen_Ratings[[#This Row],[Stars]] &gt;= 0, "Bad")</f>
        <v>Fair</v>
      </c>
      <c r="J1356" t="str">
        <f>LEFT(Ramen_Ratings[[#This Row],[Top Ten]],4)</f>
        <v/>
      </c>
      <c r="K1356" t="str">
        <f>IF(Ramen_Ratings[[#This Row],[Top Ten]]="", "",RIGHT(Ramen_Ratings[[#This Row],[Top Ten]],LEN(Ramen_Ratings[[#This Row],[Top Ten]])-6))</f>
        <v/>
      </c>
    </row>
    <row r="1357" spans="1:11" x14ac:dyDescent="0.25">
      <c r="A1357">
        <v>1128</v>
      </c>
      <c r="B1357" t="s">
        <v>1157</v>
      </c>
      <c r="C1357" t="s">
        <v>1732</v>
      </c>
      <c r="D1357" t="s">
        <v>13</v>
      </c>
      <c r="E1357" t="s">
        <v>1159</v>
      </c>
      <c r="F1357" t="str">
        <f>VLOOKUP(Ramen_Ratings[[#This Row],[Country]],Country_Region[#All],2,FALSE)</f>
        <v>Asia</v>
      </c>
      <c r="G1357">
        <v>3.25</v>
      </c>
      <c r="H1357" t="str" cm="1">
        <f t="array" ref="H1357">_xlfn.IFS(Ramen_Ratings[[#This Row],[Stars]] = "Unrated", "NA",Ramen_Ratings[[#This Row],[Stars]]&gt;=4, "Good", Ramen_Ratings[[#This Row],[Stars]]&gt;2.5, "Fair", Ramen_Ratings[[#This Row],[Stars]] &gt;= 0, "Bad")</f>
        <v>Fair</v>
      </c>
      <c r="J1357" t="str">
        <f>LEFT(Ramen_Ratings[[#This Row],[Top Ten]],4)</f>
        <v/>
      </c>
      <c r="K1357" t="str">
        <f>IF(Ramen_Ratings[[#This Row],[Top Ten]]="", "",RIGHT(Ramen_Ratings[[#This Row],[Top Ten]],LEN(Ramen_Ratings[[#This Row],[Top Ten]])-6))</f>
        <v/>
      </c>
    </row>
    <row r="1358" spans="1:11" x14ac:dyDescent="0.25">
      <c r="A1358">
        <v>744</v>
      </c>
      <c r="B1358" t="s">
        <v>2140</v>
      </c>
      <c r="C1358" t="s">
        <v>2141</v>
      </c>
      <c r="D1358" t="s">
        <v>13</v>
      </c>
      <c r="E1358" t="s">
        <v>1159</v>
      </c>
      <c r="F1358" t="str">
        <f>VLOOKUP(Ramen_Ratings[[#This Row],[Country]],Country_Region[#All],2,FALSE)</f>
        <v>Asia</v>
      </c>
      <c r="G1358">
        <v>3.25</v>
      </c>
      <c r="H1358" t="str" cm="1">
        <f t="array" ref="H1358">_xlfn.IFS(Ramen_Ratings[[#This Row],[Stars]] = "Unrated", "NA",Ramen_Ratings[[#This Row],[Stars]]&gt;=4, "Good", Ramen_Ratings[[#This Row],[Stars]]&gt;2.5, "Fair", Ramen_Ratings[[#This Row],[Stars]] &gt;= 0, "Bad")</f>
        <v>Fair</v>
      </c>
      <c r="J1358" t="str">
        <f>LEFT(Ramen_Ratings[[#This Row],[Top Ten]],4)</f>
        <v/>
      </c>
      <c r="K1358" t="str">
        <f>IF(Ramen_Ratings[[#This Row],[Top Ten]]="", "",RIGHT(Ramen_Ratings[[#This Row],[Top Ten]],LEN(Ramen_Ratings[[#This Row],[Top Ten]])-6))</f>
        <v/>
      </c>
    </row>
    <row r="1359" spans="1:11" x14ac:dyDescent="0.25">
      <c r="A1359">
        <v>660</v>
      </c>
      <c r="B1359" t="s">
        <v>1157</v>
      </c>
      <c r="C1359" t="s">
        <v>2230</v>
      </c>
      <c r="D1359" t="s">
        <v>13</v>
      </c>
      <c r="E1359" t="s">
        <v>1159</v>
      </c>
      <c r="F1359" t="str">
        <f>VLOOKUP(Ramen_Ratings[[#This Row],[Country]],Country_Region[#All],2,FALSE)</f>
        <v>Asia</v>
      </c>
      <c r="G1359">
        <v>3.75</v>
      </c>
      <c r="H1359" t="str" cm="1">
        <f t="array" ref="H1359">_xlfn.IFS(Ramen_Ratings[[#This Row],[Stars]] = "Unrated", "NA",Ramen_Ratings[[#This Row],[Stars]]&gt;=4, "Good", Ramen_Ratings[[#This Row],[Stars]]&gt;2.5, "Fair", Ramen_Ratings[[#This Row],[Stars]] &gt;= 0, "Bad")</f>
        <v>Fair</v>
      </c>
      <c r="J1359" t="str">
        <f>LEFT(Ramen_Ratings[[#This Row],[Top Ten]],4)</f>
        <v/>
      </c>
      <c r="K1359" t="str">
        <f>IF(Ramen_Ratings[[#This Row],[Top Ten]]="", "",RIGHT(Ramen_Ratings[[#This Row],[Top Ten]],LEN(Ramen_Ratings[[#This Row],[Top Ten]])-6))</f>
        <v/>
      </c>
    </row>
    <row r="1360" spans="1:11" x14ac:dyDescent="0.25">
      <c r="A1360">
        <v>628</v>
      </c>
      <c r="B1360" t="s">
        <v>1157</v>
      </c>
      <c r="C1360" t="s">
        <v>2262</v>
      </c>
      <c r="D1360" t="s">
        <v>44</v>
      </c>
      <c r="E1360" t="s">
        <v>1159</v>
      </c>
      <c r="F1360" t="str">
        <f>VLOOKUP(Ramen_Ratings[[#This Row],[Country]],Country_Region[#All],2,FALSE)</f>
        <v>Asia</v>
      </c>
      <c r="G1360">
        <v>3.5</v>
      </c>
      <c r="H1360" t="str" cm="1">
        <f t="array" ref="H1360">_xlfn.IFS(Ramen_Ratings[[#This Row],[Stars]] = "Unrated", "NA",Ramen_Ratings[[#This Row],[Stars]]&gt;=4, "Good", Ramen_Ratings[[#This Row],[Stars]]&gt;2.5, "Fair", Ramen_Ratings[[#This Row],[Stars]] &gt;= 0, "Bad")</f>
        <v>Fair</v>
      </c>
      <c r="J1360" t="str">
        <f>LEFT(Ramen_Ratings[[#This Row],[Top Ten]],4)</f>
        <v/>
      </c>
      <c r="K1360" t="str">
        <f>IF(Ramen_Ratings[[#This Row],[Top Ten]]="", "",RIGHT(Ramen_Ratings[[#This Row],[Top Ten]],LEN(Ramen_Ratings[[#This Row],[Top Ten]])-6))</f>
        <v/>
      </c>
    </row>
    <row r="1361" spans="1:11" x14ac:dyDescent="0.25">
      <c r="A1361">
        <v>599</v>
      </c>
      <c r="B1361" t="s">
        <v>1157</v>
      </c>
      <c r="C1361" t="s">
        <v>2295</v>
      </c>
      <c r="D1361" t="s">
        <v>13</v>
      </c>
      <c r="E1361" t="s">
        <v>1159</v>
      </c>
      <c r="F1361" t="str">
        <f>VLOOKUP(Ramen_Ratings[[#This Row],[Country]],Country_Region[#All],2,FALSE)</f>
        <v>Asia</v>
      </c>
      <c r="G1361">
        <v>4</v>
      </c>
      <c r="H1361" t="str" cm="1">
        <f t="array" ref="H1361">_xlfn.IFS(Ramen_Ratings[[#This Row],[Stars]] = "Unrated", "NA",Ramen_Ratings[[#This Row],[Stars]]&gt;=4, "Good", Ramen_Ratings[[#This Row],[Stars]]&gt;2.5, "Fair", Ramen_Ratings[[#This Row],[Stars]] &gt;= 0, "Bad")</f>
        <v>Good</v>
      </c>
      <c r="J1361" t="str">
        <f>LEFT(Ramen_Ratings[[#This Row],[Top Ten]],4)</f>
        <v/>
      </c>
      <c r="K1361" t="str">
        <f>IF(Ramen_Ratings[[#This Row],[Top Ten]]="", "",RIGHT(Ramen_Ratings[[#This Row],[Top Ten]],LEN(Ramen_Ratings[[#This Row],[Top Ten]])-6))</f>
        <v/>
      </c>
    </row>
    <row r="1362" spans="1:11" x14ac:dyDescent="0.25">
      <c r="A1362">
        <v>547</v>
      </c>
      <c r="B1362" t="s">
        <v>1157</v>
      </c>
      <c r="C1362" t="s">
        <v>2348</v>
      </c>
      <c r="D1362" t="s">
        <v>13</v>
      </c>
      <c r="E1362" t="s">
        <v>1159</v>
      </c>
      <c r="F1362" t="str">
        <f>VLOOKUP(Ramen_Ratings[[#This Row],[Country]],Country_Region[#All],2,FALSE)</f>
        <v>Asia</v>
      </c>
      <c r="G1362">
        <v>5</v>
      </c>
      <c r="H1362" t="str" cm="1">
        <f t="array" ref="H1362">_xlfn.IFS(Ramen_Ratings[[#This Row],[Stars]] = "Unrated", "NA",Ramen_Ratings[[#This Row],[Stars]]&gt;=4, "Good", Ramen_Ratings[[#This Row],[Stars]]&gt;2.5, "Fair", Ramen_Ratings[[#This Row],[Stars]] &gt;= 0, "Bad")</f>
        <v>Good</v>
      </c>
      <c r="J1362" t="str">
        <f>LEFT(Ramen_Ratings[[#This Row],[Top Ten]],4)</f>
        <v/>
      </c>
      <c r="K1362" t="str">
        <f>IF(Ramen_Ratings[[#This Row],[Top Ten]]="", "",RIGHT(Ramen_Ratings[[#This Row],[Top Ten]],LEN(Ramen_Ratings[[#This Row],[Top Ten]])-6))</f>
        <v/>
      </c>
    </row>
    <row r="1363" spans="1:11" x14ac:dyDescent="0.25">
      <c r="A1363">
        <v>538</v>
      </c>
      <c r="B1363" t="s">
        <v>1157</v>
      </c>
      <c r="C1363" t="s">
        <v>2354</v>
      </c>
      <c r="D1363" t="s">
        <v>13</v>
      </c>
      <c r="E1363" t="s">
        <v>1159</v>
      </c>
      <c r="F1363" t="str">
        <f>VLOOKUP(Ramen_Ratings[[#This Row],[Country]],Country_Region[#All],2,FALSE)</f>
        <v>Asia</v>
      </c>
      <c r="G1363">
        <v>0.5</v>
      </c>
      <c r="H1363" t="str" cm="1">
        <f t="array" ref="H1363">_xlfn.IFS(Ramen_Ratings[[#This Row],[Stars]] = "Unrated", "NA",Ramen_Ratings[[#This Row],[Stars]]&gt;=4, "Good", Ramen_Ratings[[#This Row],[Stars]]&gt;2.5, "Fair", Ramen_Ratings[[#This Row],[Stars]] &gt;= 0, "Bad")</f>
        <v>Bad</v>
      </c>
      <c r="J1363" t="str">
        <f>LEFT(Ramen_Ratings[[#This Row],[Top Ten]],4)</f>
        <v/>
      </c>
      <c r="K1363" t="str">
        <f>IF(Ramen_Ratings[[#This Row],[Top Ten]]="", "",RIGHT(Ramen_Ratings[[#This Row],[Top Ten]],LEN(Ramen_Ratings[[#This Row],[Top Ten]])-6))</f>
        <v/>
      </c>
    </row>
    <row r="1364" spans="1:11" x14ac:dyDescent="0.25">
      <c r="A1364">
        <v>443</v>
      </c>
      <c r="B1364" t="s">
        <v>1157</v>
      </c>
      <c r="C1364" t="s">
        <v>2436</v>
      </c>
      <c r="D1364" t="s">
        <v>13</v>
      </c>
      <c r="E1364" t="s">
        <v>1159</v>
      </c>
      <c r="F1364" t="str">
        <f>VLOOKUP(Ramen_Ratings[[#This Row],[Country]],Country_Region[#All],2,FALSE)</f>
        <v>Asia</v>
      </c>
      <c r="G1364">
        <v>4</v>
      </c>
      <c r="H1364" t="str" cm="1">
        <f t="array" ref="H1364">_xlfn.IFS(Ramen_Ratings[[#This Row],[Stars]] = "Unrated", "NA",Ramen_Ratings[[#This Row],[Stars]]&gt;=4, "Good", Ramen_Ratings[[#This Row],[Stars]]&gt;2.5, "Fair", Ramen_Ratings[[#This Row],[Stars]] &gt;= 0, "Bad")</f>
        <v>Good</v>
      </c>
      <c r="J1364" t="str">
        <f>LEFT(Ramen_Ratings[[#This Row],[Top Ten]],4)</f>
        <v/>
      </c>
      <c r="K1364" t="str">
        <f>IF(Ramen_Ratings[[#This Row],[Top Ten]]="", "",RIGHT(Ramen_Ratings[[#This Row],[Top Ten]],LEN(Ramen_Ratings[[#This Row],[Top Ten]])-6))</f>
        <v/>
      </c>
    </row>
    <row r="1365" spans="1:11" x14ac:dyDescent="0.25">
      <c r="A1365">
        <v>433</v>
      </c>
      <c r="B1365" t="s">
        <v>1157</v>
      </c>
      <c r="C1365" t="s">
        <v>2446</v>
      </c>
      <c r="D1365" t="s">
        <v>44</v>
      </c>
      <c r="E1365" t="s">
        <v>1159</v>
      </c>
      <c r="F1365" t="str">
        <f>VLOOKUP(Ramen_Ratings[[#This Row],[Country]],Country_Region[#All],2,FALSE)</f>
        <v>Asia</v>
      </c>
      <c r="G1365">
        <v>3.25</v>
      </c>
      <c r="H1365" t="str" cm="1">
        <f t="array" ref="H1365">_xlfn.IFS(Ramen_Ratings[[#This Row],[Stars]] = "Unrated", "NA",Ramen_Ratings[[#This Row],[Stars]]&gt;=4, "Good", Ramen_Ratings[[#This Row],[Stars]]&gt;2.5, "Fair", Ramen_Ratings[[#This Row],[Stars]] &gt;= 0, "Bad")</f>
        <v>Fair</v>
      </c>
      <c r="J1365" t="str">
        <f>LEFT(Ramen_Ratings[[#This Row],[Top Ten]],4)</f>
        <v/>
      </c>
      <c r="K1365" t="str">
        <f>IF(Ramen_Ratings[[#This Row],[Top Ten]]="", "",RIGHT(Ramen_Ratings[[#This Row],[Top Ten]],LEN(Ramen_Ratings[[#This Row],[Top Ten]])-6))</f>
        <v/>
      </c>
    </row>
    <row r="1366" spans="1:11" x14ac:dyDescent="0.25">
      <c r="A1366">
        <v>430</v>
      </c>
      <c r="B1366" t="s">
        <v>2449</v>
      </c>
      <c r="C1366" t="s">
        <v>2450</v>
      </c>
      <c r="D1366" t="s">
        <v>13</v>
      </c>
      <c r="E1366" t="s">
        <v>1159</v>
      </c>
      <c r="F1366" t="str">
        <f>VLOOKUP(Ramen_Ratings[[#This Row],[Country]],Country_Region[#All],2,FALSE)</f>
        <v>Asia</v>
      </c>
      <c r="G1366">
        <v>5</v>
      </c>
      <c r="H1366" t="str" cm="1">
        <f t="array" ref="H1366">_xlfn.IFS(Ramen_Ratings[[#This Row],[Stars]] = "Unrated", "NA",Ramen_Ratings[[#This Row],[Stars]]&gt;=4, "Good", Ramen_Ratings[[#This Row],[Stars]]&gt;2.5, "Fair", Ramen_Ratings[[#This Row],[Stars]] &gt;= 0, "Bad")</f>
        <v>Good</v>
      </c>
      <c r="J1366" t="str">
        <f>LEFT(Ramen_Ratings[[#This Row],[Top Ten]],4)</f>
        <v/>
      </c>
      <c r="K1366" t="str">
        <f>IF(Ramen_Ratings[[#This Row],[Top Ten]]="", "",RIGHT(Ramen_Ratings[[#This Row],[Top Ten]],LEN(Ramen_Ratings[[#This Row],[Top Ten]])-6))</f>
        <v/>
      </c>
    </row>
    <row r="1367" spans="1:11" x14ac:dyDescent="0.25">
      <c r="A1367">
        <v>429</v>
      </c>
      <c r="B1367" t="s">
        <v>2449</v>
      </c>
      <c r="C1367" t="s">
        <v>2451</v>
      </c>
      <c r="D1367" t="s">
        <v>13</v>
      </c>
      <c r="E1367" t="s">
        <v>1159</v>
      </c>
      <c r="F1367" t="str">
        <f>VLOOKUP(Ramen_Ratings[[#This Row],[Country]],Country_Region[#All],2,FALSE)</f>
        <v>Asia</v>
      </c>
      <c r="G1367">
        <v>3.75</v>
      </c>
      <c r="H1367" t="str" cm="1">
        <f t="array" ref="H1367">_xlfn.IFS(Ramen_Ratings[[#This Row],[Stars]] = "Unrated", "NA",Ramen_Ratings[[#This Row],[Stars]]&gt;=4, "Good", Ramen_Ratings[[#This Row],[Stars]]&gt;2.5, "Fair", Ramen_Ratings[[#This Row],[Stars]] &gt;= 0, "Bad")</f>
        <v>Fair</v>
      </c>
      <c r="J1367" t="str">
        <f>LEFT(Ramen_Ratings[[#This Row],[Top Ten]],4)</f>
        <v/>
      </c>
      <c r="K1367" t="str">
        <f>IF(Ramen_Ratings[[#This Row],[Top Ten]]="", "",RIGHT(Ramen_Ratings[[#This Row],[Top Ten]],LEN(Ramen_Ratings[[#This Row],[Top Ten]])-6))</f>
        <v/>
      </c>
    </row>
    <row r="1368" spans="1:11" x14ac:dyDescent="0.25">
      <c r="A1368">
        <v>410</v>
      </c>
      <c r="B1368" t="s">
        <v>1157</v>
      </c>
      <c r="C1368" t="s">
        <v>2472</v>
      </c>
      <c r="D1368" t="s">
        <v>13</v>
      </c>
      <c r="E1368" t="s">
        <v>1159</v>
      </c>
      <c r="F1368" t="str">
        <f>VLOOKUP(Ramen_Ratings[[#This Row],[Country]],Country_Region[#All],2,FALSE)</f>
        <v>Asia</v>
      </c>
      <c r="G1368">
        <v>3.75</v>
      </c>
      <c r="H1368" t="str" cm="1">
        <f t="array" ref="H1368">_xlfn.IFS(Ramen_Ratings[[#This Row],[Stars]] = "Unrated", "NA",Ramen_Ratings[[#This Row],[Stars]]&gt;=4, "Good", Ramen_Ratings[[#This Row],[Stars]]&gt;2.5, "Fair", Ramen_Ratings[[#This Row],[Stars]] &gt;= 0, "Bad")</f>
        <v>Fair</v>
      </c>
      <c r="J1368" t="str">
        <f>LEFT(Ramen_Ratings[[#This Row],[Top Ten]],4)</f>
        <v/>
      </c>
      <c r="K1368" t="str">
        <f>IF(Ramen_Ratings[[#This Row],[Top Ten]]="", "",RIGHT(Ramen_Ratings[[#This Row],[Top Ten]],LEN(Ramen_Ratings[[#This Row],[Top Ten]])-6))</f>
        <v/>
      </c>
    </row>
    <row r="1369" spans="1:11" x14ac:dyDescent="0.25">
      <c r="A1369">
        <v>409</v>
      </c>
      <c r="B1369" t="s">
        <v>2140</v>
      </c>
      <c r="C1369" t="s">
        <v>2473</v>
      </c>
      <c r="D1369" t="s">
        <v>13</v>
      </c>
      <c r="E1369" t="s">
        <v>1159</v>
      </c>
      <c r="F1369" t="str">
        <f>VLOOKUP(Ramen_Ratings[[#This Row],[Country]],Country_Region[#All],2,FALSE)</f>
        <v>Asia</v>
      </c>
      <c r="G1369">
        <v>4</v>
      </c>
      <c r="H1369" t="str" cm="1">
        <f t="array" ref="H1369">_xlfn.IFS(Ramen_Ratings[[#This Row],[Stars]] = "Unrated", "NA",Ramen_Ratings[[#This Row],[Stars]]&gt;=4, "Good", Ramen_Ratings[[#This Row],[Stars]]&gt;2.5, "Fair", Ramen_Ratings[[#This Row],[Stars]] &gt;= 0, "Bad")</f>
        <v>Good</v>
      </c>
      <c r="J1369" t="str">
        <f>LEFT(Ramen_Ratings[[#This Row],[Top Ten]],4)</f>
        <v/>
      </c>
      <c r="K1369" t="str">
        <f>IF(Ramen_Ratings[[#This Row],[Top Ten]]="", "",RIGHT(Ramen_Ratings[[#This Row],[Top Ten]],LEN(Ramen_Ratings[[#This Row],[Top Ten]])-6))</f>
        <v/>
      </c>
    </row>
    <row r="1370" spans="1:11" x14ac:dyDescent="0.25">
      <c r="A1370">
        <v>397</v>
      </c>
      <c r="B1370" t="s">
        <v>2449</v>
      </c>
      <c r="C1370" t="s">
        <v>2486</v>
      </c>
      <c r="D1370" t="s">
        <v>9</v>
      </c>
      <c r="E1370" t="s">
        <v>1159</v>
      </c>
      <c r="F1370" t="str">
        <f>VLOOKUP(Ramen_Ratings[[#This Row],[Country]],Country_Region[#All],2,FALSE)</f>
        <v>Asia</v>
      </c>
      <c r="G1370">
        <v>3</v>
      </c>
      <c r="H1370" t="str" cm="1">
        <f t="array" ref="H1370">_xlfn.IFS(Ramen_Ratings[[#This Row],[Stars]] = "Unrated", "NA",Ramen_Ratings[[#This Row],[Stars]]&gt;=4, "Good", Ramen_Ratings[[#This Row],[Stars]]&gt;2.5, "Fair", Ramen_Ratings[[#This Row],[Stars]] &gt;= 0, "Bad")</f>
        <v>Fair</v>
      </c>
      <c r="J1370" t="str">
        <f>LEFT(Ramen_Ratings[[#This Row],[Top Ten]],4)</f>
        <v/>
      </c>
      <c r="K1370" t="str">
        <f>IF(Ramen_Ratings[[#This Row],[Top Ten]]="", "",RIGHT(Ramen_Ratings[[#This Row],[Top Ten]],LEN(Ramen_Ratings[[#This Row],[Top Ten]])-6))</f>
        <v/>
      </c>
    </row>
    <row r="1371" spans="1:11" x14ac:dyDescent="0.25">
      <c r="A1371">
        <v>383</v>
      </c>
      <c r="B1371" t="s">
        <v>1157</v>
      </c>
      <c r="C1371" t="s">
        <v>2501</v>
      </c>
      <c r="D1371" t="s">
        <v>13</v>
      </c>
      <c r="E1371" t="s">
        <v>1159</v>
      </c>
      <c r="F1371" t="str">
        <f>VLOOKUP(Ramen_Ratings[[#This Row],[Country]],Country_Region[#All],2,FALSE)</f>
        <v>Asia</v>
      </c>
      <c r="G1371">
        <v>2.75</v>
      </c>
      <c r="H1371" t="str" cm="1">
        <f t="array" ref="H1371">_xlfn.IFS(Ramen_Ratings[[#This Row],[Stars]] = "Unrated", "NA",Ramen_Ratings[[#This Row],[Stars]]&gt;=4, "Good", Ramen_Ratings[[#This Row],[Stars]]&gt;2.5, "Fair", Ramen_Ratings[[#This Row],[Stars]] &gt;= 0, "Bad")</f>
        <v>Fair</v>
      </c>
      <c r="J1371" t="str">
        <f>LEFT(Ramen_Ratings[[#This Row],[Top Ten]],4)</f>
        <v/>
      </c>
      <c r="K1371" t="str">
        <f>IF(Ramen_Ratings[[#This Row],[Top Ten]]="", "",RIGHT(Ramen_Ratings[[#This Row],[Top Ten]],LEN(Ramen_Ratings[[#This Row],[Top Ten]])-6))</f>
        <v/>
      </c>
    </row>
    <row r="1372" spans="1:11" x14ac:dyDescent="0.25">
      <c r="A1372">
        <v>382</v>
      </c>
      <c r="B1372" t="s">
        <v>1157</v>
      </c>
      <c r="C1372" t="s">
        <v>2502</v>
      </c>
      <c r="D1372" t="s">
        <v>13</v>
      </c>
      <c r="E1372" t="s">
        <v>1159</v>
      </c>
      <c r="F1372" t="str">
        <f>VLOOKUP(Ramen_Ratings[[#This Row],[Country]],Country_Region[#All],2,FALSE)</f>
        <v>Asia</v>
      </c>
      <c r="G1372">
        <v>2.5</v>
      </c>
      <c r="H1372" t="str" cm="1">
        <f t="array" ref="H1372">_xlfn.IFS(Ramen_Ratings[[#This Row],[Stars]] = "Unrated", "NA",Ramen_Ratings[[#This Row],[Stars]]&gt;=4, "Good", Ramen_Ratings[[#This Row],[Stars]]&gt;2.5, "Fair", Ramen_Ratings[[#This Row],[Stars]] &gt;= 0, "Bad")</f>
        <v>Bad</v>
      </c>
      <c r="J1372" t="str">
        <f>LEFT(Ramen_Ratings[[#This Row],[Top Ten]],4)</f>
        <v/>
      </c>
      <c r="K1372" t="str">
        <f>IF(Ramen_Ratings[[#This Row],[Top Ten]]="", "",RIGHT(Ramen_Ratings[[#This Row],[Top Ten]],LEN(Ramen_Ratings[[#This Row],[Top Ten]])-6))</f>
        <v/>
      </c>
    </row>
    <row r="1373" spans="1:11" x14ac:dyDescent="0.25">
      <c r="A1373">
        <v>366</v>
      </c>
      <c r="B1373" t="s">
        <v>2140</v>
      </c>
      <c r="C1373" t="s">
        <v>2518</v>
      </c>
      <c r="D1373" t="s">
        <v>13</v>
      </c>
      <c r="E1373" t="s">
        <v>1159</v>
      </c>
      <c r="F1373" t="str">
        <f>VLOOKUP(Ramen_Ratings[[#This Row],[Country]],Country_Region[#All],2,FALSE)</f>
        <v>Asia</v>
      </c>
      <c r="G1373">
        <v>2.75</v>
      </c>
      <c r="H1373" t="str" cm="1">
        <f t="array" ref="H1373">_xlfn.IFS(Ramen_Ratings[[#This Row],[Stars]] = "Unrated", "NA",Ramen_Ratings[[#This Row],[Stars]]&gt;=4, "Good", Ramen_Ratings[[#This Row],[Stars]]&gt;2.5, "Fair", Ramen_Ratings[[#This Row],[Stars]] &gt;= 0, "Bad")</f>
        <v>Fair</v>
      </c>
      <c r="J1373" t="str">
        <f>LEFT(Ramen_Ratings[[#This Row],[Top Ten]],4)</f>
        <v/>
      </c>
      <c r="K1373" t="str">
        <f>IF(Ramen_Ratings[[#This Row],[Top Ten]]="", "",RIGHT(Ramen_Ratings[[#This Row],[Top Ten]],LEN(Ramen_Ratings[[#This Row],[Top Ten]])-6))</f>
        <v/>
      </c>
    </row>
    <row r="1374" spans="1:11" x14ac:dyDescent="0.25">
      <c r="A1374">
        <v>357</v>
      </c>
      <c r="B1374" t="s">
        <v>2140</v>
      </c>
      <c r="C1374" t="s">
        <v>2528</v>
      </c>
      <c r="D1374" t="s">
        <v>13</v>
      </c>
      <c r="E1374" t="s">
        <v>1159</v>
      </c>
      <c r="F1374" t="str">
        <f>VLOOKUP(Ramen_Ratings[[#This Row],[Country]],Country_Region[#All],2,FALSE)</f>
        <v>Asia</v>
      </c>
      <c r="G1374">
        <v>4</v>
      </c>
      <c r="H1374" t="str" cm="1">
        <f t="array" ref="H1374">_xlfn.IFS(Ramen_Ratings[[#This Row],[Stars]] = "Unrated", "NA",Ramen_Ratings[[#This Row],[Stars]]&gt;=4, "Good", Ramen_Ratings[[#This Row],[Stars]]&gt;2.5, "Fair", Ramen_Ratings[[#This Row],[Stars]] &gt;= 0, "Bad")</f>
        <v>Good</v>
      </c>
      <c r="J1374" t="str">
        <f>LEFT(Ramen_Ratings[[#This Row],[Top Ten]],4)</f>
        <v/>
      </c>
      <c r="K1374" t="str">
        <f>IF(Ramen_Ratings[[#This Row],[Top Ten]]="", "",RIGHT(Ramen_Ratings[[#This Row],[Top Ten]],LEN(Ramen_Ratings[[#This Row],[Top Ten]])-6))</f>
        <v/>
      </c>
    </row>
    <row r="1375" spans="1:11" x14ac:dyDescent="0.25">
      <c r="A1375">
        <v>339</v>
      </c>
      <c r="B1375" t="s">
        <v>2140</v>
      </c>
      <c r="C1375" t="s">
        <v>2546</v>
      </c>
      <c r="D1375" t="s">
        <v>13</v>
      </c>
      <c r="E1375" t="s">
        <v>1159</v>
      </c>
      <c r="F1375" t="str">
        <f>VLOOKUP(Ramen_Ratings[[#This Row],[Country]],Country_Region[#All],2,FALSE)</f>
        <v>Asia</v>
      </c>
      <c r="G1375">
        <v>4.5</v>
      </c>
      <c r="H1375" t="str" cm="1">
        <f t="array" ref="H1375">_xlfn.IFS(Ramen_Ratings[[#This Row],[Stars]] = "Unrated", "NA",Ramen_Ratings[[#This Row],[Stars]]&gt;=4, "Good", Ramen_Ratings[[#This Row],[Stars]]&gt;2.5, "Fair", Ramen_Ratings[[#This Row],[Stars]] &gt;= 0, "Bad")</f>
        <v>Good</v>
      </c>
      <c r="J1375" t="str">
        <f>LEFT(Ramen_Ratings[[#This Row],[Top Ten]],4)</f>
        <v/>
      </c>
      <c r="K1375" t="str">
        <f>IF(Ramen_Ratings[[#This Row],[Top Ten]]="", "",RIGHT(Ramen_Ratings[[#This Row],[Top Ten]],LEN(Ramen_Ratings[[#This Row],[Top Ten]])-6))</f>
        <v/>
      </c>
    </row>
    <row r="1376" spans="1:11" x14ac:dyDescent="0.25">
      <c r="A1376">
        <v>312</v>
      </c>
      <c r="B1376" t="s">
        <v>1157</v>
      </c>
      <c r="C1376" t="s">
        <v>2571</v>
      </c>
      <c r="D1376" t="s">
        <v>44</v>
      </c>
      <c r="E1376" t="s">
        <v>1159</v>
      </c>
      <c r="F1376" t="str">
        <f>VLOOKUP(Ramen_Ratings[[#This Row],[Country]],Country_Region[#All],2,FALSE)</f>
        <v>Asia</v>
      </c>
      <c r="G1376">
        <v>1.75</v>
      </c>
      <c r="H1376" t="str" cm="1">
        <f t="array" ref="H1376">_xlfn.IFS(Ramen_Ratings[[#This Row],[Stars]] = "Unrated", "NA",Ramen_Ratings[[#This Row],[Stars]]&gt;=4, "Good", Ramen_Ratings[[#This Row],[Stars]]&gt;2.5, "Fair", Ramen_Ratings[[#This Row],[Stars]] &gt;= 0, "Bad")</f>
        <v>Bad</v>
      </c>
      <c r="J1376" t="str">
        <f>LEFT(Ramen_Ratings[[#This Row],[Top Ten]],4)</f>
        <v/>
      </c>
      <c r="K1376" t="str">
        <f>IF(Ramen_Ratings[[#This Row],[Top Ten]]="", "",RIGHT(Ramen_Ratings[[#This Row],[Top Ten]],LEN(Ramen_Ratings[[#This Row],[Top Ten]])-6))</f>
        <v/>
      </c>
    </row>
    <row r="1377" spans="1:11" x14ac:dyDescent="0.25">
      <c r="A1377">
        <v>310</v>
      </c>
      <c r="B1377" t="s">
        <v>1157</v>
      </c>
      <c r="C1377" t="s">
        <v>2573</v>
      </c>
      <c r="D1377" t="s">
        <v>13</v>
      </c>
      <c r="E1377" t="s">
        <v>1159</v>
      </c>
      <c r="F1377" t="str">
        <f>VLOOKUP(Ramen_Ratings[[#This Row],[Country]],Country_Region[#All],2,FALSE)</f>
        <v>Asia</v>
      </c>
      <c r="G1377">
        <v>2.5</v>
      </c>
      <c r="H1377" t="str" cm="1">
        <f t="array" ref="H1377">_xlfn.IFS(Ramen_Ratings[[#This Row],[Stars]] = "Unrated", "NA",Ramen_Ratings[[#This Row],[Stars]]&gt;=4, "Good", Ramen_Ratings[[#This Row],[Stars]]&gt;2.5, "Fair", Ramen_Ratings[[#This Row],[Stars]] &gt;= 0, "Bad")</f>
        <v>Bad</v>
      </c>
      <c r="J1377" t="str">
        <f>LEFT(Ramen_Ratings[[#This Row],[Top Ten]],4)</f>
        <v/>
      </c>
      <c r="K1377" t="str">
        <f>IF(Ramen_Ratings[[#This Row],[Top Ten]]="", "",RIGHT(Ramen_Ratings[[#This Row],[Top Ten]],LEN(Ramen_Ratings[[#This Row],[Top Ten]])-6))</f>
        <v/>
      </c>
    </row>
    <row r="1378" spans="1:11" x14ac:dyDescent="0.25">
      <c r="A1378">
        <v>305</v>
      </c>
      <c r="B1378" t="s">
        <v>1157</v>
      </c>
      <c r="C1378" t="s">
        <v>2576</v>
      </c>
      <c r="D1378" t="s">
        <v>44</v>
      </c>
      <c r="E1378" t="s">
        <v>1159</v>
      </c>
      <c r="F1378" t="str">
        <f>VLOOKUP(Ramen_Ratings[[#This Row],[Country]],Country_Region[#All],2,FALSE)</f>
        <v>Asia</v>
      </c>
      <c r="G1378">
        <v>3.75</v>
      </c>
      <c r="H1378" t="str" cm="1">
        <f t="array" ref="H1378">_xlfn.IFS(Ramen_Ratings[[#This Row],[Stars]] = "Unrated", "NA",Ramen_Ratings[[#This Row],[Stars]]&gt;=4, "Good", Ramen_Ratings[[#This Row],[Stars]]&gt;2.5, "Fair", Ramen_Ratings[[#This Row],[Stars]] &gt;= 0, "Bad")</f>
        <v>Fair</v>
      </c>
      <c r="J1378" t="str">
        <f>LEFT(Ramen_Ratings[[#This Row],[Top Ten]],4)</f>
        <v/>
      </c>
      <c r="K1378" t="str">
        <f>IF(Ramen_Ratings[[#This Row],[Top Ten]]="", "",RIGHT(Ramen_Ratings[[#This Row],[Top Ten]],LEN(Ramen_Ratings[[#This Row],[Top Ten]])-6))</f>
        <v/>
      </c>
    </row>
    <row r="1379" spans="1:11" x14ac:dyDescent="0.25">
      <c r="A1379">
        <v>299</v>
      </c>
      <c r="B1379" t="s">
        <v>1157</v>
      </c>
      <c r="C1379" t="s">
        <v>2582</v>
      </c>
      <c r="D1379" t="s">
        <v>44</v>
      </c>
      <c r="E1379" t="s">
        <v>1159</v>
      </c>
      <c r="F1379" t="str">
        <f>VLOOKUP(Ramen_Ratings[[#This Row],[Country]],Country_Region[#All],2,FALSE)</f>
        <v>Asia</v>
      </c>
      <c r="G1379">
        <v>3.75</v>
      </c>
      <c r="H1379" t="str" cm="1">
        <f t="array" ref="H1379">_xlfn.IFS(Ramen_Ratings[[#This Row],[Stars]] = "Unrated", "NA",Ramen_Ratings[[#This Row],[Stars]]&gt;=4, "Good", Ramen_Ratings[[#This Row],[Stars]]&gt;2.5, "Fair", Ramen_Ratings[[#This Row],[Stars]] &gt;= 0, "Bad")</f>
        <v>Fair</v>
      </c>
      <c r="J1379" t="str">
        <f>LEFT(Ramen_Ratings[[#This Row],[Top Ten]],4)</f>
        <v/>
      </c>
      <c r="K1379" t="str">
        <f>IF(Ramen_Ratings[[#This Row],[Top Ten]]="", "",RIGHT(Ramen_Ratings[[#This Row],[Top Ten]],LEN(Ramen_Ratings[[#This Row],[Top Ten]])-6))</f>
        <v/>
      </c>
    </row>
    <row r="1380" spans="1:11" x14ac:dyDescent="0.25">
      <c r="A1380">
        <v>230</v>
      </c>
      <c r="B1380" t="s">
        <v>1157</v>
      </c>
      <c r="C1380" t="s">
        <v>2649</v>
      </c>
      <c r="D1380" t="s">
        <v>44</v>
      </c>
      <c r="E1380" t="s">
        <v>1159</v>
      </c>
      <c r="F1380" t="str">
        <f>VLOOKUP(Ramen_Ratings[[#This Row],[Country]],Country_Region[#All],2,FALSE)</f>
        <v>Asia</v>
      </c>
      <c r="G1380">
        <v>3.75</v>
      </c>
      <c r="H1380" t="str" cm="1">
        <f t="array" ref="H1380">_xlfn.IFS(Ramen_Ratings[[#This Row],[Stars]] = "Unrated", "NA",Ramen_Ratings[[#This Row],[Stars]]&gt;=4, "Good", Ramen_Ratings[[#This Row],[Stars]]&gt;2.5, "Fair", Ramen_Ratings[[#This Row],[Stars]] &gt;= 0, "Bad")</f>
        <v>Fair</v>
      </c>
      <c r="J1380" t="str">
        <f>LEFT(Ramen_Ratings[[#This Row],[Top Ten]],4)</f>
        <v/>
      </c>
      <c r="K1380" t="str">
        <f>IF(Ramen_Ratings[[#This Row],[Top Ten]]="", "",RIGHT(Ramen_Ratings[[#This Row],[Top Ten]],LEN(Ramen_Ratings[[#This Row],[Top Ten]])-6))</f>
        <v/>
      </c>
    </row>
    <row r="1381" spans="1:11" x14ac:dyDescent="0.25">
      <c r="A1381">
        <v>227</v>
      </c>
      <c r="B1381" t="s">
        <v>2449</v>
      </c>
      <c r="C1381" t="s">
        <v>2651</v>
      </c>
      <c r="D1381" t="s">
        <v>13</v>
      </c>
      <c r="E1381" t="s">
        <v>1159</v>
      </c>
      <c r="F1381" t="str">
        <f>VLOOKUP(Ramen_Ratings[[#This Row],[Country]],Country_Region[#All],2,FALSE)</f>
        <v>Asia</v>
      </c>
      <c r="G1381">
        <v>1.75</v>
      </c>
      <c r="H1381" t="str" cm="1">
        <f t="array" ref="H1381">_xlfn.IFS(Ramen_Ratings[[#This Row],[Stars]] = "Unrated", "NA",Ramen_Ratings[[#This Row],[Stars]]&gt;=4, "Good", Ramen_Ratings[[#This Row],[Stars]]&gt;2.5, "Fair", Ramen_Ratings[[#This Row],[Stars]] &gt;= 0, "Bad")</f>
        <v>Bad</v>
      </c>
      <c r="J1381" t="str">
        <f>LEFT(Ramen_Ratings[[#This Row],[Top Ten]],4)</f>
        <v/>
      </c>
      <c r="K1381" t="str">
        <f>IF(Ramen_Ratings[[#This Row],[Top Ten]]="", "",RIGHT(Ramen_Ratings[[#This Row],[Top Ten]],LEN(Ramen_Ratings[[#This Row],[Top Ten]])-6))</f>
        <v/>
      </c>
    </row>
    <row r="1382" spans="1:11" x14ac:dyDescent="0.25">
      <c r="A1382">
        <v>174</v>
      </c>
      <c r="B1382" t="s">
        <v>1157</v>
      </c>
      <c r="C1382" t="s">
        <v>2700</v>
      </c>
      <c r="D1382" t="s">
        <v>13</v>
      </c>
      <c r="E1382" t="s">
        <v>1159</v>
      </c>
      <c r="F1382" t="str">
        <f>VLOOKUP(Ramen_Ratings[[#This Row],[Country]],Country_Region[#All],2,FALSE)</f>
        <v>Asia</v>
      </c>
      <c r="G1382">
        <v>0.25</v>
      </c>
      <c r="H1382" t="str" cm="1">
        <f t="array" ref="H1382">_xlfn.IFS(Ramen_Ratings[[#This Row],[Stars]] = "Unrated", "NA",Ramen_Ratings[[#This Row],[Stars]]&gt;=4, "Good", Ramen_Ratings[[#This Row],[Stars]]&gt;2.5, "Fair", Ramen_Ratings[[#This Row],[Stars]] &gt;= 0, "Bad")</f>
        <v>Bad</v>
      </c>
      <c r="J1382" t="str">
        <f>LEFT(Ramen_Ratings[[#This Row],[Top Ten]],4)</f>
        <v/>
      </c>
      <c r="K1382" t="str">
        <f>IF(Ramen_Ratings[[#This Row],[Top Ten]]="", "",RIGHT(Ramen_Ratings[[#This Row],[Top Ten]],LEN(Ramen_Ratings[[#This Row],[Top Ten]])-6))</f>
        <v/>
      </c>
    </row>
    <row r="1383" spans="1:11" x14ac:dyDescent="0.25">
      <c r="A1383">
        <v>157</v>
      </c>
      <c r="B1383" t="s">
        <v>15</v>
      </c>
      <c r="C1383" t="s">
        <v>2716</v>
      </c>
      <c r="D1383" t="s">
        <v>9</v>
      </c>
      <c r="E1383" t="s">
        <v>1159</v>
      </c>
      <c r="F1383" t="str">
        <f>VLOOKUP(Ramen_Ratings[[#This Row],[Country]],Country_Region[#All],2,FALSE)</f>
        <v>Asia</v>
      </c>
      <c r="G1383">
        <v>2</v>
      </c>
      <c r="H1383" t="str" cm="1">
        <f t="array" ref="H1383">_xlfn.IFS(Ramen_Ratings[[#This Row],[Stars]] = "Unrated", "NA",Ramen_Ratings[[#This Row],[Stars]]&gt;=4, "Good", Ramen_Ratings[[#This Row],[Stars]]&gt;2.5, "Fair", Ramen_Ratings[[#This Row],[Stars]] &gt;= 0, "Bad")</f>
        <v>Bad</v>
      </c>
      <c r="J1383" t="str">
        <f>LEFT(Ramen_Ratings[[#This Row],[Top Ten]],4)</f>
        <v/>
      </c>
      <c r="K1383" t="str">
        <f>IF(Ramen_Ratings[[#This Row],[Top Ten]]="", "",RIGHT(Ramen_Ratings[[#This Row],[Top Ten]],LEN(Ramen_Ratings[[#This Row],[Top Ten]])-6))</f>
        <v/>
      </c>
    </row>
    <row r="1384" spans="1:11" x14ac:dyDescent="0.25">
      <c r="A1384">
        <v>155</v>
      </c>
      <c r="B1384" t="s">
        <v>1157</v>
      </c>
      <c r="C1384" t="s">
        <v>2718</v>
      </c>
      <c r="D1384" t="s">
        <v>13</v>
      </c>
      <c r="E1384" t="s">
        <v>1159</v>
      </c>
      <c r="F1384" t="str">
        <f>VLOOKUP(Ramen_Ratings[[#This Row],[Country]],Country_Region[#All],2,FALSE)</f>
        <v>Asia</v>
      </c>
      <c r="G1384">
        <v>4.75</v>
      </c>
      <c r="H1384" t="str" cm="1">
        <f t="array" ref="H1384">_xlfn.IFS(Ramen_Ratings[[#This Row],[Stars]] = "Unrated", "NA",Ramen_Ratings[[#This Row],[Stars]]&gt;=4, "Good", Ramen_Ratings[[#This Row],[Stars]]&gt;2.5, "Fair", Ramen_Ratings[[#This Row],[Stars]] &gt;= 0, "Bad")</f>
        <v>Good</v>
      </c>
      <c r="J1384" t="str">
        <f>LEFT(Ramen_Ratings[[#This Row],[Top Ten]],4)</f>
        <v/>
      </c>
      <c r="K1384" t="str">
        <f>IF(Ramen_Ratings[[#This Row],[Top Ten]]="", "",RIGHT(Ramen_Ratings[[#This Row],[Top Ten]],LEN(Ramen_Ratings[[#This Row],[Top Ten]])-6))</f>
        <v/>
      </c>
    </row>
    <row r="1385" spans="1:11" x14ac:dyDescent="0.25">
      <c r="A1385">
        <v>110</v>
      </c>
      <c r="B1385" t="s">
        <v>1157</v>
      </c>
      <c r="C1385" t="s">
        <v>2240</v>
      </c>
      <c r="D1385" t="s">
        <v>13</v>
      </c>
      <c r="E1385" t="s">
        <v>1159</v>
      </c>
      <c r="F1385" t="str">
        <f>VLOOKUP(Ramen_Ratings[[#This Row],[Country]],Country_Region[#All],2,FALSE)</f>
        <v>Asia</v>
      </c>
      <c r="G1385">
        <v>1.5</v>
      </c>
      <c r="H1385" t="str" cm="1">
        <f t="array" ref="H1385">_xlfn.IFS(Ramen_Ratings[[#This Row],[Stars]] = "Unrated", "NA",Ramen_Ratings[[#This Row],[Stars]]&gt;=4, "Good", Ramen_Ratings[[#This Row],[Stars]]&gt;2.5, "Fair", Ramen_Ratings[[#This Row],[Stars]] &gt;= 0, "Bad")</f>
        <v>Bad</v>
      </c>
      <c r="J1385" t="str">
        <f>LEFT(Ramen_Ratings[[#This Row],[Top Ten]],4)</f>
        <v/>
      </c>
      <c r="K1385" t="str">
        <f>IF(Ramen_Ratings[[#This Row],[Top Ten]]="", "",RIGHT(Ramen_Ratings[[#This Row],[Top Ten]],LEN(Ramen_Ratings[[#This Row],[Top Ten]])-6))</f>
        <v/>
      </c>
    </row>
    <row r="1386" spans="1:11" x14ac:dyDescent="0.25">
      <c r="A1386">
        <v>93</v>
      </c>
      <c r="B1386" t="s">
        <v>2140</v>
      </c>
      <c r="C1386" t="s">
        <v>2777</v>
      </c>
      <c r="D1386" t="s">
        <v>13</v>
      </c>
      <c r="E1386" t="s">
        <v>1159</v>
      </c>
      <c r="F1386" t="str">
        <f>VLOOKUP(Ramen_Ratings[[#This Row],[Country]],Country_Region[#All],2,FALSE)</f>
        <v>Asia</v>
      </c>
      <c r="G1386">
        <v>4.5</v>
      </c>
      <c r="H1386" t="str" cm="1">
        <f t="array" ref="H1386">_xlfn.IFS(Ramen_Ratings[[#This Row],[Stars]] = "Unrated", "NA",Ramen_Ratings[[#This Row],[Stars]]&gt;=4, "Good", Ramen_Ratings[[#This Row],[Stars]]&gt;2.5, "Fair", Ramen_Ratings[[#This Row],[Stars]] &gt;= 0, "Bad")</f>
        <v>Good</v>
      </c>
      <c r="J1386" t="str">
        <f>LEFT(Ramen_Ratings[[#This Row],[Top Ten]],4)</f>
        <v/>
      </c>
      <c r="K1386" t="str">
        <f>IF(Ramen_Ratings[[#This Row],[Top Ten]]="", "",RIGHT(Ramen_Ratings[[#This Row],[Top Ten]],LEN(Ramen_Ratings[[#This Row],[Top Ten]])-6))</f>
        <v/>
      </c>
    </row>
    <row r="1387" spans="1:11" x14ac:dyDescent="0.25">
      <c r="A1387">
        <v>40</v>
      </c>
      <c r="B1387" t="s">
        <v>1157</v>
      </c>
      <c r="C1387" t="s">
        <v>2824</v>
      </c>
      <c r="D1387" t="s">
        <v>13</v>
      </c>
      <c r="E1387" t="s">
        <v>1159</v>
      </c>
      <c r="F1387" t="str">
        <f>VLOOKUP(Ramen_Ratings[[#This Row],[Country]],Country_Region[#All],2,FALSE)</f>
        <v>Asia</v>
      </c>
      <c r="G1387">
        <v>3</v>
      </c>
      <c r="H1387" t="str" cm="1">
        <f t="array" ref="H1387">_xlfn.IFS(Ramen_Ratings[[#This Row],[Stars]] = "Unrated", "NA",Ramen_Ratings[[#This Row],[Stars]]&gt;=4, "Good", Ramen_Ratings[[#This Row],[Stars]]&gt;2.5, "Fair", Ramen_Ratings[[#This Row],[Stars]] &gt;= 0, "Bad")</f>
        <v>Fair</v>
      </c>
      <c r="J1387" t="str">
        <f>LEFT(Ramen_Ratings[[#This Row],[Top Ten]],4)</f>
        <v/>
      </c>
      <c r="K1387" t="str">
        <f>IF(Ramen_Ratings[[#This Row],[Top Ten]]="", "",RIGHT(Ramen_Ratings[[#This Row],[Top Ten]],LEN(Ramen_Ratings[[#This Row],[Top Ten]])-6))</f>
        <v/>
      </c>
    </row>
    <row r="1388" spans="1:11" x14ac:dyDescent="0.25">
      <c r="A1388">
        <v>39</v>
      </c>
      <c r="B1388" t="s">
        <v>1157</v>
      </c>
      <c r="C1388" t="s">
        <v>2825</v>
      </c>
      <c r="D1388" t="s">
        <v>44</v>
      </c>
      <c r="E1388" t="s">
        <v>1159</v>
      </c>
      <c r="F1388" t="str">
        <f>VLOOKUP(Ramen_Ratings[[#This Row],[Country]],Country_Region[#All],2,FALSE)</f>
        <v>Asia</v>
      </c>
      <c r="G1388">
        <v>3</v>
      </c>
      <c r="H1388" t="str" cm="1">
        <f t="array" ref="H1388">_xlfn.IFS(Ramen_Ratings[[#This Row],[Stars]] = "Unrated", "NA",Ramen_Ratings[[#This Row],[Stars]]&gt;=4, "Good", Ramen_Ratings[[#This Row],[Stars]]&gt;2.5, "Fair", Ramen_Ratings[[#This Row],[Stars]] &gt;= 0, "Bad")</f>
        <v>Fair</v>
      </c>
      <c r="J1388" t="str">
        <f>LEFT(Ramen_Ratings[[#This Row],[Top Ten]],4)</f>
        <v/>
      </c>
      <c r="K1388" t="str">
        <f>IF(Ramen_Ratings[[#This Row],[Top Ten]]="", "",RIGHT(Ramen_Ratings[[#This Row],[Top Ten]],LEN(Ramen_Ratings[[#This Row],[Top Ten]])-6))</f>
        <v/>
      </c>
    </row>
    <row r="1389" spans="1:11" x14ac:dyDescent="0.25">
      <c r="A1389">
        <v>38</v>
      </c>
      <c r="B1389" t="s">
        <v>1157</v>
      </c>
      <c r="C1389" t="s">
        <v>2826</v>
      </c>
      <c r="D1389" t="s">
        <v>13</v>
      </c>
      <c r="E1389" t="s">
        <v>1159</v>
      </c>
      <c r="F1389" t="str">
        <f>VLOOKUP(Ramen_Ratings[[#This Row],[Country]],Country_Region[#All],2,FALSE)</f>
        <v>Asia</v>
      </c>
      <c r="G1389">
        <v>3</v>
      </c>
      <c r="H1389" t="str" cm="1">
        <f t="array" ref="H1389">_xlfn.IFS(Ramen_Ratings[[#This Row],[Stars]] = "Unrated", "NA",Ramen_Ratings[[#This Row],[Stars]]&gt;=4, "Good", Ramen_Ratings[[#This Row],[Stars]]&gt;2.5, "Fair", Ramen_Ratings[[#This Row],[Stars]] &gt;= 0, "Bad")</f>
        <v>Fair</v>
      </c>
      <c r="J1389" t="str">
        <f>LEFT(Ramen_Ratings[[#This Row],[Top Ten]],4)</f>
        <v/>
      </c>
      <c r="K1389" t="str">
        <f>IF(Ramen_Ratings[[#This Row],[Top Ten]]="", "",RIGHT(Ramen_Ratings[[#This Row],[Top Ten]],LEN(Ramen_Ratings[[#This Row],[Top Ten]])-6))</f>
        <v/>
      </c>
    </row>
    <row r="1390" spans="1:11" x14ac:dyDescent="0.25">
      <c r="A1390">
        <v>37</v>
      </c>
      <c r="B1390" t="s">
        <v>1157</v>
      </c>
      <c r="C1390" t="s">
        <v>2827</v>
      </c>
      <c r="D1390" t="s">
        <v>13</v>
      </c>
      <c r="E1390" t="s">
        <v>1159</v>
      </c>
      <c r="F1390" t="str">
        <f>VLOOKUP(Ramen_Ratings[[#This Row],[Country]],Country_Region[#All],2,FALSE)</f>
        <v>Asia</v>
      </c>
      <c r="G1390">
        <v>3</v>
      </c>
      <c r="H1390" t="str" cm="1">
        <f t="array" ref="H1390">_xlfn.IFS(Ramen_Ratings[[#This Row],[Stars]] = "Unrated", "NA",Ramen_Ratings[[#This Row],[Stars]]&gt;=4, "Good", Ramen_Ratings[[#This Row],[Stars]]&gt;2.5, "Fair", Ramen_Ratings[[#This Row],[Stars]] &gt;= 0, "Bad")</f>
        <v>Fair</v>
      </c>
      <c r="J1390" t="str">
        <f>LEFT(Ramen_Ratings[[#This Row],[Top Ten]],4)</f>
        <v/>
      </c>
      <c r="K1390" t="str">
        <f>IF(Ramen_Ratings[[#This Row],[Top Ten]]="", "",RIGHT(Ramen_Ratings[[#This Row],[Top Ten]],LEN(Ramen_Ratings[[#This Row],[Top Ten]])-6))</f>
        <v/>
      </c>
    </row>
    <row r="1391" spans="1:11" x14ac:dyDescent="0.25">
      <c r="A1391">
        <v>36</v>
      </c>
      <c r="B1391" t="s">
        <v>1157</v>
      </c>
      <c r="C1391" t="s">
        <v>2828</v>
      </c>
      <c r="D1391" t="s">
        <v>13</v>
      </c>
      <c r="E1391" t="s">
        <v>1159</v>
      </c>
      <c r="F1391" t="str">
        <f>VLOOKUP(Ramen_Ratings[[#This Row],[Country]],Country_Region[#All],2,FALSE)</f>
        <v>Asia</v>
      </c>
      <c r="G1391">
        <v>3</v>
      </c>
      <c r="H1391" t="str" cm="1">
        <f t="array" ref="H1391">_xlfn.IFS(Ramen_Ratings[[#This Row],[Stars]] = "Unrated", "NA",Ramen_Ratings[[#This Row],[Stars]]&gt;=4, "Good", Ramen_Ratings[[#This Row],[Stars]]&gt;2.5, "Fair", Ramen_Ratings[[#This Row],[Stars]] &gt;= 0, "Bad")</f>
        <v>Fair</v>
      </c>
      <c r="J1391" t="str">
        <f>LEFT(Ramen_Ratings[[#This Row],[Top Ten]],4)</f>
        <v/>
      </c>
      <c r="K1391" t="str">
        <f>IF(Ramen_Ratings[[#This Row],[Top Ten]]="", "",RIGHT(Ramen_Ratings[[#This Row],[Top Ten]],LEN(Ramen_Ratings[[#This Row],[Top Ten]])-6))</f>
        <v/>
      </c>
    </row>
    <row r="1392" spans="1:11" x14ac:dyDescent="0.25">
      <c r="A1392">
        <v>17</v>
      </c>
      <c r="B1392" t="s">
        <v>2449</v>
      </c>
      <c r="C1392" t="s">
        <v>2842</v>
      </c>
      <c r="D1392" t="s">
        <v>13</v>
      </c>
      <c r="E1392" t="s">
        <v>1159</v>
      </c>
      <c r="F1392" t="str">
        <f>VLOOKUP(Ramen_Ratings[[#This Row],[Country]],Country_Region[#All],2,FALSE)</f>
        <v>Asia</v>
      </c>
      <c r="G1392">
        <v>2.5</v>
      </c>
      <c r="H1392" t="str" cm="1">
        <f t="array" ref="H1392">_xlfn.IFS(Ramen_Ratings[[#This Row],[Stars]] = "Unrated", "NA",Ramen_Ratings[[#This Row],[Stars]]&gt;=4, "Good", Ramen_Ratings[[#This Row],[Stars]]&gt;2.5, "Fair", Ramen_Ratings[[#This Row],[Stars]] &gt;= 0, "Bad")</f>
        <v>Bad</v>
      </c>
      <c r="J1392" t="str">
        <f>LEFT(Ramen_Ratings[[#This Row],[Top Ten]],4)</f>
        <v/>
      </c>
      <c r="K1392" t="str">
        <f>IF(Ramen_Ratings[[#This Row],[Top Ten]]="", "",RIGHT(Ramen_Ratings[[#This Row],[Top Ten]],LEN(Ramen_Ratings[[#This Row],[Top Ten]])-6))</f>
        <v/>
      </c>
    </row>
    <row r="1393" spans="1:11" x14ac:dyDescent="0.25">
      <c r="A1393">
        <v>2346</v>
      </c>
      <c r="B1393" t="s">
        <v>343</v>
      </c>
      <c r="C1393" t="s">
        <v>344</v>
      </c>
      <c r="D1393" t="s">
        <v>13</v>
      </c>
      <c r="E1393" t="s">
        <v>345</v>
      </c>
      <c r="F1393" t="str">
        <f>VLOOKUP(Ramen_Ratings[[#This Row],[Country]],Country_Region[#All],2,FALSE)</f>
        <v>Asia</v>
      </c>
      <c r="G1393">
        <v>1</v>
      </c>
      <c r="H1393" t="str" cm="1">
        <f t="array" ref="H1393">_xlfn.IFS(Ramen_Ratings[[#This Row],[Stars]] = "Unrated", "NA",Ramen_Ratings[[#This Row],[Stars]]&gt;=4, "Good", Ramen_Ratings[[#This Row],[Stars]]&gt;2.5, "Fair", Ramen_Ratings[[#This Row],[Stars]] &gt;= 0, "Bad")</f>
        <v>Bad</v>
      </c>
      <c r="J1393" t="str">
        <f>LEFT(Ramen_Ratings[[#This Row],[Top Ten]],4)</f>
        <v/>
      </c>
      <c r="K1393" t="str">
        <f>IF(Ramen_Ratings[[#This Row],[Top Ten]]="", "",RIGHT(Ramen_Ratings[[#This Row],[Top Ten]],LEN(Ramen_Ratings[[#This Row],[Top Ten]])-6))</f>
        <v/>
      </c>
    </row>
    <row r="1394" spans="1:11" x14ac:dyDescent="0.25">
      <c r="A1394">
        <v>2210</v>
      </c>
      <c r="B1394" t="s">
        <v>502</v>
      </c>
      <c r="C1394" t="s">
        <v>503</v>
      </c>
      <c r="D1394" t="s">
        <v>13</v>
      </c>
      <c r="E1394" t="s">
        <v>345</v>
      </c>
      <c r="F1394" t="str">
        <f>VLOOKUP(Ramen_Ratings[[#This Row],[Country]],Country_Region[#All],2,FALSE)</f>
        <v>Asia</v>
      </c>
      <c r="G1394">
        <v>4</v>
      </c>
      <c r="H1394" t="str" cm="1">
        <f t="array" ref="H1394">_xlfn.IFS(Ramen_Ratings[[#This Row],[Stars]] = "Unrated", "NA",Ramen_Ratings[[#This Row],[Stars]]&gt;=4, "Good", Ramen_Ratings[[#This Row],[Stars]]&gt;2.5, "Fair", Ramen_Ratings[[#This Row],[Stars]] &gt;= 0, "Bad")</f>
        <v>Good</v>
      </c>
      <c r="J1394" t="str">
        <f>LEFT(Ramen_Ratings[[#This Row],[Top Ten]],4)</f>
        <v/>
      </c>
      <c r="K1394" t="str">
        <f>IF(Ramen_Ratings[[#This Row],[Top Ten]]="", "",RIGHT(Ramen_Ratings[[#This Row],[Top Ten]],LEN(Ramen_Ratings[[#This Row],[Top Ten]])-6))</f>
        <v/>
      </c>
    </row>
    <row r="1395" spans="1:11" x14ac:dyDescent="0.25">
      <c r="A1395">
        <v>2193</v>
      </c>
      <c r="B1395" t="s">
        <v>343</v>
      </c>
      <c r="C1395" t="s">
        <v>524</v>
      </c>
      <c r="D1395" t="s">
        <v>13</v>
      </c>
      <c r="E1395" t="s">
        <v>345</v>
      </c>
      <c r="F1395" t="str">
        <f>VLOOKUP(Ramen_Ratings[[#This Row],[Country]],Country_Region[#All],2,FALSE)</f>
        <v>Asia</v>
      </c>
      <c r="G1395">
        <v>3</v>
      </c>
      <c r="H1395" t="str" cm="1">
        <f t="array" ref="H1395">_xlfn.IFS(Ramen_Ratings[[#This Row],[Stars]] = "Unrated", "NA",Ramen_Ratings[[#This Row],[Stars]]&gt;=4, "Good", Ramen_Ratings[[#This Row],[Stars]]&gt;2.5, "Fair", Ramen_Ratings[[#This Row],[Stars]] &gt;= 0, "Bad")</f>
        <v>Fair</v>
      </c>
      <c r="J1395" t="str">
        <f>LEFT(Ramen_Ratings[[#This Row],[Top Ten]],4)</f>
        <v/>
      </c>
      <c r="K1395" t="str">
        <f>IF(Ramen_Ratings[[#This Row],[Top Ten]]="", "",RIGHT(Ramen_Ratings[[#This Row],[Top Ten]],LEN(Ramen_Ratings[[#This Row],[Top Ten]])-6))</f>
        <v/>
      </c>
    </row>
    <row r="1396" spans="1:11" x14ac:dyDescent="0.25">
      <c r="A1396">
        <v>1657</v>
      </c>
      <c r="B1396" t="s">
        <v>1141</v>
      </c>
      <c r="C1396" t="s">
        <v>1142</v>
      </c>
      <c r="D1396" t="s">
        <v>13</v>
      </c>
      <c r="E1396" t="s">
        <v>345</v>
      </c>
      <c r="F1396" t="str">
        <f>VLOOKUP(Ramen_Ratings[[#This Row],[Country]],Country_Region[#All],2,FALSE)</f>
        <v>Asia</v>
      </c>
      <c r="G1396">
        <v>2.75</v>
      </c>
      <c r="H1396" t="str" cm="1">
        <f t="array" ref="H1396">_xlfn.IFS(Ramen_Ratings[[#This Row],[Stars]] = "Unrated", "NA",Ramen_Ratings[[#This Row],[Stars]]&gt;=4, "Good", Ramen_Ratings[[#This Row],[Stars]]&gt;2.5, "Fair", Ramen_Ratings[[#This Row],[Stars]] &gt;= 0, "Bad")</f>
        <v>Fair</v>
      </c>
      <c r="J1396" t="str">
        <f>LEFT(Ramen_Ratings[[#This Row],[Top Ten]],4)</f>
        <v/>
      </c>
      <c r="K1396" t="str">
        <f>IF(Ramen_Ratings[[#This Row],[Top Ten]]="", "",RIGHT(Ramen_Ratings[[#This Row],[Top Ten]],LEN(Ramen_Ratings[[#This Row],[Top Ten]])-6))</f>
        <v/>
      </c>
    </row>
    <row r="1397" spans="1:11" x14ac:dyDescent="0.25">
      <c r="A1397">
        <v>1636</v>
      </c>
      <c r="B1397" t="s">
        <v>1141</v>
      </c>
      <c r="C1397" t="s">
        <v>1172</v>
      </c>
      <c r="D1397" t="s">
        <v>13</v>
      </c>
      <c r="E1397" t="s">
        <v>345</v>
      </c>
      <c r="F1397" t="str">
        <f>VLOOKUP(Ramen_Ratings[[#This Row],[Country]],Country_Region[#All],2,FALSE)</f>
        <v>Asia</v>
      </c>
      <c r="G1397">
        <v>3.25</v>
      </c>
      <c r="H1397" t="str" cm="1">
        <f t="array" ref="H1397">_xlfn.IFS(Ramen_Ratings[[#This Row],[Stars]] = "Unrated", "NA",Ramen_Ratings[[#This Row],[Stars]]&gt;=4, "Good", Ramen_Ratings[[#This Row],[Stars]]&gt;2.5, "Fair", Ramen_Ratings[[#This Row],[Stars]] &gt;= 0, "Bad")</f>
        <v>Fair</v>
      </c>
      <c r="J1397" t="str">
        <f>LEFT(Ramen_Ratings[[#This Row],[Top Ten]],4)</f>
        <v/>
      </c>
      <c r="K1397" t="str">
        <f>IF(Ramen_Ratings[[#This Row],[Top Ten]]="", "",RIGHT(Ramen_Ratings[[#This Row],[Top Ten]],LEN(Ramen_Ratings[[#This Row],[Top Ten]])-6))</f>
        <v/>
      </c>
    </row>
    <row r="1398" spans="1:11" x14ac:dyDescent="0.25">
      <c r="A1398">
        <v>1612</v>
      </c>
      <c r="B1398" t="s">
        <v>1141</v>
      </c>
      <c r="C1398" t="s">
        <v>1200</v>
      </c>
      <c r="D1398" t="s">
        <v>13</v>
      </c>
      <c r="E1398" t="s">
        <v>345</v>
      </c>
      <c r="F1398" t="str">
        <f>VLOOKUP(Ramen_Ratings[[#This Row],[Country]],Country_Region[#All],2,FALSE)</f>
        <v>Asia</v>
      </c>
      <c r="G1398">
        <v>3.25</v>
      </c>
      <c r="H1398" t="str" cm="1">
        <f t="array" ref="H1398">_xlfn.IFS(Ramen_Ratings[[#This Row],[Stars]] = "Unrated", "NA",Ramen_Ratings[[#This Row],[Stars]]&gt;=4, "Good", Ramen_Ratings[[#This Row],[Stars]]&gt;2.5, "Fair", Ramen_Ratings[[#This Row],[Stars]] &gt;= 0, "Bad")</f>
        <v>Fair</v>
      </c>
      <c r="J1398" t="str">
        <f>LEFT(Ramen_Ratings[[#This Row],[Top Ten]],4)</f>
        <v/>
      </c>
      <c r="K1398" t="str">
        <f>IF(Ramen_Ratings[[#This Row],[Top Ten]]="", "",RIGHT(Ramen_Ratings[[#This Row],[Top Ten]],LEN(Ramen_Ratings[[#This Row],[Top Ten]])-6))</f>
        <v/>
      </c>
    </row>
    <row r="1399" spans="1:11" x14ac:dyDescent="0.25">
      <c r="A1399">
        <v>1505</v>
      </c>
      <c r="B1399" t="s">
        <v>1141</v>
      </c>
      <c r="C1399" t="s">
        <v>1326</v>
      </c>
      <c r="D1399" t="s">
        <v>13</v>
      </c>
      <c r="E1399" t="s">
        <v>345</v>
      </c>
      <c r="F1399" t="str">
        <f>VLOOKUP(Ramen_Ratings[[#This Row],[Country]],Country_Region[#All],2,FALSE)</f>
        <v>Asia</v>
      </c>
      <c r="G1399">
        <v>3.25</v>
      </c>
      <c r="H1399" t="str" cm="1">
        <f t="array" ref="H1399">_xlfn.IFS(Ramen_Ratings[[#This Row],[Stars]] = "Unrated", "NA",Ramen_Ratings[[#This Row],[Stars]]&gt;=4, "Good", Ramen_Ratings[[#This Row],[Stars]]&gt;2.5, "Fair", Ramen_Ratings[[#This Row],[Stars]] &gt;= 0, "Bad")</f>
        <v>Fair</v>
      </c>
      <c r="J1399" t="str">
        <f>LEFT(Ramen_Ratings[[#This Row],[Top Ten]],4)</f>
        <v/>
      </c>
      <c r="K1399" t="str">
        <f>IF(Ramen_Ratings[[#This Row],[Top Ten]]="", "",RIGHT(Ramen_Ratings[[#This Row],[Top Ten]],LEN(Ramen_Ratings[[#This Row],[Top Ten]])-6))</f>
        <v/>
      </c>
    </row>
    <row r="1400" spans="1:11" x14ac:dyDescent="0.25">
      <c r="A1400">
        <v>1391</v>
      </c>
      <c r="B1400" t="s">
        <v>1141</v>
      </c>
      <c r="C1400" t="s">
        <v>1446</v>
      </c>
      <c r="D1400" t="s">
        <v>13</v>
      </c>
      <c r="E1400" t="s">
        <v>345</v>
      </c>
      <c r="F1400" t="str">
        <f>VLOOKUP(Ramen_Ratings[[#This Row],[Country]],Country_Region[#All],2,FALSE)</f>
        <v>Asia</v>
      </c>
      <c r="G1400">
        <v>3.5</v>
      </c>
      <c r="H1400" t="str" cm="1">
        <f t="array" ref="H1400">_xlfn.IFS(Ramen_Ratings[[#This Row],[Stars]] = "Unrated", "NA",Ramen_Ratings[[#This Row],[Stars]]&gt;=4, "Good", Ramen_Ratings[[#This Row],[Stars]]&gt;2.5, "Fair", Ramen_Ratings[[#This Row],[Stars]] &gt;= 0, "Bad")</f>
        <v>Fair</v>
      </c>
      <c r="J1400" t="str">
        <f>LEFT(Ramen_Ratings[[#This Row],[Top Ten]],4)</f>
        <v/>
      </c>
      <c r="K1400" t="str">
        <f>IF(Ramen_Ratings[[#This Row],[Top Ten]]="", "",RIGHT(Ramen_Ratings[[#This Row],[Top Ten]],LEN(Ramen_Ratings[[#This Row],[Top Ten]])-6))</f>
        <v/>
      </c>
    </row>
    <row r="1401" spans="1:11" x14ac:dyDescent="0.25">
      <c r="A1401">
        <v>504</v>
      </c>
      <c r="B1401" t="s">
        <v>343</v>
      </c>
      <c r="C1401" t="s">
        <v>2380</v>
      </c>
      <c r="D1401" t="s">
        <v>13</v>
      </c>
      <c r="E1401" t="s">
        <v>345</v>
      </c>
      <c r="F1401" t="str">
        <f>VLOOKUP(Ramen_Ratings[[#This Row],[Country]],Country_Region[#All],2,FALSE)</f>
        <v>Asia</v>
      </c>
      <c r="G1401">
        <v>3</v>
      </c>
      <c r="H1401" t="str" cm="1">
        <f t="array" ref="H1401">_xlfn.IFS(Ramen_Ratings[[#This Row],[Stars]] = "Unrated", "NA",Ramen_Ratings[[#This Row],[Stars]]&gt;=4, "Good", Ramen_Ratings[[#This Row],[Stars]]&gt;2.5, "Fair", Ramen_Ratings[[#This Row],[Stars]] &gt;= 0, "Bad")</f>
        <v>Fair</v>
      </c>
      <c r="J1401" t="str">
        <f>LEFT(Ramen_Ratings[[#This Row],[Top Ten]],4)</f>
        <v/>
      </c>
      <c r="K1401" t="str">
        <f>IF(Ramen_Ratings[[#This Row],[Top Ten]]="", "",RIGHT(Ramen_Ratings[[#This Row],[Top Ten]],LEN(Ramen_Ratings[[#This Row],[Top Ten]])-6))</f>
        <v/>
      </c>
    </row>
    <row r="1402" spans="1:11" x14ac:dyDescent="0.25">
      <c r="A1402">
        <v>2502</v>
      </c>
      <c r="B1402" t="s">
        <v>135</v>
      </c>
      <c r="C1402" t="s">
        <v>141</v>
      </c>
      <c r="D1402" t="s">
        <v>13</v>
      </c>
      <c r="E1402" t="s">
        <v>142</v>
      </c>
      <c r="F1402" t="str">
        <f>VLOOKUP(Ramen_Ratings[[#This Row],[Country]],Country_Region[#All],2,FALSE)</f>
        <v>Africa</v>
      </c>
      <c r="G1402">
        <v>1.5</v>
      </c>
      <c r="H1402" t="str" cm="1">
        <f t="array" ref="H1402">_xlfn.IFS(Ramen_Ratings[[#This Row],[Stars]] = "Unrated", "NA",Ramen_Ratings[[#This Row],[Stars]]&gt;=4, "Good", Ramen_Ratings[[#This Row],[Stars]]&gt;2.5, "Fair", Ramen_Ratings[[#This Row],[Stars]] &gt;= 0, "Bad")</f>
        <v>Bad</v>
      </c>
      <c r="J1402" t="str">
        <f>LEFT(Ramen_Ratings[[#This Row],[Top Ten]],4)</f>
        <v/>
      </c>
      <c r="K1402" t="str">
        <f>IF(Ramen_Ratings[[#This Row],[Top Ten]]="", "",RIGHT(Ramen_Ratings[[#This Row],[Top Ten]],LEN(Ramen_Ratings[[#This Row],[Top Ten]])-6))</f>
        <v/>
      </c>
    </row>
    <row r="1403" spans="1:11" x14ac:dyDescent="0.25">
      <c r="A1403">
        <v>2009</v>
      </c>
      <c r="B1403" t="s">
        <v>731</v>
      </c>
      <c r="C1403" t="s">
        <v>732</v>
      </c>
      <c r="D1403" t="s">
        <v>9</v>
      </c>
      <c r="E1403" t="s">
        <v>733</v>
      </c>
      <c r="F1403" t="str">
        <f>VLOOKUP(Ramen_Ratings[[#This Row],[Country]],Country_Region[#All],2,FALSE)</f>
        <v>Europe</v>
      </c>
      <c r="G1403">
        <v>3</v>
      </c>
      <c r="H1403" t="str" cm="1">
        <f t="array" ref="H1403">_xlfn.IFS(Ramen_Ratings[[#This Row],[Stars]] = "Unrated", "NA",Ramen_Ratings[[#This Row],[Stars]]&gt;=4, "Good", Ramen_Ratings[[#This Row],[Stars]]&gt;2.5, "Fair", Ramen_Ratings[[#This Row],[Stars]] &gt;= 0, "Bad")</f>
        <v>Fair</v>
      </c>
      <c r="J1403" t="str">
        <f>LEFT(Ramen_Ratings[[#This Row],[Top Ten]],4)</f>
        <v/>
      </c>
      <c r="K1403" t="str">
        <f>IF(Ramen_Ratings[[#This Row],[Top Ten]]="", "",RIGHT(Ramen_Ratings[[#This Row],[Top Ten]],LEN(Ramen_Ratings[[#This Row],[Top Ten]])-6))</f>
        <v/>
      </c>
    </row>
    <row r="1404" spans="1:11" x14ac:dyDescent="0.25">
      <c r="A1404">
        <v>1954</v>
      </c>
      <c r="B1404" t="s">
        <v>794</v>
      </c>
      <c r="C1404" t="s">
        <v>795</v>
      </c>
      <c r="D1404" t="s">
        <v>13</v>
      </c>
      <c r="E1404" t="s">
        <v>733</v>
      </c>
      <c r="F1404" t="str">
        <f>VLOOKUP(Ramen_Ratings[[#This Row],[Country]],Country_Region[#All],2,FALSE)</f>
        <v>Europe</v>
      </c>
      <c r="G1404">
        <v>2</v>
      </c>
      <c r="H1404" t="str" cm="1">
        <f t="array" ref="H1404">_xlfn.IFS(Ramen_Ratings[[#This Row],[Stars]] = "Unrated", "NA",Ramen_Ratings[[#This Row],[Stars]]&gt;=4, "Good", Ramen_Ratings[[#This Row],[Stars]]&gt;2.5, "Fair", Ramen_Ratings[[#This Row],[Stars]] &gt;= 0, "Bad")</f>
        <v>Bad</v>
      </c>
      <c r="J1404" t="str">
        <f>LEFT(Ramen_Ratings[[#This Row],[Top Ten]],4)</f>
        <v/>
      </c>
      <c r="K1404" t="str">
        <f>IF(Ramen_Ratings[[#This Row],[Top Ten]]="", "",RIGHT(Ramen_Ratings[[#This Row],[Top Ten]],LEN(Ramen_Ratings[[#This Row],[Top Ten]])-6))</f>
        <v/>
      </c>
    </row>
    <row r="1405" spans="1:11" x14ac:dyDescent="0.25">
      <c r="A1405">
        <v>1941</v>
      </c>
      <c r="B1405" t="s">
        <v>811</v>
      </c>
      <c r="C1405" t="s">
        <v>812</v>
      </c>
      <c r="D1405" t="s">
        <v>13</v>
      </c>
      <c r="E1405" t="s">
        <v>733</v>
      </c>
      <c r="F1405" t="str">
        <f>VLOOKUP(Ramen_Ratings[[#This Row],[Country]],Country_Region[#All],2,FALSE)</f>
        <v>Europe</v>
      </c>
      <c r="G1405">
        <v>2.5</v>
      </c>
      <c r="H1405" t="str" cm="1">
        <f t="array" ref="H1405">_xlfn.IFS(Ramen_Ratings[[#This Row],[Stars]] = "Unrated", "NA",Ramen_Ratings[[#This Row],[Stars]]&gt;=4, "Good", Ramen_Ratings[[#This Row],[Stars]]&gt;2.5, "Fair", Ramen_Ratings[[#This Row],[Stars]] &gt;= 0, "Bad")</f>
        <v>Bad</v>
      </c>
      <c r="J1405" t="str">
        <f>LEFT(Ramen_Ratings[[#This Row],[Top Ten]],4)</f>
        <v/>
      </c>
      <c r="K1405" t="str">
        <f>IF(Ramen_Ratings[[#This Row],[Top Ten]]="", "",RIGHT(Ramen_Ratings[[#This Row],[Top Ten]],LEN(Ramen_Ratings[[#This Row],[Top Ten]])-6))</f>
        <v/>
      </c>
    </row>
    <row r="1406" spans="1:11" x14ac:dyDescent="0.25">
      <c r="A1406">
        <v>1930</v>
      </c>
      <c r="B1406" t="s">
        <v>794</v>
      </c>
      <c r="C1406" t="s">
        <v>825</v>
      </c>
      <c r="D1406" t="s">
        <v>13</v>
      </c>
      <c r="E1406" t="s">
        <v>733</v>
      </c>
      <c r="F1406" t="str">
        <f>VLOOKUP(Ramen_Ratings[[#This Row],[Country]],Country_Region[#All],2,FALSE)</f>
        <v>Europe</v>
      </c>
      <c r="G1406">
        <v>0.25</v>
      </c>
      <c r="H1406" t="str" cm="1">
        <f t="array" ref="H1406">_xlfn.IFS(Ramen_Ratings[[#This Row],[Stars]] = "Unrated", "NA",Ramen_Ratings[[#This Row],[Stars]]&gt;=4, "Good", Ramen_Ratings[[#This Row],[Stars]]&gt;2.5, "Fair", Ramen_Ratings[[#This Row],[Stars]] &gt;= 0, "Bad")</f>
        <v>Bad</v>
      </c>
      <c r="J1406" t="str">
        <f>LEFT(Ramen_Ratings[[#This Row],[Top Ten]],4)</f>
        <v/>
      </c>
      <c r="K1406" t="str">
        <f>IF(Ramen_Ratings[[#This Row],[Top Ten]]="", "",RIGHT(Ramen_Ratings[[#This Row],[Top Ten]],LEN(Ramen_Ratings[[#This Row],[Top Ten]])-6))</f>
        <v/>
      </c>
    </row>
    <row r="1407" spans="1:11" x14ac:dyDescent="0.25">
      <c r="A1407">
        <v>1923</v>
      </c>
      <c r="B1407" t="s">
        <v>731</v>
      </c>
      <c r="C1407" t="s">
        <v>833</v>
      </c>
      <c r="D1407" t="s">
        <v>9</v>
      </c>
      <c r="E1407" t="s">
        <v>733</v>
      </c>
      <c r="F1407" t="str">
        <f>VLOOKUP(Ramen_Ratings[[#This Row],[Country]],Country_Region[#All],2,FALSE)</f>
        <v>Europe</v>
      </c>
      <c r="G1407">
        <v>0.5</v>
      </c>
      <c r="H1407" t="str" cm="1">
        <f t="array" ref="H1407">_xlfn.IFS(Ramen_Ratings[[#This Row],[Stars]] = "Unrated", "NA",Ramen_Ratings[[#This Row],[Stars]]&gt;=4, "Good", Ramen_Ratings[[#This Row],[Stars]]&gt;2.5, "Fair", Ramen_Ratings[[#This Row],[Stars]] &gt;= 0, "Bad")</f>
        <v>Bad</v>
      </c>
      <c r="J1407" t="str">
        <f>LEFT(Ramen_Ratings[[#This Row],[Top Ten]],4)</f>
        <v/>
      </c>
      <c r="K1407" t="str">
        <f>IF(Ramen_Ratings[[#This Row],[Top Ten]]="", "",RIGHT(Ramen_Ratings[[#This Row],[Top Ten]],LEN(Ramen_Ratings[[#This Row],[Top Ten]])-6))</f>
        <v/>
      </c>
    </row>
    <row r="1408" spans="1:11" x14ac:dyDescent="0.25">
      <c r="A1408">
        <v>1918</v>
      </c>
      <c r="B1408" t="s">
        <v>839</v>
      </c>
      <c r="C1408" t="s">
        <v>824</v>
      </c>
      <c r="D1408" t="s">
        <v>13</v>
      </c>
      <c r="E1408" t="s">
        <v>733</v>
      </c>
      <c r="F1408" t="str">
        <f>VLOOKUP(Ramen_Ratings[[#This Row],[Country]],Country_Region[#All],2,FALSE)</f>
        <v>Europe</v>
      </c>
      <c r="G1408">
        <v>3.5</v>
      </c>
      <c r="H1408" t="str" cm="1">
        <f t="array" ref="H1408">_xlfn.IFS(Ramen_Ratings[[#This Row],[Stars]] = "Unrated", "NA",Ramen_Ratings[[#This Row],[Stars]]&gt;=4, "Good", Ramen_Ratings[[#This Row],[Stars]]&gt;2.5, "Fair", Ramen_Ratings[[#This Row],[Stars]] &gt;= 0, "Bad")</f>
        <v>Fair</v>
      </c>
      <c r="J1408" t="str">
        <f>LEFT(Ramen_Ratings[[#This Row],[Top Ten]],4)</f>
        <v/>
      </c>
      <c r="K1408" t="str">
        <f>IF(Ramen_Ratings[[#This Row],[Top Ten]]="", "",RIGHT(Ramen_Ratings[[#This Row],[Top Ten]],LEN(Ramen_Ratings[[#This Row],[Top Ten]])-6))</f>
        <v/>
      </c>
    </row>
    <row r="1409" spans="1:11" x14ac:dyDescent="0.25">
      <c r="A1409">
        <v>1899</v>
      </c>
      <c r="B1409" t="s">
        <v>794</v>
      </c>
      <c r="C1409" t="s">
        <v>864</v>
      </c>
      <c r="D1409" t="s">
        <v>13</v>
      </c>
      <c r="E1409" t="s">
        <v>733</v>
      </c>
      <c r="F1409" t="str">
        <f>VLOOKUP(Ramen_Ratings[[#This Row],[Country]],Country_Region[#All],2,FALSE)</f>
        <v>Europe</v>
      </c>
      <c r="G1409">
        <v>1.5</v>
      </c>
      <c r="H1409" t="str" cm="1">
        <f t="array" ref="H1409">_xlfn.IFS(Ramen_Ratings[[#This Row],[Stars]] = "Unrated", "NA",Ramen_Ratings[[#This Row],[Stars]]&gt;=4, "Good", Ramen_Ratings[[#This Row],[Stars]]&gt;2.5, "Fair", Ramen_Ratings[[#This Row],[Stars]] &gt;= 0, "Bad")</f>
        <v>Bad</v>
      </c>
      <c r="J1409" t="str">
        <f>LEFT(Ramen_Ratings[[#This Row],[Top Ten]],4)</f>
        <v/>
      </c>
      <c r="K1409" t="str">
        <f>IF(Ramen_Ratings[[#This Row],[Top Ten]]="", "",RIGHT(Ramen_Ratings[[#This Row],[Top Ten]],LEN(Ramen_Ratings[[#This Row],[Top Ten]])-6))</f>
        <v/>
      </c>
    </row>
    <row r="1410" spans="1:11" x14ac:dyDescent="0.25">
      <c r="A1410">
        <v>1861</v>
      </c>
      <c r="B1410" t="s">
        <v>731</v>
      </c>
      <c r="C1410" t="s">
        <v>903</v>
      </c>
      <c r="D1410" t="s">
        <v>9</v>
      </c>
      <c r="E1410" t="s">
        <v>733</v>
      </c>
      <c r="F1410" t="str">
        <f>VLOOKUP(Ramen_Ratings[[#This Row],[Country]],Country_Region[#All],2,FALSE)</f>
        <v>Europe</v>
      </c>
      <c r="G1410">
        <v>0.5</v>
      </c>
      <c r="H1410" t="str" cm="1">
        <f t="array" ref="H1410">_xlfn.IFS(Ramen_Ratings[[#This Row],[Stars]] = "Unrated", "NA",Ramen_Ratings[[#This Row],[Stars]]&gt;=4, "Good", Ramen_Ratings[[#This Row],[Stars]]&gt;2.5, "Fair", Ramen_Ratings[[#This Row],[Stars]] &gt;= 0, "Bad")</f>
        <v>Bad</v>
      </c>
      <c r="J1410" t="str">
        <f>LEFT(Ramen_Ratings[[#This Row],[Top Ten]],4)</f>
        <v/>
      </c>
      <c r="K1410" t="str">
        <f>IF(Ramen_Ratings[[#This Row],[Top Ten]]="", "",RIGHT(Ramen_Ratings[[#This Row],[Top Ten]],LEN(Ramen_Ratings[[#This Row],[Top Ten]])-6))</f>
        <v/>
      </c>
    </row>
    <row r="1411" spans="1:11" x14ac:dyDescent="0.25">
      <c r="A1411">
        <v>1847</v>
      </c>
      <c r="B1411" t="s">
        <v>731</v>
      </c>
      <c r="C1411" t="s">
        <v>919</v>
      </c>
      <c r="D1411" t="s">
        <v>13</v>
      </c>
      <c r="E1411" t="s">
        <v>733</v>
      </c>
      <c r="F1411" t="str">
        <f>VLOOKUP(Ramen_Ratings[[#This Row],[Country]],Country_Region[#All],2,FALSE)</f>
        <v>Europe</v>
      </c>
      <c r="G1411">
        <v>3</v>
      </c>
      <c r="H1411" t="str" cm="1">
        <f t="array" ref="H1411">_xlfn.IFS(Ramen_Ratings[[#This Row],[Stars]] = "Unrated", "NA",Ramen_Ratings[[#This Row],[Stars]]&gt;=4, "Good", Ramen_Ratings[[#This Row],[Stars]]&gt;2.5, "Fair", Ramen_Ratings[[#This Row],[Stars]] &gt;= 0, "Bad")</f>
        <v>Fair</v>
      </c>
      <c r="J1411" t="str">
        <f>LEFT(Ramen_Ratings[[#This Row],[Top Ten]],4)</f>
        <v/>
      </c>
      <c r="K1411" t="str">
        <f>IF(Ramen_Ratings[[#This Row],[Top Ten]]="", "",RIGHT(Ramen_Ratings[[#This Row],[Top Ten]],LEN(Ramen_Ratings[[#This Row],[Top Ten]])-6))</f>
        <v/>
      </c>
    </row>
    <row r="1412" spans="1:11" x14ac:dyDescent="0.25">
      <c r="A1412">
        <v>1814</v>
      </c>
      <c r="B1412" t="s">
        <v>794</v>
      </c>
      <c r="C1412" t="s">
        <v>960</v>
      </c>
      <c r="D1412" t="s">
        <v>13</v>
      </c>
      <c r="E1412" t="s">
        <v>733</v>
      </c>
      <c r="F1412" t="str">
        <f>VLOOKUP(Ramen_Ratings[[#This Row],[Country]],Country_Region[#All],2,FALSE)</f>
        <v>Europe</v>
      </c>
      <c r="G1412">
        <v>3</v>
      </c>
      <c r="H1412" t="str" cm="1">
        <f t="array" ref="H1412">_xlfn.IFS(Ramen_Ratings[[#This Row],[Stars]] = "Unrated", "NA",Ramen_Ratings[[#This Row],[Stars]]&gt;=4, "Good", Ramen_Ratings[[#This Row],[Stars]]&gt;2.5, "Fair", Ramen_Ratings[[#This Row],[Stars]] &gt;= 0, "Bad")</f>
        <v>Fair</v>
      </c>
      <c r="J1412" t="str">
        <f>LEFT(Ramen_Ratings[[#This Row],[Top Ten]],4)</f>
        <v/>
      </c>
      <c r="K1412" t="str">
        <f>IF(Ramen_Ratings[[#This Row],[Top Ten]]="", "",RIGHT(Ramen_Ratings[[#This Row],[Top Ten]],LEN(Ramen_Ratings[[#This Row],[Top Ten]])-6))</f>
        <v/>
      </c>
    </row>
    <row r="1413" spans="1:11" x14ac:dyDescent="0.25">
      <c r="A1413">
        <v>1811</v>
      </c>
      <c r="B1413" t="s">
        <v>731</v>
      </c>
      <c r="C1413" t="s">
        <v>963</v>
      </c>
      <c r="D1413" t="s">
        <v>13</v>
      </c>
      <c r="E1413" t="s">
        <v>733</v>
      </c>
      <c r="F1413" t="str">
        <f>VLOOKUP(Ramen_Ratings[[#This Row],[Country]],Country_Region[#All],2,FALSE)</f>
        <v>Europe</v>
      </c>
      <c r="G1413">
        <v>3.5</v>
      </c>
      <c r="H1413" t="str" cm="1">
        <f t="array" ref="H1413">_xlfn.IFS(Ramen_Ratings[[#This Row],[Stars]] = "Unrated", "NA",Ramen_Ratings[[#This Row],[Stars]]&gt;=4, "Good", Ramen_Ratings[[#This Row],[Stars]]&gt;2.5, "Fair", Ramen_Ratings[[#This Row],[Stars]] &gt;= 0, "Bad")</f>
        <v>Fair</v>
      </c>
      <c r="J1413" t="str">
        <f>LEFT(Ramen_Ratings[[#This Row],[Top Ten]],4)</f>
        <v/>
      </c>
      <c r="K1413" t="str">
        <f>IF(Ramen_Ratings[[#This Row],[Top Ten]]="", "",RIGHT(Ramen_Ratings[[#This Row],[Top Ten]],LEN(Ramen_Ratings[[#This Row],[Top Ten]])-6))</f>
        <v/>
      </c>
    </row>
    <row r="1414" spans="1:11" x14ac:dyDescent="0.25">
      <c r="A1414">
        <v>1798</v>
      </c>
      <c r="B1414" t="s">
        <v>839</v>
      </c>
      <c r="C1414" t="s">
        <v>978</v>
      </c>
      <c r="D1414" t="s">
        <v>13</v>
      </c>
      <c r="E1414" t="s">
        <v>733</v>
      </c>
      <c r="F1414" t="str">
        <f>VLOOKUP(Ramen_Ratings[[#This Row],[Country]],Country_Region[#All],2,FALSE)</f>
        <v>Europe</v>
      </c>
      <c r="G1414">
        <v>2.75</v>
      </c>
      <c r="H1414" t="str" cm="1">
        <f t="array" ref="H1414">_xlfn.IFS(Ramen_Ratings[[#This Row],[Stars]] = "Unrated", "NA",Ramen_Ratings[[#This Row],[Stars]]&gt;=4, "Good", Ramen_Ratings[[#This Row],[Stars]]&gt;2.5, "Fair", Ramen_Ratings[[#This Row],[Stars]] &gt;= 0, "Bad")</f>
        <v>Fair</v>
      </c>
      <c r="J1414" t="str">
        <f>LEFT(Ramen_Ratings[[#This Row],[Top Ten]],4)</f>
        <v/>
      </c>
      <c r="K1414" t="str">
        <f>IF(Ramen_Ratings[[#This Row],[Top Ten]]="", "",RIGHT(Ramen_Ratings[[#This Row],[Top Ten]],LEN(Ramen_Ratings[[#This Row],[Top Ten]])-6))</f>
        <v/>
      </c>
    </row>
    <row r="1415" spans="1:11" x14ac:dyDescent="0.25">
      <c r="A1415">
        <v>1783</v>
      </c>
      <c r="B1415" t="s">
        <v>839</v>
      </c>
      <c r="C1415" t="s">
        <v>995</v>
      </c>
      <c r="D1415" t="s">
        <v>13</v>
      </c>
      <c r="E1415" t="s">
        <v>733</v>
      </c>
      <c r="F1415" t="str">
        <f>VLOOKUP(Ramen_Ratings[[#This Row],[Country]],Country_Region[#All],2,FALSE)</f>
        <v>Europe</v>
      </c>
      <c r="G1415">
        <v>4.5</v>
      </c>
      <c r="H1415" t="str" cm="1">
        <f t="array" ref="H1415">_xlfn.IFS(Ramen_Ratings[[#This Row],[Stars]] = "Unrated", "NA",Ramen_Ratings[[#This Row],[Stars]]&gt;=4, "Good", Ramen_Ratings[[#This Row],[Stars]]&gt;2.5, "Fair", Ramen_Ratings[[#This Row],[Stars]] &gt;= 0, "Bad")</f>
        <v>Good</v>
      </c>
      <c r="J1415" t="str">
        <f>LEFT(Ramen_Ratings[[#This Row],[Top Ten]],4)</f>
        <v/>
      </c>
      <c r="K1415" t="str">
        <f>IF(Ramen_Ratings[[#This Row],[Top Ten]]="", "",RIGHT(Ramen_Ratings[[#This Row],[Top Ten]],LEN(Ramen_Ratings[[#This Row],[Top Ten]])-6))</f>
        <v/>
      </c>
    </row>
    <row r="1416" spans="1:11" x14ac:dyDescent="0.25">
      <c r="A1416">
        <v>1757</v>
      </c>
      <c r="B1416" t="s">
        <v>839</v>
      </c>
      <c r="C1416" t="s">
        <v>708</v>
      </c>
      <c r="D1416" t="s">
        <v>13</v>
      </c>
      <c r="E1416" t="s">
        <v>733</v>
      </c>
      <c r="F1416" t="str">
        <f>VLOOKUP(Ramen_Ratings[[#This Row],[Country]],Country_Region[#All],2,FALSE)</f>
        <v>Europe</v>
      </c>
      <c r="G1416">
        <v>3.25</v>
      </c>
      <c r="H1416" t="str" cm="1">
        <f t="array" ref="H1416">_xlfn.IFS(Ramen_Ratings[[#This Row],[Stars]] = "Unrated", "NA",Ramen_Ratings[[#This Row],[Stars]]&gt;=4, "Good", Ramen_Ratings[[#This Row],[Stars]]&gt;2.5, "Fair", Ramen_Ratings[[#This Row],[Stars]] &gt;= 0, "Bad")</f>
        <v>Fair</v>
      </c>
      <c r="J1416" t="str">
        <f>LEFT(Ramen_Ratings[[#This Row],[Top Ten]],4)</f>
        <v/>
      </c>
      <c r="K1416" t="str">
        <f>IF(Ramen_Ratings[[#This Row],[Top Ten]]="", "",RIGHT(Ramen_Ratings[[#This Row],[Top Ten]],LEN(Ramen_Ratings[[#This Row],[Top Ten]])-6))</f>
        <v/>
      </c>
    </row>
    <row r="1417" spans="1:11" x14ac:dyDescent="0.25">
      <c r="A1417">
        <v>1745</v>
      </c>
      <c r="B1417" t="s">
        <v>811</v>
      </c>
      <c r="C1417" t="s">
        <v>1035</v>
      </c>
      <c r="D1417" t="s">
        <v>13</v>
      </c>
      <c r="E1417" t="s">
        <v>733</v>
      </c>
      <c r="F1417" t="str">
        <f>VLOOKUP(Ramen_Ratings[[#This Row],[Country]],Country_Region[#All],2,FALSE)</f>
        <v>Europe</v>
      </c>
      <c r="G1417">
        <v>3.5</v>
      </c>
      <c r="H1417" t="str" cm="1">
        <f t="array" ref="H1417">_xlfn.IFS(Ramen_Ratings[[#This Row],[Stars]] = "Unrated", "NA",Ramen_Ratings[[#This Row],[Stars]]&gt;=4, "Good", Ramen_Ratings[[#This Row],[Stars]]&gt;2.5, "Fair", Ramen_Ratings[[#This Row],[Stars]] &gt;= 0, "Bad")</f>
        <v>Fair</v>
      </c>
      <c r="J1417" t="str">
        <f>LEFT(Ramen_Ratings[[#This Row],[Top Ten]],4)</f>
        <v/>
      </c>
      <c r="K1417" t="str">
        <f>IF(Ramen_Ratings[[#This Row],[Top Ten]]="", "",RIGHT(Ramen_Ratings[[#This Row],[Top Ten]],LEN(Ramen_Ratings[[#This Row],[Top Ten]])-6))</f>
        <v/>
      </c>
    </row>
    <row r="1418" spans="1:11" x14ac:dyDescent="0.25">
      <c r="A1418">
        <v>2238</v>
      </c>
      <c r="B1418" t="s">
        <v>469</v>
      </c>
      <c r="C1418" t="s">
        <v>470</v>
      </c>
      <c r="D1418" t="s">
        <v>13</v>
      </c>
      <c r="E1418" t="s">
        <v>471</v>
      </c>
      <c r="F1418" t="str">
        <f>VLOOKUP(Ramen_Ratings[[#This Row],[Country]],Country_Region[#All],2,FALSE)</f>
        <v>Asia</v>
      </c>
      <c r="G1418">
        <v>1</v>
      </c>
      <c r="H1418" t="str" cm="1">
        <f t="array" ref="H1418">_xlfn.IFS(Ramen_Ratings[[#This Row],[Stars]] = "Unrated", "NA",Ramen_Ratings[[#This Row],[Stars]]&gt;=4, "Good", Ramen_Ratings[[#This Row],[Stars]]&gt;2.5, "Fair", Ramen_Ratings[[#This Row],[Stars]] &gt;= 0, "Bad")</f>
        <v>Bad</v>
      </c>
      <c r="J1418" t="str">
        <f>LEFT(Ramen_Ratings[[#This Row],[Top Ten]],4)</f>
        <v/>
      </c>
      <c r="K1418" t="str">
        <f>IF(Ramen_Ratings[[#This Row],[Top Ten]]="", "",RIGHT(Ramen_Ratings[[#This Row],[Top Ten]],LEN(Ramen_Ratings[[#This Row],[Top Ten]])-6))</f>
        <v/>
      </c>
    </row>
    <row r="1419" spans="1:11" x14ac:dyDescent="0.25">
      <c r="A1419">
        <v>1151</v>
      </c>
      <c r="B1419" t="s">
        <v>469</v>
      </c>
      <c r="C1419" t="s">
        <v>1710</v>
      </c>
      <c r="D1419" t="s">
        <v>13</v>
      </c>
      <c r="E1419" t="s">
        <v>471</v>
      </c>
      <c r="F1419" t="str">
        <f>VLOOKUP(Ramen_Ratings[[#This Row],[Country]],Country_Region[#All],2,FALSE)</f>
        <v>Asia</v>
      </c>
      <c r="G1419">
        <v>3.75</v>
      </c>
      <c r="H1419" t="str" cm="1">
        <f t="array" ref="H1419">_xlfn.IFS(Ramen_Ratings[[#This Row],[Stars]] = "Unrated", "NA",Ramen_Ratings[[#This Row],[Stars]]&gt;=4, "Good", Ramen_Ratings[[#This Row],[Stars]]&gt;2.5, "Fair", Ramen_Ratings[[#This Row],[Stars]] &gt;= 0, "Bad")</f>
        <v>Fair</v>
      </c>
      <c r="J1419" t="str">
        <f>LEFT(Ramen_Ratings[[#This Row],[Top Ten]],4)</f>
        <v/>
      </c>
      <c r="K1419" t="str">
        <f>IF(Ramen_Ratings[[#This Row],[Top Ten]]="", "",RIGHT(Ramen_Ratings[[#This Row],[Top Ten]],LEN(Ramen_Ratings[[#This Row],[Top Ten]])-6))</f>
        <v/>
      </c>
    </row>
    <row r="1420" spans="1:11" x14ac:dyDescent="0.25">
      <c r="A1420">
        <v>1150</v>
      </c>
      <c r="B1420" t="s">
        <v>469</v>
      </c>
      <c r="C1420" t="s">
        <v>1711</v>
      </c>
      <c r="D1420" t="s">
        <v>13</v>
      </c>
      <c r="E1420" t="s">
        <v>471</v>
      </c>
      <c r="F1420" t="str">
        <f>VLOOKUP(Ramen_Ratings[[#This Row],[Country]],Country_Region[#All],2,FALSE)</f>
        <v>Asia</v>
      </c>
      <c r="G1420">
        <v>3.5</v>
      </c>
      <c r="H1420" t="str" cm="1">
        <f t="array" ref="H1420">_xlfn.IFS(Ramen_Ratings[[#This Row],[Stars]] = "Unrated", "NA",Ramen_Ratings[[#This Row],[Stars]]&gt;=4, "Good", Ramen_Ratings[[#This Row],[Stars]]&gt;2.5, "Fair", Ramen_Ratings[[#This Row],[Stars]] &gt;= 0, "Bad")</f>
        <v>Fair</v>
      </c>
      <c r="J1420" t="str">
        <f>LEFT(Ramen_Ratings[[#This Row],[Top Ten]],4)</f>
        <v/>
      </c>
      <c r="K1420" t="str">
        <f>IF(Ramen_Ratings[[#This Row],[Top Ten]]="", "",RIGHT(Ramen_Ratings[[#This Row],[Top Ten]],LEN(Ramen_Ratings[[#This Row],[Top Ten]])-6))</f>
        <v/>
      </c>
    </row>
    <row r="1421" spans="1:11" x14ac:dyDescent="0.25">
      <c r="A1421">
        <v>1149</v>
      </c>
      <c r="B1421" t="s">
        <v>469</v>
      </c>
      <c r="C1421" t="s">
        <v>1712</v>
      </c>
      <c r="D1421" t="s">
        <v>13</v>
      </c>
      <c r="E1421" t="s">
        <v>471</v>
      </c>
      <c r="F1421" t="str">
        <f>VLOOKUP(Ramen_Ratings[[#This Row],[Country]],Country_Region[#All],2,FALSE)</f>
        <v>Asia</v>
      </c>
      <c r="G1421">
        <v>3.5</v>
      </c>
      <c r="H1421" t="str" cm="1">
        <f t="array" ref="H1421">_xlfn.IFS(Ramen_Ratings[[#This Row],[Stars]] = "Unrated", "NA",Ramen_Ratings[[#This Row],[Stars]]&gt;=4, "Good", Ramen_Ratings[[#This Row],[Stars]]&gt;2.5, "Fair", Ramen_Ratings[[#This Row],[Stars]] &gt;= 0, "Bad")</f>
        <v>Fair</v>
      </c>
      <c r="J1421" t="str">
        <f>LEFT(Ramen_Ratings[[#This Row],[Top Ten]],4)</f>
        <v/>
      </c>
      <c r="K1421" t="str">
        <f>IF(Ramen_Ratings[[#This Row],[Top Ten]]="", "",RIGHT(Ramen_Ratings[[#This Row],[Top Ten]],LEN(Ramen_Ratings[[#This Row],[Top Ten]])-6))</f>
        <v/>
      </c>
    </row>
    <row r="1422" spans="1:11" x14ac:dyDescent="0.25">
      <c r="A1422">
        <v>1148</v>
      </c>
      <c r="B1422" t="s">
        <v>469</v>
      </c>
      <c r="C1422" t="s">
        <v>1713</v>
      </c>
      <c r="D1422" t="s">
        <v>13</v>
      </c>
      <c r="E1422" t="s">
        <v>471</v>
      </c>
      <c r="F1422" t="str">
        <f>VLOOKUP(Ramen_Ratings[[#This Row],[Country]],Country_Region[#All],2,FALSE)</f>
        <v>Asia</v>
      </c>
      <c r="G1422">
        <v>3.5</v>
      </c>
      <c r="H1422" t="str" cm="1">
        <f t="array" ref="H1422">_xlfn.IFS(Ramen_Ratings[[#This Row],[Stars]] = "Unrated", "NA",Ramen_Ratings[[#This Row],[Stars]]&gt;=4, "Good", Ramen_Ratings[[#This Row],[Stars]]&gt;2.5, "Fair", Ramen_Ratings[[#This Row],[Stars]] &gt;= 0, "Bad")</f>
        <v>Fair</v>
      </c>
      <c r="J1422" t="str">
        <f>LEFT(Ramen_Ratings[[#This Row],[Top Ten]],4)</f>
        <v/>
      </c>
      <c r="K1422" t="str">
        <f>IF(Ramen_Ratings[[#This Row],[Top Ten]]="", "",RIGHT(Ramen_Ratings[[#This Row],[Top Ten]],LEN(Ramen_Ratings[[#This Row],[Top Ten]])-6))</f>
        <v/>
      </c>
    </row>
    <row r="1423" spans="1:11" x14ac:dyDescent="0.25">
      <c r="A1423">
        <v>1147</v>
      </c>
      <c r="B1423" t="s">
        <v>469</v>
      </c>
      <c r="C1423" t="s">
        <v>1714</v>
      </c>
      <c r="D1423" t="s">
        <v>13</v>
      </c>
      <c r="E1423" t="s">
        <v>471</v>
      </c>
      <c r="F1423" t="str">
        <f>VLOOKUP(Ramen_Ratings[[#This Row],[Country]],Country_Region[#All],2,FALSE)</f>
        <v>Asia</v>
      </c>
      <c r="G1423">
        <v>3.5</v>
      </c>
      <c r="H1423" t="str" cm="1">
        <f t="array" ref="H1423">_xlfn.IFS(Ramen_Ratings[[#This Row],[Stars]] = "Unrated", "NA",Ramen_Ratings[[#This Row],[Stars]]&gt;=4, "Good", Ramen_Ratings[[#This Row],[Stars]]&gt;2.5, "Fair", Ramen_Ratings[[#This Row],[Stars]] &gt;= 0, "Bad")</f>
        <v>Fair</v>
      </c>
      <c r="J1423" t="str">
        <f>LEFT(Ramen_Ratings[[#This Row],[Top Ten]],4)</f>
        <v/>
      </c>
      <c r="K1423" t="str">
        <f>IF(Ramen_Ratings[[#This Row],[Top Ten]]="", "",RIGHT(Ramen_Ratings[[#This Row],[Top Ten]],LEN(Ramen_Ratings[[#This Row],[Top Ten]])-6))</f>
        <v/>
      </c>
    </row>
    <row r="1424" spans="1:11" x14ac:dyDescent="0.25">
      <c r="A1424">
        <v>1146</v>
      </c>
      <c r="B1424" t="s">
        <v>469</v>
      </c>
      <c r="C1424" t="s">
        <v>1715</v>
      </c>
      <c r="D1424" t="s">
        <v>13</v>
      </c>
      <c r="E1424" t="s">
        <v>471</v>
      </c>
      <c r="F1424" t="str">
        <f>VLOOKUP(Ramen_Ratings[[#This Row],[Country]],Country_Region[#All],2,FALSE)</f>
        <v>Asia</v>
      </c>
      <c r="G1424">
        <v>3.5</v>
      </c>
      <c r="H1424" t="str" cm="1">
        <f t="array" ref="H1424">_xlfn.IFS(Ramen_Ratings[[#This Row],[Stars]] = "Unrated", "NA",Ramen_Ratings[[#This Row],[Stars]]&gt;=4, "Good", Ramen_Ratings[[#This Row],[Stars]]&gt;2.5, "Fair", Ramen_Ratings[[#This Row],[Stars]] &gt;= 0, "Bad")</f>
        <v>Fair</v>
      </c>
      <c r="J1424" t="str">
        <f>LEFT(Ramen_Ratings[[#This Row],[Top Ten]],4)</f>
        <v/>
      </c>
      <c r="K1424" t="str">
        <f>IF(Ramen_Ratings[[#This Row],[Top Ten]]="", "",RIGHT(Ramen_Ratings[[#This Row],[Top Ten]],LEN(Ramen_Ratings[[#This Row],[Top Ten]])-6))</f>
        <v/>
      </c>
    </row>
    <row r="1425" spans="1:11" x14ac:dyDescent="0.25">
      <c r="A1425">
        <v>1145</v>
      </c>
      <c r="B1425" t="s">
        <v>469</v>
      </c>
      <c r="C1425" t="s">
        <v>1716</v>
      </c>
      <c r="D1425" t="s">
        <v>13</v>
      </c>
      <c r="E1425" t="s">
        <v>471</v>
      </c>
      <c r="F1425" t="str">
        <f>VLOOKUP(Ramen_Ratings[[#This Row],[Country]],Country_Region[#All],2,FALSE)</f>
        <v>Asia</v>
      </c>
      <c r="G1425">
        <v>3.75</v>
      </c>
      <c r="H1425" t="str" cm="1">
        <f t="array" ref="H1425">_xlfn.IFS(Ramen_Ratings[[#This Row],[Stars]] = "Unrated", "NA",Ramen_Ratings[[#This Row],[Stars]]&gt;=4, "Good", Ramen_Ratings[[#This Row],[Stars]]&gt;2.5, "Fair", Ramen_Ratings[[#This Row],[Stars]] &gt;= 0, "Bad")</f>
        <v>Fair</v>
      </c>
      <c r="J1425" t="str">
        <f>LEFT(Ramen_Ratings[[#This Row],[Top Ten]],4)</f>
        <v/>
      </c>
      <c r="K1425" t="str">
        <f>IF(Ramen_Ratings[[#This Row],[Top Ten]]="", "",RIGHT(Ramen_Ratings[[#This Row],[Top Ten]],LEN(Ramen_Ratings[[#This Row],[Top Ten]])-6))</f>
        <v/>
      </c>
    </row>
    <row r="1426" spans="1:11" x14ac:dyDescent="0.25">
      <c r="A1426">
        <v>1144</v>
      </c>
      <c r="B1426" t="s">
        <v>469</v>
      </c>
      <c r="C1426" t="s">
        <v>1717</v>
      </c>
      <c r="D1426" t="s">
        <v>13</v>
      </c>
      <c r="E1426" t="s">
        <v>471</v>
      </c>
      <c r="F1426" t="str">
        <f>VLOOKUP(Ramen_Ratings[[#This Row],[Country]],Country_Region[#All],2,FALSE)</f>
        <v>Asia</v>
      </c>
      <c r="G1426">
        <v>3.5</v>
      </c>
      <c r="H1426" t="str" cm="1">
        <f t="array" ref="H1426">_xlfn.IFS(Ramen_Ratings[[#This Row],[Stars]] = "Unrated", "NA",Ramen_Ratings[[#This Row],[Stars]]&gt;=4, "Good", Ramen_Ratings[[#This Row],[Stars]]&gt;2.5, "Fair", Ramen_Ratings[[#This Row],[Stars]] &gt;= 0, "Bad")</f>
        <v>Fair</v>
      </c>
      <c r="J1426" t="str">
        <f>LEFT(Ramen_Ratings[[#This Row],[Top Ten]],4)</f>
        <v/>
      </c>
      <c r="K1426" t="str">
        <f>IF(Ramen_Ratings[[#This Row],[Top Ten]]="", "",RIGHT(Ramen_Ratings[[#This Row],[Top Ten]],LEN(Ramen_Ratings[[#This Row],[Top Ten]])-6))</f>
        <v/>
      </c>
    </row>
    <row r="1427" spans="1:11" x14ac:dyDescent="0.25">
      <c r="A1427">
        <v>1143</v>
      </c>
      <c r="B1427" t="s">
        <v>469</v>
      </c>
      <c r="C1427" t="s">
        <v>1718</v>
      </c>
      <c r="D1427" t="s">
        <v>13</v>
      </c>
      <c r="E1427" t="s">
        <v>471</v>
      </c>
      <c r="F1427" t="str">
        <f>VLOOKUP(Ramen_Ratings[[#This Row],[Country]],Country_Region[#All],2,FALSE)</f>
        <v>Asia</v>
      </c>
      <c r="G1427">
        <v>4.25</v>
      </c>
      <c r="H1427" t="str" cm="1">
        <f t="array" ref="H1427">_xlfn.IFS(Ramen_Ratings[[#This Row],[Stars]] = "Unrated", "NA",Ramen_Ratings[[#This Row],[Stars]]&gt;=4, "Good", Ramen_Ratings[[#This Row],[Stars]]&gt;2.5, "Fair", Ramen_Ratings[[#This Row],[Stars]] &gt;= 0, "Bad")</f>
        <v>Good</v>
      </c>
      <c r="J1427" t="str">
        <f>LEFT(Ramen_Ratings[[#This Row],[Top Ten]],4)</f>
        <v/>
      </c>
      <c r="K1427" t="str">
        <f>IF(Ramen_Ratings[[#This Row],[Top Ten]]="", "",RIGHT(Ramen_Ratings[[#This Row],[Top Ten]],LEN(Ramen_Ratings[[#This Row],[Top Ten]])-6))</f>
        <v/>
      </c>
    </row>
    <row r="1428" spans="1:11" x14ac:dyDescent="0.25">
      <c r="A1428">
        <v>1142</v>
      </c>
      <c r="B1428" t="s">
        <v>469</v>
      </c>
      <c r="C1428" t="s">
        <v>1719</v>
      </c>
      <c r="D1428" t="s">
        <v>13</v>
      </c>
      <c r="E1428" t="s">
        <v>471</v>
      </c>
      <c r="F1428" t="str">
        <f>VLOOKUP(Ramen_Ratings[[#This Row],[Country]],Country_Region[#All],2,FALSE)</f>
        <v>Asia</v>
      </c>
      <c r="G1428">
        <v>4</v>
      </c>
      <c r="H1428" t="str" cm="1">
        <f t="array" ref="H1428">_xlfn.IFS(Ramen_Ratings[[#This Row],[Stars]] = "Unrated", "NA",Ramen_Ratings[[#This Row],[Stars]]&gt;=4, "Good", Ramen_Ratings[[#This Row],[Stars]]&gt;2.5, "Fair", Ramen_Ratings[[#This Row],[Stars]] &gt;= 0, "Bad")</f>
        <v>Good</v>
      </c>
      <c r="J1428" t="str">
        <f>LEFT(Ramen_Ratings[[#This Row],[Top Ten]],4)</f>
        <v/>
      </c>
      <c r="K1428" t="str">
        <f>IF(Ramen_Ratings[[#This Row],[Top Ten]]="", "",RIGHT(Ramen_Ratings[[#This Row],[Top Ten]],LEN(Ramen_Ratings[[#This Row],[Top Ten]])-6))</f>
        <v/>
      </c>
    </row>
    <row r="1429" spans="1:11" x14ac:dyDescent="0.25">
      <c r="A1429">
        <v>1141</v>
      </c>
      <c r="B1429" t="s">
        <v>469</v>
      </c>
      <c r="C1429" t="s">
        <v>1720</v>
      </c>
      <c r="D1429" t="s">
        <v>13</v>
      </c>
      <c r="E1429" t="s">
        <v>471</v>
      </c>
      <c r="F1429" t="str">
        <f>VLOOKUP(Ramen_Ratings[[#This Row],[Country]],Country_Region[#All],2,FALSE)</f>
        <v>Asia</v>
      </c>
      <c r="G1429">
        <v>3.25</v>
      </c>
      <c r="H1429" t="str" cm="1">
        <f t="array" ref="H1429">_xlfn.IFS(Ramen_Ratings[[#This Row],[Stars]] = "Unrated", "NA",Ramen_Ratings[[#This Row],[Stars]]&gt;=4, "Good", Ramen_Ratings[[#This Row],[Stars]]&gt;2.5, "Fair", Ramen_Ratings[[#This Row],[Stars]] &gt;= 0, "Bad")</f>
        <v>Fair</v>
      </c>
      <c r="J1429" t="str">
        <f>LEFT(Ramen_Ratings[[#This Row],[Top Ten]],4)</f>
        <v/>
      </c>
      <c r="K1429" t="str">
        <f>IF(Ramen_Ratings[[#This Row],[Top Ten]]="", "",RIGHT(Ramen_Ratings[[#This Row],[Top Ten]],LEN(Ramen_Ratings[[#This Row],[Top Ten]])-6))</f>
        <v/>
      </c>
    </row>
    <row r="1430" spans="1:11" x14ac:dyDescent="0.25">
      <c r="A1430">
        <v>1140</v>
      </c>
      <c r="B1430" t="s">
        <v>469</v>
      </c>
      <c r="C1430" t="s">
        <v>1721</v>
      </c>
      <c r="D1430" t="s">
        <v>13</v>
      </c>
      <c r="E1430" t="s">
        <v>471</v>
      </c>
      <c r="F1430" t="str">
        <f>VLOOKUP(Ramen_Ratings[[#This Row],[Country]],Country_Region[#All],2,FALSE)</f>
        <v>Asia</v>
      </c>
      <c r="G1430">
        <v>5</v>
      </c>
      <c r="H1430" t="str" cm="1">
        <f t="array" ref="H1430">_xlfn.IFS(Ramen_Ratings[[#This Row],[Stars]] = "Unrated", "NA",Ramen_Ratings[[#This Row],[Stars]]&gt;=4, "Good", Ramen_Ratings[[#This Row],[Stars]]&gt;2.5, "Fair", Ramen_Ratings[[#This Row],[Stars]] &gt;= 0, "Bad")</f>
        <v>Good</v>
      </c>
      <c r="J1430" t="str">
        <f>LEFT(Ramen_Ratings[[#This Row],[Top Ten]],4)</f>
        <v/>
      </c>
      <c r="K1430" t="str">
        <f>IF(Ramen_Ratings[[#This Row],[Top Ten]]="", "",RIGHT(Ramen_Ratings[[#This Row],[Top Ten]],LEN(Ramen_Ratings[[#This Row],[Top Ten]])-6))</f>
        <v/>
      </c>
    </row>
    <row r="1431" spans="1:11" x14ac:dyDescent="0.25">
      <c r="A1431">
        <v>1139</v>
      </c>
      <c r="B1431" t="s">
        <v>469</v>
      </c>
      <c r="C1431" t="s">
        <v>1722</v>
      </c>
      <c r="D1431" t="s">
        <v>13</v>
      </c>
      <c r="E1431" t="s">
        <v>471</v>
      </c>
      <c r="F1431" t="str">
        <f>VLOOKUP(Ramen_Ratings[[#This Row],[Country]],Country_Region[#All],2,FALSE)</f>
        <v>Asia</v>
      </c>
      <c r="G1431">
        <v>3.75</v>
      </c>
      <c r="H1431" t="str" cm="1">
        <f t="array" ref="H1431">_xlfn.IFS(Ramen_Ratings[[#This Row],[Stars]] = "Unrated", "NA",Ramen_Ratings[[#This Row],[Stars]]&gt;=4, "Good", Ramen_Ratings[[#This Row],[Stars]]&gt;2.5, "Fair", Ramen_Ratings[[#This Row],[Stars]] &gt;= 0, "Bad")</f>
        <v>Fair</v>
      </c>
      <c r="J1431" t="str">
        <f>LEFT(Ramen_Ratings[[#This Row],[Top Ten]],4)</f>
        <v/>
      </c>
      <c r="K1431" t="str">
        <f>IF(Ramen_Ratings[[#This Row],[Top Ten]]="", "",RIGHT(Ramen_Ratings[[#This Row],[Top Ten]],LEN(Ramen_Ratings[[#This Row],[Top Ten]])-6))</f>
        <v/>
      </c>
    </row>
    <row r="1432" spans="1:11" x14ac:dyDescent="0.25">
      <c r="A1432">
        <v>1964</v>
      </c>
      <c r="B1432" t="s">
        <v>380</v>
      </c>
      <c r="C1432" t="s">
        <v>781</v>
      </c>
      <c r="D1432" t="s">
        <v>13</v>
      </c>
      <c r="E1432" t="s">
        <v>730</v>
      </c>
      <c r="F1432" t="str">
        <f>VLOOKUP(Ramen_Ratings[[#This Row],[Country]],Country_Region[#All],2,FALSE)</f>
        <v>Asia</v>
      </c>
      <c r="G1432">
        <v>5</v>
      </c>
      <c r="H1432" t="str" cm="1">
        <f t="array" ref="H1432">_xlfn.IFS(Ramen_Ratings[[#This Row],[Stars]] = "Unrated", "NA",Ramen_Ratings[[#This Row],[Stars]]&gt;=4, "Good", Ramen_Ratings[[#This Row],[Stars]]&gt;2.5, "Fair", Ramen_Ratings[[#This Row],[Stars]] &gt;= 0, "Bad")</f>
        <v>Good</v>
      </c>
      <c r="I1432" t="s">
        <v>782</v>
      </c>
      <c r="J1432" t="str">
        <f>LEFT(Ramen_Ratings[[#This Row],[Top Ten]],4)</f>
        <v>2016</v>
      </c>
      <c r="K1432" t="str">
        <f>IF(Ramen_Ratings[[#This Row],[Top Ten]]="", "",RIGHT(Ramen_Ratings[[#This Row],[Top Ten]],LEN(Ramen_Ratings[[#This Row],[Top Ten]])-6))</f>
        <v>10</v>
      </c>
    </row>
    <row r="1433" spans="1:11" x14ac:dyDescent="0.25">
      <c r="A1433">
        <v>2010</v>
      </c>
      <c r="B1433" t="s">
        <v>380</v>
      </c>
      <c r="C1433" t="s">
        <v>729</v>
      </c>
      <c r="D1433" t="s">
        <v>13</v>
      </c>
      <c r="E1433" t="s">
        <v>730</v>
      </c>
      <c r="F1433" t="str">
        <f>VLOOKUP(Ramen_Ratings[[#This Row],[Country]],Country_Region[#All],2,FALSE)</f>
        <v>Asia</v>
      </c>
      <c r="G1433">
        <v>3.75</v>
      </c>
      <c r="H1433" t="str" cm="1">
        <f t="array" ref="H1433">_xlfn.IFS(Ramen_Ratings[[#This Row],[Stars]] = "Unrated", "NA",Ramen_Ratings[[#This Row],[Stars]]&gt;=4, "Good", Ramen_Ratings[[#This Row],[Stars]]&gt;2.5, "Fair", Ramen_Ratings[[#This Row],[Stars]] &gt;= 0, "Bad")</f>
        <v>Fair</v>
      </c>
      <c r="J1433" t="str">
        <f>LEFT(Ramen_Ratings[[#This Row],[Top Ten]],4)</f>
        <v/>
      </c>
      <c r="K1433" t="str">
        <f>IF(Ramen_Ratings[[#This Row],[Top Ten]]="", "",RIGHT(Ramen_Ratings[[#This Row],[Top Ten]],LEN(Ramen_Ratings[[#This Row],[Top Ten]])-6))</f>
        <v/>
      </c>
    </row>
    <row r="1434" spans="1:11" x14ac:dyDescent="0.25">
      <c r="A1434">
        <v>1988</v>
      </c>
      <c r="B1434" t="s">
        <v>380</v>
      </c>
      <c r="C1434" t="s">
        <v>754</v>
      </c>
      <c r="D1434" t="s">
        <v>13</v>
      </c>
      <c r="E1434" t="s">
        <v>730</v>
      </c>
      <c r="F1434" t="str">
        <f>VLOOKUP(Ramen_Ratings[[#This Row],[Country]],Country_Region[#All],2,FALSE)</f>
        <v>Asia</v>
      </c>
      <c r="G1434">
        <v>3.5</v>
      </c>
      <c r="H1434" t="str" cm="1">
        <f t="array" ref="H1434">_xlfn.IFS(Ramen_Ratings[[#This Row],[Stars]] = "Unrated", "NA",Ramen_Ratings[[#This Row],[Stars]]&gt;=4, "Good", Ramen_Ratings[[#This Row],[Stars]]&gt;2.5, "Fair", Ramen_Ratings[[#This Row],[Stars]] &gt;= 0, "Bad")</f>
        <v>Fair</v>
      </c>
      <c r="J1434" t="str">
        <f>LEFT(Ramen_Ratings[[#This Row],[Top Ten]],4)</f>
        <v/>
      </c>
      <c r="K1434" t="str">
        <f>IF(Ramen_Ratings[[#This Row],[Top Ten]]="", "",RIGHT(Ramen_Ratings[[#This Row],[Top Ten]],LEN(Ramen_Ratings[[#This Row],[Top Ten]])-6))</f>
        <v/>
      </c>
    </row>
    <row r="1435" spans="1:11" x14ac:dyDescent="0.25">
      <c r="A1435">
        <v>1939</v>
      </c>
      <c r="B1435" t="s">
        <v>380</v>
      </c>
      <c r="C1435" t="s">
        <v>814</v>
      </c>
      <c r="D1435" t="s">
        <v>13</v>
      </c>
      <c r="E1435" t="s">
        <v>730</v>
      </c>
      <c r="F1435" t="str">
        <f>VLOOKUP(Ramen_Ratings[[#This Row],[Country]],Country_Region[#All],2,FALSE)</f>
        <v>Asia</v>
      </c>
      <c r="G1435">
        <v>5</v>
      </c>
      <c r="H1435" t="str" cm="1">
        <f t="array" ref="H1435">_xlfn.IFS(Ramen_Ratings[[#This Row],[Stars]] = "Unrated", "NA",Ramen_Ratings[[#This Row],[Stars]]&gt;=4, "Good", Ramen_Ratings[[#This Row],[Stars]]&gt;2.5, "Fair", Ramen_Ratings[[#This Row],[Stars]] &gt;= 0, "Bad")</f>
        <v>Good</v>
      </c>
      <c r="J1435" t="str">
        <f>LEFT(Ramen_Ratings[[#This Row],[Top Ten]],4)</f>
        <v/>
      </c>
      <c r="K1435" t="str">
        <f>IF(Ramen_Ratings[[#This Row],[Top Ten]]="", "",RIGHT(Ramen_Ratings[[#This Row],[Top Ten]],LEN(Ramen_Ratings[[#This Row],[Top Ten]])-6))</f>
        <v/>
      </c>
    </row>
    <row r="1436" spans="1:11" x14ac:dyDescent="0.25">
      <c r="A1436">
        <v>1937</v>
      </c>
      <c r="B1436" t="s">
        <v>380</v>
      </c>
      <c r="C1436" t="s">
        <v>816</v>
      </c>
      <c r="D1436" t="s">
        <v>9</v>
      </c>
      <c r="E1436" t="s">
        <v>730</v>
      </c>
      <c r="F1436" t="str">
        <f>VLOOKUP(Ramen_Ratings[[#This Row],[Country]],Country_Region[#All],2,FALSE)</f>
        <v>Asia</v>
      </c>
      <c r="G1436">
        <v>3.75</v>
      </c>
      <c r="H1436" t="str" cm="1">
        <f t="array" ref="H1436">_xlfn.IFS(Ramen_Ratings[[#This Row],[Stars]] = "Unrated", "NA",Ramen_Ratings[[#This Row],[Stars]]&gt;=4, "Good", Ramen_Ratings[[#This Row],[Stars]]&gt;2.5, "Fair", Ramen_Ratings[[#This Row],[Stars]] &gt;= 0, "Bad")</f>
        <v>Fair</v>
      </c>
      <c r="J1436" t="str">
        <f>LEFT(Ramen_Ratings[[#This Row],[Top Ten]],4)</f>
        <v/>
      </c>
      <c r="K1436" t="str">
        <f>IF(Ramen_Ratings[[#This Row],[Top Ten]]="", "",RIGHT(Ramen_Ratings[[#This Row],[Top Ten]],LEN(Ramen_Ratings[[#This Row],[Top Ten]])-6))</f>
        <v/>
      </c>
    </row>
    <row r="1437" spans="1:11" x14ac:dyDescent="0.25">
      <c r="A1437">
        <v>1912</v>
      </c>
      <c r="B1437" t="s">
        <v>380</v>
      </c>
      <c r="C1437" t="s">
        <v>846</v>
      </c>
      <c r="D1437" t="s">
        <v>13</v>
      </c>
      <c r="E1437" t="s">
        <v>730</v>
      </c>
      <c r="F1437" t="str">
        <f>VLOOKUP(Ramen_Ratings[[#This Row],[Country]],Country_Region[#All],2,FALSE)</f>
        <v>Asia</v>
      </c>
      <c r="G1437">
        <v>3.75</v>
      </c>
      <c r="H1437" t="str" cm="1">
        <f t="array" ref="H1437">_xlfn.IFS(Ramen_Ratings[[#This Row],[Stars]] = "Unrated", "NA",Ramen_Ratings[[#This Row],[Stars]]&gt;=4, "Good", Ramen_Ratings[[#This Row],[Stars]]&gt;2.5, "Fair", Ramen_Ratings[[#This Row],[Stars]] &gt;= 0, "Bad")</f>
        <v>Fair</v>
      </c>
      <c r="J1437" t="str">
        <f>LEFT(Ramen_Ratings[[#This Row],[Top Ten]],4)</f>
        <v/>
      </c>
      <c r="K1437" t="str">
        <f>IF(Ramen_Ratings[[#This Row],[Top Ten]]="", "",RIGHT(Ramen_Ratings[[#This Row],[Top Ten]],LEN(Ramen_Ratings[[#This Row],[Top Ten]])-6))</f>
        <v/>
      </c>
    </row>
    <row r="1438" spans="1:11" x14ac:dyDescent="0.25">
      <c r="A1438">
        <v>1902</v>
      </c>
      <c r="B1438" t="s">
        <v>380</v>
      </c>
      <c r="C1438" t="s">
        <v>861</v>
      </c>
      <c r="D1438" t="s">
        <v>13</v>
      </c>
      <c r="E1438" t="s">
        <v>730</v>
      </c>
      <c r="F1438" t="str">
        <f>VLOOKUP(Ramen_Ratings[[#This Row],[Country]],Country_Region[#All],2,FALSE)</f>
        <v>Asia</v>
      </c>
      <c r="G1438">
        <v>5</v>
      </c>
      <c r="H1438" t="str" cm="1">
        <f t="array" ref="H1438">_xlfn.IFS(Ramen_Ratings[[#This Row],[Stars]] = "Unrated", "NA",Ramen_Ratings[[#This Row],[Stars]]&gt;=4, "Good", Ramen_Ratings[[#This Row],[Stars]]&gt;2.5, "Fair", Ramen_Ratings[[#This Row],[Stars]] &gt;= 0, "Bad")</f>
        <v>Good</v>
      </c>
      <c r="J1438" t="str">
        <f>LEFT(Ramen_Ratings[[#This Row],[Top Ten]],4)</f>
        <v/>
      </c>
      <c r="K1438" t="str">
        <f>IF(Ramen_Ratings[[#This Row],[Top Ten]]="", "",RIGHT(Ramen_Ratings[[#This Row],[Top Ten]],LEN(Ramen_Ratings[[#This Row],[Top Ten]])-6))</f>
        <v/>
      </c>
    </row>
    <row r="1439" spans="1:11" x14ac:dyDescent="0.25">
      <c r="A1439">
        <v>1894</v>
      </c>
      <c r="B1439" t="s">
        <v>380</v>
      </c>
      <c r="C1439" t="s">
        <v>868</v>
      </c>
      <c r="D1439" t="s">
        <v>13</v>
      </c>
      <c r="E1439" t="s">
        <v>730</v>
      </c>
      <c r="F1439" t="str">
        <f>VLOOKUP(Ramen_Ratings[[#This Row],[Country]],Country_Region[#All],2,FALSE)</f>
        <v>Asia</v>
      </c>
      <c r="G1439">
        <v>2.75</v>
      </c>
      <c r="H1439" t="str" cm="1">
        <f t="array" ref="H1439">_xlfn.IFS(Ramen_Ratings[[#This Row],[Stars]] = "Unrated", "NA",Ramen_Ratings[[#This Row],[Stars]]&gt;=4, "Good", Ramen_Ratings[[#This Row],[Stars]]&gt;2.5, "Fair", Ramen_Ratings[[#This Row],[Stars]] &gt;= 0, "Bad")</f>
        <v>Fair</v>
      </c>
      <c r="J1439" t="str">
        <f>LEFT(Ramen_Ratings[[#This Row],[Top Ten]],4)</f>
        <v/>
      </c>
      <c r="K1439" t="str">
        <f>IF(Ramen_Ratings[[#This Row],[Top Ten]]="", "",RIGHT(Ramen_Ratings[[#This Row],[Top Ten]],LEN(Ramen_Ratings[[#This Row],[Top Ten]])-6))</f>
        <v/>
      </c>
    </row>
    <row r="1440" spans="1:11" x14ac:dyDescent="0.25">
      <c r="A1440">
        <v>1889</v>
      </c>
      <c r="B1440" t="s">
        <v>380</v>
      </c>
      <c r="C1440" t="s">
        <v>874</v>
      </c>
      <c r="D1440" t="s">
        <v>13</v>
      </c>
      <c r="E1440" t="s">
        <v>730</v>
      </c>
      <c r="F1440" t="str">
        <f>VLOOKUP(Ramen_Ratings[[#This Row],[Country]],Country_Region[#All],2,FALSE)</f>
        <v>Asia</v>
      </c>
      <c r="G1440">
        <v>2.75</v>
      </c>
      <c r="H1440" t="str" cm="1">
        <f t="array" ref="H1440">_xlfn.IFS(Ramen_Ratings[[#This Row],[Stars]] = "Unrated", "NA",Ramen_Ratings[[#This Row],[Stars]]&gt;=4, "Good", Ramen_Ratings[[#This Row],[Stars]]&gt;2.5, "Fair", Ramen_Ratings[[#This Row],[Stars]] &gt;= 0, "Bad")</f>
        <v>Fair</v>
      </c>
      <c r="J1440" t="str">
        <f>LEFT(Ramen_Ratings[[#This Row],[Top Ten]],4)</f>
        <v/>
      </c>
      <c r="K1440" t="str">
        <f>IF(Ramen_Ratings[[#This Row],[Top Ten]]="", "",RIGHT(Ramen_Ratings[[#This Row],[Top Ten]],LEN(Ramen_Ratings[[#This Row],[Top Ten]])-6))</f>
        <v/>
      </c>
    </row>
    <row r="1441" spans="1:11" x14ac:dyDescent="0.25">
      <c r="A1441">
        <v>1865</v>
      </c>
      <c r="B1441" t="s">
        <v>897</v>
      </c>
      <c r="C1441" t="s">
        <v>898</v>
      </c>
      <c r="D1441" t="s">
        <v>9</v>
      </c>
      <c r="E1441" t="s">
        <v>730</v>
      </c>
      <c r="F1441" t="str">
        <f>VLOOKUP(Ramen_Ratings[[#This Row],[Country]],Country_Region[#All],2,FALSE)</f>
        <v>Asia</v>
      </c>
      <c r="G1441">
        <v>3.5</v>
      </c>
      <c r="H1441" t="str" cm="1">
        <f t="array" ref="H1441">_xlfn.IFS(Ramen_Ratings[[#This Row],[Stars]] = "Unrated", "NA",Ramen_Ratings[[#This Row],[Stars]]&gt;=4, "Good", Ramen_Ratings[[#This Row],[Stars]]&gt;2.5, "Fair", Ramen_Ratings[[#This Row],[Stars]] &gt;= 0, "Bad")</f>
        <v>Fair</v>
      </c>
      <c r="J1441" t="str">
        <f>LEFT(Ramen_Ratings[[#This Row],[Top Ten]],4)</f>
        <v/>
      </c>
      <c r="K1441" t="str">
        <f>IF(Ramen_Ratings[[#This Row],[Top Ten]]="", "",RIGHT(Ramen_Ratings[[#This Row],[Top Ten]],LEN(Ramen_Ratings[[#This Row],[Top Ten]])-6))</f>
        <v/>
      </c>
    </row>
    <row r="1442" spans="1:11" x14ac:dyDescent="0.25">
      <c r="A1442">
        <v>1854</v>
      </c>
      <c r="B1442" t="s">
        <v>897</v>
      </c>
      <c r="C1442" t="s">
        <v>911</v>
      </c>
      <c r="D1442" t="s">
        <v>13</v>
      </c>
      <c r="E1442" t="s">
        <v>730</v>
      </c>
      <c r="F1442" t="str">
        <f>VLOOKUP(Ramen_Ratings[[#This Row],[Country]],Country_Region[#All],2,FALSE)</f>
        <v>Asia</v>
      </c>
      <c r="G1442">
        <v>3.5</v>
      </c>
      <c r="H1442" t="str" cm="1">
        <f t="array" ref="H1442">_xlfn.IFS(Ramen_Ratings[[#This Row],[Stars]] = "Unrated", "NA",Ramen_Ratings[[#This Row],[Stars]]&gt;=4, "Good", Ramen_Ratings[[#This Row],[Stars]]&gt;2.5, "Fair", Ramen_Ratings[[#This Row],[Stars]] &gt;= 0, "Bad")</f>
        <v>Fair</v>
      </c>
      <c r="J1442" t="str">
        <f>LEFT(Ramen_Ratings[[#This Row],[Top Ten]],4)</f>
        <v/>
      </c>
      <c r="K1442" t="str">
        <f>IF(Ramen_Ratings[[#This Row],[Top Ten]]="", "",RIGHT(Ramen_Ratings[[#This Row],[Top Ten]],LEN(Ramen_Ratings[[#This Row],[Top Ten]])-6))</f>
        <v/>
      </c>
    </row>
    <row r="1443" spans="1:11" x14ac:dyDescent="0.25">
      <c r="A1443">
        <v>1743</v>
      </c>
      <c r="B1443" t="s">
        <v>897</v>
      </c>
      <c r="C1443" t="s">
        <v>1037</v>
      </c>
      <c r="D1443" t="s">
        <v>13</v>
      </c>
      <c r="E1443" t="s">
        <v>730</v>
      </c>
      <c r="F1443" t="str">
        <f>VLOOKUP(Ramen_Ratings[[#This Row],[Country]],Country_Region[#All],2,FALSE)</f>
        <v>Asia</v>
      </c>
      <c r="G1443">
        <v>4.5</v>
      </c>
      <c r="H1443" t="str" cm="1">
        <f t="array" ref="H1443">_xlfn.IFS(Ramen_Ratings[[#This Row],[Stars]] = "Unrated", "NA",Ramen_Ratings[[#This Row],[Stars]]&gt;=4, "Good", Ramen_Ratings[[#This Row],[Stars]]&gt;2.5, "Fair", Ramen_Ratings[[#This Row],[Stars]] &gt;= 0, "Bad")</f>
        <v>Good</v>
      </c>
      <c r="J1443" t="str">
        <f>LEFT(Ramen_Ratings[[#This Row],[Top Ten]],4)</f>
        <v/>
      </c>
      <c r="K1443" t="str">
        <f>IF(Ramen_Ratings[[#This Row],[Top Ten]]="", "",RIGHT(Ramen_Ratings[[#This Row],[Top Ten]],LEN(Ramen_Ratings[[#This Row],[Top Ten]])-6))</f>
        <v/>
      </c>
    </row>
    <row r="1444" spans="1:11" x14ac:dyDescent="0.25">
      <c r="A1444">
        <v>1716</v>
      </c>
      <c r="B1444" t="s">
        <v>897</v>
      </c>
      <c r="C1444" t="s">
        <v>1069</v>
      </c>
      <c r="D1444" t="s">
        <v>13</v>
      </c>
      <c r="E1444" t="s">
        <v>730</v>
      </c>
      <c r="F1444" t="str">
        <f>VLOOKUP(Ramen_Ratings[[#This Row],[Country]],Country_Region[#All],2,FALSE)</f>
        <v>Asia</v>
      </c>
      <c r="G1444">
        <v>3.5</v>
      </c>
      <c r="H1444" t="str" cm="1">
        <f t="array" ref="H1444">_xlfn.IFS(Ramen_Ratings[[#This Row],[Stars]] = "Unrated", "NA",Ramen_Ratings[[#This Row],[Stars]]&gt;=4, "Good", Ramen_Ratings[[#This Row],[Stars]]&gt;2.5, "Fair", Ramen_Ratings[[#This Row],[Stars]] &gt;= 0, "Bad")</f>
        <v>Fair</v>
      </c>
      <c r="J1444" t="str">
        <f>LEFT(Ramen_Ratings[[#This Row],[Top Ten]],4)</f>
        <v/>
      </c>
      <c r="K1444" t="str">
        <f>IF(Ramen_Ratings[[#This Row],[Top Ten]]="", "",RIGHT(Ramen_Ratings[[#This Row],[Top Ten]],LEN(Ramen_Ratings[[#This Row],[Top Ten]])-6))</f>
        <v/>
      </c>
    </row>
    <row r="1445" spans="1:11" x14ac:dyDescent="0.25">
      <c r="A1445">
        <v>1693</v>
      </c>
      <c r="B1445" t="s">
        <v>897</v>
      </c>
      <c r="C1445" t="s">
        <v>1095</v>
      </c>
      <c r="D1445" t="s">
        <v>9</v>
      </c>
      <c r="E1445" t="s">
        <v>730</v>
      </c>
      <c r="F1445" t="str">
        <f>VLOOKUP(Ramen_Ratings[[#This Row],[Country]],Country_Region[#All],2,FALSE)</f>
        <v>Asia</v>
      </c>
      <c r="G1445">
        <v>5</v>
      </c>
      <c r="H1445" t="str" cm="1">
        <f t="array" ref="H1445">_xlfn.IFS(Ramen_Ratings[[#This Row],[Stars]] = "Unrated", "NA",Ramen_Ratings[[#This Row],[Stars]]&gt;=4, "Good", Ramen_Ratings[[#This Row],[Stars]]&gt;2.5, "Fair", Ramen_Ratings[[#This Row],[Stars]] &gt;= 0, "Bad")</f>
        <v>Good</v>
      </c>
      <c r="J1445" t="str">
        <f>LEFT(Ramen_Ratings[[#This Row],[Top Ten]],4)</f>
        <v/>
      </c>
      <c r="K1445" t="str">
        <f>IF(Ramen_Ratings[[#This Row],[Top Ten]]="", "",RIGHT(Ramen_Ratings[[#This Row],[Top Ten]],LEN(Ramen_Ratings[[#This Row],[Top Ten]])-6))</f>
        <v/>
      </c>
    </row>
    <row r="1446" spans="1:11" x14ac:dyDescent="0.25">
      <c r="A1446">
        <v>2442</v>
      </c>
      <c r="B1446" t="s">
        <v>15</v>
      </c>
      <c r="C1446" t="s">
        <v>215</v>
      </c>
      <c r="D1446" t="s">
        <v>9</v>
      </c>
      <c r="E1446" t="s">
        <v>216</v>
      </c>
      <c r="F1446" t="str">
        <f>VLOOKUP(Ramen_Ratings[[#This Row],[Country]],Country_Region[#All],2,FALSE)</f>
        <v>North America</v>
      </c>
      <c r="G1446">
        <v>3.5</v>
      </c>
      <c r="H1446" t="str" cm="1">
        <f t="array" ref="H1446">_xlfn.IFS(Ramen_Ratings[[#This Row],[Stars]] = "Unrated", "NA",Ramen_Ratings[[#This Row],[Stars]]&gt;=4, "Good", Ramen_Ratings[[#This Row],[Stars]]&gt;2.5, "Fair", Ramen_Ratings[[#This Row],[Stars]] &gt;= 0, "Bad")</f>
        <v>Fair</v>
      </c>
      <c r="J1446" t="str">
        <f>LEFT(Ramen_Ratings[[#This Row],[Top Ten]],4)</f>
        <v/>
      </c>
      <c r="K1446" t="str">
        <f>IF(Ramen_Ratings[[#This Row],[Top Ten]]="", "",RIGHT(Ramen_Ratings[[#This Row],[Top Ten]],LEN(Ramen_Ratings[[#This Row],[Top Ten]])-6))</f>
        <v/>
      </c>
    </row>
    <row r="1447" spans="1:11" x14ac:dyDescent="0.25">
      <c r="A1447">
        <v>2422</v>
      </c>
      <c r="B1447" t="s">
        <v>15</v>
      </c>
      <c r="C1447" t="s">
        <v>245</v>
      </c>
      <c r="D1447" t="s">
        <v>9</v>
      </c>
      <c r="E1447" t="s">
        <v>216</v>
      </c>
      <c r="F1447" t="str">
        <f>VLOOKUP(Ramen_Ratings[[#This Row],[Country]],Country_Region[#All],2,FALSE)</f>
        <v>North America</v>
      </c>
      <c r="G1447">
        <v>3.25</v>
      </c>
      <c r="H1447" t="str" cm="1">
        <f t="array" ref="H1447">_xlfn.IFS(Ramen_Ratings[[#This Row],[Stars]] = "Unrated", "NA",Ramen_Ratings[[#This Row],[Stars]]&gt;=4, "Good", Ramen_Ratings[[#This Row],[Stars]]&gt;2.5, "Fair", Ramen_Ratings[[#This Row],[Stars]] &gt;= 0, "Bad")</f>
        <v>Fair</v>
      </c>
      <c r="J1447" t="str">
        <f>LEFT(Ramen_Ratings[[#This Row],[Top Ten]],4)</f>
        <v/>
      </c>
      <c r="K1447" t="str">
        <f>IF(Ramen_Ratings[[#This Row],[Top Ten]]="", "",RIGHT(Ramen_Ratings[[#This Row],[Top Ten]],LEN(Ramen_Ratings[[#This Row],[Top Ten]])-6))</f>
        <v/>
      </c>
    </row>
    <row r="1448" spans="1:11" x14ac:dyDescent="0.25">
      <c r="A1448">
        <v>2344</v>
      </c>
      <c r="B1448" t="s">
        <v>15</v>
      </c>
      <c r="C1448" t="s">
        <v>348</v>
      </c>
      <c r="D1448" t="s">
        <v>9</v>
      </c>
      <c r="E1448" t="s">
        <v>216</v>
      </c>
      <c r="F1448" t="str">
        <f>VLOOKUP(Ramen_Ratings[[#This Row],[Country]],Country_Region[#All],2,FALSE)</f>
        <v>North America</v>
      </c>
      <c r="G1448">
        <v>4</v>
      </c>
      <c r="H1448" t="str" cm="1">
        <f t="array" ref="H1448">_xlfn.IFS(Ramen_Ratings[[#This Row],[Stars]] = "Unrated", "NA",Ramen_Ratings[[#This Row],[Stars]]&gt;=4, "Good", Ramen_Ratings[[#This Row],[Stars]]&gt;2.5, "Fair", Ramen_Ratings[[#This Row],[Stars]] &gt;= 0, "Bad")</f>
        <v>Good</v>
      </c>
      <c r="J1448" t="str">
        <f>LEFT(Ramen_Ratings[[#This Row],[Top Ten]],4)</f>
        <v/>
      </c>
      <c r="K1448" t="str">
        <f>IF(Ramen_Ratings[[#This Row],[Top Ten]]="", "",RIGHT(Ramen_Ratings[[#This Row],[Top Ten]],LEN(Ramen_Ratings[[#This Row],[Top Ten]])-6))</f>
        <v/>
      </c>
    </row>
    <row r="1449" spans="1:11" x14ac:dyDescent="0.25">
      <c r="A1449">
        <v>2343</v>
      </c>
      <c r="B1449" t="s">
        <v>15</v>
      </c>
      <c r="C1449" t="s">
        <v>349</v>
      </c>
      <c r="D1449" t="s">
        <v>9</v>
      </c>
      <c r="E1449" t="s">
        <v>216</v>
      </c>
      <c r="F1449" t="str">
        <f>VLOOKUP(Ramen_Ratings[[#This Row],[Country]],Country_Region[#All],2,FALSE)</f>
        <v>North America</v>
      </c>
      <c r="G1449">
        <v>4</v>
      </c>
      <c r="H1449" t="str" cm="1">
        <f t="array" ref="H1449">_xlfn.IFS(Ramen_Ratings[[#This Row],[Stars]] = "Unrated", "NA",Ramen_Ratings[[#This Row],[Stars]]&gt;=4, "Good", Ramen_Ratings[[#This Row],[Stars]]&gt;2.5, "Fair", Ramen_Ratings[[#This Row],[Stars]] &gt;= 0, "Bad")</f>
        <v>Good</v>
      </c>
      <c r="J1449" t="str">
        <f>LEFT(Ramen_Ratings[[#This Row],[Top Ten]],4)</f>
        <v/>
      </c>
      <c r="K1449" t="str">
        <f>IF(Ramen_Ratings[[#This Row],[Top Ten]]="", "",RIGHT(Ramen_Ratings[[#This Row],[Top Ten]],LEN(Ramen_Ratings[[#This Row],[Top Ten]])-6))</f>
        <v/>
      </c>
    </row>
    <row r="1450" spans="1:11" x14ac:dyDescent="0.25">
      <c r="A1450">
        <v>2342</v>
      </c>
      <c r="B1450" t="s">
        <v>15</v>
      </c>
      <c r="C1450" t="s">
        <v>350</v>
      </c>
      <c r="D1450" t="s">
        <v>13</v>
      </c>
      <c r="E1450" t="s">
        <v>216</v>
      </c>
      <c r="F1450" t="str">
        <f>VLOOKUP(Ramen_Ratings[[#This Row],[Country]],Country_Region[#All],2,FALSE)</f>
        <v>North America</v>
      </c>
      <c r="G1450">
        <v>4</v>
      </c>
      <c r="H1450" t="str" cm="1">
        <f t="array" ref="H1450">_xlfn.IFS(Ramen_Ratings[[#This Row],[Stars]] = "Unrated", "NA",Ramen_Ratings[[#This Row],[Stars]]&gt;=4, "Good", Ramen_Ratings[[#This Row],[Stars]]&gt;2.5, "Fair", Ramen_Ratings[[#This Row],[Stars]] &gt;= 0, "Bad")</f>
        <v>Good</v>
      </c>
      <c r="J1450" t="str">
        <f>LEFT(Ramen_Ratings[[#This Row],[Top Ten]],4)</f>
        <v/>
      </c>
      <c r="K1450" t="str">
        <f>IF(Ramen_Ratings[[#This Row],[Top Ten]]="", "",RIGHT(Ramen_Ratings[[#This Row],[Top Ten]],LEN(Ramen_Ratings[[#This Row],[Top Ten]])-6))</f>
        <v/>
      </c>
    </row>
    <row r="1451" spans="1:11" x14ac:dyDescent="0.25">
      <c r="A1451">
        <v>2341</v>
      </c>
      <c r="B1451" t="s">
        <v>15</v>
      </c>
      <c r="C1451" t="s">
        <v>351</v>
      </c>
      <c r="D1451" t="s">
        <v>9</v>
      </c>
      <c r="E1451" t="s">
        <v>216</v>
      </c>
      <c r="F1451" t="str">
        <f>VLOOKUP(Ramen_Ratings[[#This Row],[Country]],Country_Region[#All],2,FALSE)</f>
        <v>North America</v>
      </c>
      <c r="G1451">
        <v>4</v>
      </c>
      <c r="H1451" t="str" cm="1">
        <f t="array" ref="H1451">_xlfn.IFS(Ramen_Ratings[[#This Row],[Stars]] = "Unrated", "NA",Ramen_Ratings[[#This Row],[Stars]]&gt;=4, "Good", Ramen_Ratings[[#This Row],[Stars]]&gt;2.5, "Fair", Ramen_Ratings[[#This Row],[Stars]] &gt;= 0, "Bad")</f>
        <v>Good</v>
      </c>
      <c r="J1451" t="str">
        <f>LEFT(Ramen_Ratings[[#This Row],[Top Ten]],4)</f>
        <v/>
      </c>
      <c r="K1451" t="str">
        <f>IF(Ramen_Ratings[[#This Row],[Top Ten]]="", "",RIGHT(Ramen_Ratings[[#This Row],[Top Ten]],LEN(Ramen_Ratings[[#This Row],[Top Ten]])-6))</f>
        <v/>
      </c>
    </row>
    <row r="1452" spans="1:11" x14ac:dyDescent="0.25">
      <c r="A1452">
        <v>2340</v>
      </c>
      <c r="B1452" t="s">
        <v>15</v>
      </c>
      <c r="C1452" t="s">
        <v>352</v>
      </c>
      <c r="D1452" t="s">
        <v>9</v>
      </c>
      <c r="E1452" t="s">
        <v>216</v>
      </c>
      <c r="F1452" t="str">
        <f>VLOOKUP(Ramen_Ratings[[#This Row],[Country]],Country_Region[#All],2,FALSE)</f>
        <v>North America</v>
      </c>
      <c r="G1452">
        <v>4</v>
      </c>
      <c r="H1452" t="str" cm="1">
        <f t="array" ref="H1452">_xlfn.IFS(Ramen_Ratings[[#This Row],[Stars]] = "Unrated", "NA",Ramen_Ratings[[#This Row],[Stars]]&gt;=4, "Good", Ramen_Ratings[[#This Row],[Stars]]&gt;2.5, "Fair", Ramen_Ratings[[#This Row],[Stars]] &gt;= 0, "Bad")</f>
        <v>Good</v>
      </c>
      <c r="J1452" t="str">
        <f>LEFT(Ramen_Ratings[[#This Row],[Top Ten]],4)</f>
        <v/>
      </c>
      <c r="K1452" t="str">
        <f>IF(Ramen_Ratings[[#This Row],[Top Ten]]="", "",RIGHT(Ramen_Ratings[[#This Row],[Top Ten]],LEN(Ramen_Ratings[[#This Row],[Top Ten]])-6))</f>
        <v/>
      </c>
    </row>
    <row r="1453" spans="1:11" x14ac:dyDescent="0.25">
      <c r="A1453">
        <v>2339</v>
      </c>
      <c r="B1453" t="s">
        <v>15</v>
      </c>
      <c r="C1453" t="s">
        <v>353</v>
      </c>
      <c r="D1453" t="s">
        <v>9</v>
      </c>
      <c r="E1453" t="s">
        <v>216</v>
      </c>
      <c r="F1453" t="str">
        <f>VLOOKUP(Ramen_Ratings[[#This Row],[Country]],Country_Region[#All],2,FALSE)</f>
        <v>North America</v>
      </c>
      <c r="G1453">
        <v>3</v>
      </c>
      <c r="H1453" t="str" cm="1">
        <f t="array" ref="H1453">_xlfn.IFS(Ramen_Ratings[[#This Row],[Stars]] = "Unrated", "NA",Ramen_Ratings[[#This Row],[Stars]]&gt;=4, "Good", Ramen_Ratings[[#This Row],[Stars]]&gt;2.5, "Fair", Ramen_Ratings[[#This Row],[Stars]] &gt;= 0, "Bad")</f>
        <v>Fair</v>
      </c>
      <c r="J1453" t="str">
        <f>LEFT(Ramen_Ratings[[#This Row],[Top Ten]],4)</f>
        <v/>
      </c>
      <c r="K1453" t="str">
        <f>IF(Ramen_Ratings[[#This Row],[Top Ten]]="", "",RIGHT(Ramen_Ratings[[#This Row],[Top Ten]],LEN(Ramen_Ratings[[#This Row],[Top Ten]])-6))</f>
        <v/>
      </c>
    </row>
    <row r="1454" spans="1:11" x14ac:dyDescent="0.25">
      <c r="A1454">
        <v>2338</v>
      </c>
      <c r="B1454" t="s">
        <v>15</v>
      </c>
      <c r="C1454" t="s">
        <v>354</v>
      </c>
      <c r="D1454" t="s">
        <v>13</v>
      </c>
      <c r="E1454" t="s">
        <v>216</v>
      </c>
      <c r="F1454" t="str">
        <f>VLOOKUP(Ramen_Ratings[[#This Row],[Country]],Country_Region[#All],2,FALSE)</f>
        <v>North America</v>
      </c>
      <c r="G1454">
        <v>4</v>
      </c>
      <c r="H1454" t="str" cm="1">
        <f t="array" ref="H1454">_xlfn.IFS(Ramen_Ratings[[#This Row],[Stars]] = "Unrated", "NA",Ramen_Ratings[[#This Row],[Stars]]&gt;=4, "Good", Ramen_Ratings[[#This Row],[Stars]]&gt;2.5, "Fair", Ramen_Ratings[[#This Row],[Stars]] &gt;= 0, "Bad")</f>
        <v>Good</v>
      </c>
      <c r="J1454" t="str">
        <f>LEFT(Ramen_Ratings[[#This Row],[Top Ten]],4)</f>
        <v/>
      </c>
      <c r="K1454" t="str">
        <f>IF(Ramen_Ratings[[#This Row],[Top Ten]]="", "",RIGHT(Ramen_Ratings[[#This Row],[Top Ten]],LEN(Ramen_Ratings[[#This Row],[Top Ten]])-6))</f>
        <v/>
      </c>
    </row>
    <row r="1455" spans="1:11" x14ac:dyDescent="0.25">
      <c r="A1455">
        <v>2337</v>
      </c>
      <c r="B1455" t="s">
        <v>15</v>
      </c>
      <c r="C1455" t="s">
        <v>355</v>
      </c>
      <c r="D1455" t="s">
        <v>9</v>
      </c>
      <c r="E1455" t="s">
        <v>216</v>
      </c>
      <c r="F1455" t="str">
        <f>VLOOKUP(Ramen_Ratings[[#This Row],[Country]],Country_Region[#All],2,FALSE)</f>
        <v>North America</v>
      </c>
      <c r="G1455">
        <v>3</v>
      </c>
      <c r="H1455" t="str" cm="1">
        <f t="array" ref="H1455">_xlfn.IFS(Ramen_Ratings[[#This Row],[Stars]] = "Unrated", "NA",Ramen_Ratings[[#This Row],[Stars]]&gt;=4, "Good", Ramen_Ratings[[#This Row],[Stars]]&gt;2.5, "Fair", Ramen_Ratings[[#This Row],[Stars]] &gt;= 0, "Bad")</f>
        <v>Fair</v>
      </c>
      <c r="J1455" t="str">
        <f>LEFT(Ramen_Ratings[[#This Row],[Top Ten]],4)</f>
        <v/>
      </c>
      <c r="K1455" t="str">
        <f>IF(Ramen_Ratings[[#This Row],[Top Ten]]="", "",RIGHT(Ramen_Ratings[[#This Row],[Top Ten]],LEN(Ramen_Ratings[[#This Row],[Top Ten]])-6))</f>
        <v/>
      </c>
    </row>
    <row r="1456" spans="1:11" x14ac:dyDescent="0.25">
      <c r="A1456">
        <v>2336</v>
      </c>
      <c r="B1456" t="s">
        <v>15</v>
      </c>
      <c r="C1456" t="s">
        <v>356</v>
      </c>
      <c r="D1456" t="s">
        <v>9</v>
      </c>
      <c r="E1456" t="s">
        <v>216</v>
      </c>
      <c r="F1456" t="str">
        <f>VLOOKUP(Ramen_Ratings[[#This Row],[Country]],Country_Region[#All],2,FALSE)</f>
        <v>North America</v>
      </c>
      <c r="G1456">
        <v>3</v>
      </c>
      <c r="H1456" t="str" cm="1">
        <f t="array" ref="H1456">_xlfn.IFS(Ramen_Ratings[[#This Row],[Stars]] = "Unrated", "NA",Ramen_Ratings[[#This Row],[Stars]]&gt;=4, "Good", Ramen_Ratings[[#This Row],[Stars]]&gt;2.5, "Fair", Ramen_Ratings[[#This Row],[Stars]] &gt;= 0, "Bad")</f>
        <v>Fair</v>
      </c>
      <c r="J1456" t="str">
        <f>LEFT(Ramen_Ratings[[#This Row],[Top Ten]],4)</f>
        <v/>
      </c>
      <c r="K1456" t="str">
        <f>IF(Ramen_Ratings[[#This Row],[Top Ten]]="", "",RIGHT(Ramen_Ratings[[#This Row],[Top Ten]],LEN(Ramen_Ratings[[#This Row],[Top Ten]])-6))</f>
        <v/>
      </c>
    </row>
    <row r="1457" spans="1:11" x14ac:dyDescent="0.25">
      <c r="A1457">
        <v>2335</v>
      </c>
      <c r="B1457" t="s">
        <v>15</v>
      </c>
      <c r="C1457" t="s">
        <v>357</v>
      </c>
      <c r="D1457" t="s">
        <v>9</v>
      </c>
      <c r="E1457" t="s">
        <v>216</v>
      </c>
      <c r="F1457" t="str">
        <f>VLOOKUP(Ramen_Ratings[[#This Row],[Country]],Country_Region[#All],2,FALSE)</f>
        <v>North America</v>
      </c>
      <c r="G1457">
        <v>5</v>
      </c>
      <c r="H1457" t="str" cm="1">
        <f t="array" ref="H1457">_xlfn.IFS(Ramen_Ratings[[#This Row],[Stars]] = "Unrated", "NA",Ramen_Ratings[[#This Row],[Stars]]&gt;=4, "Good", Ramen_Ratings[[#This Row],[Stars]]&gt;2.5, "Fair", Ramen_Ratings[[#This Row],[Stars]] &gt;= 0, "Bad")</f>
        <v>Good</v>
      </c>
      <c r="J1457" t="str">
        <f>LEFT(Ramen_Ratings[[#This Row],[Top Ten]],4)</f>
        <v/>
      </c>
      <c r="K1457" t="str">
        <f>IF(Ramen_Ratings[[#This Row],[Top Ten]]="", "",RIGHT(Ramen_Ratings[[#This Row],[Top Ten]],LEN(Ramen_Ratings[[#This Row],[Top Ten]])-6))</f>
        <v/>
      </c>
    </row>
    <row r="1458" spans="1:11" x14ac:dyDescent="0.25">
      <c r="A1458">
        <v>2334</v>
      </c>
      <c r="B1458" t="s">
        <v>15</v>
      </c>
      <c r="C1458" t="s">
        <v>358</v>
      </c>
      <c r="D1458" t="s">
        <v>9</v>
      </c>
      <c r="E1458" t="s">
        <v>216</v>
      </c>
      <c r="F1458" t="str">
        <f>VLOOKUP(Ramen_Ratings[[#This Row],[Country]],Country_Region[#All],2,FALSE)</f>
        <v>North America</v>
      </c>
      <c r="G1458">
        <v>4</v>
      </c>
      <c r="H1458" t="str" cm="1">
        <f t="array" ref="H1458">_xlfn.IFS(Ramen_Ratings[[#This Row],[Stars]] = "Unrated", "NA",Ramen_Ratings[[#This Row],[Stars]]&gt;=4, "Good", Ramen_Ratings[[#This Row],[Stars]]&gt;2.5, "Fair", Ramen_Ratings[[#This Row],[Stars]] &gt;= 0, "Bad")</f>
        <v>Good</v>
      </c>
      <c r="J1458" t="str">
        <f>LEFT(Ramen_Ratings[[#This Row],[Top Ten]],4)</f>
        <v/>
      </c>
      <c r="K1458" t="str">
        <f>IF(Ramen_Ratings[[#This Row],[Top Ten]]="", "",RIGHT(Ramen_Ratings[[#This Row],[Top Ten]],LEN(Ramen_Ratings[[#This Row],[Top Ten]])-6))</f>
        <v/>
      </c>
    </row>
    <row r="1459" spans="1:11" x14ac:dyDescent="0.25">
      <c r="A1459">
        <v>2333</v>
      </c>
      <c r="B1459" t="s">
        <v>15</v>
      </c>
      <c r="C1459" t="s">
        <v>359</v>
      </c>
      <c r="D1459" t="s">
        <v>9</v>
      </c>
      <c r="E1459" t="s">
        <v>216</v>
      </c>
      <c r="F1459" t="str">
        <f>VLOOKUP(Ramen_Ratings[[#This Row],[Country]],Country_Region[#All],2,FALSE)</f>
        <v>North America</v>
      </c>
      <c r="G1459">
        <v>4</v>
      </c>
      <c r="H1459" t="str" cm="1">
        <f t="array" ref="H1459">_xlfn.IFS(Ramen_Ratings[[#This Row],[Stars]] = "Unrated", "NA",Ramen_Ratings[[#This Row],[Stars]]&gt;=4, "Good", Ramen_Ratings[[#This Row],[Stars]]&gt;2.5, "Fair", Ramen_Ratings[[#This Row],[Stars]] &gt;= 0, "Bad")</f>
        <v>Good</v>
      </c>
      <c r="J1459" t="str">
        <f>LEFT(Ramen_Ratings[[#This Row],[Top Ten]],4)</f>
        <v/>
      </c>
      <c r="K1459" t="str">
        <f>IF(Ramen_Ratings[[#This Row],[Top Ten]]="", "",RIGHT(Ramen_Ratings[[#This Row],[Top Ten]],LEN(Ramen_Ratings[[#This Row],[Top Ten]])-6))</f>
        <v/>
      </c>
    </row>
    <row r="1460" spans="1:11" x14ac:dyDescent="0.25">
      <c r="A1460">
        <v>2332</v>
      </c>
      <c r="B1460" t="s">
        <v>15</v>
      </c>
      <c r="C1460" t="s">
        <v>360</v>
      </c>
      <c r="D1460" t="s">
        <v>13</v>
      </c>
      <c r="E1460" t="s">
        <v>216</v>
      </c>
      <c r="F1460" t="str">
        <f>VLOOKUP(Ramen_Ratings[[#This Row],[Country]],Country_Region[#All],2,FALSE)</f>
        <v>North America</v>
      </c>
      <c r="G1460">
        <v>4</v>
      </c>
      <c r="H1460" t="str" cm="1">
        <f t="array" ref="H1460">_xlfn.IFS(Ramen_Ratings[[#This Row],[Stars]] = "Unrated", "NA",Ramen_Ratings[[#This Row],[Stars]]&gt;=4, "Good", Ramen_Ratings[[#This Row],[Stars]]&gt;2.5, "Fair", Ramen_Ratings[[#This Row],[Stars]] &gt;= 0, "Bad")</f>
        <v>Good</v>
      </c>
      <c r="J1460" t="str">
        <f>LEFT(Ramen_Ratings[[#This Row],[Top Ten]],4)</f>
        <v/>
      </c>
      <c r="K1460" t="str">
        <f>IF(Ramen_Ratings[[#This Row],[Top Ten]]="", "",RIGHT(Ramen_Ratings[[#This Row],[Top Ten]],LEN(Ramen_Ratings[[#This Row],[Top Ten]])-6))</f>
        <v/>
      </c>
    </row>
    <row r="1461" spans="1:11" x14ac:dyDescent="0.25">
      <c r="A1461">
        <v>2331</v>
      </c>
      <c r="B1461" t="s">
        <v>15</v>
      </c>
      <c r="C1461" t="s">
        <v>361</v>
      </c>
      <c r="D1461" t="s">
        <v>9</v>
      </c>
      <c r="E1461" t="s">
        <v>216</v>
      </c>
      <c r="F1461" t="str">
        <f>VLOOKUP(Ramen_Ratings[[#This Row],[Country]],Country_Region[#All],2,FALSE)</f>
        <v>North America</v>
      </c>
      <c r="G1461">
        <v>4</v>
      </c>
      <c r="H1461" t="str" cm="1">
        <f t="array" ref="H1461">_xlfn.IFS(Ramen_Ratings[[#This Row],[Stars]] = "Unrated", "NA",Ramen_Ratings[[#This Row],[Stars]]&gt;=4, "Good", Ramen_Ratings[[#This Row],[Stars]]&gt;2.5, "Fair", Ramen_Ratings[[#This Row],[Stars]] &gt;= 0, "Bad")</f>
        <v>Good</v>
      </c>
      <c r="J1461" t="str">
        <f>LEFT(Ramen_Ratings[[#This Row],[Top Ten]],4)</f>
        <v/>
      </c>
      <c r="K1461" t="str">
        <f>IF(Ramen_Ratings[[#This Row],[Top Ten]]="", "",RIGHT(Ramen_Ratings[[#This Row],[Top Ten]],LEN(Ramen_Ratings[[#This Row],[Top Ten]])-6))</f>
        <v/>
      </c>
    </row>
    <row r="1462" spans="1:11" x14ac:dyDescent="0.25">
      <c r="A1462">
        <v>2307</v>
      </c>
      <c r="B1462" t="s">
        <v>74</v>
      </c>
      <c r="C1462" t="s">
        <v>392</v>
      </c>
      <c r="D1462" t="s">
        <v>13</v>
      </c>
      <c r="E1462" t="s">
        <v>216</v>
      </c>
      <c r="F1462" t="str">
        <f>VLOOKUP(Ramen_Ratings[[#This Row],[Country]],Country_Region[#All],2,FALSE)</f>
        <v>North America</v>
      </c>
      <c r="G1462">
        <v>4</v>
      </c>
      <c r="H1462" t="str" cm="1">
        <f t="array" ref="H1462">_xlfn.IFS(Ramen_Ratings[[#This Row],[Stars]] = "Unrated", "NA",Ramen_Ratings[[#This Row],[Stars]]&gt;=4, "Good", Ramen_Ratings[[#This Row],[Stars]]&gt;2.5, "Fair", Ramen_Ratings[[#This Row],[Stars]] &gt;= 0, "Bad")</f>
        <v>Good</v>
      </c>
      <c r="J1462" t="str">
        <f>LEFT(Ramen_Ratings[[#This Row],[Top Ten]],4)</f>
        <v/>
      </c>
      <c r="K1462" t="str">
        <f>IF(Ramen_Ratings[[#This Row],[Top Ten]]="", "",RIGHT(Ramen_Ratings[[#This Row],[Top Ten]],LEN(Ramen_Ratings[[#This Row],[Top Ten]])-6))</f>
        <v/>
      </c>
    </row>
    <row r="1463" spans="1:11" x14ac:dyDescent="0.25">
      <c r="A1463">
        <v>2303</v>
      </c>
      <c r="B1463" t="s">
        <v>102</v>
      </c>
      <c r="C1463" t="s">
        <v>396</v>
      </c>
      <c r="D1463" t="s">
        <v>13</v>
      </c>
      <c r="E1463" t="s">
        <v>216</v>
      </c>
      <c r="F1463" t="str">
        <f>VLOOKUP(Ramen_Ratings[[#This Row],[Country]],Country_Region[#All],2,FALSE)</f>
        <v>North America</v>
      </c>
      <c r="G1463">
        <v>3</v>
      </c>
      <c r="H1463" t="str" cm="1">
        <f t="array" ref="H1463">_xlfn.IFS(Ramen_Ratings[[#This Row],[Stars]] = "Unrated", "NA",Ramen_Ratings[[#This Row],[Stars]]&gt;=4, "Good", Ramen_Ratings[[#This Row],[Stars]]&gt;2.5, "Fair", Ramen_Ratings[[#This Row],[Stars]] &gt;= 0, "Bad")</f>
        <v>Fair</v>
      </c>
      <c r="J1463" t="str">
        <f>LEFT(Ramen_Ratings[[#This Row],[Top Ten]],4)</f>
        <v/>
      </c>
      <c r="K1463" t="str">
        <f>IF(Ramen_Ratings[[#This Row],[Top Ten]]="", "",RIGHT(Ramen_Ratings[[#This Row],[Top Ten]],LEN(Ramen_Ratings[[#This Row],[Top Ten]])-6))</f>
        <v/>
      </c>
    </row>
    <row r="1464" spans="1:11" x14ac:dyDescent="0.25">
      <c r="A1464">
        <v>2251</v>
      </c>
      <c r="B1464" t="s">
        <v>74</v>
      </c>
      <c r="C1464" t="s">
        <v>453</v>
      </c>
      <c r="D1464" t="s">
        <v>13</v>
      </c>
      <c r="E1464" t="s">
        <v>216</v>
      </c>
      <c r="F1464" t="str">
        <f>VLOOKUP(Ramen_Ratings[[#This Row],[Country]],Country_Region[#All],2,FALSE)</f>
        <v>North America</v>
      </c>
      <c r="G1464">
        <v>4</v>
      </c>
      <c r="H1464" t="str" cm="1">
        <f t="array" ref="H1464">_xlfn.IFS(Ramen_Ratings[[#This Row],[Stars]] = "Unrated", "NA",Ramen_Ratings[[#This Row],[Stars]]&gt;=4, "Good", Ramen_Ratings[[#This Row],[Stars]]&gt;2.5, "Fair", Ramen_Ratings[[#This Row],[Stars]] &gt;= 0, "Bad")</f>
        <v>Good</v>
      </c>
      <c r="J1464" t="str">
        <f>LEFT(Ramen_Ratings[[#This Row],[Top Ten]],4)</f>
        <v/>
      </c>
      <c r="K1464" t="str">
        <f>IF(Ramen_Ratings[[#This Row],[Top Ten]]="", "",RIGHT(Ramen_Ratings[[#This Row],[Top Ten]],LEN(Ramen_Ratings[[#This Row],[Top Ten]])-6))</f>
        <v/>
      </c>
    </row>
    <row r="1465" spans="1:11" x14ac:dyDescent="0.25">
      <c r="A1465">
        <v>2159</v>
      </c>
      <c r="B1465" t="s">
        <v>561</v>
      </c>
      <c r="C1465" t="s">
        <v>562</v>
      </c>
      <c r="D1465" t="s">
        <v>13</v>
      </c>
      <c r="E1465" t="s">
        <v>216</v>
      </c>
      <c r="F1465" t="str">
        <f>VLOOKUP(Ramen_Ratings[[#This Row],[Country]],Country_Region[#All],2,FALSE)</f>
        <v>North America</v>
      </c>
      <c r="G1465">
        <v>3</v>
      </c>
      <c r="H1465" t="str" cm="1">
        <f t="array" ref="H1465">_xlfn.IFS(Ramen_Ratings[[#This Row],[Stars]] = "Unrated", "NA",Ramen_Ratings[[#This Row],[Stars]]&gt;=4, "Good", Ramen_Ratings[[#This Row],[Stars]]&gt;2.5, "Fair", Ramen_Ratings[[#This Row],[Stars]] &gt;= 0, "Bad")</f>
        <v>Fair</v>
      </c>
      <c r="J1465" t="str">
        <f>LEFT(Ramen_Ratings[[#This Row],[Top Ten]],4)</f>
        <v/>
      </c>
      <c r="K1465" t="str">
        <f>IF(Ramen_Ratings[[#This Row],[Top Ten]]="", "",RIGHT(Ramen_Ratings[[#This Row],[Top Ten]],LEN(Ramen_Ratings[[#This Row],[Top Ten]])-6))</f>
        <v/>
      </c>
    </row>
    <row r="1466" spans="1:11" x14ac:dyDescent="0.25">
      <c r="A1466">
        <v>2074</v>
      </c>
      <c r="B1466" t="s">
        <v>15</v>
      </c>
      <c r="C1466" t="s">
        <v>656</v>
      </c>
      <c r="D1466" t="s">
        <v>9</v>
      </c>
      <c r="E1466" t="s">
        <v>216</v>
      </c>
      <c r="F1466" t="str">
        <f>VLOOKUP(Ramen_Ratings[[#This Row],[Country]],Country_Region[#All],2,FALSE)</f>
        <v>North America</v>
      </c>
      <c r="G1466">
        <v>3.5</v>
      </c>
      <c r="H1466" t="str" cm="1">
        <f t="array" ref="H1466">_xlfn.IFS(Ramen_Ratings[[#This Row],[Stars]] = "Unrated", "NA",Ramen_Ratings[[#This Row],[Stars]]&gt;=4, "Good", Ramen_Ratings[[#This Row],[Stars]]&gt;2.5, "Fair", Ramen_Ratings[[#This Row],[Stars]] &gt;= 0, "Bad")</f>
        <v>Fair</v>
      </c>
      <c r="J1466" t="str">
        <f>LEFT(Ramen_Ratings[[#This Row],[Top Ten]],4)</f>
        <v/>
      </c>
      <c r="K1466" t="str">
        <f>IF(Ramen_Ratings[[#This Row],[Top Ten]]="", "",RIGHT(Ramen_Ratings[[#This Row],[Top Ten]],LEN(Ramen_Ratings[[#This Row],[Top Ten]])-6))</f>
        <v/>
      </c>
    </row>
    <row r="1467" spans="1:11" x14ac:dyDescent="0.25">
      <c r="A1467">
        <v>2062</v>
      </c>
      <c r="B1467" t="s">
        <v>74</v>
      </c>
      <c r="C1467" t="s">
        <v>670</v>
      </c>
      <c r="D1467" t="s">
        <v>13</v>
      </c>
      <c r="E1467" t="s">
        <v>216</v>
      </c>
      <c r="F1467" t="str">
        <f>VLOOKUP(Ramen_Ratings[[#This Row],[Country]],Country_Region[#All],2,FALSE)</f>
        <v>North America</v>
      </c>
      <c r="G1467">
        <v>3.75</v>
      </c>
      <c r="H1467" t="str" cm="1">
        <f t="array" ref="H1467">_xlfn.IFS(Ramen_Ratings[[#This Row],[Stars]] = "Unrated", "NA",Ramen_Ratings[[#This Row],[Stars]]&gt;=4, "Good", Ramen_Ratings[[#This Row],[Stars]]&gt;2.5, "Fair", Ramen_Ratings[[#This Row],[Stars]] &gt;= 0, "Bad")</f>
        <v>Fair</v>
      </c>
      <c r="J1467" t="str">
        <f>LEFT(Ramen_Ratings[[#This Row],[Top Ten]],4)</f>
        <v/>
      </c>
      <c r="K1467" t="str">
        <f>IF(Ramen_Ratings[[#This Row],[Top Ten]]="", "",RIGHT(Ramen_Ratings[[#This Row],[Top Ten]],LEN(Ramen_Ratings[[#This Row],[Top Ten]])-6))</f>
        <v/>
      </c>
    </row>
    <row r="1468" spans="1:11" x14ac:dyDescent="0.25">
      <c r="A1468">
        <v>2057</v>
      </c>
      <c r="B1468" t="s">
        <v>15</v>
      </c>
      <c r="C1468" t="s">
        <v>676</v>
      </c>
      <c r="D1468" t="s">
        <v>9</v>
      </c>
      <c r="E1468" t="s">
        <v>216</v>
      </c>
      <c r="F1468" t="str">
        <f>VLOOKUP(Ramen_Ratings[[#This Row],[Country]],Country_Region[#All],2,FALSE)</f>
        <v>North America</v>
      </c>
      <c r="G1468">
        <v>3.75</v>
      </c>
      <c r="H1468" t="str" cm="1">
        <f t="array" ref="H1468">_xlfn.IFS(Ramen_Ratings[[#This Row],[Stars]] = "Unrated", "NA",Ramen_Ratings[[#This Row],[Stars]]&gt;=4, "Good", Ramen_Ratings[[#This Row],[Stars]]&gt;2.5, "Fair", Ramen_Ratings[[#This Row],[Stars]] &gt;= 0, "Bad")</f>
        <v>Fair</v>
      </c>
      <c r="J1468" t="str">
        <f>LEFT(Ramen_Ratings[[#This Row],[Top Ten]],4)</f>
        <v/>
      </c>
      <c r="K1468" t="str">
        <f>IF(Ramen_Ratings[[#This Row],[Top Ten]]="", "",RIGHT(Ramen_Ratings[[#This Row],[Top Ten]],LEN(Ramen_Ratings[[#This Row],[Top Ten]])-6))</f>
        <v/>
      </c>
    </row>
    <row r="1469" spans="1:11" x14ac:dyDescent="0.25">
      <c r="A1469">
        <v>2049</v>
      </c>
      <c r="B1469" t="s">
        <v>74</v>
      </c>
      <c r="C1469" t="s">
        <v>685</v>
      </c>
      <c r="D1469" t="s">
        <v>13</v>
      </c>
      <c r="E1469" t="s">
        <v>216</v>
      </c>
      <c r="F1469" t="str">
        <f>VLOOKUP(Ramen_Ratings[[#This Row],[Country]],Country_Region[#All],2,FALSE)</f>
        <v>North America</v>
      </c>
      <c r="G1469">
        <v>4</v>
      </c>
      <c r="H1469" t="str" cm="1">
        <f t="array" ref="H1469">_xlfn.IFS(Ramen_Ratings[[#This Row],[Stars]] = "Unrated", "NA",Ramen_Ratings[[#This Row],[Stars]]&gt;=4, "Good", Ramen_Ratings[[#This Row],[Stars]]&gt;2.5, "Fair", Ramen_Ratings[[#This Row],[Stars]] &gt;= 0, "Bad")</f>
        <v>Good</v>
      </c>
      <c r="J1469" t="str">
        <f>LEFT(Ramen_Ratings[[#This Row],[Top Ten]],4)</f>
        <v/>
      </c>
      <c r="K1469" t="str">
        <f>IF(Ramen_Ratings[[#This Row],[Top Ten]]="", "",RIGHT(Ramen_Ratings[[#This Row],[Top Ten]],LEN(Ramen_Ratings[[#This Row],[Top Ten]])-6))</f>
        <v/>
      </c>
    </row>
    <row r="1470" spans="1:11" x14ac:dyDescent="0.25">
      <c r="A1470">
        <v>2028</v>
      </c>
      <c r="B1470" t="s">
        <v>102</v>
      </c>
      <c r="C1470" t="s">
        <v>709</v>
      </c>
      <c r="D1470" t="s">
        <v>13</v>
      </c>
      <c r="E1470" t="s">
        <v>216</v>
      </c>
      <c r="F1470" t="str">
        <f>VLOOKUP(Ramen_Ratings[[#This Row],[Country]],Country_Region[#All],2,FALSE)</f>
        <v>North America</v>
      </c>
      <c r="G1470">
        <v>3.5</v>
      </c>
      <c r="H1470" t="str" cm="1">
        <f t="array" ref="H1470">_xlfn.IFS(Ramen_Ratings[[#This Row],[Stars]] = "Unrated", "NA",Ramen_Ratings[[#This Row],[Stars]]&gt;=4, "Good", Ramen_Ratings[[#This Row],[Stars]]&gt;2.5, "Fair", Ramen_Ratings[[#This Row],[Stars]] &gt;= 0, "Bad")</f>
        <v>Fair</v>
      </c>
      <c r="J1470" t="str">
        <f>LEFT(Ramen_Ratings[[#This Row],[Top Ten]],4)</f>
        <v/>
      </c>
      <c r="K1470" t="str">
        <f>IF(Ramen_Ratings[[#This Row],[Top Ten]]="", "",RIGHT(Ramen_Ratings[[#This Row],[Top Ten]],LEN(Ramen_Ratings[[#This Row],[Top Ten]])-6))</f>
        <v/>
      </c>
    </row>
    <row r="1471" spans="1:11" x14ac:dyDescent="0.25">
      <c r="A1471">
        <v>1617</v>
      </c>
      <c r="B1471" t="s">
        <v>67</v>
      </c>
      <c r="C1471" t="s">
        <v>1191</v>
      </c>
      <c r="D1471" t="s">
        <v>13</v>
      </c>
      <c r="E1471" t="s">
        <v>69</v>
      </c>
      <c r="F1471" t="str">
        <f>VLOOKUP(Ramen_Ratings[[#This Row],[Country]],Country_Region[#All],2,FALSE)</f>
        <v>Africa</v>
      </c>
      <c r="G1471">
        <v>5</v>
      </c>
      <c r="H1471" t="str" cm="1">
        <f t="array" ref="H1471">_xlfn.IFS(Ramen_Ratings[[#This Row],[Stars]] = "Unrated", "NA",Ramen_Ratings[[#This Row],[Stars]]&gt;=4, "Good", Ramen_Ratings[[#This Row],[Stars]]&gt;2.5, "Fair", Ramen_Ratings[[#This Row],[Stars]] &gt;= 0, "Bad")</f>
        <v>Good</v>
      </c>
      <c r="I1471" t="s">
        <v>1192</v>
      </c>
      <c r="J1471" t="str">
        <f>LEFT(Ramen_Ratings[[#This Row],[Top Ten]],4)</f>
        <v>2015</v>
      </c>
      <c r="K1471" t="str">
        <f>IF(Ramen_Ratings[[#This Row],[Top Ten]]="", "",RIGHT(Ramen_Ratings[[#This Row],[Top Ten]],LEN(Ramen_Ratings[[#This Row],[Top Ten]])-6))</f>
        <v>7</v>
      </c>
    </row>
    <row r="1472" spans="1:11" x14ac:dyDescent="0.25">
      <c r="A1472">
        <v>1350</v>
      </c>
      <c r="B1472" t="s">
        <v>668</v>
      </c>
      <c r="C1472" t="s">
        <v>1481</v>
      </c>
      <c r="D1472" t="s">
        <v>13</v>
      </c>
      <c r="E1472" t="s">
        <v>69</v>
      </c>
      <c r="F1472" t="str">
        <f>VLOOKUP(Ramen_Ratings[[#This Row],[Country]],Country_Region[#All],2,FALSE)</f>
        <v>Africa</v>
      </c>
      <c r="G1472">
        <v>5</v>
      </c>
      <c r="H1472" t="str" cm="1">
        <f t="array" ref="H1472">_xlfn.IFS(Ramen_Ratings[[#This Row],[Stars]] = "Unrated", "NA",Ramen_Ratings[[#This Row],[Stars]]&gt;=4, "Good", Ramen_Ratings[[#This Row],[Stars]]&gt;2.5, "Fair", Ramen_Ratings[[#This Row],[Stars]] &gt;= 0, "Bad")</f>
        <v>Good</v>
      </c>
      <c r="I1472" t="s">
        <v>1489</v>
      </c>
      <c r="J1472" t="str">
        <f>LEFT(Ramen_Ratings[[#This Row],[Top Ten]],4)</f>
        <v>2014</v>
      </c>
      <c r="K1472" t="str">
        <f>IF(Ramen_Ratings[[#This Row],[Top Ten]]="", "",RIGHT(Ramen_Ratings[[#This Row],[Top Ten]],LEN(Ramen_Ratings[[#This Row],[Top Ten]])-6))</f>
        <v>7</v>
      </c>
    </row>
    <row r="1473" spans="1:11" x14ac:dyDescent="0.25">
      <c r="A1473">
        <v>1508</v>
      </c>
      <c r="B1473" t="s">
        <v>668</v>
      </c>
      <c r="C1473" t="s">
        <v>1322</v>
      </c>
      <c r="D1473" t="s">
        <v>13</v>
      </c>
      <c r="E1473" t="s">
        <v>69</v>
      </c>
      <c r="F1473" t="str">
        <f>VLOOKUP(Ramen_Ratings[[#This Row],[Country]],Country_Region[#All],2,FALSE)</f>
        <v>Africa</v>
      </c>
      <c r="G1473">
        <v>5</v>
      </c>
      <c r="H1473" t="str" cm="1">
        <f t="array" ref="H1473">_xlfn.IFS(Ramen_Ratings[[#This Row],[Stars]] = "Unrated", "NA",Ramen_Ratings[[#This Row],[Stars]]&gt;=4, "Good", Ramen_Ratings[[#This Row],[Stars]]&gt;2.5, "Fair", Ramen_Ratings[[#This Row],[Stars]] &gt;= 0, "Bad")</f>
        <v>Good</v>
      </c>
      <c r="I1473" t="s">
        <v>1323</v>
      </c>
      <c r="J1473" t="str">
        <f>LEFT(Ramen_Ratings[[#This Row],[Top Ten]],4)</f>
        <v>2015</v>
      </c>
      <c r="K1473" t="str">
        <f>IF(Ramen_Ratings[[#This Row],[Top Ten]]="", "",RIGHT(Ramen_Ratings[[#This Row],[Top Ten]],LEN(Ramen_Ratings[[#This Row],[Top Ten]])-6))</f>
        <v>6</v>
      </c>
    </row>
    <row r="1474" spans="1:11" x14ac:dyDescent="0.25">
      <c r="A1474">
        <v>1585</v>
      </c>
      <c r="B1474" t="s">
        <v>595</v>
      </c>
      <c r="C1474" t="s">
        <v>1233</v>
      </c>
      <c r="D1474" t="s">
        <v>13</v>
      </c>
      <c r="E1474" t="s">
        <v>69</v>
      </c>
      <c r="F1474" t="str">
        <f>VLOOKUP(Ramen_Ratings[[#This Row],[Country]],Country_Region[#All],2,FALSE)</f>
        <v>Africa</v>
      </c>
      <c r="G1474">
        <v>5</v>
      </c>
      <c r="H1474" t="str" cm="1">
        <f t="array" ref="H1474">_xlfn.IFS(Ramen_Ratings[[#This Row],[Stars]] = "Unrated", "NA",Ramen_Ratings[[#This Row],[Stars]]&gt;=4, "Good", Ramen_Ratings[[#This Row],[Stars]]&gt;2.5, "Fair", Ramen_Ratings[[#This Row],[Stars]] &gt;= 0, "Bad")</f>
        <v>Good</v>
      </c>
      <c r="I1474" t="s">
        <v>1234</v>
      </c>
      <c r="J1474" t="str">
        <f>LEFT(Ramen_Ratings[[#This Row],[Top Ten]],4)</f>
        <v>2015</v>
      </c>
      <c r="K1474" t="str">
        <f>IF(Ramen_Ratings[[#This Row],[Top Ten]]="", "",RIGHT(Ramen_Ratings[[#This Row],[Top Ten]],LEN(Ramen_Ratings[[#This Row],[Top Ten]])-6))</f>
        <v>4</v>
      </c>
    </row>
    <row r="1475" spans="1:11" x14ac:dyDescent="0.25">
      <c r="A1475">
        <v>1500</v>
      </c>
      <c r="B1475" t="s">
        <v>67</v>
      </c>
      <c r="C1475" t="s">
        <v>131</v>
      </c>
      <c r="D1475" t="s">
        <v>13</v>
      </c>
      <c r="E1475" t="s">
        <v>69</v>
      </c>
      <c r="F1475" t="str">
        <f>VLOOKUP(Ramen_Ratings[[#This Row],[Country]],Country_Region[#All],2,FALSE)</f>
        <v>Africa</v>
      </c>
      <c r="G1475">
        <v>5</v>
      </c>
      <c r="H1475" t="str" cm="1">
        <f t="array" ref="H1475">_xlfn.IFS(Ramen_Ratings[[#This Row],[Stars]] = "Unrated", "NA",Ramen_Ratings[[#This Row],[Stars]]&gt;=4, "Good", Ramen_Ratings[[#This Row],[Stars]]&gt;2.5, "Fair", Ramen_Ratings[[#This Row],[Stars]] &gt;= 0, "Bad")</f>
        <v>Good</v>
      </c>
      <c r="I1475" t="s">
        <v>1331</v>
      </c>
      <c r="J1475" t="str">
        <f>LEFT(Ramen_Ratings[[#This Row],[Top Ten]],4)</f>
        <v>2015</v>
      </c>
      <c r="K1475" t="str">
        <f>IF(Ramen_Ratings[[#This Row],[Top Ten]]="", "",RIGHT(Ramen_Ratings[[#This Row],[Top Ten]],LEN(Ramen_Ratings[[#This Row],[Top Ten]])-6))</f>
        <v>1</v>
      </c>
    </row>
    <row r="1476" spans="1:11" x14ac:dyDescent="0.25">
      <c r="A1476">
        <v>1087</v>
      </c>
      <c r="B1476" t="s">
        <v>67</v>
      </c>
      <c r="C1476" t="s">
        <v>1198</v>
      </c>
      <c r="D1476" t="s">
        <v>13</v>
      </c>
      <c r="E1476" t="s">
        <v>69</v>
      </c>
      <c r="F1476" t="str">
        <f>VLOOKUP(Ramen_Ratings[[#This Row],[Country]],Country_Region[#All],2,FALSE)</f>
        <v>Africa</v>
      </c>
      <c r="G1476">
        <v>5</v>
      </c>
      <c r="H1476" t="str" cm="1">
        <f t="array" ref="H1476">_xlfn.IFS(Ramen_Ratings[[#This Row],[Stars]] = "Unrated", "NA",Ramen_Ratings[[#This Row],[Stars]]&gt;=4, "Good", Ramen_Ratings[[#This Row],[Stars]]&gt;2.5, "Fair", Ramen_Ratings[[#This Row],[Stars]] &gt;= 0, "Bad")</f>
        <v>Good</v>
      </c>
      <c r="I1476" t="s">
        <v>1778</v>
      </c>
      <c r="J1476" t="str">
        <f>LEFT(Ramen_Ratings[[#This Row],[Top Ten]],4)</f>
        <v>2014</v>
      </c>
      <c r="K1476" t="str">
        <f>IF(Ramen_Ratings[[#This Row],[Top Ten]]="", "",RIGHT(Ramen_Ratings[[#This Row],[Top Ten]],LEN(Ramen_Ratings[[#This Row],[Top Ten]])-6))</f>
        <v>1</v>
      </c>
    </row>
    <row r="1477" spans="1:11" x14ac:dyDescent="0.25">
      <c r="A1477">
        <v>2552</v>
      </c>
      <c r="B1477" t="s">
        <v>67</v>
      </c>
      <c r="C1477" t="s">
        <v>68</v>
      </c>
      <c r="D1477" t="s">
        <v>44</v>
      </c>
      <c r="E1477" t="s">
        <v>69</v>
      </c>
      <c r="F1477" t="str">
        <f>VLOOKUP(Ramen_Ratings[[#This Row],[Country]],Country_Region[#All],2,FALSE)</f>
        <v>Africa</v>
      </c>
      <c r="G1477">
        <v>5</v>
      </c>
      <c r="H1477" t="str" cm="1">
        <f t="array" ref="H1477">_xlfn.IFS(Ramen_Ratings[[#This Row],[Stars]] = "Unrated", "NA",Ramen_Ratings[[#This Row],[Stars]]&gt;=4, "Good", Ramen_Ratings[[#This Row],[Stars]]&gt;2.5, "Fair", Ramen_Ratings[[#This Row],[Stars]] &gt;= 0, "Bad")</f>
        <v>Good</v>
      </c>
      <c r="J1477" t="str">
        <f>LEFT(Ramen_Ratings[[#This Row],[Top Ten]],4)</f>
        <v/>
      </c>
      <c r="K1477" t="str">
        <f>IF(Ramen_Ratings[[#This Row],[Top Ten]]="", "",RIGHT(Ramen_Ratings[[#This Row],[Top Ten]],LEN(Ramen_Ratings[[#This Row],[Top Ten]])-6))</f>
        <v/>
      </c>
    </row>
    <row r="1478" spans="1:11" x14ac:dyDescent="0.25">
      <c r="A1478">
        <v>2510</v>
      </c>
      <c r="B1478" t="s">
        <v>67</v>
      </c>
      <c r="C1478" t="s">
        <v>131</v>
      </c>
      <c r="D1478" t="s">
        <v>13</v>
      </c>
      <c r="E1478" t="s">
        <v>69</v>
      </c>
      <c r="F1478" t="str">
        <f>VLOOKUP(Ramen_Ratings[[#This Row],[Country]],Country_Region[#All],2,FALSE)</f>
        <v>Africa</v>
      </c>
      <c r="G1478">
        <v>5</v>
      </c>
      <c r="H1478" t="str" cm="1">
        <f t="array" ref="H1478">_xlfn.IFS(Ramen_Ratings[[#This Row],[Stars]] = "Unrated", "NA",Ramen_Ratings[[#This Row],[Stars]]&gt;=4, "Good", Ramen_Ratings[[#This Row],[Stars]]&gt;2.5, "Fair", Ramen_Ratings[[#This Row],[Stars]] &gt;= 0, "Bad")</f>
        <v>Good</v>
      </c>
      <c r="J1478" t="str">
        <f>LEFT(Ramen_Ratings[[#This Row],[Top Ten]],4)</f>
        <v/>
      </c>
      <c r="K1478" t="str">
        <f>IF(Ramen_Ratings[[#This Row],[Top Ten]]="", "",RIGHT(Ramen_Ratings[[#This Row],[Top Ten]],LEN(Ramen_Ratings[[#This Row],[Top Ten]])-6))</f>
        <v/>
      </c>
    </row>
    <row r="1479" spans="1:11" x14ac:dyDescent="0.25">
      <c r="A1479">
        <v>2500</v>
      </c>
      <c r="B1479" t="s">
        <v>145</v>
      </c>
      <c r="C1479" t="s">
        <v>146</v>
      </c>
      <c r="D1479" t="s">
        <v>84</v>
      </c>
      <c r="E1479" t="s">
        <v>69</v>
      </c>
      <c r="F1479" t="str">
        <f>VLOOKUP(Ramen_Ratings[[#This Row],[Country]],Country_Region[#All],2,FALSE)</f>
        <v>Africa</v>
      </c>
      <c r="G1479">
        <v>5</v>
      </c>
      <c r="H1479" t="str" cm="1">
        <f t="array" ref="H1479">_xlfn.IFS(Ramen_Ratings[[#This Row],[Stars]] = "Unrated", "NA",Ramen_Ratings[[#This Row],[Stars]]&gt;=4, "Good", Ramen_Ratings[[#This Row],[Stars]]&gt;2.5, "Fair", Ramen_Ratings[[#This Row],[Stars]] &gt;= 0, "Bad")</f>
        <v>Good</v>
      </c>
      <c r="J1479" t="str">
        <f>LEFT(Ramen_Ratings[[#This Row],[Top Ten]],4)</f>
        <v/>
      </c>
      <c r="K1479" t="str">
        <f>IF(Ramen_Ratings[[#This Row],[Top Ten]]="", "",RIGHT(Ramen_Ratings[[#This Row],[Top Ten]],LEN(Ramen_Ratings[[#This Row],[Top Ten]])-6))</f>
        <v/>
      </c>
    </row>
    <row r="1480" spans="1:11" x14ac:dyDescent="0.25">
      <c r="A1480">
        <v>2479</v>
      </c>
      <c r="B1480" t="s">
        <v>170</v>
      </c>
      <c r="C1480" t="s">
        <v>171</v>
      </c>
      <c r="D1480" t="s">
        <v>13</v>
      </c>
      <c r="E1480" t="s">
        <v>69</v>
      </c>
      <c r="F1480" t="str">
        <f>VLOOKUP(Ramen_Ratings[[#This Row],[Country]],Country_Region[#All],2,FALSE)</f>
        <v>Africa</v>
      </c>
      <c r="G1480">
        <v>4</v>
      </c>
      <c r="H1480" t="str" cm="1">
        <f t="array" ref="H1480">_xlfn.IFS(Ramen_Ratings[[#This Row],[Stars]] = "Unrated", "NA",Ramen_Ratings[[#This Row],[Stars]]&gt;=4, "Good", Ramen_Ratings[[#This Row],[Stars]]&gt;2.5, "Fair", Ramen_Ratings[[#This Row],[Stars]] &gt;= 0, "Bad")</f>
        <v>Good</v>
      </c>
      <c r="J1480" t="str">
        <f>LEFT(Ramen_Ratings[[#This Row],[Top Ten]],4)</f>
        <v/>
      </c>
      <c r="K1480" t="str">
        <f>IF(Ramen_Ratings[[#This Row],[Top Ten]]="", "",RIGHT(Ramen_Ratings[[#This Row],[Top Ten]],LEN(Ramen_Ratings[[#This Row],[Top Ten]])-6))</f>
        <v/>
      </c>
    </row>
    <row r="1481" spans="1:11" x14ac:dyDescent="0.25">
      <c r="A1481">
        <v>2430</v>
      </c>
      <c r="B1481" t="s">
        <v>67</v>
      </c>
      <c r="C1481" t="s">
        <v>234</v>
      </c>
      <c r="D1481" t="s">
        <v>13</v>
      </c>
      <c r="E1481" t="s">
        <v>69</v>
      </c>
      <c r="F1481" t="str">
        <f>VLOOKUP(Ramen_Ratings[[#This Row],[Country]],Country_Region[#All],2,FALSE)</f>
        <v>Africa</v>
      </c>
      <c r="G1481">
        <v>5</v>
      </c>
      <c r="H1481" t="str" cm="1">
        <f t="array" ref="H1481">_xlfn.IFS(Ramen_Ratings[[#This Row],[Stars]] = "Unrated", "NA",Ramen_Ratings[[#This Row],[Stars]]&gt;=4, "Good", Ramen_Ratings[[#This Row],[Stars]]&gt;2.5, "Fair", Ramen_Ratings[[#This Row],[Stars]] &gt;= 0, "Bad")</f>
        <v>Good</v>
      </c>
      <c r="J1481" t="str">
        <f>LEFT(Ramen_Ratings[[#This Row],[Top Ten]],4)</f>
        <v/>
      </c>
      <c r="K1481" t="str">
        <f>IF(Ramen_Ratings[[#This Row],[Top Ten]]="", "",RIGHT(Ramen_Ratings[[#This Row],[Top Ten]],LEN(Ramen_Ratings[[#This Row],[Top Ten]])-6))</f>
        <v/>
      </c>
    </row>
    <row r="1482" spans="1:11" x14ac:dyDescent="0.25">
      <c r="A1482">
        <v>2392</v>
      </c>
      <c r="B1482" t="s">
        <v>67</v>
      </c>
      <c r="C1482" t="s">
        <v>284</v>
      </c>
      <c r="D1482" t="s">
        <v>44</v>
      </c>
      <c r="E1482" t="s">
        <v>69</v>
      </c>
      <c r="F1482" t="str">
        <f>VLOOKUP(Ramen_Ratings[[#This Row],[Country]],Country_Region[#All],2,FALSE)</f>
        <v>Africa</v>
      </c>
      <c r="G1482">
        <v>5</v>
      </c>
      <c r="H1482" t="str" cm="1">
        <f t="array" ref="H1482">_xlfn.IFS(Ramen_Ratings[[#This Row],[Stars]] = "Unrated", "NA",Ramen_Ratings[[#This Row],[Stars]]&gt;=4, "Good", Ramen_Ratings[[#This Row],[Stars]]&gt;2.5, "Fair", Ramen_Ratings[[#This Row],[Stars]] &gt;= 0, "Bad")</f>
        <v>Good</v>
      </c>
      <c r="J1482" t="str">
        <f>LEFT(Ramen_Ratings[[#This Row],[Top Ten]],4)</f>
        <v/>
      </c>
      <c r="K1482" t="str">
        <f>IF(Ramen_Ratings[[#This Row],[Top Ten]]="", "",RIGHT(Ramen_Ratings[[#This Row],[Top Ten]],LEN(Ramen_Ratings[[#This Row],[Top Ten]])-6))</f>
        <v/>
      </c>
    </row>
    <row r="1483" spans="1:11" x14ac:dyDescent="0.25">
      <c r="A1483">
        <v>2377</v>
      </c>
      <c r="B1483" t="s">
        <v>67</v>
      </c>
      <c r="C1483" t="s">
        <v>302</v>
      </c>
      <c r="D1483" t="s">
        <v>84</v>
      </c>
      <c r="E1483" t="s">
        <v>69</v>
      </c>
      <c r="F1483" t="str">
        <f>VLOOKUP(Ramen_Ratings[[#This Row],[Country]],Country_Region[#All],2,FALSE)</f>
        <v>Africa</v>
      </c>
      <c r="G1483">
        <v>5</v>
      </c>
      <c r="H1483" t="str" cm="1">
        <f t="array" ref="H1483">_xlfn.IFS(Ramen_Ratings[[#This Row],[Stars]] = "Unrated", "NA",Ramen_Ratings[[#This Row],[Stars]]&gt;=4, "Good", Ramen_Ratings[[#This Row],[Stars]]&gt;2.5, "Fair", Ramen_Ratings[[#This Row],[Stars]] &gt;= 0, "Bad")</f>
        <v>Good</v>
      </c>
      <c r="J1483" t="str">
        <f>LEFT(Ramen_Ratings[[#This Row],[Top Ten]],4)</f>
        <v/>
      </c>
      <c r="K1483" t="str">
        <f>IF(Ramen_Ratings[[#This Row],[Top Ten]]="", "",RIGHT(Ramen_Ratings[[#This Row],[Top Ten]],LEN(Ramen_Ratings[[#This Row],[Top Ten]])-6))</f>
        <v/>
      </c>
    </row>
    <row r="1484" spans="1:11" x14ac:dyDescent="0.25">
      <c r="A1484">
        <v>2299</v>
      </c>
      <c r="B1484" t="s">
        <v>401</v>
      </c>
      <c r="C1484" t="s">
        <v>402</v>
      </c>
      <c r="D1484" t="s">
        <v>13</v>
      </c>
      <c r="E1484" t="s">
        <v>69</v>
      </c>
      <c r="F1484" t="str">
        <f>VLOOKUP(Ramen_Ratings[[#This Row],[Country]],Country_Region[#All],2,FALSE)</f>
        <v>Africa</v>
      </c>
      <c r="G1484">
        <v>3</v>
      </c>
      <c r="H1484" t="str" cm="1">
        <f t="array" ref="H1484">_xlfn.IFS(Ramen_Ratings[[#This Row],[Stars]] = "Unrated", "NA",Ramen_Ratings[[#This Row],[Stars]]&gt;=4, "Good", Ramen_Ratings[[#This Row],[Stars]]&gt;2.5, "Fair", Ramen_Ratings[[#This Row],[Stars]] &gt;= 0, "Bad")</f>
        <v>Fair</v>
      </c>
      <c r="J1484" t="str">
        <f>LEFT(Ramen_Ratings[[#This Row],[Top Ten]],4)</f>
        <v/>
      </c>
      <c r="K1484" t="str">
        <f>IF(Ramen_Ratings[[#This Row],[Top Ten]]="", "",RIGHT(Ramen_Ratings[[#This Row],[Top Ten]],LEN(Ramen_Ratings[[#This Row],[Top Ten]])-6))</f>
        <v/>
      </c>
    </row>
    <row r="1485" spans="1:11" x14ac:dyDescent="0.25">
      <c r="A1485">
        <v>2222</v>
      </c>
      <c r="B1485" t="s">
        <v>488</v>
      </c>
      <c r="C1485" t="s">
        <v>489</v>
      </c>
      <c r="D1485" t="s">
        <v>13</v>
      </c>
      <c r="E1485" t="s">
        <v>69</v>
      </c>
      <c r="F1485" t="str">
        <f>VLOOKUP(Ramen_Ratings[[#This Row],[Country]],Country_Region[#All],2,FALSE)</f>
        <v>Africa</v>
      </c>
      <c r="G1485">
        <v>5</v>
      </c>
      <c r="H1485" t="str" cm="1">
        <f t="array" ref="H1485">_xlfn.IFS(Ramen_Ratings[[#This Row],[Stars]] = "Unrated", "NA",Ramen_Ratings[[#This Row],[Stars]]&gt;=4, "Good", Ramen_Ratings[[#This Row],[Stars]]&gt;2.5, "Fair", Ramen_Ratings[[#This Row],[Stars]] &gt;= 0, "Bad")</f>
        <v>Good</v>
      </c>
      <c r="J1485" t="str">
        <f>LEFT(Ramen_Ratings[[#This Row],[Top Ten]],4)</f>
        <v/>
      </c>
      <c r="K1485" t="str">
        <f>IF(Ramen_Ratings[[#This Row],[Top Ten]]="", "",RIGHT(Ramen_Ratings[[#This Row],[Top Ten]],LEN(Ramen_Ratings[[#This Row],[Top Ten]])-6))</f>
        <v/>
      </c>
    </row>
    <row r="1486" spans="1:11" x14ac:dyDescent="0.25">
      <c r="A1486">
        <v>2192</v>
      </c>
      <c r="B1486" t="s">
        <v>488</v>
      </c>
      <c r="C1486" t="s">
        <v>525</v>
      </c>
      <c r="D1486" t="s">
        <v>13</v>
      </c>
      <c r="E1486" t="s">
        <v>69</v>
      </c>
      <c r="F1486" t="str">
        <f>VLOOKUP(Ramen_Ratings[[#This Row],[Country]],Country_Region[#All],2,FALSE)</f>
        <v>Africa</v>
      </c>
      <c r="G1486">
        <v>5</v>
      </c>
      <c r="H1486" t="str" cm="1">
        <f t="array" ref="H1486">_xlfn.IFS(Ramen_Ratings[[#This Row],[Stars]] = "Unrated", "NA",Ramen_Ratings[[#This Row],[Stars]]&gt;=4, "Good", Ramen_Ratings[[#This Row],[Stars]]&gt;2.5, "Fair", Ramen_Ratings[[#This Row],[Stars]] &gt;= 0, "Bad")</f>
        <v>Good</v>
      </c>
      <c r="J1486" t="str">
        <f>LEFT(Ramen_Ratings[[#This Row],[Top Ten]],4)</f>
        <v/>
      </c>
      <c r="K1486" t="str">
        <f>IF(Ramen_Ratings[[#This Row],[Top Ten]]="", "",RIGHT(Ramen_Ratings[[#This Row],[Top Ten]],LEN(Ramen_Ratings[[#This Row],[Top Ten]])-6))</f>
        <v/>
      </c>
    </row>
    <row r="1487" spans="1:11" x14ac:dyDescent="0.25">
      <c r="A1487">
        <v>2129</v>
      </c>
      <c r="B1487" t="s">
        <v>595</v>
      </c>
      <c r="C1487" t="s">
        <v>596</v>
      </c>
      <c r="D1487" t="s">
        <v>13</v>
      </c>
      <c r="E1487" t="s">
        <v>69</v>
      </c>
      <c r="F1487" t="str">
        <f>VLOOKUP(Ramen_Ratings[[#This Row],[Country]],Country_Region[#All],2,FALSE)</f>
        <v>Africa</v>
      </c>
      <c r="G1487">
        <v>5</v>
      </c>
      <c r="H1487" t="str" cm="1">
        <f t="array" ref="H1487">_xlfn.IFS(Ramen_Ratings[[#This Row],[Stars]] = "Unrated", "NA",Ramen_Ratings[[#This Row],[Stars]]&gt;=4, "Good", Ramen_Ratings[[#This Row],[Stars]]&gt;2.5, "Fair", Ramen_Ratings[[#This Row],[Stars]] &gt;= 0, "Bad")</f>
        <v>Good</v>
      </c>
      <c r="J1487" t="str">
        <f>LEFT(Ramen_Ratings[[#This Row],[Top Ten]],4)</f>
        <v/>
      </c>
      <c r="K1487" t="str">
        <f>IF(Ramen_Ratings[[#This Row],[Top Ten]]="", "",RIGHT(Ramen_Ratings[[#This Row],[Top Ten]],LEN(Ramen_Ratings[[#This Row],[Top Ten]])-6))</f>
        <v/>
      </c>
    </row>
    <row r="1488" spans="1:11" x14ac:dyDescent="0.25">
      <c r="A1488">
        <v>2097</v>
      </c>
      <c r="B1488" t="s">
        <v>595</v>
      </c>
      <c r="C1488" t="s">
        <v>632</v>
      </c>
      <c r="D1488" t="s">
        <v>13</v>
      </c>
      <c r="E1488" t="s">
        <v>69</v>
      </c>
      <c r="F1488" t="str">
        <f>VLOOKUP(Ramen_Ratings[[#This Row],[Country]],Country_Region[#All],2,FALSE)</f>
        <v>Africa</v>
      </c>
      <c r="G1488">
        <v>5</v>
      </c>
      <c r="H1488" t="str" cm="1">
        <f t="array" ref="H1488">_xlfn.IFS(Ramen_Ratings[[#This Row],[Stars]] = "Unrated", "NA",Ramen_Ratings[[#This Row],[Stars]]&gt;=4, "Good", Ramen_Ratings[[#This Row],[Stars]]&gt;2.5, "Fair", Ramen_Ratings[[#This Row],[Stars]] &gt;= 0, "Bad")</f>
        <v>Good</v>
      </c>
      <c r="J1488" t="str">
        <f>LEFT(Ramen_Ratings[[#This Row],[Top Ten]],4)</f>
        <v/>
      </c>
      <c r="K1488" t="str">
        <f>IF(Ramen_Ratings[[#This Row],[Top Ten]]="", "",RIGHT(Ramen_Ratings[[#This Row],[Top Ten]],LEN(Ramen_Ratings[[#This Row],[Top Ten]])-6))</f>
        <v/>
      </c>
    </row>
    <row r="1489" spans="1:11" x14ac:dyDescent="0.25">
      <c r="A1489">
        <v>2091</v>
      </c>
      <c r="B1489" t="s">
        <v>67</v>
      </c>
      <c r="C1489" t="s">
        <v>638</v>
      </c>
      <c r="D1489" t="s">
        <v>9</v>
      </c>
      <c r="E1489" t="s">
        <v>69</v>
      </c>
      <c r="F1489" t="str">
        <f>VLOOKUP(Ramen_Ratings[[#This Row],[Country]],Country_Region[#All],2,FALSE)</f>
        <v>Africa</v>
      </c>
      <c r="G1489">
        <v>5</v>
      </c>
      <c r="H1489" t="str" cm="1">
        <f t="array" ref="H1489">_xlfn.IFS(Ramen_Ratings[[#This Row],[Stars]] = "Unrated", "NA",Ramen_Ratings[[#This Row],[Stars]]&gt;=4, "Good", Ramen_Ratings[[#This Row],[Stars]]&gt;2.5, "Fair", Ramen_Ratings[[#This Row],[Stars]] &gt;= 0, "Bad")</f>
        <v>Good</v>
      </c>
      <c r="J1489" t="str">
        <f>LEFT(Ramen_Ratings[[#This Row],[Top Ten]],4)</f>
        <v/>
      </c>
      <c r="K1489" t="str">
        <f>IF(Ramen_Ratings[[#This Row],[Top Ten]]="", "",RIGHT(Ramen_Ratings[[#This Row],[Top Ten]],LEN(Ramen_Ratings[[#This Row],[Top Ten]])-6))</f>
        <v/>
      </c>
    </row>
    <row r="1490" spans="1:11" x14ac:dyDescent="0.25">
      <c r="A1490">
        <v>2050</v>
      </c>
      <c r="B1490" t="s">
        <v>67</v>
      </c>
      <c r="C1490" t="s">
        <v>684</v>
      </c>
      <c r="D1490" t="s">
        <v>9</v>
      </c>
      <c r="E1490" t="s">
        <v>69</v>
      </c>
      <c r="F1490" t="str">
        <f>VLOOKUP(Ramen_Ratings[[#This Row],[Country]],Country_Region[#All],2,FALSE)</f>
        <v>Africa</v>
      </c>
      <c r="G1490">
        <v>5</v>
      </c>
      <c r="H1490" t="str" cm="1">
        <f t="array" ref="H1490">_xlfn.IFS(Ramen_Ratings[[#This Row],[Stars]] = "Unrated", "NA",Ramen_Ratings[[#This Row],[Stars]]&gt;=4, "Good", Ramen_Ratings[[#This Row],[Stars]]&gt;2.5, "Fair", Ramen_Ratings[[#This Row],[Stars]] &gt;= 0, "Bad")</f>
        <v>Good</v>
      </c>
      <c r="J1490" t="str">
        <f>LEFT(Ramen_Ratings[[#This Row],[Top Ten]],4)</f>
        <v/>
      </c>
      <c r="K1490" t="str">
        <f>IF(Ramen_Ratings[[#This Row],[Top Ten]]="", "",RIGHT(Ramen_Ratings[[#This Row],[Top Ten]],LEN(Ramen_Ratings[[#This Row],[Top Ten]])-6))</f>
        <v/>
      </c>
    </row>
    <row r="1491" spans="1:11" x14ac:dyDescent="0.25">
      <c r="A1491">
        <v>2046</v>
      </c>
      <c r="B1491" t="s">
        <v>170</v>
      </c>
      <c r="C1491" t="s">
        <v>688</v>
      </c>
      <c r="D1491" t="s">
        <v>13</v>
      </c>
      <c r="E1491" t="s">
        <v>69</v>
      </c>
      <c r="F1491" t="str">
        <f>VLOOKUP(Ramen_Ratings[[#This Row],[Country]],Country_Region[#All],2,FALSE)</f>
        <v>Africa</v>
      </c>
      <c r="G1491">
        <v>4</v>
      </c>
      <c r="H1491" t="str" cm="1">
        <f t="array" ref="H1491">_xlfn.IFS(Ramen_Ratings[[#This Row],[Stars]] = "Unrated", "NA",Ramen_Ratings[[#This Row],[Stars]]&gt;=4, "Good", Ramen_Ratings[[#This Row],[Stars]]&gt;2.5, "Fair", Ramen_Ratings[[#This Row],[Stars]] &gt;= 0, "Bad")</f>
        <v>Good</v>
      </c>
      <c r="J1491" t="str">
        <f>LEFT(Ramen_Ratings[[#This Row],[Top Ten]],4)</f>
        <v/>
      </c>
      <c r="K1491" t="str">
        <f>IF(Ramen_Ratings[[#This Row],[Top Ten]]="", "",RIGHT(Ramen_Ratings[[#This Row],[Top Ten]],LEN(Ramen_Ratings[[#This Row],[Top Ten]])-6))</f>
        <v/>
      </c>
    </row>
    <row r="1492" spans="1:11" x14ac:dyDescent="0.25">
      <c r="A1492">
        <v>2043</v>
      </c>
      <c r="B1492" t="s">
        <v>691</v>
      </c>
      <c r="C1492" t="s">
        <v>692</v>
      </c>
      <c r="D1492" t="s">
        <v>44</v>
      </c>
      <c r="E1492" t="s">
        <v>69</v>
      </c>
      <c r="F1492" t="str">
        <f>VLOOKUP(Ramen_Ratings[[#This Row],[Country]],Country_Region[#All],2,FALSE)</f>
        <v>Africa</v>
      </c>
      <c r="G1492">
        <v>5</v>
      </c>
      <c r="H1492" t="str" cm="1">
        <f t="array" ref="H1492">_xlfn.IFS(Ramen_Ratings[[#This Row],[Stars]] = "Unrated", "NA",Ramen_Ratings[[#This Row],[Stars]]&gt;=4, "Good", Ramen_Ratings[[#This Row],[Stars]]&gt;2.5, "Fair", Ramen_Ratings[[#This Row],[Stars]] &gt;= 0, "Bad")</f>
        <v>Good</v>
      </c>
      <c r="J1492" t="str">
        <f>LEFT(Ramen_Ratings[[#This Row],[Top Ten]],4)</f>
        <v/>
      </c>
      <c r="K1492" t="str">
        <f>IF(Ramen_Ratings[[#This Row],[Top Ten]]="", "",RIGHT(Ramen_Ratings[[#This Row],[Top Ten]],LEN(Ramen_Ratings[[#This Row],[Top Ten]])-6))</f>
        <v/>
      </c>
    </row>
    <row r="1493" spans="1:11" x14ac:dyDescent="0.25">
      <c r="A1493">
        <v>2038</v>
      </c>
      <c r="B1493" t="s">
        <v>696</v>
      </c>
      <c r="C1493" t="s">
        <v>697</v>
      </c>
      <c r="D1493" t="s">
        <v>13</v>
      </c>
      <c r="E1493" t="s">
        <v>69</v>
      </c>
      <c r="F1493" t="str">
        <f>VLOOKUP(Ramen_Ratings[[#This Row],[Country]],Country_Region[#All],2,FALSE)</f>
        <v>Africa</v>
      </c>
      <c r="G1493">
        <v>1.5</v>
      </c>
      <c r="H1493" t="str" cm="1">
        <f t="array" ref="H1493">_xlfn.IFS(Ramen_Ratings[[#This Row],[Stars]] = "Unrated", "NA",Ramen_Ratings[[#This Row],[Stars]]&gt;=4, "Good", Ramen_Ratings[[#This Row],[Stars]]&gt;2.5, "Fair", Ramen_Ratings[[#This Row],[Stars]] &gt;= 0, "Bad")</f>
        <v>Bad</v>
      </c>
      <c r="J1493" t="str">
        <f>LEFT(Ramen_Ratings[[#This Row],[Top Ten]],4)</f>
        <v/>
      </c>
      <c r="K1493" t="str">
        <f>IF(Ramen_Ratings[[#This Row],[Top Ten]]="", "",RIGHT(Ramen_Ratings[[#This Row],[Top Ten]],LEN(Ramen_Ratings[[#This Row],[Top Ten]])-6))</f>
        <v/>
      </c>
    </row>
    <row r="1494" spans="1:11" x14ac:dyDescent="0.25">
      <c r="A1494">
        <v>2031</v>
      </c>
      <c r="B1494" t="s">
        <v>595</v>
      </c>
      <c r="C1494" t="s">
        <v>706</v>
      </c>
      <c r="D1494" t="s">
        <v>13</v>
      </c>
      <c r="E1494" t="s">
        <v>69</v>
      </c>
      <c r="F1494" t="str">
        <f>VLOOKUP(Ramen_Ratings[[#This Row],[Country]],Country_Region[#All],2,FALSE)</f>
        <v>Africa</v>
      </c>
      <c r="G1494">
        <v>5</v>
      </c>
      <c r="H1494" t="str" cm="1">
        <f t="array" ref="H1494">_xlfn.IFS(Ramen_Ratings[[#This Row],[Stars]] = "Unrated", "NA",Ramen_Ratings[[#This Row],[Stars]]&gt;=4, "Good", Ramen_Ratings[[#This Row],[Stars]]&gt;2.5, "Fair", Ramen_Ratings[[#This Row],[Stars]] &gt;= 0, "Bad")</f>
        <v>Good</v>
      </c>
      <c r="J1494" t="str">
        <f>LEFT(Ramen_Ratings[[#This Row],[Top Ten]],4)</f>
        <v/>
      </c>
      <c r="K1494" t="str">
        <f>IF(Ramen_Ratings[[#This Row],[Top Ten]]="", "",RIGHT(Ramen_Ratings[[#This Row],[Top Ten]],LEN(Ramen_Ratings[[#This Row],[Top Ten]])-6))</f>
        <v/>
      </c>
    </row>
    <row r="1495" spans="1:11" x14ac:dyDescent="0.25">
      <c r="A1495">
        <v>2026</v>
      </c>
      <c r="B1495" t="s">
        <v>67</v>
      </c>
      <c r="C1495" t="s">
        <v>711</v>
      </c>
      <c r="D1495" t="s">
        <v>9</v>
      </c>
      <c r="E1495" t="s">
        <v>69</v>
      </c>
      <c r="F1495" t="str">
        <f>VLOOKUP(Ramen_Ratings[[#This Row],[Country]],Country_Region[#All],2,FALSE)</f>
        <v>Africa</v>
      </c>
      <c r="G1495">
        <v>4.75</v>
      </c>
      <c r="H1495" t="str" cm="1">
        <f t="array" ref="H1495">_xlfn.IFS(Ramen_Ratings[[#This Row],[Stars]] = "Unrated", "NA",Ramen_Ratings[[#This Row],[Stars]]&gt;=4, "Good", Ramen_Ratings[[#This Row],[Stars]]&gt;2.5, "Fair", Ramen_Ratings[[#This Row],[Stars]] &gt;= 0, "Bad")</f>
        <v>Good</v>
      </c>
      <c r="J1495" t="str">
        <f>LEFT(Ramen_Ratings[[#This Row],[Top Ten]],4)</f>
        <v/>
      </c>
      <c r="K1495" t="str">
        <f>IF(Ramen_Ratings[[#This Row],[Top Ten]]="", "",RIGHT(Ramen_Ratings[[#This Row],[Top Ten]],LEN(Ramen_Ratings[[#This Row],[Top Ten]])-6))</f>
        <v/>
      </c>
    </row>
    <row r="1496" spans="1:11" x14ac:dyDescent="0.25">
      <c r="A1496">
        <v>2015</v>
      </c>
      <c r="B1496" t="s">
        <v>170</v>
      </c>
      <c r="C1496" t="s">
        <v>723</v>
      </c>
      <c r="D1496" t="s">
        <v>13</v>
      </c>
      <c r="E1496" t="s">
        <v>69</v>
      </c>
      <c r="F1496" t="str">
        <f>VLOOKUP(Ramen_Ratings[[#This Row],[Country]],Country_Region[#All],2,FALSE)</f>
        <v>Africa</v>
      </c>
      <c r="G1496">
        <v>5</v>
      </c>
      <c r="H1496" t="str" cm="1">
        <f t="array" ref="H1496">_xlfn.IFS(Ramen_Ratings[[#This Row],[Stars]] = "Unrated", "NA",Ramen_Ratings[[#This Row],[Stars]]&gt;=4, "Good", Ramen_Ratings[[#This Row],[Stars]]&gt;2.5, "Fair", Ramen_Ratings[[#This Row],[Stars]] &gt;= 0, "Bad")</f>
        <v>Good</v>
      </c>
      <c r="J1496" t="str">
        <f>LEFT(Ramen_Ratings[[#This Row],[Top Ten]],4)</f>
        <v/>
      </c>
      <c r="K1496" t="str">
        <f>IF(Ramen_Ratings[[#This Row],[Top Ten]]="", "",RIGHT(Ramen_Ratings[[#This Row],[Top Ten]],LEN(Ramen_Ratings[[#This Row],[Top Ten]])-6))</f>
        <v/>
      </c>
    </row>
    <row r="1497" spans="1:11" x14ac:dyDescent="0.25">
      <c r="A1497">
        <v>1989</v>
      </c>
      <c r="B1497" t="s">
        <v>67</v>
      </c>
      <c r="C1497" t="s">
        <v>753</v>
      </c>
      <c r="D1497" t="s">
        <v>13</v>
      </c>
      <c r="E1497" t="s">
        <v>69</v>
      </c>
      <c r="F1497" t="str">
        <f>VLOOKUP(Ramen_Ratings[[#This Row],[Country]],Country_Region[#All],2,FALSE)</f>
        <v>Africa</v>
      </c>
      <c r="G1497">
        <v>5</v>
      </c>
      <c r="H1497" t="str" cm="1">
        <f t="array" ref="H1497">_xlfn.IFS(Ramen_Ratings[[#This Row],[Stars]] = "Unrated", "NA",Ramen_Ratings[[#This Row],[Stars]]&gt;=4, "Good", Ramen_Ratings[[#This Row],[Stars]]&gt;2.5, "Fair", Ramen_Ratings[[#This Row],[Stars]] &gt;= 0, "Bad")</f>
        <v>Good</v>
      </c>
      <c r="J1497" t="str">
        <f>LEFT(Ramen_Ratings[[#This Row],[Top Ten]],4)</f>
        <v/>
      </c>
      <c r="K1497" t="str">
        <f>IF(Ramen_Ratings[[#This Row],[Top Ten]]="", "",RIGHT(Ramen_Ratings[[#This Row],[Top Ten]],LEN(Ramen_Ratings[[#This Row],[Top Ten]])-6))</f>
        <v/>
      </c>
    </row>
    <row r="1498" spans="1:11" x14ac:dyDescent="0.25">
      <c r="A1498">
        <v>1981</v>
      </c>
      <c r="B1498" t="s">
        <v>67</v>
      </c>
      <c r="C1498" t="s">
        <v>762</v>
      </c>
      <c r="D1498" t="s">
        <v>13</v>
      </c>
      <c r="E1498" t="s">
        <v>69</v>
      </c>
      <c r="F1498" t="str">
        <f>VLOOKUP(Ramen_Ratings[[#This Row],[Country]],Country_Region[#All],2,FALSE)</f>
        <v>Africa</v>
      </c>
      <c r="G1498">
        <v>5</v>
      </c>
      <c r="H1498" t="str" cm="1">
        <f t="array" ref="H1498">_xlfn.IFS(Ramen_Ratings[[#This Row],[Stars]] = "Unrated", "NA",Ramen_Ratings[[#This Row],[Stars]]&gt;=4, "Good", Ramen_Ratings[[#This Row],[Stars]]&gt;2.5, "Fair", Ramen_Ratings[[#This Row],[Stars]] &gt;= 0, "Bad")</f>
        <v>Good</v>
      </c>
      <c r="J1498" t="str">
        <f>LEFT(Ramen_Ratings[[#This Row],[Top Ten]],4)</f>
        <v/>
      </c>
      <c r="K1498" t="str">
        <f>IF(Ramen_Ratings[[#This Row],[Top Ten]]="", "",RIGHT(Ramen_Ratings[[#This Row],[Top Ten]],LEN(Ramen_Ratings[[#This Row],[Top Ten]])-6))</f>
        <v/>
      </c>
    </row>
    <row r="1499" spans="1:11" x14ac:dyDescent="0.25">
      <c r="A1499">
        <v>1978</v>
      </c>
      <c r="B1499" t="s">
        <v>595</v>
      </c>
      <c r="C1499" t="s">
        <v>765</v>
      </c>
      <c r="D1499" t="s">
        <v>13</v>
      </c>
      <c r="E1499" t="s">
        <v>69</v>
      </c>
      <c r="F1499" t="str">
        <f>VLOOKUP(Ramen_Ratings[[#This Row],[Country]],Country_Region[#All],2,FALSE)</f>
        <v>Africa</v>
      </c>
      <c r="G1499">
        <v>5</v>
      </c>
      <c r="H1499" t="str" cm="1">
        <f t="array" ref="H1499">_xlfn.IFS(Ramen_Ratings[[#This Row],[Stars]] = "Unrated", "NA",Ramen_Ratings[[#This Row],[Stars]]&gt;=4, "Good", Ramen_Ratings[[#This Row],[Stars]]&gt;2.5, "Fair", Ramen_Ratings[[#This Row],[Stars]] &gt;= 0, "Bad")</f>
        <v>Good</v>
      </c>
      <c r="J1499" t="str">
        <f>LEFT(Ramen_Ratings[[#This Row],[Top Ten]],4)</f>
        <v/>
      </c>
      <c r="K1499" t="str">
        <f>IF(Ramen_Ratings[[#This Row],[Top Ten]]="", "",RIGHT(Ramen_Ratings[[#This Row],[Top Ten]],LEN(Ramen_Ratings[[#This Row],[Top Ten]])-6))</f>
        <v/>
      </c>
    </row>
    <row r="1500" spans="1:11" x14ac:dyDescent="0.25">
      <c r="A1500">
        <v>1977</v>
      </c>
      <c r="B1500" t="s">
        <v>766</v>
      </c>
      <c r="C1500" t="s">
        <v>767</v>
      </c>
      <c r="D1500" t="s">
        <v>13</v>
      </c>
      <c r="E1500" t="s">
        <v>69</v>
      </c>
      <c r="F1500" t="str">
        <f>VLOOKUP(Ramen_Ratings[[#This Row],[Country]],Country_Region[#All],2,FALSE)</f>
        <v>Africa</v>
      </c>
      <c r="G1500">
        <v>5</v>
      </c>
      <c r="H1500" t="str" cm="1">
        <f t="array" ref="H1500">_xlfn.IFS(Ramen_Ratings[[#This Row],[Stars]] = "Unrated", "NA",Ramen_Ratings[[#This Row],[Stars]]&gt;=4, "Good", Ramen_Ratings[[#This Row],[Stars]]&gt;2.5, "Fair", Ramen_Ratings[[#This Row],[Stars]] &gt;= 0, "Bad")</f>
        <v>Good</v>
      </c>
      <c r="J1500" t="str">
        <f>LEFT(Ramen_Ratings[[#This Row],[Top Ten]],4)</f>
        <v/>
      </c>
      <c r="K1500" t="str">
        <f>IF(Ramen_Ratings[[#This Row],[Top Ten]]="", "",RIGHT(Ramen_Ratings[[#This Row],[Top Ten]],LEN(Ramen_Ratings[[#This Row],[Top Ten]])-6))</f>
        <v/>
      </c>
    </row>
    <row r="1501" spans="1:11" x14ac:dyDescent="0.25">
      <c r="A1501">
        <v>1970</v>
      </c>
      <c r="B1501" t="s">
        <v>766</v>
      </c>
      <c r="C1501" t="s">
        <v>775</v>
      </c>
      <c r="D1501" t="s">
        <v>13</v>
      </c>
      <c r="E1501" t="s">
        <v>69</v>
      </c>
      <c r="F1501" t="str">
        <f>VLOOKUP(Ramen_Ratings[[#This Row],[Country]],Country_Region[#All],2,FALSE)</f>
        <v>Africa</v>
      </c>
      <c r="G1501">
        <v>5</v>
      </c>
      <c r="H1501" t="str" cm="1">
        <f t="array" ref="H1501">_xlfn.IFS(Ramen_Ratings[[#This Row],[Stars]] = "Unrated", "NA",Ramen_Ratings[[#This Row],[Stars]]&gt;=4, "Good", Ramen_Ratings[[#This Row],[Stars]]&gt;2.5, "Fair", Ramen_Ratings[[#This Row],[Stars]] &gt;= 0, "Bad")</f>
        <v>Good</v>
      </c>
      <c r="J1501" t="str">
        <f>LEFT(Ramen_Ratings[[#This Row],[Top Ten]],4)</f>
        <v/>
      </c>
      <c r="K1501" t="str">
        <f>IF(Ramen_Ratings[[#This Row],[Top Ten]]="", "",RIGHT(Ramen_Ratings[[#This Row],[Top Ten]],LEN(Ramen_Ratings[[#This Row],[Top Ten]])-6))</f>
        <v/>
      </c>
    </row>
    <row r="1502" spans="1:11" x14ac:dyDescent="0.25">
      <c r="A1502">
        <v>1965</v>
      </c>
      <c r="B1502" t="s">
        <v>67</v>
      </c>
      <c r="C1502" t="s">
        <v>780</v>
      </c>
      <c r="D1502" t="s">
        <v>13</v>
      </c>
      <c r="E1502" t="s">
        <v>69</v>
      </c>
      <c r="F1502" t="str">
        <f>VLOOKUP(Ramen_Ratings[[#This Row],[Country]],Country_Region[#All],2,FALSE)</f>
        <v>Africa</v>
      </c>
      <c r="G1502">
        <v>5</v>
      </c>
      <c r="H1502" t="str" cm="1">
        <f t="array" ref="H1502">_xlfn.IFS(Ramen_Ratings[[#This Row],[Stars]] = "Unrated", "NA",Ramen_Ratings[[#This Row],[Stars]]&gt;=4, "Good", Ramen_Ratings[[#This Row],[Stars]]&gt;2.5, "Fair", Ramen_Ratings[[#This Row],[Stars]] &gt;= 0, "Bad")</f>
        <v>Good</v>
      </c>
      <c r="J1502" t="str">
        <f>LEFT(Ramen_Ratings[[#This Row],[Top Ten]],4)</f>
        <v/>
      </c>
      <c r="K1502" t="str">
        <f>IF(Ramen_Ratings[[#This Row],[Top Ten]]="", "",RIGHT(Ramen_Ratings[[#This Row],[Top Ten]],LEN(Ramen_Ratings[[#This Row],[Top Ten]])-6))</f>
        <v/>
      </c>
    </row>
    <row r="1503" spans="1:11" x14ac:dyDescent="0.25">
      <c r="A1503">
        <v>1942</v>
      </c>
      <c r="B1503" t="s">
        <v>809</v>
      </c>
      <c r="C1503" t="s">
        <v>810</v>
      </c>
      <c r="D1503" t="s">
        <v>13</v>
      </c>
      <c r="E1503" t="s">
        <v>69</v>
      </c>
      <c r="F1503" t="str">
        <f>VLOOKUP(Ramen_Ratings[[#This Row],[Country]],Country_Region[#All],2,FALSE)</f>
        <v>Africa</v>
      </c>
      <c r="G1503">
        <v>3.5</v>
      </c>
      <c r="H1503" t="str" cm="1">
        <f t="array" ref="H1503">_xlfn.IFS(Ramen_Ratings[[#This Row],[Stars]] = "Unrated", "NA",Ramen_Ratings[[#This Row],[Stars]]&gt;=4, "Good", Ramen_Ratings[[#This Row],[Stars]]&gt;2.5, "Fair", Ramen_Ratings[[#This Row],[Stars]] &gt;= 0, "Bad")</f>
        <v>Fair</v>
      </c>
      <c r="J1503" t="str">
        <f>LEFT(Ramen_Ratings[[#This Row],[Top Ten]],4)</f>
        <v/>
      </c>
      <c r="K1503" t="str">
        <f>IF(Ramen_Ratings[[#This Row],[Top Ten]]="", "",RIGHT(Ramen_Ratings[[#This Row],[Top Ten]],LEN(Ramen_Ratings[[#This Row],[Top Ten]])-6))</f>
        <v/>
      </c>
    </row>
    <row r="1504" spans="1:11" x14ac:dyDescent="0.25">
      <c r="A1504">
        <v>1900</v>
      </c>
      <c r="B1504" t="s">
        <v>809</v>
      </c>
      <c r="C1504" t="s">
        <v>863</v>
      </c>
      <c r="D1504" t="s">
        <v>13</v>
      </c>
      <c r="E1504" t="s">
        <v>69</v>
      </c>
      <c r="F1504" t="str">
        <f>VLOOKUP(Ramen_Ratings[[#This Row],[Country]],Country_Region[#All],2,FALSE)</f>
        <v>Africa</v>
      </c>
      <c r="G1504">
        <v>5</v>
      </c>
      <c r="H1504" t="str" cm="1">
        <f t="array" ref="H1504">_xlfn.IFS(Ramen_Ratings[[#This Row],[Stars]] = "Unrated", "NA",Ramen_Ratings[[#This Row],[Stars]]&gt;=4, "Good", Ramen_Ratings[[#This Row],[Stars]]&gt;2.5, "Fair", Ramen_Ratings[[#This Row],[Stars]] &gt;= 0, "Bad")</f>
        <v>Good</v>
      </c>
      <c r="J1504" t="str">
        <f>LEFT(Ramen_Ratings[[#This Row],[Top Ten]],4)</f>
        <v/>
      </c>
      <c r="K1504" t="str">
        <f>IF(Ramen_Ratings[[#This Row],[Top Ten]]="", "",RIGHT(Ramen_Ratings[[#This Row],[Top Ten]],LEN(Ramen_Ratings[[#This Row],[Top Ten]])-6))</f>
        <v/>
      </c>
    </row>
    <row r="1505" spans="1:11" x14ac:dyDescent="0.25">
      <c r="A1505">
        <v>1874</v>
      </c>
      <c r="B1505" t="s">
        <v>809</v>
      </c>
      <c r="C1505" t="s">
        <v>888</v>
      </c>
      <c r="D1505" t="s">
        <v>13</v>
      </c>
      <c r="E1505" t="s">
        <v>69</v>
      </c>
      <c r="F1505" t="str">
        <f>VLOOKUP(Ramen_Ratings[[#This Row],[Country]],Country_Region[#All],2,FALSE)</f>
        <v>Africa</v>
      </c>
      <c r="G1505">
        <v>2.5</v>
      </c>
      <c r="H1505" t="str" cm="1">
        <f t="array" ref="H1505">_xlfn.IFS(Ramen_Ratings[[#This Row],[Stars]] = "Unrated", "NA",Ramen_Ratings[[#This Row],[Stars]]&gt;=4, "Good", Ramen_Ratings[[#This Row],[Stars]]&gt;2.5, "Fair", Ramen_Ratings[[#This Row],[Stars]] &gt;= 0, "Bad")</f>
        <v>Bad</v>
      </c>
      <c r="J1505" t="str">
        <f>LEFT(Ramen_Ratings[[#This Row],[Top Ten]],4)</f>
        <v/>
      </c>
      <c r="K1505" t="str">
        <f>IF(Ramen_Ratings[[#This Row],[Top Ten]]="", "",RIGHT(Ramen_Ratings[[#This Row],[Top Ten]],LEN(Ramen_Ratings[[#This Row],[Top Ten]])-6))</f>
        <v/>
      </c>
    </row>
    <row r="1506" spans="1:11" x14ac:dyDescent="0.25">
      <c r="A1506">
        <v>1866</v>
      </c>
      <c r="B1506" t="s">
        <v>67</v>
      </c>
      <c r="C1506" t="s">
        <v>896</v>
      </c>
      <c r="D1506" t="s">
        <v>13</v>
      </c>
      <c r="E1506" t="s">
        <v>69</v>
      </c>
      <c r="F1506" t="str">
        <f>VLOOKUP(Ramen_Ratings[[#This Row],[Country]],Country_Region[#All],2,FALSE)</f>
        <v>Africa</v>
      </c>
      <c r="G1506">
        <v>5</v>
      </c>
      <c r="H1506" t="str" cm="1">
        <f t="array" ref="H1506">_xlfn.IFS(Ramen_Ratings[[#This Row],[Stars]] = "Unrated", "NA",Ramen_Ratings[[#This Row],[Stars]]&gt;=4, "Good", Ramen_Ratings[[#This Row],[Stars]]&gt;2.5, "Fair", Ramen_Ratings[[#This Row],[Stars]] &gt;= 0, "Bad")</f>
        <v>Good</v>
      </c>
      <c r="J1506" t="str">
        <f>LEFT(Ramen_Ratings[[#This Row],[Top Ten]],4)</f>
        <v/>
      </c>
      <c r="K1506" t="str">
        <f>IF(Ramen_Ratings[[#This Row],[Top Ten]]="", "",RIGHT(Ramen_Ratings[[#This Row],[Top Ten]],LEN(Ramen_Ratings[[#This Row],[Top Ten]])-6))</f>
        <v/>
      </c>
    </row>
    <row r="1507" spans="1:11" x14ac:dyDescent="0.25">
      <c r="A1507">
        <v>1862</v>
      </c>
      <c r="B1507" t="s">
        <v>809</v>
      </c>
      <c r="C1507" t="s">
        <v>902</v>
      </c>
      <c r="D1507" t="s">
        <v>13</v>
      </c>
      <c r="E1507" t="s">
        <v>69</v>
      </c>
      <c r="F1507" t="str">
        <f>VLOOKUP(Ramen_Ratings[[#This Row],[Country]],Country_Region[#All],2,FALSE)</f>
        <v>Africa</v>
      </c>
      <c r="G1507">
        <v>3.75</v>
      </c>
      <c r="H1507" t="str" cm="1">
        <f t="array" ref="H1507">_xlfn.IFS(Ramen_Ratings[[#This Row],[Stars]] = "Unrated", "NA",Ramen_Ratings[[#This Row],[Stars]]&gt;=4, "Good", Ramen_Ratings[[#This Row],[Stars]]&gt;2.5, "Fair", Ramen_Ratings[[#This Row],[Stars]] &gt;= 0, "Bad")</f>
        <v>Fair</v>
      </c>
      <c r="J1507" t="str">
        <f>LEFT(Ramen_Ratings[[#This Row],[Top Ten]],4)</f>
        <v/>
      </c>
      <c r="K1507" t="str">
        <f>IF(Ramen_Ratings[[#This Row],[Top Ten]]="", "",RIGHT(Ramen_Ratings[[#This Row],[Top Ten]],LEN(Ramen_Ratings[[#This Row],[Top Ten]])-6))</f>
        <v/>
      </c>
    </row>
    <row r="1508" spans="1:11" x14ac:dyDescent="0.25">
      <c r="A1508">
        <v>1849</v>
      </c>
      <c r="B1508" t="s">
        <v>916</v>
      </c>
      <c r="C1508" t="s">
        <v>917</v>
      </c>
      <c r="D1508" t="s">
        <v>13</v>
      </c>
      <c r="E1508" t="s">
        <v>69</v>
      </c>
      <c r="F1508" t="str">
        <f>VLOOKUP(Ramen_Ratings[[#This Row],[Country]],Country_Region[#All],2,FALSE)</f>
        <v>Africa</v>
      </c>
      <c r="G1508">
        <v>3.5</v>
      </c>
      <c r="H1508" t="str" cm="1">
        <f t="array" ref="H1508">_xlfn.IFS(Ramen_Ratings[[#This Row],[Stars]] = "Unrated", "NA",Ramen_Ratings[[#This Row],[Stars]]&gt;=4, "Good", Ramen_Ratings[[#This Row],[Stars]]&gt;2.5, "Fair", Ramen_Ratings[[#This Row],[Stars]] &gt;= 0, "Bad")</f>
        <v>Fair</v>
      </c>
      <c r="J1508" t="str">
        <f>LEFT(Ramen_Ratings[[#This Row],[Top Ten]],4)</f>
        <v/>
      </c>
      <c r="K1508" t="str">
        <f>IF(Ramen_Ratings[[#This Row],[Top Ten]]="", "",RIGHT(Ramen_Ratings[[#This Row],[Top Ten]],LEN(Ramen_Ratings[[#This Row],[Top Ten]])-6))</f>
        <v/>
      </c>
    </row>
    <row r="1509" spans="1:11" x14ac:dyDescent="0.25">
      <c r="A1509">
        <v>1848</v>
      </c>
      <c r="B1509" t="s">
        <v>67</v>
      </c>
      <c r="C1509" t="s">
        <v>918</v>
      </c>
      <c r="D1509" t="s">
        <v>13</v>
      </c>
      <c r="E1509" t="s">
        <v>69</v>
      </c>
      <c r="F1509" t="str">
        <f>VLOOKUP(Ramen_Ratings[[#This Row],[Country]],Country_Region[#All],2,FALSE)</f>
        <v>Africa</v>
      </c>
      <c r="G1509">
        <v>5</v>
      </c>
      <c r="H1509" t="str" cm="1">
        <f t="array" ref="H1509">_xlfn.IFS(Ramen_Ratings[[#This Row],[Stars]] = "Unrated", "NA",Ramen_Ratings[[#This Row],[Stars]]&gt;=4, "Good", Ramen_Ratings[[#This Row],[Stars]]&gt;2.5, "Fair", Ramen_Ratings[[#This Row],[Stars]] &gt;= 0, "Bad")</f>
        <v>Good</v>
      </c>
      <c r="J1509" t="str">
        <f>LEFT(Ramen_Ratings[[#This Row],[Top Ten]],4)</f>
        <v/>
      </c>
      <c r="K1509" t="str">
        <f>IF(Ramen_Ratings[[#This Row],[Top Ten]]="", "",RIGHT(Ramen_Ratings[[#This Row],[Top Ten]],LEN(Ramen_Ratings[[#This Row],[Top Ten]])-6))</f>
        <v/>
      </c>
    </row>
    <row r="1510" spans="1:11" x14ac:dyDescent="0.25">
      <c r="A1510">
        <v>1839</v>
      </c>
      <c r="B1510" t="s">
        <v>929</v>
      </c>
      <c r="C1510" t="s">
        <v>930</v>
      </c>
      <c r="D1510" t="s">
        <v>13</v>
      </c>
      <c r="E1510" t="s">
        <v>69</v>
      </c>
      <c r="F1510" t="str">
        <f>VLOOKUP(Ramen_Ratings[[#This Row],[Country]],Country_Region[#All],2,FALSE)</f>
        <v>Africa</v>
      </c>
      <c r="G1510">
        <v>5</v>
      </c>
      <c r="H1510" t="str" cm="1">
        <f t="array" ref="H1510">_xlfn.IFS(Ramen_Ratings[[#This Row],[Stars]] = "Unrated", "NA",Ramen_Ratings[[#This Row],[Stars]]&gt;=4, "Good", Ramen_Ratings[[#This Row],[Stars]]&gt;2.5, "Fair", Ramen_Ratings[[#This Row],[Stars]] &gt;= 0, "Bad")</f>
        <v>Good</v>
      </c>
      <c r="J1510" t="str">
        <f>LEFT(Ramen_Ratings[[#This Row],[Top Ten]],4)</f>
        <v/>
      </c>
      <c r="K1510" t="str">
        <f>IF(Ramen_Ratings[[#This Row],[Top Ten]]="", "",RIGHT(Ramen_Ratings[[#This Row],[Top Ten]],LEN(Ramen_Ratings[[#This Row],[Top Ten]])-6))</f>
        <v/>
      </c>
    </row>
    <row r="1511" spans="1:11" x14ac:dyDescent="0.25">
      <c r="A1511">
        <v>1838</v>
      </c>
      <c r="B1511" t="s">
        <v>929</v>
      </c>
      <c r="C1511" t="s">
        <v>931</v>
      </c>
      <c r="D1511" t="s">
        <v>13</v>
      </c>
      <c r="E1511" t="s">
        <v>69</v>
      </c>
      <c r="F1511" t="str">
        <f>VLOOKUP(Ramen_Ratings[[#This Row],[Country]],Country_Region[#All],2,FALSE)</f>
        <v>Africa</v>
      </c>
      <c r="G1511">
        <v>4.5</v>
      </c>
      <c r="H1511" t="str" cm="1">
        <f t="array" ref="H1511">_xlfn.IFS(Ramen_Ratings[[#This Row],[Stars]] = "Unrated", "NA",Ramen_Ratings[[#This Row],[Stars]]&gt;=4, "Good", Ramen_Ratings[[#This Row],[Stars]]&gt;2.5, "Fair", Ramen_Ratings[[#This Row],[Stars]] &gt;= 0, "Bad")</f>
        <v>Good</v>
      </c>
      <c r="J1511" t="str">
        <f>LEFT(Ramen_Ratings[[#This Row],[Top Ten]],4)</f>
        <v/>
      </c>
      <c r="K1511" t="str">
        <f>IF(Ramen_Ratings[[#This Row],[Top Ten]]="", "",RIGHT(Ramen_Ratings[[#This Row],[Top Ten]],LEN(Ramen_Ratings[[#This Row],[Top Ten]])-6))</f>
        <v/>
      </c>
    </row>
    <row r="1512" spans="1:11" x14ac:dyDescent="0.25">
      <c r="A1512">
        <v>1837</v>
      </c>
      <c r="B1512" t="s">
        <v>929</v>
      </c>
      <c r="C1512" t="s">
        <v>932</v>
      </c>
      <c r="D1512" t="s">
        <v>13</v>
      </c>
      <c r="E1512" t="s">
        <v>69</v>
      </c>
      <c r="F1512" t="str">
        <f>VLOOKUP(Ramen_Ratings[[#This Row],[Country]],Country_Region[#All],2,FALSE)</f>
        <v>Africa</v>
      </c>
      <c r="G1512">
        <v>5</v>
      </c>
      <c r="H1512" t="str" cm="1">
        <f t="array" ref="H1512">_xlfn.IFS(Ramen_Ratings[[#This Row],[Stars]] = "Unrated", "NA",Ramen_Ratings[[#This Row],[Stars]]&gt;=4, "Good", Ramen_Ratings[[#This Row],[Stars]]&gt;2.5, "Fair", Ramen_Ratings[[#This Row],[Stars]] &gt;= 0, "Bad")</f>
        <v>Good</v>
      </c>
      <c r="J1512" t="str">
        <f>LEFT(Ramen_Ratings[[#This Row],[Top Ten]],4)</f>
        <v/>
      </c>
      <c r="K1512" t="str">
        <f>IF(Ramen_Ratings[[#This Row],[Top Ten]]="", "",RIGHT(Ramen_Ratings[[#This Row],[Top Ten]],LEN(Ramen_Ratings[[#This Row],[Top Ten]])-6))</f>
        <v/>
      </c>
    </row>
    <row r="1513" spans="1:11" x14ac:dyDescent="0.25">
      <c r="A1513">
        <v>1836</v>
      </c>
      <c r="B1513" t="s">
        <v>929</v>
      </c>
      <c r="C1513" t="s">
        <v>933</v>
      </c>
      <c r="D1513" t="s">
        <v>13</v>
      </c>
      <c r="E1513" t="s">
        <v>69</v>
      </c>
      <c r="F1513" t="str">
        <f>VLOOKUP(Ramen_Ratings[[#This Row],[Country]],Country_Region[#All],2,FALSE)</f>
        <v>Africa</v>
      </c>
      <c r="G1513">
        <v>5</v>
      </c>
      <c r="H1513" t="str" cm="1">
        <f t="array" ref="H1513">_xlfn.IFS(Ramen_Ratings[[#This Row],[Stars]] = "Unrated", "NA",Ramen_Ratings[[#This Row],[Stars]]&gt;=4, "Good", Ramen_Ratings[[#This Row],[Stars]]&gt;2.5, "Fair", Ramen_Ratings[[#This Row],[Stars]] &gt;= 0, "Bad")</f>
        <v>Good</v>
      </c>
      <c r="J1513" t="str">
        <f>LEFT(Ramen_Ratings[[#This Row],[Top Ten]],4)</f>
        <v/>
      </c>
      <c r="K1513" t="str">
        <f>IF(Ramen_Ratings[[#This Row],[Top Ten]]="", "",RIGHT(Ramen_Ratings[[#This Row],[Top Ten]],LEN(Ramen_Ratings[[#This Row],[Top Ten]])-6))</f>
        <v/>
      </c>
    </row>
    <row r="1514" spans="1:11" x14ac:dyDescent="0.25">
      <c r="A1514">
        <v>1835</v>
      </c>
      <c r="B1514" t="s">
        <v>929</v>
      </c>
      <c r="C1514" t="s">
        <v>934</v>
      </c>
      <c r="D1514" t="s">
        <v>13</v>
      </c>
      <c r="E1514" t="s">
        <v>69</v>
      </c>
      <c r="F1514" t="str">
        <f>VLOOKUP(Ramen_Ratings[[#This Row],[Country]],Country_Region[#All],2,FALSE)</f>
        <v>Africa</v>
      </c>
      <c r="G1514">
        <v>5</v>
      </c>
      <c r="H1514" t="str" cm="1">
        <f t="array" ref="H1514">_xlfn.IFS(Ramen_Ratings[[#This Row],[Stars]] = "Unrated", "NA",Ramen_Ratings[[#This Row],[Stars]]&gt;=4, "Good", Ramen_Ratings[[#This Row],[Stars]]&gt;2.5, "Fair", Ramen_Ratings[[#This Row],[Stars]] &gt;= 0, "Bad")</f>
        <v>Good</v>
      </c>
      <c r="J1514" t="str">
        <f>LEFT(Ramen_Ratings[[#This Row],[Top Ten]],4)</f>
        <v/>
      </c>
      <c r="K1514" t="str">
        <f>IF(Ramen_Ratings[[#This Row],[Top Ten]]="", "",RIGHT(Ramen_Ratings[[#This Row],[Top Ten]],LEN(Ramen_Ratings[[#This Row],[Top Ten]])-6))</f>
        <v/>
      </c>
    </row>
    <row r="1515" spans="1:11" x14ac:dyDescent="0.25">
      <c r="A1515">
        <v>1834</v>
      </c>
      <c r="B1515" t="s">
        <v>929</v>
      </c>
      <c r="C1515" t="s">
        <v>935</v>
      </c>
      <c r="D1515" t="s">
        <v>13</v>
      </c>
      <c r="E1515" t="s">
        <v>69</v>
      </c>
      <c r="F1515" t="str">
        <f>VLOOKUP(Ramen_Ratings[[#This Row],[Country]],Country_Region[#All],2,FALSE)</f>
        <v>Africa</v>
      </c>
      <c r="G1515">
        <v>5</v>
      </c>
      <c r="H1515" t="str" cm="1">
        <f t="array" ref="H1515">_xlfn.IFS(Ramen_Ratings[[#This Row],[Stars]] = "Unrated", "NA",Ramen_Ratings[[#This Row],[Stars]]&gt;=4, "Good", Ramen_Ratings[[#This Row],[Stars]]&gt;2.5, "Fair", Ramen_Ratings[[#This Row],[Stars]] &gt;= 0, "Bad")</f>
        <v>Good</v>
      </c>
      <c r="J1515" t="str">
        <f>LEFT(Ramen_Ratings[[#This Row],[Top Ten]],4)</f>
        <v/>
      </c>
      <c r="K1515" t="str">
        <f>IF(Ramen_Ratings[[#This Row],[Top Ten]]="", "",RIGHT(Ramen_Ratings[[#This Row],[Top Ten]],LEN(Ramen_Ratings[[#This Row],[Top Ten]])-6))</f>
        <v/>
      </c>
    </row>
    <row r="1516" spans="1:11" x14ac:dyDescent="0.25">
      <c r="A1516">
        <v>1833</v>
      </c>
      <c r="B1516" t="s">
        <v>929</v>
      </c>
      <c r="C1516" t="s">
        <v>936</v>
      </c>
      <c r="D1516" t="s">
        <v>13</v>
      </c>
      <c r="E1516" t="s">
        <v>69</v>
      </c>
      <c r="F1516" t="str">
        <f>VLOOKUP(Ramen_Ratings[[#This Row],[Country]],Country_Region[#All],2,FALSE)</f>
        <v>Africa</v>
      </c>
      <c r="G1516">
        <v>3.75</v>
      </c>
      <c r="H1516" t="str" cm="1">
        <f t="array" ref="H1516">_xlfn.IFS(Ramen_Ratings[[#This Row],[Stars]] = "Unrated", "NA",Ramen_Ratings[[#This Row],[Stars]]&gt;=4, "Good", Ramen_Ratings[[#This Row],[Stars]]&gt;2.5, "Fair", Ramen_Ratings[[#This Row],[Stars]] &gt;= 0, "Bad")</f>
        <v>Fair</v>
      </c>
      <c r="J1516" t="str">
        <f>LEFT(Ramen_Ratings[[#This Row],[Top Ten]],4)</f>
        <v/>
      </c>
      <c r="K1516" t="str">
        <f>IF(Ramen_Ratings[[#This Row],[Top Ten]]="", "",RIGHT(Ramen_Ratings[[#This Row],[Top Ten]],LEN(Ramen_Ratings[[#This Row],[Top Ten]])-6))</f>
        <v/>
      </c>
    </row>
    <row r="1517" spans="1:11" x14ac:dyDescent="0.25">
      <c r="A1517">
        <v>1823</v>
      </c>
      <c r="B1517" t="s">
        <v>67</v>
      </c>
      <c r="C1517" t="s">
        <v>947</v>
      </c>
      <c r="D1517" t="s">
        <v>13</v>
      </c>
      <c r="E1517" t="s">
        <v>69</v>
      </c>
      <c r="F1517" t="str">
        <f>VLOOKUP(Ramen_Ratings[[#This Row],[Country]],Country_Region[#All],2,FALSE)</f>
        <v>Africa</v>
      </c>
      <c r="G1517">
        <v>4</v>
      </c>
      <c r="H1517" t="str" cm="1">
        <f t="array" ref="H1517">_xlfn.IFS(Ramen_Ratings[[#This Row],[Stars]] = "Unrated", "NA",Ramen_Ratings[[#This Row],[Stars]]&gt;=4, "Good", Ramen_Ratings[[#This Row],[Stars]]&gt;2.5, "Fair", Ramen_Ratings[[#This Row],[Stars]] &gt;= 0, "Bad")</f>
        <v>Good</v>
      </c>
      <c r="J1517" t="str">
        <f>LEFT(Ramen_Ratings[[#This Row],[Top Ten]],4)</f>
        <v/>
      </c>
      <c r="K1517" t="str">
        <f>IF(Ramen_Ratings[[#This Row],[Top Ten]]="", "",RIGHT(Ramen_Ratings[[#This Row],[Top Ten]],LEN(Ramen_Ratings[[#This Row],[Top Ten]])-6))</f>
        <v/>
      </c>
    </row>
    <row r="1518" spans="1:11" x14ac:dyDescent="0.25">
      <c r="A1518">
        <v>1817</v>
      </c>
      <c r="B1518" t="s">
        <v>955</v>
      </c>
      <c r="C1518" t="s">
        <v>956</v>
      </c>
      <c r="D1518" t="s">
        <v>44</v>
      </c>
      <c r="E1518" t="s">
        <v>69</v>
      </c>
      <c r="F1518" t="str">
        <f>VLOOKUP(Ramen_Ratings[[#This Row],[Country]],Country_Region[#All],2,FALSE)</f>
        <v>Africa</v>
      </c>
      <c r="G1518">
        <v>4</v>
      </c>
      <c r="H1518" t="str" cm="1">
        <f t="array" ref="H1518">_xlfn.IFS(Ramen_Ratings[[#This Row],[Stars]] = "Unrated", "NA",Ramen_Ratings[[#This Row],[Stars]]&gt;=4, "Good", Ramen_Ratings[[#This Row],[Stars]]&gt;2.5, "Fair", Ramen_Ratings[[#This Row],[Stars]] &gt;= 0, "Bad")</f>
        <v>Good</v>
      </c>
      <c r="J1518" t="str">
        <f>LEFT(Ramen_Ratings[[#This Row],[Top Ten]],4)</f>
        <v/>
      </c>
      <c r="K1518" t="str">
        <f>IF(Ramen_Ratings[[#This Row],[Top Ten]]="", "",RIGHT(Ramen_Ratings[[#This Row],[Top Ten]],LEN(Ramen_Ratings[[#This Row],[Top Ten]])-6))</f>
        <v/>
      </c>
    </row>
    <row r="1519" spans="1:11" x14ac:dyDescent="0.25">
      <c r="A1519">
        <v>1810</v>
      </c>
      <c r="B1519" t="s">
        <v>67</v>
      </c>
      <c r="C1519" t="s">
        <v>964</v>
      </c>
      <c r="D1519" t="s">
        <v>13</v>
      </c>
      <c r="E1519" t="s">
        <v>69</v>
      </c>
      <c r="F1519" t="str">
        <f>VLOOKUP(Ramen_Ratings[[#This Row],[Country]],Country_Region[#All],2,FALSE)</f>
        <v>Africa</v>
      </c>
      <c r="G1519">
        <v>5</v>
      </c>
      <c r="H1519" t="str" cm="1">
        <f t="array" ref="H1519">_xlfn.IFS(Ramen_Ratings[[#This Row],[Stars]] = "Unrated", "NA",Ramen_Ratings[[#This Row],[Stars]]&gt;=4, "Good", Ramen_Ratings[[#This Row],[Stars]]&gt;2.5, "Fair", Ramen_Ratings[[#This Row],[Stars]] &gt;= 0, "Bad")</f>
        <v>Good</v>
      </c>
      <c r="J1519" t="str">
        <f>LEFT(Ramen_Ratings[[#This Row],[Top Ten]],4)</f>
        <v/>
      </c>
      <c r="K1519" t="str">
        <f>IF(Ramen_Ratings[[#This Row],[Top Ten]]="", "",RIGHT(Ramen_Ratings[[#This Row],[Top Ten]],LEN(Ramen_Ratings[[#This Row],[Top Ten]])-6))</f>
        <v/>
      </c>
    </row>
    <row r="1520" spans="1:11" x14ac:dyDescent="0.25">
      <c r="A1520">
        <v>1806</v>
      </c>
      <c r="B1520" t="s">
        <v>401</v>
      </c>
      <c r="C1520" t="s">
        <v>968</v>
      </c>
      <c r="D1520" t="s">
        <v>13</v>
      </c>
      <c r="E1520" t="s">
        <v>69</v>
      </c>
      <c r="F1520" t="str">
        <f>VLOOKUP(Ramen_Ratings[[#This Row],[Country]],Country_Region[#All],2,FALSE)</f>
        <v>Africa</v>
      </c>
      <c r="G1520">
        <v>3.5</v>
      </c>
      <c r="H1520" t="str" cm="1">
        <f t="array" ref="H1520">_xlfn.IFS(Ramen_Ratings[[#This Row],[Stars]] = "Unrated", "NA",Ramen_Ratings[[#This Row],[Stars]]&gt;=4, "Good", Ramen_Ratings[[#This Row],[Stars]]&gt;2.5, "Fair", Ramen_Ratings[[#This Row],[Stars]] &gt;= 0, "Bad")</f>
        <v>Fair</v>
      </c>
      <c r="J1520" t="str">
        <f>LEFT(Ramen_Ratings[[#This Row],[Top Ten]],4)</f>
        <v/>
      </c>
      <c r="K1520" t="str">
        <f>IF(Ramen_Ratings[[#This Row],[Top Ten]]="", "",RIGHT(Ramen_Ratings[[#This Row],[Top Ten]],LEN(Ramen_Ratings[[#This Row],[Top Ten]])-6))</f>
        <v/>
      </c>
    </row>
    <row r="1521" spans="1:11" x14ac:dyDescent="0.25">
      <c r="A1521">
        <v>1794</v>
      </c>
      <c r="B1521" t="s">
        <v>929</v>
      </c>
      <c r="C1521" t="s">
        <v>983</v>
      </c>
      <c r="D1521" t="s">
        <v>13</v>
      </c>
      <c r="E1521" t="s">
        <v>69</v>
      </c>
      <c r="F1521" t="str">
        <f>VLOOKUP(Ramen_Ratings[[#This Row],[Country]],Country_Region[#All],2,FALSE)</f>
        <v>Africa</v>
      </c>
      <c r="G1521">
        <v>3</v>
      </c>
      <c r="H1521" t="str" cm="1">
        <f t="array" ref="H1521">_xlfn.IFS(Ramen_Ratings[[#This Row],[Stars]] = "Unrated", "NA",Ramen_Ratings[[#This Row],[Stars]]&gt;=4, "Good", Ramen_Ratings[[#This Row],[Stars]]&gt;2.5, "Fair", Ramen_Ratings[[#This Row],[Stars]] &gt;= 0, "Bad")</f>
        <v>Fair</v>
      </c>
      <c r="J1521" t="str">
        <f>LEFT(Ramen_Ratings[[#This Row],[Top Ten]],4)</f>
        <v/>
      </c>
      <c r="K1521" t="str">
        <f>IF(Ramen_Ratings[[#This Row],[Top Ten]]="", "",RIGHT(Ramen_Ratings[[#This Row],[Top Ten]],LEN(Ramen_Ratings[[#This Row],[Top Ten]])-6))</f>
        <v/>
      </c>
    </row>
    <row r="1522" spans="1:11" x14ac:dyDescent="0.25">
      <c r="A1522">
        <v>1793</v>
      </c>
      <c r="B1522" t="s">
        <v>401</v>
      </c>
      <c r="C1522" t="s">
        <v>984</v>
      </c>
      <c r="D1522" t="s">
        <v>13</v>
      </c>
      <c r="E1522" t="s">
        <v>69</v>
      </c>
      <c r="F1522" t="str">
        <f>VLOOKUP(Ramen_Ratings[[#This Row],[Country]],Country_Region[#All],2,FALSE)</f>
        <v>Africa</v>
      </c>
      <c r="G1522">
        <v>3.5</v>
      </c>
      <c r="H1522" t="str" cm="1">
        <f t="array" ref="H1522">_xlfn.IFS(Ramen_Ratings[[#This Row],[Stars]] = "Unrated", "NA",Ramen_Ratings[[#This Row],[Stars]]&gt;=4, "Good", Ramen_Ratings[[#This Row],[Stars]]&gt;2.5, "Fair", Ramen_Ratings[[#This Row],[Stars]] &gt;= 0, "Bad")</f>
        <v>Fair</v>
      </c>
      <c r="J1522" t="str">
        <f>LEFT(Ramen_Ratings[[#This Row],[Top Ten]],4)</f>
        <v/>
      </c>
      <c r="K1522" t="str">
        <f>IF(Ramen_Ratings[[#This Row],[Top Ten]]="", "",RIGHT(Ramen_Ratings[[#This Row],[Top Ten]],LEN(Ramen_Ratings[[#This Row],[Top Ten]])-6))</f>
        <v/>
      </c>
    </row>
    <row r="1523" spans="1:11" x14ac:dyDescent="0.25">
      <c r="A1523">
        <v>1792</v>
      </c>
      <c r="B1523" t="s">
        <v>696</v>
      </c>
      <c r="C1523" t="s">
        <v>985</v>
      </c>
      <c r="D1523" t="s">
        <v>13</v>
      </c>
      <c r="E1523" t="s">
        <v>69</v>
      </c>
      <c r="F1523" t="str">
        <f>VLOOKUP(Ramen_Ratings[[#This Row],[Country]],Country_Region[#All],2,FALSE)</f>
        <v>Africa</v>
      </c>
      <c r="G1523">
        <v>3.5</v>
      </c>
      <c r="H1523" t="str" cm="1">
        <f t="array" ref="H1523">_xlfn.IFS(Ramen_Ratings[[#This Row],[Stars]] = "Unrated", "NA",Ramen_Ratings[[#This Row],[Stars]]&gt;=4, "Good", Ramen_Ratings[[#This Row],[Stars]]&gt;2.5, "Fair", Ramen_Ratings[[#This Row],[Stars]] &gt;= 0, "Bad")</f>
        <v>Fair</v>
      </c>
      <c r="J1523" t="str">
        <f>LEFT(Ramen_Ratings[[#This Row],[Top Ten]],4)</f>
        <v/>
      </c>
      <c r="K1523" t="str">
        <f>IF(Ramen_Ratings[[#This Row],[Top Ten]]="", "",RIGHT(Ramen_Ratings[[#This Row],[Top Ten]],LEN(Ramen_Ratings[[#This Row],[Top Ten]])-6))</f>
        <v/>
      </c>
    </row>
    <row r="1524" spans="1:11" x14ac:dyDescent="0.25">
      <c r="A1524">
        <v>1791</v>
      </c>
      <c r="B1524" t="s">
        <v>929</v>
      </c>
      <c r="C1524" t="s">
        <v>986</v>
      </c>
      <c r="D1524" t="s">
        <v>13</v>
      </c>
      <c r="E1524" t="s">
        <v>69</v>
      </c>
      <c r="F1524" t="str">
        <f>VLOOKUP(Ramen_Ratings[[#This Row],[Country]],Country_Region[#All],2,FALSE)</f>
        <v>Africa</v>
      </c>
      <c r="G1524">
        <v>4.25</v>
      </c>
      <c r="H1524" t="str" cm="1">
        <f t="array" ref="H1524">_xlfn.IFS(Ramen_Ratings[[#This Row],[Stars]] = "Unrated", "NA",Ramen_Ratings[[#This Row],[Stars]]&gt;=4, "Good", Ramen_Ratings[[#This Row],[Stars]]&gt;2.5, "Fair", Ramen_Ratings[[#This Row],[Stars]] &gt;= 0, "Bad")</f>
        <v>Good</v>
      </c>
      <c r="J1524" t="str">
        <f>LEFT(Ramen_Ratings[[#This Row],[Top Ten]],4)</f>
        <v/>
      </c>
      <c r="K1524" t="str">
        <f>IF(Ramen_Ratings[[#This Row],[Top Ten]]="", "",RIGHT(Ramen_Ratings[[#This Row],[Top Ten]],LEN(Ramen_Ratings[[#This Row],[Top Ten]])-6))</f>
        <v/>
      </c>
    </row>
    <row r="1525" spans="1:11" x14ac:dyDescent="0.25">
      <c r="A1525">
        <v>1790</v>
      </c>
      <c r="B1525" t="s">
        <v>987</v>
      </c>
      <c r="C1525" t="s">
        <v>988</v>
      </c>
      <c r="D1525" t="s">
        <v>9</v>
      </c>
      <c r="E1525" t="s">
        <v>69</v>
      </c>
      <c r="F1525" t="str">
        <f>VLOOKUP(Ramen_Ratings[[#This Row],[Country]],Country_Region[#All],2,FALSE)</f>
        <v>Africa</v>
      </c>
      <c r="G1525">
        <v>4.5</v>
      </c>
      <c r="H1525" t="str" cm="1">
        <f t="array" ref="H1525">_xlfn.IFS(Ramen_Ratings[[#This Row],[Stars]] = "Unrated", "NA",Ramen_Ratings[[#This Row],[Stars]]&gt;=4, "Good", Ramen_Ratings[[#This Row],[Stars]]&gt;2.5, "Fair", Ramen_Ratings[[#This Row],[Stars]] &gt;= 0, "Bad")</f>
        <v>Good</v>
      </c>
      <c r="J1525" t="str">
        <f>LEFT(Ramen_Ratings[[#This Row],[Top Ten]],4)</f>
        <v/>
      </c>
      <c r="K1525" t="str">
        <f>IF(Ramen_Ratings[[#This Row],[Top Ten]]="", "",RIGHT(Ramen_Ratings[[#This Row],[Top Ten]],LEN(Ramen_Ratings[[#This Row],[Top Ten]])-6))</f>
        <v/>
      </c>
    </row>
    <row r="1526" spans="1:11" x14ac:dyDescent="0.25">
      <c r="A1526">
        <v>1789</v>
      </c>
      <c r="B1526" t="s">
        <v>401</v>
      </c>
      <c r="C1526" t="s">
        <v>989</v>
      </c>
      <c r="D1526" t="s">
        <v>13</v>
      </c>
      <c r="E1526" t="s">
        <v>69</v>
      </c>
      <c r="F1526" t="str">
        <f>VLOOKUP(Ramen_Ratings[[#This Row],[Country]],Country_Region[#All],2,FALSE)</f>
        <v>Africa</v>
      </c>
      <c r="G1526">
        <v>3.5</v>
      </c>
      <c r="H1526" t="str" cm="1">
        <f t="array" ref="H1526">_xlfn.IFS(Ramen_Ratings[[#This Row],[Stars]] = "Unrated", "NA",Ramen_Ratings[[#This Row],[Stars]]&gt;=4, "Good", Ramen_Ratings[[#This Row],[Stars]]&gt;2.5, "Fair", Ramen_Ratings[[#This Row],[Stars]] &gt;= 0, "Bad")</f>
        <v>Fair</v>
      </c>
      <c r="J1526" t="str">
        <f>LEFT(Ramen_Ratings[[#This Row],[Top Ten]],4)</f>
        <v/>
      </c>
      <c r="K1526" t="str">
        <f>IF(Ramen_Ratings[[#This Row],[Top Ten]]="", "",RIGHT(Ramen_Ratings[[#This Row],[Top Ten]],LEN(Ramen_Ratings[[#This Row],[Top Ten]])-6))</f>
        <v/>
      </c>
    </row>
    <row r="1527" spans="1:11" x14ac:dyDescent="0.25">
      <c r="A1527">
        <v>1788</v>
      </c>
      <c r="B1527" t="s">
        <v>987</v>
      </c>
      <c r="C1527" t="s">
        <v>990</v>
      </c>
      <c r="D1527" t="s">
        <v>9</v>
      </c>
      <c r="E1527" t="s">
        <v>69</v>
      </c>
      <c r="F1527" t="str">
        <f>VLOOKUP(Ramen_Ratings[[#This Row],[Country]],Country_Region[#All],2,FALSE)</f>
        <v>Africa</v>
      </c>
      <c r="G1527">
        <v>3</v>
      </c>
      <c r="H1527" t="str" cm="1">
        <f t="array" ref="H1527">_xlfn.IFS(Ramen_Ratings[[#This Row],[Stars]] = "Unrated", "NA",Ramen_Ratings[[#This Row],[Stars]]&gt;=4, "Good", Ramen_Ratings[[#This Row],[Stars]]&gt;2.5, "Fair", Ramen_Ratings[[#This Row],[Stars]] &gt;= 0, "Bad")</f>
        <v>Fair</v>
      </c>
      <c r="J1527" t="str">
        <f>LEFT(Ramen_Ratings[[#This Row],[Top Ten]],4)</f>
        <v/>
      </c>
      <c r="K1527" t="str">
        <f>IF(Ramen_Ratings[[#This Row],[Top Ten]]="", "",RIGHT(Ramen_Ratings[[#This Row],[Top Ten]],LEN(Ramen_Ratings[[#This Row],[Top Ten]])-6))</f>
        <v/>
      </c>
    </row>
    <row r="1528" spans="1:11" x14ac:dyDescent="0.25">
      <c r="A1528">
        <v>1787</v>
      </c>
      <c r="B1528" t="s">
        <v>916</v>
      </c>
      <c r="C1528" t="s">
        <v>991</v>
      </c>
      <c r="D1528" t="s">
        <v>13</v>
      </c>
      <c r="E1528" t="s">
        <v>69</v>
      </c>
      <c r="F1528" t="str">
        <f>VLOOKUP(Ramen_Ratings[[#This Row],[Country]],Country_Region[#All],2,FALSE)</f>
        <v>Africa</v>
      </c>
      <c r="G1528">
        <v>4</v>
      </c>
      <c r="H1528" t="str" cm="1">
        <f t="array" ref="H1528">_xlfn.IFS(Ramen_Ratings[[#This Row],[Stars]] = "Unrated", "NA",Ramen_Ratings[[#This Row],[Stars]]&gt;=4, "Good", Ramen_Ratings[[#This Row],[Stars]]&gt;2.5, "Fair", Ramen_Ratings[[#This Row],[Stars]] &gt;= 0, "Bad")</f>
        <v>Good</v>
      </c>
      <c r="J1528" t="str">
        <f>LEFT(Ramen_Ratings[[#This Row],[Top Ten]],4)</f>
        <v/>
      </c>
      <c r="K1528" t="str">
        <f>IF(Ramen_Ratings[[#This Row],[Top Ten]]="", "",RIGHT(Ramen_Ratings[[#This Row],[Top Ten]],LEN(Ramen_Ratings[[#This Row],[Top Ten]])-6))</f>
        <v/>
      </c>
    </row>
    <row r="1529" spans="1:11" x14ac:dyDescent="0.25">
      <c r="A1529">
        <v>1785</v>
      </c>
      <c r="B1529" t="s">
        <v>987</v>
      </c>
      <c r="C1529" t="s">
        <v>993</v>
      </c>
      <c r="D1529" t="s">
        <v>9</v>
      </c>
      <c r="E1529" t="s">
        <v>69</v>
      </c>
      <c r="F1529" t="str">
        <f>VLOOKUP(Ramen_Ratings[[#This Row],[Country]],Country_Region[#All],2,FALSE)</f>
        <v>Africa</v>
      </c>
      <c r="G1529">
        <v>3.5</v>
      </c>
      <c r="H1529" t="str" cm="1">
        <f t="array" ref="H1529">_xlfn.IFS(Ramen_Ratings[[#This Row],[Stars]] = "Unrated", "NA",Ramen_Ratings[[#This Row],[Stars]]&gt;=4, "Good", Ramen_Ratings[[#This Row],[Stars]]&gt;2.5, "Fair", Ramen_Ratings[[#This Row],[Stars]] &gt;= 0, "Bad")</f>
        <v>Fair</v>
      </c>
      <c r="J1529" t="str">
        <f>LEFT(Ramen_Ratings[[#This Row],[Top Ten]],4)</f>
        <v/>
      </c>
      <c r="K1529" t="str">
        <f>IF(Ramen_Ratings[[#This Row],[Top Ten]]="", "",RIGHT(Ramen_Ratings[[#This Row],[Top Ten]],LEN(Ramen_Ratings[[#This Row],[Top Ten]])-6))</f>
        <v/>
      </c>
    </row>
    <row r="1530" spans="1:11" x14ac:dyDescent="0.25">
      <c r="A1530">
        <v>1781</v>
      </c>
      <c r="B1530" t="s">
        <v>67</v>
      </c>
      <c r="C1530" t="s">
        <v>998</v>
      </c>
      <c r="D1530" t="s">
        <v>44</v>
      </c>
      <c r="E1530" t="s">
        <v>69</v>
      </c>
      <c r="F1530" t="str">
        <f>VLOOKUP(Ramen_Ratings[[#This Row],[Country]],Country_Region[#All],2,FALSE)</f>
        <v>Africa</v>
      </c>
      <c r="G1530">
        <v>5</v>
      </c>
      <c r="H1530" t="str" cm="1">
        <f t="array" ref="H1530">_xlfn.IFS(Ramen_Ratings[[#This Row],[Stars]] = "Unrated", "NA",Ramen_Ratings[[#This Row],[Stars]]&gt;=4, "Good", Ramen_Ratings[[#This Row],[Stars]]&gt;2.5, "Fair", Ramen_Ratings[[#This Row],[Stars]] &gt;= 0, "Bad")</f>
        <v>Good</v>
      </c>
      <c r="J1530" t="str">
        <f>LEFT(Ramen_Ratings[[#This Row],[Top Ten]],4)</f>
        <v/>
      </c>
      <c r="K1530" t="str">
        <f>IF(Ramen_Ratings[[#This Row],[Top Ten]]="", "",RIGHT(Ramen_Ratings[[#This Row],[Top Ten]],LEN(Ramen_Ratings[[#This Row],[Top Ten]])-6))</f>
        <v/>
      </c>
    </row>
    <row r="1531" spans="1:11" x14ac:dyDescent="0.25">
      <c r="A1531">
        <v>1769</v>
      </c>
      <c r="B1531" t="s">
        <v>668</v>
      </c>
      <c r="C1531" t="s">
        <v>1011</v>
      </c>
      <c r="D1531" t="s">
        <v>13</v>
      </c>
      <c r="E1531" t="s">
        <v>69</v>
      </c>
      <c r="F1531" t="str">
        <f>VLOOKUP(Ramen_Ratings[[#This Row],[Country]],Country_Region[#All],2,FALSE)</f>
        <v>Africa</v>
      </c>
      <c r="G1531">
        <v>5</v>
      </c>
      <c r="H1531" t="str" cm="1">
        <f t="array" ref="H1531">_xlfn.IFS(Ramen_Ratings[[#This Row],[Stars]] = "Unrated", "NA",Ramen_Ratings[[#This Row],[Stars]]&gt;=4, "Good", Ramen_Ratings[[#This Row],[Stars]]&gt;2.5, "Fair", Ramen_Ratings[[#This Row],[Stars]] &gt;= 0, "Bad")</f>
        <v>Good</v>
      </c>
      <c r="J1531" t="str">
        <f>LEFT(Ramen_Ratings[[#This Row],[Top Ten]],4)</f>
        <v/>
      </c>
      <c r="K1531" t="str">
        <f>IF(Ramen_Ratings[[#This Row],[Top Ten]]="", "",RIGHT(Ramen_Ratings[[#This Row],[Top Ten]],LEN(Ramen_Ratings[[#This Row],[Top Ten]])-6))</f>
        <v/>
      </c>
    </row>
    <row r="1532" spans="1:11" x14ac:dyDescent="0.25">
      <c r="A1532">
        <v>1758</v>
      </c>
      <c r="B1532" t="s">
        <v>929</v>
      </c>
      <c r="C1532" t="s">
        <v>1023</v>
      </c>
      <c r="D1532" t="s">
        <v>13</v>
      </c>
      <c r="E1532" t="s">
        <v>69</v>
      </c>
      <c r="F1532" t="str">
        <f>VLOOKUP(Ramen_Ratings[[#This Row],[Country]],Country_Region[#All],2,FALSE)</f>
        <v>Africa</v>
      </c>
      <c r="G1532">
        <v>3.5</v>
      </c>
      <c r="H1532" t="str" cm="1">
        <f t="array" ref="H1532">_xlfn.IFS(Ramen_Ratings[[#This Row],[Stars]] = "Unrated", "NA",Ramen_Ratings[[#This Row],[Stars]]&gt;=4, "Good", Ramen_Ratings[[#This Row],[Stars]]&gt;2.5, "Fair", Ramen_Ratings[[#This Row],[Stars]] &gt;= 0, "Bad")</f>
        <v>Fair</v>
      </c>
      <c r="J1532" t="str">
        <f>LEFT(Ramen_Ratings[[#This Row],[Top Ten]],4)</f>
        <v/>
      </c>
      <c r="K1532" t="str">
        <f>IF(Ramen_Ratings[[#This Row],[Top Ten]]="", "",RIGHT(Ramen_Ratings[[#This Row],[Top Ten]],LEN(Ramen_Ratings[[#This Row],[Top Ten]])-6))</f>
        <v/>
      </c>
    </row>
    <row r="1533" spans="1:11" x14ac:dyDescent="0.25">
      <c r="A1533">
        <v>1747</v>
      </c>
      <c r="B1533" t="s">
        <v>929</v>
      </c>
      <c r="C1533" t="s">
        <v>1033</v>
      </c>
      <c r="D1533" t="s">
        <v>13</v>
      </c>
      <c r="E1533" t="s">
        <v>69</v>
      </c>
      <c r="F1533" t="str">
        <f>VLOOKUP(Ramen_Ratings[[#This Row],[Country]],Country_Region[#All],2,FALSE)</f>
        <v>Africa</v>
      </c>
      <c r="G1533">
        <v>3.5</v>
      </c>
      <c r="H1533" t="str" cm="1">
        <f t="array" ref="H1533">_xlfn.IFS(Ramen_Ratings[[#This Row],[Stars]] = "Unrated", "NA",Ramen_Ratings[[#This Row],[Stars]]&gt;=4, "Good", Ramen_Ratings[[#This Row],[Stars]]&gt;2.5, "Fair", Ramen_Ratings[[#This Row],[Stars]] &gt;= 0, "Bad")</f>
        <v>Fair</v>
      </c>
      <c r="J1533" t="str">
        <f>LEFT(Ramen_Ratings[[#This Row],[Top Ten]],4)</f>
        <v/>
      </c>
      <c r="K1533" t="str">
        <f>IF(Ramen_Ratings[[#This Row],[Top Ten]]="", "",RIGHT(Ramen_Ratings[[#This Row],[Top Ten]],LEN(Ramen_Ratings[[#This Row],[Top Ten]])-6))</f>
        <v/>
      </c>
    </row>
    <row r="1534" spans="1:11" x14ac:dyDescent="0.25">
      <c r="A1534">
        <v>1742</v>
      </c>
      <c r="B1534" t="s">
        <v>1038</v>
      </c>
      <c r="C1534" t="s">
        <v>1039</v>
      </c>
      <c r="D1534" t="s">
        <v>13</v>
      </c>
      <c r="E1534" t="s">
        <v>69</v>
      </c>
      <c r="F1534" t="str">
        <f>VLOOKUP(Ramen_Ratings[[#This Row],[Country]],Country_Region[#All],2,FALSE)</f>
        <v>Africa</v>
      </c>
      <c r="G1534">
        <v>4.5</v>
      </c>
      <c r="H1534" t="str" cm="1">
        <f t="array" ref="H1534">_xlfn.IFS(Ramen_Ratings[[#This Row],[Stars]] = "Unrated", "NA",Ramen_Ratings[[#This Row],[Stars]]&gt;=4, "Good", Ramen_Ratings[[#This Row],[Stars]]&gt;2.5, "Fair", Ramen_Ratings[[#This Row],[Stars]] &gt;= 0, "Bad")</f>
        <v>Good</v>
      </c>
      <c r="J1534" t="str">
        <f>LEFT(Ramen_Ratings[[#This Row],[Top Ten]],4)</f>
        <v/>
      </c>
      <c r="K1534" t="str">
        <f>IF(Ramen_Ratings[[#This Row],[Top Ten]]="", "",RIGHT(Ramen_Ratings[[#This Row],[Top Ten]],LEN(Ramen_Ratings[[#This Row],[Top Ten]])-6))</f>
        <v/>
      </c>
    </row>
    <row r="1535" spans="1:11" x14ac:dyDescent="0.25">
      <c r="A1535">
        <v>1736</v>
      </c>
      <c r="B1535" t="s">
        <v>668</v>
      </c>
      <c r="C1535" t="s">
        <v>1044</v>
      </c>
      <c r="D1535" t="s">
        <v>13</v>
      </c>
      <c r="E1535" t="s">
        <v>69</v>
      </c>
      <c r="F1535" t="str">
        <f>VLOOKUP(Ramen_Ratings[[#This Row],[Country]],Country_Region[#All],2,FALSE)</f>
        <v>Africa</v>
      </c>
      <c r="G1535">
        <v>5</v>
      </c>
      <c r="H1535" t="str" cm="1">
        <f t="array" ref="H1535">_xlfn.IFS(Ramen_Ratings[[#This Row],[Stars]] = "Unrated", "NA",Ramen_Ratings[[#This Row],[Stars]]&gt;=4, "Good", Ramen_Ratings[[#This Row],[Stars]]&gt;2.5, "Fair", Ramen_Ratings[[#This Row],[Stars]] &gt;= 0, "Bad")</f>
        <v>Good</v>
      </c>
      <c r="J1535" t="str">
        <f>LEFT(Ramen_Ratings[[#This Row],[Top Ten]],4)</f>
        <v/>
      </c>
      <c r="K1535" t="str">
        <f>IF(Ramen_Ratings[[#This Row],[Top Ten]]="", "",RIGHT(Ramen_Ratings[[#This Row],[Top Ten]],LEN(Ramen_Ratings[[#This Row],[Top Ten]])-6))</f>
        <v/>
      </c>
    </row>
    <row r="1536" spans="1:11" x14ac:dyDescent="0.25">
      <c r="A1536">
        <v>1732</v>
      </c>
      <c r="B1536" t="s">
        <v>987</v>
      </c>
      <c r="C1536" t="s">
        <v>1047</v>
      </c>
      <c r="D1536" t="s">
        <v>9</v>
      </c>
      <c r="E1536" t="s">
        <v>69</v>
      </c>
      <c r="F1536" t="str">
        <f>VLOOKUP(Ramen_Ratings[[#This Row],[Country]],Country_Region[#All],2,FALSE)</f>
        <v>Africa</v>
      </c>
      <c r="G1536">
        <v>3.25</v>
      </c>
      <c r="H1536" t="str" cm="1">
        <f t="array" ref="H1536">_xlfn.IFS(Ramen_Ratings[[#This Row],[Stars]] = "Unrated", "NA",Ramen_Ratings[[#This Row],[Stars]]&gt;=4, "Good", Ramen_Ratings[[#This Row],[Stars]]&gt;2.5, "Fair", Ramen_Ratings[[#This Row],[Stars]] &gt;= 0, "Bad")</f>
        <v>Fair</v>
      </c>
      <c r="J1536" t="str">
        <f>LEFT(Ramen_Ratings[[#This Row],[Top Ten]],4)</f>
        <v/>
      </c>
      <c r="K1536" t="str">
        <f>IF(Ramen_Ratings[[#This Row],[Top Ten]]="", "",RIGHT(Ramen_Ratings[[#This Row],[Top Ten]],LEN(Ramen_Ratings[[#This Row],[Top Ten]])-6))</f>
        <v/>
      </c>
    </row>
    <row r="1537" spans="1:11" x14ac:dyDescent="0.25">
      <c r="A1537">
        <v>1722</v>
      </c>
      <c r="B1537" t="s">
        <v>595</v>
      </c>
      <c r="C1537" t="s">
        <v>1061</v>
      </c>
      <c r="D1537" t="s">
        <v>13</v>
      </c>
      <c r="E1537" t="s">
        <v>69</v>
      </c>
      <c r="F1537" t="str">
        <f>VLOOKUP(Ramen_Ratings[[#This Row],[Country]],Country_Region[#All],2,FALSE)</f>
        <v>Africa</v>
      </c>
      <c r="G1537">
        <v>4.5</v>
      </c>
      <c r="H1537" t="str" cm="1">
        <f t="array" ref="H1537">_xlfn.IFS(Ramen_Ratings[[#This Row],[Stars]] = "Unrated", "NA",Ramen_Ratings[[#This Row],[Stars]]&gt;=4, "Good", Ramen_Ratings[[#This Row],[Stars]]&gt;2.5, "Fair", Ramen_Ratings[[#This Row],[Stars]] &gt;= 0, "Bad")</f>
        <v>Good</v>
      </c>
      <c r="J1537" t="str">
        <f>LEFT(Ramen_Ratings[[#This Row],[Top Ten]],4)</f>
        <v/>
      </c>
      <c r="K1537" t="str">
        <f>IF(Ramen_Ratings[[#This Row],[Top Ten]]="", "",RIGHT(Ramen_Ratings[[#This Row],[Top Ten]],LEN(Ramen_Ratings[[#This Row],[Top Ten]])-6))</f>
        <v/>
      </c>
    </row>
    <row r="1538" spans="1:11" x14ac:dyDescent="0.25">
      <c r="A1538">
        <v>1720</v>
      </c>
      <c r="B1538" t="s">
        <v>668</v>
      </c>
      <c r="C1538" t="s">
        <v>1011</v>
      </c>
      <c r="D1538" t="s">
        <v>9</v>
      </c>
      <c r="E1538" t="s">
        <v>69</v>
      </c>
      <c r="F1538" t="str">
        <f>VLOOKUP(Ramen_Ratings[[#This Row],[Country]],Country_Region[#All],2,FALSE)</f>
        <v>Africa</v>
      </c>
      <c r="G1538">
        <v>5</v>
      </c>
      <c r="H1538" t="str" cm="1">
        <f t="array" ref="H1538">_xlfn.IFS(Ramen_Ratings[[#This Row],[Stars]] = "Unrated", "NA",Ramen_Ratings[[#This Row],[Stars]]&gt;=4, "Good", Ramen_Ratings[[#This Row],[Stars]]&gt;2.5, "Fair", Ramen_Ratings[[#This Row],[Stars]] &gt;= 0, "Bad")</f>
        <v>Good</v>
      </c>
      <c r="J1538" t="str">
        <f>LEFT(Ramen_Ratings[[#This Row],[Top Ten]],4)</f>
        <v/>
      </c>
      <c r="K1538" t="str">
        <f>IF(Ramen_Ratings[[#This Row],[Top Ten]]="", "",RIGHT(Ramen_Ratings[[#This Row],[Top Ten]],LEN(Ramen_Ratings[[#This Row],[Top Ten]])-6))</f>
        <v/>
      </c>
    </row>
    <row r="1539" spans="1:11" x14ac:dyDescent="0.25">
      <c r="A1539">
        <v>1713</v>
      </c>
      <c r="B1539" t="s">
        <v>595</v>
      </c>
      <c r="C1539" t="s">
        <v>1072</v>
      </c>
      <c r="D1539" t="s">
        <v>13</v>
      </c>
      <c r="E1539" t="s">
        <v>69</v>
      </c>
      <c r="F1539" t="str">
        <f>VLOOKUP(Ramen_Ratings[[#This Row],[Country]],Country_Region[#All],2,FALSE)</f>
        <v>Africa</v>
      </c>
      <c r="G1539">
        <v>5</v>
      </c>
      <c r="H1539" t="str" cm="1">
        <f t="array" ref="H1539">_xlfn.IFS(Ramen_Ratings[[#This Row],[Stars]] = "Unrated", "NA",Ramen_Ratings[[#This Row],[Stars]]&gt;=4, "Good", Ramen_Ratings[[#This Row],[Stars]]&gt;2.5, "Fair", Ramen_Ratings[[#This Row],[Stars]] &gt;= 0, "Bad")</f>
        <v>Good</v>
      </c>
      <c r="J1539" t="str">
        <f>LEFT(Ramen_Ratings[[#This Row],[Top Ten]],4)</f>
        <v/>
      </c>
      <c r="K1539" t="str">
        <f>IF(Ramen_Ratings[[#This Row],[Top Ten]]="", "",RIGHT(Ramen_Ratings[[#This Row],[Top Ten]],LEN(Ramen_Ratings[[#This Row],[Top Ten]])-6))</f>
        <v/>
      </c>
    </row>
    <row r="1540" spans="1:11" x14ac:dyDescent="0.25">
      <c r="A1540">
        <v>1711</v>
      </c>
      <c r="B1540" t="s">
        <v>955</v>
      </c>
      <c r="C1540" t="s">
        <v>1075</v>
      </c>
      <c r="D1540" t="s">
        <v>13</v>
      </c>
      <c r="E1540" t="s">
        <v>69</v>
      </c>
      <c r="F1540" t="str">
        <f>VLOOKUP(Ramen_Ratings[[#This Row],[Country]],Country_Region[#All],2,FALSE)</f>
        <v>Africa</v>
      </c>
      <c r="G1540">
        <v>4</v>
      </c>
      <c r="H1540" t="str" cm="1">
        <f t="array" ref="H1540">_xlfn.IFS(Ramen_Ratings[[#This Row],[Stars]] = "Unrated", "NA",Ramen_Ratings[[#This Row],[Stars]]&gt;=4, "Good", Ramen_Ratings[[#This Row],[Stars]]&gt;2.5, "Fair", Ramen_Ratings[[#This Row],[Stars]] &gt;= 0, "Bad")</f>
        <v>Good</v>
      </c>
      <c r="J1540" t="str">
        <f>LEFT(Ramen_Ratings[[#This Row],[Top Ten]],4)</f>
        <v/>
      </c>
      <c r="K1540" t="str">
        <f>IF(Ramen_Ratings[[#This Row],[Top Ten]]="", "",RIGHT(Ramen_Ratings[[#This Row],[Top Ten]],LEN(Ramen_Ratings[[#This Row],[Top Ten]])-6))</f>
        <v/>
      </c>
    </row>
    <row r="1541" spans="1:11" x14ac:dyDescent="0.25">
      <c r="A1541">
        <v>1706</v>
      </c>
      <c r="B1541" t="s">
        <v>132</v>
      </c>
      <c r="C1541" t="s">
        <v>1081</v>
      </c>
      <c r="D1541" t="s">
        <v>9</v>
      </c>
      <c r="E1541" t="s">
        <v>69</v>
      </c>
      <c r="F1541" t="str">
        <f>VLOOKUP(Ramen_Ratings[[#This Row],[Country]],Country_Region[#All],2,FALSE)</f>
        <v>Africa</v>
      </c>
      <c r="G1541">
        <v>4.75</v>
      </c>
      <c r="H1541" t="str" cm="1">
        <f t="array" ref="H1541">_xlfn.IFS(Ramen_Ratings[[#This Row],[Stars]] = "Unrated", "NA",Ramen_Ratings[[#This Row],[Stars]]&gt;=4, "Good", Ramen_Ratings[[#This Row],[Stars]]&gt;2.5, "Fair", Ramen_Ratings[[#This Row],[Stars]] &gt;= 0, "Bad")</f>
        <v>Good</v>
      </c>
      <c r="J1541" t="str">
        <f>LEFT(Ramen_Ratings[[#This Row],[Top Ten]],4)</f>
        <v/>
      </c>
      <c r="K1541" t="str">
        <f>IF(Ramen_Ratings[[#This Row],[Top Ten]]="", "",RIGHT(Ramen_Ratings[[#This Row],[Top Ten]],LEN(Ramen_Ratings[[#This Row],[Top Ten]])-6))</f>
        <v/>
      </c>
    </row>
    <row r="1542" spans="1:11" x14ac:dyDescent="0.25">
      <c r="A1542">
        <v>1705</v>
      </c>
      <c r="B1542" t="s">
        <v>1082</v>
      </c>
      <c r="C1542" t="s">
        <v>1083</v>
      </c>
      <c r="D1542" t="s">
        <v>13</v>
      </c>
      <c r="E1542" t="s">
        <v>69</v>
      </c>
      <c r="F1542" t="str">
        <f>VLOOKUP(Ramen_Ratings[[#This Row],[Country]],Country_Region[#All],2,FALSE)</f>
        <v>Africa</v>
      </c>
      <c r="G1542">
        <v>4.5</v>
      </c>
      <c r="H1542" t="str" cm="1">
        <f t="array" ref="H1542">_xlfn.IFS(Ramen_Ratings[[#This Row],[Stars]] = "Unrated", "NA",Ramen_Ratings[[#This Row],[Stars]]&gt;=4, "Good", Ramen_Ratings[[#This Row],[Stars]]&gt;2.5, "Fair", Ramen_Ratings[[#This Row],[Stars]] &gt;= 0, "Bad")</f>
        <v>Good</v>
      </c>
      <c r="J1542" t="str">
        <f>LEFT(Ramen_Ratings[[#This Row],[Top Ten]],4)</f>
        <v/>
      </c>
      <c r="K1542" t="str">
        <f>IF(Ramen_Ratings[[#This Row],[Top Ten]]="", "",RIGHT(Ramen_Ratings[[#This Row],[Top Ten]],LEN(Ramen_Ratings[[#This Row],[Top Ten]])-6))</f>
        <v/>
      </c>
    </row>
    <row r="1543" spans="1:11" x14ac:dyDescent="0.25">
      <c r="A1543">
        <v>1699</v>
      </c>
      <c r="B1543" t="s">
        <v>929</v>
      </c>
      <c r="C1543" t="s">
        <v>1089</v>
      </c>
      <c r="D1543" t="s">
        <v>13</v>
      </c>
      <c r="E1543" t="s">
        <v>69</v>
      </c>
      <c r="F1543" t="str">
        <f>VLOOKUP(Ramen_Ratings[[#This Row],[Country]],Country_Region[#All],2,FALSE)</f>
        <v>Africa</v>
      </c>
      <c r="G1543">
        <v>3.5</v>
      </c>
      <c r="H1543" t="str" cm="1">
        <f t="array" ref="H1543">_xlfn.IFS(Ramen_Ratings[[#This Row],[Stars]] = "Unrated", "NA",Ramen_Ratings[[#This Row],[Stars]]&gt;=4, "Good", Ramen_Ratings[[#This Row],[Stars]]&gt;2.5, "Fair", Ramen_Ratings[[#This Row],[Stars]] &gt;= 0, "Bad")</f>
        <v>Fair</v>
      </c>
      <c r="J1543" t="str">
        <f>LEFT(Ramen_Ratings[[#This Row],[Top Ten]],4)</f>
        <v/>
      </c>
      <c r="K1543" t="str">
        <f>IF(Ramen_Ratings[[#This Row],[Top Ten]]="", "",RIGHT(Ramen_Ratings[[#This Row],[Top Ten]],LEN(Ramen_Ratings[[#This Row],[Top Ten]])-6))</f>
        <v/>
      </c>
    </row>
    <row r="1544" spans="1:11" x14ac:dyDescent="0.25">
      <c r="A1544">
        <v>1680</v>
      </c>
      <c r="B1544" t="s">
        <v>1038</v>
      </c>
      <c r="C1544" t="s">
        <v>1108</v>
      </c>
      <c r="D1544" t="s">
        <v>13</v>
      </c>
      <c r="E1544" t="s">
        <v>69</v>
      </c>
      <c r="F1544" t="str">
        <f>VLOOKUP(Ramen_Ratings[[#This Row],[Country]],Country_Region[#All],2,FALSE)</f>
        <v>Africa</v>
      </c>
      <c r="G1544">
        <v>4.5</v>
      </c>
      <c r="H1544" t="str" cm="1">
        <f t="array" ref="H1544">_xlfn.IFS(Ramen_Ratings[[#This Row],[Stars]] = "Unrated", "NA",Ramen_Ratings[[#This Row],[Stars]]&gt;=4, "Good", Ramen_Ratings[[#This Row],[Stars]]&gt;2.5, "Fair", Ramen_Ratings[[#This Row],[Stars]] &gt;= 0, "Bad")</f>
        <v>Good</v>
      </c>
      <c r="J1544" t="str">
        <f>LEFT(Ramen_Ratings[[#This Row],[Top Ten]],4)</f>
        <v/>
      </c>
      <c r="K1544" t="str">
        <f>IF(Ramen_Ratings[[#This Row],[Top Ten]]="", "",RIGHT(Ramen_Ratings[[#This Row],[Top Ten]],LEN(Ramen_Ratings[[#This Row],[Top Ten]])-6))</f>
        <v/>
      </c>
    </row>
    <row r="1545" spans="1:11" x14ac:dyDescent="0.25">
      <c r="A1545">
        <v>1676</v>
      </c>
      <c r="B1545" t="s">
        <v>696</v>
      </c>
      <c r="C1545" t="s">
        <v>1112</v>
      </c>
      <c r="D1545" t="s">
        <v>13</v>
      </c>
      <c r="E1545" t="s">
        <v>69</v>
      </c>
      <c r="F1545" t="str">
        <f>VLOOKUP(Ramen_Ratings[[#This Row],[Country]],Country_Region[#All],2,FALSE)</f>
        <v>Africa</v>
      </c>
      <c r="G1545">
        <v>4.25</v>
      </c>
      <c r="H1545" t="str" cm="1">
        <f t="array" ref="H1545">_xlfn.IFS(Ramen_Ratings[[#This Row],[Stars]] = "Unrated", "NA",Ramen_Ratings[[#This Row],[Stars]]&gt;=4, "Good", Ramen_Ratings[[#This Row],[Stars]]&gt;2.5, "Fair", Ramen_Ratings[[#This Row],[Stars]] &gt;= 0, "Bad")</f>
        <v>Good</v>
      </c>
      <c r="J1545" t="str">
        <f>LEFT(Ramen_Ratings[[#This Row],[Top Ten]],4)</f>
        <v/>
      </c>
      <c r="K1545" t="str">
        <f>IF(Ramen_Ratings[[#This Row],[Top Ten]]="", "",RIGHT(Ramen_Ratings[[#This Row],[Top Ten]],LEN(Ramen_Ratings[[#This Row],[Top Ten]])-6))</f>
        <v/>
      </c>
    </row>
    <row r="1546" spans="1:11" x14ac:dyDescent="0.25">
      <c r="A1546">
        <v>1671</v>
      </c>
      <c r="B1546" t="s">
        <v>1119</v>
      </c>
      <c r="C1546" t="s">
        <v>1120</v>
      </c>
      <c r="D1546" t="s">
        <v>13</v>
      </c>
      <c r="E1546" t="s">
        <v>69</v>
      </c>
      <c r="F1546" t="str">
        <f>VLOOKUP(Ramen_Ratings[[#This Row],[Country]],Country_Region[#All],2,FALSE)</f>
        <v>Africa</v>
      </c>
      <c r="G1546">
        <v>5</v>
      </c>
      <c r="H1546" t="str" cm="1">
        <f t="array" ref="H1546">_xlfn.IFS(Ramen_Ratings[[#This Row],[Stars]] = "Unrated", "NA",Ramen_Ratings[[#This Row],[Stars]]&gt;=4, "Good", Ramen_Ratings[[#This Row],[Stars]]&gt;2.5, "Fair", Ramen_Ratings[[#This Row],[Stars]] &gt;= 0, "Bad")</f>
        <v>Good</v>
      </c>
      <c r="J1546" t="str">
        <f>LEFT(Ramen_Ratings[[#This Row],[Top Ten]],4)</f>
        <v/>
      </c>
      <c r="K1546" t="str">
        <f>IF(Ramen_Ratings[[#This Row],[Top Ten]]="", "",RIGHT(Ramen_Ratings[[#This Row],[Top Ten]],LEN(Ramen_Ratings[[#This Row],[Top Ten]])-6))</f>
        <v/>
      </c>
    </row>
    <row r="1547" spans="1:11" x14ac:dyDescent="0.25">
      <c r="A1547">
        <v>1664</v>
      </c>
      <c r="B1547" t="s">
        <v>668</v>
      </c>
      <c r="C1547" t="s">
        <v>1131</v>
      </c>
      <c r="D1547" t="s">
        <v>13</v>
      </c>
      <c r="E1547" t="s">
        <v>69</v>
      </c>
      <c r="F1547" t="str">
        <f>VLOOKUP(Ramen_Ratings[[#This Row],[Country]],Country_Region[#All],2,FALSE)</f>
        <v>Africa</v>
      </c>
      <c r="G1547">
        <v>2</v>
      </c>
      <c r="H1547" t="str" cm="1">
        <f t="array" ref="H1547">_xlfn.IFS(Ramen_Ratings[[#This Row],[Stars]] = "Unrated", "NA",Ramen_Ratings[[#This Row],[Stars]]&gt;=4, "Good", Ramen_Ratings[[#This Row],[Stars]]&gt;2.5, "Fair", Ramen_Ratings[[#This Row],[Stars]] &gt;= 0, "Bad")</f>
        <v>Bad</v>
      </c>
      <c r="J1547" t="str">
        <f>LEFT(Ramen_Ratings[[#This Row],[Top Ten]],4)</f>
        <v/>
      </c>
      <c r="K1547" t="str">
        <f>IF(Ramen_Ratings[[#This Row],[Top Ten]]="", "",RIGHT(Ramen_Ratings[[#This Row],[Top Ten]],LEN(Ramen_Ratings[[#This Row],[Top Ten]])-6))</f>
        <v/>
      </c>
    </row>
    <row r="1548" spans="1:11" x14ac:dyDescent="0.25">
      <c r="A1548">
        <v>1654</v>
      </c>
      <c r="B1548" t="s">
        <v>766</v>
      </c>
      <c r="C1548" t="s">
        <v>1145</v>
      </c>
      <c r="D1548" t="s">
        <v>13</v>
      </c>
      <c r="E1548" t="s">
        <v>69</v>
      </c>
      <c r="F1548" t="str">
        <f>VLOOKUP(Ramen_Ratings[[#This Row],[Country]],Country_Region[#All],2,FALSE)</f>
        <v>Africa</v>
      </c>
      <c r="G1548">
        <v>5</v>
      </c>
      <c r="H1548" t="str" cm="1">
        <f t="array" ref="H1548">_xlfn.IFS(Ramen_Ratings[[#This Row],[Stars]] = "Unrated", "NA",Ramen_Ratings[[#This Row],[Stars]]&gt;=4, "Good", Ramen_Ratings[[#This Row],[Stars]]&gt;2.5, "Fair", Ramen_Ratings[[#This Row],[Stars]] &gt;= 0, "Bad")</f>
        <v>Good</v>
      </c>
      <c r="J1548" t="str">
        <f>LEFT(Ramen_Ratings[[#This Row],[Top Ten]],4)</f>
        <v/>
      </c>
      <c r="K1548" t="str">
        <f>IF(Ramen_Ratings[[#This Row],[Top Ten]]="", "",RIGHT(Ramen_Ratings[[#This Row],[Top Ten]],LEN(Ramen_Ratings[[#This Row],[Top Ten]])-6))</f>
        <v/>
      </c>
    </row>
    <row r="1549" spans="1:11" x14ac:dyDescent="0.25">
      <c r="A1549">
        <v>1653</v>
      </c>
      <c r="B1549" t="s">
        <v>766</v>
      </c>
      <c r="C1549" t="s">
        <v>1146</v>
      </c>
      <c r="D1549" t="s">
        <v>13</v>
      </c>
      <c r="E1549" t="s">
        <v>69</v>
      </c>
      <c r="F1549" t="str">
        <f>VLOOKUP(Ramen_Ratings[[#This Row],[Country]],Country_Region[#All],2,FALSE)</f>
        <v>Africa</v>
      </c>
      <c r="G1549">
        <v>5</v>
      </c>
      <c r="H1549" t="str" cm="1">
        <f t="array" ref="H1549">_xlfn.IFS(Ramen_Ratings[[#This Row],[Stars]] = "Unrated", "NA",Ramen_Ratings[[#This Row],[Stars]]&gt;=4, "Good", Ramen_Ratings[[#This Row],[Stars]]&gt;2.5, "Fair", Ramen_Ratings[[#This Row],[Stars]] &gt;= 0, "Bad")</f>
        <v>Good</v>
      </c>
      <c r="J1549" t="str">
        <f>LEFT(Ramen_Ratings[[#This Row],[Top Ten]],4)</f>
        <v/>
      </c>
      <c r="K1549" t="str">
        <f>IF(Ramen_Ratings[[#This Row],[Top Ten]]="", "",RIGHT(Ramen_Ratings[[#This Row],[Top Ten]],LEN(Ramen_Ratings[[#This Row],[Top Ten]])-6))</f>
        <v/>
      </c>
    </row>
    <row r="1550" spans="1:11" x14ac:dyDescent="0.25">
      <c r="A1550">
        <v>1652</v>
      </c>
      <c r="B1550" t="s">
        <v>766</v>
      </c>
      <c r="C1550" t="s">
        <v>1147</v>
      </c>
      <c r="D1550" t="s">
        <v>13</v>
      </c>
      <c r="E1550" t="s">
        <v>69</v>
      </c>
      <c r="F1550" t="str">
        <f>VLOOKUP(Ramen_Ratings[[#This Row],[Country]],Country_Region[#All],2,FALSE)</f>
        <v>Africa</v>
      </c>
      <c r="G1550">
        <v>5</v>
      </c>
      <c r="H1550" t="str" cm="1">
        <f t="array" ref="H1550">_xlfn.IFS(Ramen_Ratings[[#This Row],[Stars]] = "Unrated", "NA",Ramen_Ratings[[#This Row],[Stars]]&gt;=4, "Good", Ramen_Ratings[[#This Row],[Stars]]&gt;2.5, "Fair", Ramen_Ratings[[#This Row],[Stars]] &gt;= 0, "Bad")</f>
        <v>Good</v>
      </c>
      <c r="J1550" t="str">
        <f>LEFT(Ramen_Ratings[[#This Row],[Top Ten]],4)</f>
        <v/>
      </c>
      <c r="K1550" t="str">
        <f>IF(Ramen_Ratings[[#This Row],[Top Ten]]="", "",RIGHT(Ramen_Ratings[[#This Row],[Top Ten]],LEN(Ramen_Ratings[[#This Row],[Top Ten]])-6))</f>
        <v/>
      </c>
    </row>
    <row r="1551" spans="1:11" x14ac:dyDescent="0.25">
      <c r="A1551">
        <v>1651</v>
      </c>
      <c r="B1551" t="s">
        <v>1148</v>
      </c>
      <c r="C1551" t="s">
        <v>1149</v>
      </c>
      <c r="D1551" t="s">
        <v>13</v>
      </c>
      <c r="E1551" t="s">
        <v>69</v>
      </c>
      <c r="F1551" t="str">
        <f>VLOOKUP(Ramen_Ratings[[#This Row],[Country]],Country_Region[#All],2,FALSE)</f>
        <v>Africa</v>
      </c>
      <c r="G1551">
        <v>3.75</v>
      </c>
      <c r="H1551" t="str" cm="1">
        <f t="array" ref="H1551">_xlfn.IFS(Ramen_Ratings[[#This Row],[Stars]] = "Unrated", "NA",Ramen_Ratings[[#This Row],[Stars]]&gt;=4, "Good", Ramen_Ratings[[#This Row],[Stars]]&gt;2.5, "Fair", Ramen_Ratings[[#This Row],[Stars]] &gt;= 0, "Bad")</f>
        <v>Fair</v>
      </c>
      <c r="J1551" t="str">
        <f>LEFT(Ramen_Ratings[[#This Row],[Top Ten]],4)</f>
        <v/>
      </c>
      <c r="K1551" t="str">
        <f>IF(Ramen_Ratings[[#This Row],[Top Ten]]="", "",RIGHT(Ramen_Ratings[[#This Row],[Top Ten]],LEN(Ramen_Ratings[[#This Row],[Top Ten]])-6))</f>
        <v/>
      </c>
    </row>
    <row r="1552" spans="1:11" x14ac:dyDescent="0.25">
      <c r="A1552">
        <v>1644</v>
      </c>
      <c r="B1552" t="s">
        <v>955</v>
      </c>
      <c r="C1552" t="s">
        <v>1160</v>
      </c>
      <c r="D1552" t="s">
        <v>44</v>
      </c>
      <c r="E1552" t="s">
        <v>69</v>
      </c>
      <c r="F1552" t="str">
        <f>VLOOKUP(Ramen_Ratings[[#This Row],[Country]],Country_Region[#All],2,FALSE)</f>
        <v>Africa</v>
      </c>
      <c r="G1552">
        <v>2</v>
      </c>
      <c r="H1552" t="str" cm="1">
        <f t="array" ref="H1552">_xlfn.IFS(Ramen_Ratings[[#This Row],[Stars]] = "Unrated", "NA",Ramen_Ratings[[#This Row],[Stars]]&gt;=4, "Good", Ramen_Ratings[[#This Row],[Stars]]&gt;2.5, "Fair", Ramen_Ratings[[#This Row],[Stars]] &gt;= 0, "Bad")</f>
        <v>Bad</v>
      </c>
      <c r="J1552" t="str">
        <f>LEFT(Ramen_Ratings[[#This Row],[Top Ten]],4)</f>
        <v/>
      </c>
      <c r="K1552" t="str">
        <f>IF(Ramen_Ratings[[#This Row],[Top Ten]]="", "",RIGHT(Ramen_Ratings[[#This Row],[Top Ten]],LEN(Ramen_Ratings[[#This Row],[Top Ten]])-6))</f>
        <v/>
      </c>
    </row>
    <row r="1553" spans="1:11" x14ac:dyDescent="0.25">
      <c r="A1553">
        <v>1639</v>
      </c>
      <c r="B1553" t="s">
        <v>916</v>
      </c>
      <c r="C1553" t="s">
        <v>1168</v>
      </c>
      <c r="D1553" t="s">
        <v>9</v>
      </c>
      <c r="E1553" t="s">
        <v>69</v>
      </c>
      <c r="F1553" t="str">
        <f>VLOOKUP(Ramen_Ratings[[#This Row],[Country]],Country_Region[#All],2,FALSE)</f>
        <v>Africa</v>
      </c>
      <c r="G1553">
        <v>3.75</v>
      </c>
      <c r="H1553" t="str" cm="1">
        <f t="array" ref="H1553">_xlfn.IFS(Ramen_Ratings[[#This Row],[Stars]] = "Unrated", "NA",Ramen_Ratings[[#This Row],[Stars]]&gt;=4, "Good", Ramen_Ratings[[#This Row],[Stars]]&gt;2.5, "Fair", Ramen_Ratings[[#This Row],[Stars]] &gt;= 0, "Bad")</f>
        <v>Fair</v>
      </c>
      <c r="J1553" t="str">
        <f>LEFT(Ramen_Ratings[[#This Row],[Top Ten]],4)</f>
        <v/>
      </c>
      <c r="K1553" t="str">
        <f>IF(Ramen_Ratings[[#This Row],[Top Ten]]="", "",RIGHT(Ramen_Ratings[[#This Row],[Top Ten]],LEN(Ramen_Ratings[[#This Row],[Top Ten]])-6))</f>
        <v/>
      </c>
    </row>
    <row r="1554" spans="1:11" x14ac:dyDescent="0.25">
      <c r="A1554">
        <v>1632</v>
      </c>
      <c r="B1554" t="s">
        <v>401</v>
      </c>
      <c r="C1554" t="s">
        <v>1176</v>
      </c>
      <c r="D1554" t="s">
        <v>13</v>
      </c>
      <c r="E1554" t="s">
        <v>69</v>
      </c>
      <c r="F1554" t="str">
        <f>VLOOKUP(Ramen_Ratings[[#This Row],[Country]],Country_Region[#All],2,FALSE)</f>
        <v>Africa</v>
      </c>
      <c r="G1554">
        <v>3</v>
      </c>
      <c r="H1554" t="str" cm="1">
        <f t="array" ref="H1554">_xlfn.IFS(Ramen_Ratings[[#This Row],[Stars]] = "Unrated", "NA",Ramen_Ratings[[#This Row],[Stars]]&gt;=4, "Good", Ramen_Ratings[[#This Row],[Stars]]&gt;2.5, "Fair", Ramen_Ratings[[#This Row],[Stars]] &gt;= 0, "Bad")</f>
        <v>Fair</v>
      </c>
      <c r="J1554" t="str">
        <f>LEFT(Ramen_Ratings[[#This Row],[Top Ten]],4)</f>
        <v/>
      </c>
      <c r="K1554" t="str">
        <f>IF(Ramen_Ratings[[#This Row],[Top Ten]]="", "",RIGHT(Ramen_Ratings[[#This Row],[Top Ten]],LEN(Ramen_Ratings[[#This Row],[Top Ten]])-6))</f>
        <v/>
      </c>
    </row>
    <row r="1555" spans="1:11" x14ac:dyDescent="0.25">
      <c r="A1555">
        <v>1629</v>
      </c>
      <c r="B1555" t="s">
        <v>955</v>
      </c>
      <c r="C1555" t="s">
        <v>1179</v>
      </c>
      <c r="D1555" t="s">
        <v>44</v>
      </c>
      <c r="E1555" t="s">
        <v>69</v>
      </c>
      <c r="F1555" t="str">
        <f>VLOOKUP(Ramen_Ratings[[#This Row],[Country]],Country_Region[#All],2,FALSE)</f>
        <v>Africa</v>
      </c>
      <c r="G1555">
        <v>3.5</v>
      </c>
      <c r="H1555" t="str" cm="1">
        <f t="array" ref="H1555">_xlfn.IFS(Ramen_Ratings[[#This Row],[Stars]] = "Unrated", "NA",Ramen_Ratings[[#This Row],[Stars]]&gt;=4, "Good", Ramen_Ratings[[#This Row],[Stars]]&gt;2.5, "Fair", Ramen_Ratings[[#This Row],[Stars]] &gt;= 0, "Bad")</f>
        <v>Fair</v>
      </c>
      <c r="J1555" t="str">
        <f>LEFT(Ramen_Ratings[[#This Row],[Top Ten]],4)</f>
        <v/>
      </c>
      <c r="K1555" t="str">
        <f>IF(Ramen_Ratings[[#This Row],[Top Ten]]="", "",RIGHT(Ramen_Ratings[[#This Row],[Top Ten]],LEN(Ramen_Ratings[[#This Row],[Top Ten]])-6))</f>
        <v/>
      </c>
    </row>
    <row r="1556" spans="1:11" x14ac:dyDescent="0.25">
      <c r="A1556">
        <v>1623</v>
      </c>
      <c r="B1556" t="s">
        <v>67</v>
      </c>
      <c r="C1556" t="s">
        <v>1185</v>
      </c>
      <c r="D1556" t="s">
        <v>13</v>
      </c>
      <c r="E1556" t="s">
        <v>69</v>
      </c>
      <c r="F1556" t="str">
        <f>VLOOKUP(Ramen_Ratings[[#This Row],[Country]],Country_Region[#All],2,FALSE)</f>
        <v>Africa</v>
      </c>
      <c r="G1556">
        <v>5</v>
      </c>
      <c r="H1556" t="str" cm="1">
        <f t="array" ref="H1556">_xlfn.IFS(Ramen_Ratings[[#This Row],[Stars]] = "Unrated", "NA",Ramen_Ratings[[#This Row],[Stars]]&gt;=4, "Good", Ramen_Ratings[[#This Row],[Stars]]&gt;2.5, "Fair", Ramen_Ratings[[#This Row],[Stars]] &gt;= 0, "Bad")</f>
        <v>Good</v>
      </c>
      <c r="J1556" t="str">
        <f>LEFT(Ramen_Ratings[[#This Row],[Top Ten]],4)</f>
        <v/>
      </c>
      <c r="K1556" t="str">
        <f>IF(Ramen_Ratings[[#This Row],[Top Ten]]="", "",RIGHT(Ramen_Ratings[[#This Row],[Top Ten]],LEN(Ramen_Ratings[[#This Row],[Top Ten]])-6))</f>
        <v/>
      </c>
    </row>
    <row r="1557" spans="1:11" x14ac:dyDescent="0.25">
      <c r="A1557">
        <v>1620</v>
      </c>
      <c r="B1557" t="s">
        <v>1082</v>
      </c>
      <c r="C1557" t="s">
        <v>1188</v>
      </c>
      <c r="D1557" t="s">
        <v>13</v>
      </c>
      <c r="E1557" t="s">
        <v>69</v>
      </c>
      <c r="F1557" t="str">
        <f>VLOOKUP(Ramen_Ratings[[#This Row],[Country]],Country_Region[#All],2,FALSE)</f>
        <v>Africa</v>
      </c>
      <c r="G1557">
        <v>3.25</v>
      </c>
      <c r="H1557" t="str" cm="1">
        <f t="array" ref="H1557">_xlfn.IFS(Ramen_Ratings[[#This Row],[Stars]] = "Unrated", "NA",Ramen_Ratings[[#This Row],[Stars]]&gt;=4, "Good", Ramen_Ratings[[#This Row],[Stars]]&gt;2.5, "Fair", Ramen_Ratings[[#This Row],[Stars]] &gt;= 0, "Bad")</f>
        <v>Fair</v>
      </c>
      <c r="J1557" t="str">
        <f>LEFT(Ramen_Ratings[[#This Row],[Top Ten]],4)</f>
        <v/>
      </c>
      <c r="K1557" t="str">
        <f>IF(Ramen_Ratings[[#This Row],[Top Ten]]="", "",RIGHT(Ramen_Ratings[[#This Row],[Top Ten]],LEN(Ramen_Ratings[[#This Row],[Top Ten]])-6))</f>
        <v/>
      </c>
    </row>
    <row r="1558" spans="1:11" x14ac:dyDescent="0.25">
      <c r="A1558">
        <v>1614</v>
      </c>
      <c r="B1558" t="s">
        <v>1197</v>
      </c>
      <c r="C1558" t="s">
        <v>1198</v>
      </c>
      <c r="D1558" t="s">
        <v>13</v>
      </c>
      <c r="E1558" t="s">
        <v>69</v>
      </c>
      <c r="F1558" t="str">
        <f>VLOOKUP(Ramen_Ratings[[#This Row],[Country]],Country_Region[#All],2,FALSE)</f>
        <v>Africa</v>
      </c>
      <c r="G1558">
        <v>5</v>
      </c>
      <c r="H1558" t="str" cm="1">
        <f t="array" ref="H1558">_xlfn.IFS(Ramen_Ratings[[#This Row],[Stars]] = "Unrated", "NA",Ramen_Ratings[[#This Row],[Stars]]&gt;=4, "Good", Ramen_Ratings[[#This Row],[Stars]]&gt;2.5, "Fair", Ramen_Ratings[[#This Row],[Stars]] &gt;= 0, "Bad")</f>
        <v>Good</v>
      </c>
      <c r="J1558" t="str">
        <f>LEFT(Ramen_Ratings[[#This Row],[Top Ten]],4)</f>
        <v/>
      </c>
      <c r="K1558" t="str">
        <f>IF(Ramen_Ratings[[#This Row],[Top Ten]]="", "",RIGHT(Ramen_Ratings[[#This Row],[Top Ten]],LEN(Ramen_Ratings[[#This Row],[Top Ten]])-6))</f>
        <v/>
      </c>
    </row>
    <row r="1559" spans="1:11" x14ac:dyDescent="0.25">
      <c r="A1559">
        <v>1608</v>
      </c>
      <c r="B1559" t="s">
        <v>955</v>
      </c>
      <c r="C1559" t="s">
        <v>1205</v>
      </c>
      <c r="D1559" t="s">
        <v>13</v>
      </c>
      <c r="E1559" t="s">
        <v>69</v>
      </c>
      <c r="F1559" t="str">
        <f>VLOOKUP(Ramen_Ratings[[#This Row],[Country]],Country_Region[#All],2,FALSE)</f>
        <v>Africa</v>
      </c>
      <c r="G1559">
        <v>4.5</v>
      </c>
      <c r="H1559" t="str" cm="1">
        <f t="array" ref="H1559">_xlfn.IFS(Ramen_Ratings[[#This Row],[Stars]] = "Unrated", "NA",Ramen_Ratings[[#This Row],[Stars]]&gt;=4, "Good", Ramen_Ratings[[#This Row],[Stars]]&gt;2.5, "Fair", Ramen_Ratings[[#This Row],[Stars]] &gt;= 0, "Bad")</f>
        <v>Good</v>
      </c>
      <c r="J1559" t="str">
        <f>LEFT(Ramen_Ratings[[#This Row],[Top Ten]],4)</f>
        <v/>
      </c>
      <c r="K1559" t="str">
        <f>IF(Ramen_Ratings[[#This Row],[Top Ten]]="", "",RIGHT(Ramen_Ratings[[#This Row],[Top Ten]],LEN(Ramen_Ratings[[#This Row],[Top Ten]])-6))</f>
        <v/>
      </c>
    </row>
    <row r="1560" spans="1:11" x14ac:dyDescent="0.25">
      <c r="A1560">
        <v>1606</v>
      </c>
      <c r="B1560" t="s">
        <v>132</v>
      </c>
      <c r="C1560" t="s">
        <v>1207</v>
      </c>
      <c r="D1560" t="s">
        <v>13</v>
      </c>
      <c r="E1560" t="s">
        <v>69</v>
      </c>
      <c r="F1560" t="str">
        <f>VLOOKUP(Ramen_Ratings[[#This Row],[Country]],Country_Region[#All],2,FALSE)</f>
        <v>Africa</v>
      </c>
      <c r="G1560">
        <v>4</v>
      </c>
      <c r="H1560" t="str" cm="1">
        <f t="array" ref="H1560">_xlfn.IFS(Ramen_Ratings[[#This Row],[Stars]] = "Unrated", "NA",Ramen_Ratings[[#This Row],[Stars]]&gt;=4, "Good", Ramen_Ratings[[#This Row],[Stars]]&gt;2.5, "Fair", Ramen_Ratings[[#This Row],[Stars]] &gt;= 0, "Bad")</f>
        <v>Good</v>
      </c>
      <c r="J1560" t="str">
        <f>LEFT(Ramen_Ratings[[#This Row],[Top Ten]],4)</f>
        <v/>
      </c>
      <c r="K1560" t="str">
        <f>IF(Ramen_Ratings[[#This Row],[Top Ten]]="", "",RIGHT(Ramen_Ratings[[#This Row],[Top Ten]],LEN(Ramen_Ratings[[#This Row],[Top Ten]])-6))</f>
        <v/>
      </c>
    </row>
    <row r="1561" spans="1:11" x14ac:dyDescent="0.25">
      <c r="A1561">
        <v>1596</v>
      </c>
      <c r="B1561" t="s">
        <v>1218</v>
      </c>
      <c r="C1561" t="s">
        <v>1219</v>
      </c>
      <c r="D1561" t="s">
        <v>13</v>
      </c>
      <c r="E1561" t="s">
        <v>69</v>
      </c>
      <c r="F1561" t="str">
        <f>VLOOKUP(Ramen_Ratings[[#This Row],[Country]],Country_Region[#All],2,FALSE)</f>
        <v>Africa</v>
      </c>
      <c r="G1561">
        <v>3</v>
      </c>
      <c r="H1561" t="str" cm="1">
        <f t="array" ref="H1561">_xlfn.IFS(Ramen_Ratings[[#This Row],[Stars]] = "Unrated", "NA",Ramen_Ratings[[#This Row],[Stars]]&gt;=4, "Good", Ramen_Ratings[[#This Row],[Stars]]&gt;2.5, "Fair", Ramen_Ratings[[#This Row],[Stars]] &gt;= 0, "Bad")</f>
        <v>Fair</v>
      </c>
      <c r="J1561" t="str">
        <f>LEFT(Ramen_Ratings[[#This Row],[Top Ten]],4)</f>
        <v/>
      </c>
      <c r="K1561" t="str">
        <f>IF(Ramen_Ratings[[#This Row],[Top Ten]]="", "",RIGHT(Ramen_Ratings[[#This Row],[Top Ten]],LEN(Ramen_Ratings[[#This Row],[Top Ten]])-6))</f>
        <v/>
      </c>
    </row>
    <row r="1562" spans="1:11" x14ac:dyDescent="0.25">
      <c r="A1562">
        <v>1591</v>
      </c>
      <c r="B1562" t="s">
        <v>1224</v>
      </c>
      <c r="C1562" t="s">
        <v>1225</v>
      </c>
      <c r="D1562" t="s">
        <v>13</v>
      </c>
      <c r="E1562" t="s">
        <v>69</v>
      </c>
      <c r="F1562" t="str">
        <f>VLOOKUP(Ramen_Ratings[[#This Row],[Country]],Country_Region[#All],2,FALSE)</f>
        <v>Africa</v>
      </c>
      <c r="G1562">
        <v>3.5</v>
      </c>
      <c r="H1562" t="str" cm="1">
        <f t="array" ref="H1562">_xlfn.IFS(Ramen_Ratings[[#This Row],[Stars]] = "Unrated", "NA",Ramen_Ratings[[#This Row],[Stars]]&gt;=4, "Good", Ramen_Ratings[[#This Row],[Stars]]&gt;2.5, "Fair", Ramen_Ratings[[#This Row],[Stars]] &gt;= 0, "Bad")</f>
        <v>Fair</v>
      </c>
      <c r="J1562" t="str">
        <f>LEFT(Ramen_Ratings[[#This Row],[Top Ten]],4)</f>
        <v/>
      </c>
      <c r="K1562" t="str">
        <f>IF(Ramen_Ratings[[#This Row],[Top Ten]]="", "",RIGHT(Ramen_Ratings[[#This Row],[Top Ten]],LEN(Ramen_Ratings[[#This Row],[Top Ten]])-6))</f>
        <v/>
      </c>
    </row>
    <row r="1563" spans="1:11" x14ac:dyDescent="0.25">
      <c r="A1563">
        <v>1590</v>
      </c>
      <c r="B1563" t="s">
        <v>1224</v>
      </c>
      <c r="C1563" t="s">
        <v>1226</v>
      </c>
      <c r="D1563" t="s">
        <v>13</v>
      </c>
      <c r="E1563" t="s">
        <v>69</v>
      </c>
      <c r="F1563" t="str">
        <f>VLOOKUP(Ramen_Ratings[[#This Row],[Country]],Country_Region[#All],2,FALSE)</f>
        <v>Africa</v>
      </c>
      <c r="G1563">
        <v>3.75</v>
      </c>
      <c r="H1563" t="str" cm="1">
        <f t="array" ref="H1563">_xlfn.IFS(Ramen_Ratings[[#This Row],[Stars]] = "Unrated", "NA",Ramen_Ratings[[#This Row],[Stars]]&gt;=4, "Good", Ramen_Ratings[[#This Row],[Stars]]&gt;2.5, "Fair", Ramen_Ratings[[#This Row],[Stars]] &gt;= 0, "Bad")</f>
        <v>Fair</v>
      </c>
      <c r="J1563" t="str">
        <f>LEFT(Ramen_Ratings[[#This Row],[Top Ten]],4)</f>
        <v/>
      </c>
      <c r="K1563" t="str">
        <f>IF(Ramen_Ratings[[#This Row],[Top Ten]]="", "",RIGHT(Ramen_Ratings[[#This Row],[Top Ten]],LEN(Ramen_Ratings[[#This Row],[Top Ten]])-6))</f>
        <v/>
      </c>
    </row>
    <row r="1564" spans="1:11" x14ac:dyDescent="0.25">
      <c r="A1564">
        <v>1589</v>
      </c>
      <c r="B1564" t="s">
        <v>1227</v>
      </c>
      <c r="C1564" t="s">
        <v>1228</v>
      </c>
      <c r="D1564" t="s">
        <v>13</v>
      </c>
      <c r="E1564" t="s">
        <v>69</v>
      </c>
      <c r="F1564" t="str">
        <f>VLOOKUP(Ramen_Ratings[[#This Row],[Country]],Country_Region[#All],2,FALSE)</f>
        <v>Africa</v>
      </c>
      <c r="G1564">
        <v>3.75</v>
      </c>
      <c r="H1564" t="str" cm="1">
        <f t="array" ref="H1564">_xlfn.IFS(Ramen_Ratings[[#This Row],[Stars]] = "Unrated", "NA",Ramen_Ratings[[#This Row],[Stars]]&gt;=4, "Good", Ramen_Ratings[[#This Row],[Stars]]&gt;2.5, "Fair", Ramen_Ratings[[#This Row],[Stars]] &gt;= 0, "Bad")</f>
        <v>Fair</v>
      </c>
      <c r="J1564" t="str">
        <f>LEFT(Ramen_Ratings[[#This Row],[Top Ten]],4)</f>
        <v/>
      </c>
      <c r="K1564" t="str">
        <f>IF(Ramen_Ratings[[#This Row],[Top Ten]]="", "",RIGHT(Ramen_Ratings[[#This Row],[Top Ten]],LEN(Ramen_Ratings[[#This Row],[Top Ten]])-6))</f>
        <v/>
      </c>
    </row>
    <row r="1565" spans="1:11" x14ac:dyDescent="0.25">
      <c r="A1565">
        <v>1588</v>
      </c>
      <c r="B1565" t="s">
        <v>1224</v>
      </c>
      <c r="C1565" t="s">
        <v>1229</v>
      </c>
      <c r="D1565" t="s">
        <v>13</v>
      </c>
      <c r="E1565" t="s">
        <v>69</v>
      </c>
      <c r="F1565" t="str">
        <f>VLOOKUP(Ramen_Ratings[[#This Row],[Country]],Country_Region[#All],2,FALSE)</f>
        <v>Africa</v>
      </c>
      <c r="G1565">
        <v>3.5</v>
      </c>
      <c r="H1565" t="str" cm="1">
        <f t="array" ref="H1565">_xlfn.IFS(Ramen_Ratings[[#This Row],[Stars]] = "Unrated", "NA",Ramen_Ratings[[#This Row],[Stars]]&gt;=4, "Good", Ramen_Ratings[[#This Row],[Stars]]&gt;2.5, "Fair", Ramen_Ratings[[#This Row],[Stars]] &gt;= 0, "Bad")</f>
        <v>Fair</v>
      </c>
      <c r="J1565" t="str">
        <f>LEFT(Ramen_Ratings[[#This Row],[Top Ten]],4)</f>
        <v/>
      </c>
      <c r="K1565" t="str">
        <f>IF(Ramen_Ratings[[#This Row],[Top Ten]]="", "",RIGHT(Ramen_Ratings[[#This Row],[Top Ten]],LEN(Ramen_Ratings[[#This Row],[Top Ten]])-6))</f>
        <v/>
      </c>
    </row>
    <row r="1566" spans="1:11" x14ac:dyDescent="0.25">
      <c r="A1566">
        <v>1587</v>
      </c>
      <c r="B1566" t="s">
        <v>1224</v>
      </c>
      <c r="C1566" t="s">
        <v>1230</v>
      </c>
      <c r="D1566" t="s">
        <v>13</v>
      </c>
      <c r="E1566" t="s">
        <v>69</v>
      </c>
      <c r="F1566" t="str">
        <f>VLOOKUP(Ramen_Ratings[[#This Row],[Country]],Country_Region[#All],2,FALSE)</f>
        <v>Africa</v>
      </c>
      <c r="G1566" t="s">
        <v>76</v>
      </c>
      <c r="H1566" t="str" cm="1">
        <f t="array" ref="H1566">_xlfn.IFS(Ramen_Ratings[[#This Row],[Stars]] = "Unrated", "NA",Ramen_Ratings[[#This Row],[Stars]]&gt;=4, "Good", Ramen_Ratings[[#This Row],[Stars]]&gt;2.5, "Fair", Ramen_Ratings[[#This Row],[Stars]] &gt;= 0, "Bad")</f>
        <v>NA</v>
      </c>
      <c r="J1566" t="str">
        <f>LEFT(Ramen_Ratings[[#This Row],[Top Ten]],4)</f>
        <v/>
      </c>
      <c r="K1566" t="str">
        <f>IF(Ramen_Ratings[[#This Row],[Top Ten]]="", "",RIGHT(Ramen_Ratings[[#This Row],[Top Ten]],LEN(Ramen_Ratings[[#This Row],[Top Ten]])-6))</f>
        <v/>
      </c>
    </row>
    <row r="1567" spans="1:11" x14ac:dyDescent="0.25">
      <c r="A1567">
        <v>1586</v>
      </c>
      <c r="B1567" t="s">
        <v>1231</v>
      </c>
      <c r="C1567" t="s">
        <v>1232</v>
      </c>
      <c r="D1567" t="s">
        <v>13</v>
      </c>
      <c r="E1567" t="s">
        <v>69</v>
      </c>
      <c r="F1567" t="str">
        <f>VLOOKUP(Ramen_Ratings[[#This Row],[Country]],Country_Region[#All],2,FALSE)</f>
        <v>Africa</v>
      </c>
      <c r="G1567">
        <v>3.75</v>
      </c>
      <c r="H1567" t="str" cm="1">
        <f t="array" ref="H1567">_xlfn.IFS(Ramen_Ratings[[#This Row],[Stars]] = "Unrated", "NA",Ramen_Ratings[[#This Row],[Stars]]&gt;=4, "Good", Ramen_Ratings[[#This Row],[Stars]]&gt;2.5, "Fair", Ramen_Ratings[[#This Row],[Stars]] &gt;= 0, "Bad")</f>
        <v>Fair</v>
      </c>
      <c r="J1567" t="str">
        <f>LEFT(Ramen_Ratings[[#This Row],[Top Ten]],4)</f>
        <v/>
      </c>
      <c r="K1567" t="str">
        <f>IF(Ramen_Ratings[[#This Row],[Top Ten]]="", "",RIGHT(Ramen_Ratings[[#This Row],[Top Ten]],LEN(Ramen_Ratings[[#This Row],[Top Ten]])-6))</f>
        <v/>
      </c>
    </row>
    <row r="1568" spans="1:11" x14ac:dyDescent="0.25">
      <c r="A1568">
        <v>1584</v>
      </c>
      <c r="B1568" t="s">
        <v>1227</v>
      </c>
      <c r="C1568" t="s">
        <v>1235</v>
      </c>
      <c r="D1568" t="s">
        <v>13</v>
      </c>
      <c r="E1568" t="s">
        <v>69</v>
      </c>
      <c r="F1568" t="str">
        <f>VLOOKUP(Ramen_Ratings[[#This Row],[Country]],Country_Region[#All],2,FALSE)</f>
        <v>Africa</v>
      </c>
      <c r="G1568">
        <v>3.75</v>
      </c>
      <c r="H1568" t="str" cm="1">
        <f t="array" ref="H1568">_xlfn.IFS(Ramen_Ratings[[#This Row],[Stars]] = "Unrated", "NA",Ramen_Ratings[[#This Row],[Stars]]&gt;=4, "Good", Ramen_Ratings[[#This Row],[Stars]]&gt;2.5, "Fair", Ramen_Ratings[[#This Row],[Stars]] &gt;= 0, "Bad")</f>
        <v>Fair</v>
      </c>
      <c r="J1568" t="str">
        <f>LEFT(Ramen_Ratings[[#This Row],[Top Ten]],4)</f>
        <v/>
      </c>
      <c r="K1568" t="str">
        <f>IF(Ramen_Ratings[[#This Row],[Top Ten]]="", "",RIGHT(Ramen_Ratings[[#This Row],[Top Ten]],LEN(Ramen_Ratings[[#This Row],[Top Ten]])-6))</f>
        <v/>
      </c>
    </row>
    <row r="1569" spans="1:11" x14ac:dyDescent="0.25">
      <c r="A1569">
        <v>1583</v>
      </c>
      <c r="B1569" t="s">
        <v>1231</v>
      </c>
      <c r="C1569" t="s">
        <v>1236</v>
      </c>
      <c r="D1569" t="s">
        <v>13</v>
      </c>
      <c r="E1569" t="s">
        <v>69</v>
      </c>
      <c r="F1569" t="str">
        <f>VLOOKUP(Ramen_Ratings[[#This Row],[Country]],Country_Region[#All],2,FALSE)</f>
        <v>Africa</v>
      </c>
      <c r="G1569">
        <v>4</v>
      </c>
      <c r="H1569" t="str" cm="1">
        <f t="array" ref="H1569">_xlfn.IFS(Ramen_Ratings[[#This Row],[Stars]] = "Unrated", "NA",Ramen_Ratings[[#This Row],[Stars]]&gt;=4, "Good", Ramen_Ratings[[#This Row],[Stars]]&gt;2.5, "Fair", Ramen_Ratings[[#This Row],[Stars]] &gt;= 0, "Bad")</f>
        <v>Good</v>
      </c>
      <c r="J1569" t="str">
        <f>LEFT(Ramen_Ratings[[#This Row],[Top Ten]],4)</f>
        <v/>
      </c>
      <c r="K1569" t="str">
        <f>IF(Ramen_Ratings[[#This Row],[Top Ten]]="", "",RIGHT(Ramen_Ratings[[#This Row],[Top Ten]],LEN(Ramen_Ratings[[#This Row],[Top Ten]])-6))</f>
        <v/>
      </c>
    </row>
    <row r="1570" spans="1:11" x14ac:dyDescent="0.25">
      <c r="A1570">
        <v>1582</v>
      </c>
      <c r="B1570" t="s">
        <v>1224</v>
      </c>
      <c r="C1570" t="s">
        <v>1237</v>
      </c>
      <c r="D1570" t="s">
        <v>13</v>
      </c>
      <c r="E1570" t="s">
        <v>69</v>
      </c>
      <c r="F1570" t="str">
        <f>VLOOKUP(Ramen_Ratings[[#This Row],[Country]],Country_Region[#All],2,FALSE)</f>
        <v>Africa</v>
      </c>
      <c r="G1570">
        <v>4</v>
      </c>
      <c r="H1570" t="str" cm="1">
        <f t="array" ref="H1570">_xlfn.IFS(Ramen_Ratings[[#This Row],[Stars]] = "Unrated", "NA",Ramen_Ratings[[#This Row],[Stars]]&gt;=4, "Good", Ramen_Ratings[[#This Row],[Stars]]&gt;2.5, "Fair", Ramen_Ratings[[#This Row],[Stars]] &gt;= 0, "Bad")</f>
        <v>Good</v>
      </c>
      <c r="J1570" t="str">
        <f>LEFT(Ramen_Ratings[[#This Row],[Top Ten]],4)</f>
        <v/>
      </c>
      <c r="K1570" t="str">
        <f>IF(Ramen_Ratings[[#This Row],[Top Ten]]="", "",RIGHT(Ramen_Ratings[[#This Row],[Top Ten]],LEN(Ramen_Ratings[[#This Row],[Top Ten]])-6))</f>
        <v/>
      </c>
    </row>
    <row r="1571" spans="1:11" x14ac:dyDescent="0.25">
      <c r="A1571">
        <v>1579</v>
      </c>
      <c r="B1571" t="s">
        <v>1239</v>
      </c>
      <c r="C1571" t="s">
        <v>1240</v>
      </c>
      <c r="D1571" t="s">
        <v>13</v>
      </c>
      <c r="E1571" t="s">
        <v>69</v>
      </c>
      <c r="F1571" t="str">
        <f>VLOOKUP(Ramen_Ratings[[#This Row],[Country]],Country_Region[#All],2,FALSE)</f>
        <v>Africa</v>
      </c>
      <c r="G1571">
        <v>4</v>
      </c>
      <c r="H1571" t="str" cm="1">
        <f t="array" ref="H1571">_xlfn.IFS(Ramen_Ratings[[#This Row],[Stars]] = "Unrated", "NA",Ramen_Ratings[[#This Row],[Stars]]&gt;=4, "Good", Ramen_Ratings[[#This Row],[Stars]]&gt;2.5, "Fair", Ramen_Ratings[[#This Row],[Stars]] &gt;= 0, "Bad")</f>
        <v>Good</v>
      </c>
      <c r="J1571" t="str">
        <f>LEFT(Ramen_Ratings[[#This Row],[Top Ten]],4)</f>
        <v/>
      </c>
      <c r="K1571" t="str">
        <f>IF(Ramen_Ratings[[#This Row],[Top Ten]]="", "",RIGHT(Ramen_Ratings[[#This Row],[Top Ten]],LEN(Ramen_Ratings[[#This Row],[Top Ten]])-6))</f>
        <v/>
      </c>
    </row>
    <row r="1572" spans="1:11" x14ac:dyDescent="0.25">
      <c r="A1572">
        <v>1573</v>
      </c>
      <c r="B1572" t="s">
        <v>955</v>
      </c>
      <c r="C1572" t="s">
        <v>1246</v>
      </c>
      <c r="D1572" t="s">
        <v>44</v>
      </c>
      <c r="E1572" t="s">
        <v>69</v>
      </c>
      <c r="F1572" t="str">
        <f>VLOOKUP(Ramen_Ratings[[#This Row],[Country]],Country_Region[#All],2,FALSE)</f>
        <v>Africa</v>
      </c>
      <c r="G1572">
        <v>4.75</v>
      </c>
      <c r="H1572" t="str" cm="1">
        <f t="array" ref="H1572">_xlfn.IFS(Ramen_Ratings[[#This Row],[Stars]] = "Unrated", "NA",Ramen_Ratings[[#This Row],[Stars]]&gt;=4, "Good", Ramen_Ratings[[#This Row],[Stars]]&gt;2.5, "Fair", Ramen_Ratings[[#This Row],[Stars]] &gt;= 0, "Bad")</f>
        <v>Good</v>
      </c>
      <c r="J1572" t="str">
        <f>LEFT(Ramen_Ratings[[#This Row],[Top Ten]],4)</f>
        <v/>
      </c>
      <c r="K1572" t="str">
        <f>IF(Ramen_Ratings[[#This Row],[Top Ten]]="", "",RIGHT(Ramen_Ratings[[#This Row],[Top Ten]],LEN(Ramen_Ratings[[#This Row],[Top Ten]])-6))</f>
        <v/>
      </c>
    </row>
    <row r="1573" spans="1:11" x14ac:dyDescent="0.25">
      <c r="A1573">
        <v>1571</v>
      </c>
      <c r="B1573" t="s">
        <v>1248</v>
      </c>
      <c r="C1573" t="s">
        <v>1249</v>
      </c>
      <c r="D1573" t="s">
        <v>13</v>
      </c>
      <c r="E1573" t="s">
        <v>69</v>
      </c>
      <c r="F1573" t="str">
        <f>VLOOKUP(Ramen_Ratings[[#This Row],[Country]],Country_Region[#All],2,FALSE)</f>
        <v>Africa</v>
      </c>
      <c r="G1573">
        <v>3.5</v>
      </c>
      <c r="H1573" t="str" cm="1">
        <f t="array" ref="H1573">_xlfn.IFS(Ramen_Ratings[[#This Row],[Stars]] = "Unrated", "NA",Ramen_Ratings[[#This Row],[Stars]]&gt;=4, "Good", Ramen_Ratings[[#This Row],[Stars]]&gt;2.5, "Fair", Ramen_Ratings[[#This Row],[Stars]] &gt;= 0, "Bad")</f>
        <v>Fair</v>
      </c>
      <c r="J1573" t="str">
        <f>LEFT(Ramen_Ratings[[#This Row],[Top Ten]],4)</f>
        <v/>
      </c>
      <c r="K1573" t="str">
        <f>IF(Ramen_Ratings[[#This Row],[Top Ten]]="", "",RIGHT(Ramen_Ratings[[#This Row],[Top Ten]],LEN(Ramen_Ratings[[#This Row],[Top Ten]])-6))</f>
        <v/>
      </c>
    </row>
    <row r="1574" spans="1:11" x14ac:dyDescent="0.25">
      <c r="A1574">
        <v>1569</v>
      </c>
      <c r="B1574" t="s">
        <v>132</v>
      </c>
      <c r="C1574" t="s">
        <v>1251</v>
      </c>
      <c r="D1574" t="s">
        <v>13</v>
      </c>
      <c r="E1574" t="s">
        <v>69</v>
      </c>
      <c r="F1574" t="str">
        <f>VLOOKUP(Ramen_Ratings[[#This Row],[Country]],Country_Region[#All],2,FALSE)</f>
        <v>Africa</v>
      </c>
      <c r="G1574">
        <v>4</v>
      </c>
      <c r="H1574" t="str" cm="1">
        <f t="array" ref="H1574">_xlfn.IFS(Ramen_Ratings[[#This Row],[Stars]] = "Unrated", "NA",Ramen_Ratings[[#This Row],[Stars]]&gt;=4, "Good", Ramen_Ratings[[#This Row],[Stars]]&gt;2.5, "Fair", Ramen_Ratings[[#This Row],[Stars]] &gt;= 0, "Bad")</f>
        <v>Good</v>
      </c>
      <c r="J1574" t="str">
        <f>LEFT(Ramen_Ratings[[#This Row],[Top Ten]],4)</f>
        <v/>
      </c>
      <c r="K1574" t="str">
        <f>IF(Ramen_Ratings[[#This Row],[Top Ten]]="", "",RIGHT(Ramen_Ratings[[#This Row],[Top Ten]],LEN(Ramen_Ratings[[#This Row],[Top Ten]])-6))</f>
        <v/>
      </c>
    </row>
    <row r="1575" spans="1:11" x14ac:dyDescent="0.25">
      <c r="A1575">
        <v>1561</v>
      </c>
      <c r="B1575" t="s">
        <v>1218</v>
      </c>
      <c r="C1575" t="s">
        <v>1260</v>
      </c>
      <c r="D1575" t="s">
        <v>13</v>
      </c>
      <c r="E1575" t="s">
        <v>69</v>
      </c>
      <c r="F1575" t="str">
        <f>VLOOKUP(Ramen_Ratings[[#This Row],[Country]],Country_Region[#All],2,FALSE)</f>
        <v>Africa</v>
      </c>
      <c r="G1575">
        <v>4.5</v>
      </c>
      <c r="H1575" t="str" cm="1">
        <f t="array" ref="H1575">_xlfn.IFS(Ramen_Ratings[[#This Row],[Stars]] = "Unrated", "NA",Ramen_Ratings[[#This Row],[Stars]]&gt;=4, "Good", Ramen_Ratings[[#This Row],[Stars]]&gt;2.5, "Fair", Ramen_Ratings[[#This Row],[Stars]] &gt;= 0, "Bad")</f>
        <v>Good</v>
      </c>
      <c r="J1575" t="str">
        <f>LEFT(Ramen_Ratings[[#This Row],[Top Ten]],4)</f>
        <v/>
      </c>
      <c r="K1575" t="str">
        <f>IF(Ramen_Ratings[[#This Row],[Top Ten]]="", "",RIGHT(Ramen_Ratings[[#This Row],[Top Ten]],LEN(Ramen_Ratings[[#This Row],[Top Ten]])-6))</f>
        <v/>
      </c>
    </row>
    <row r="1576" spans="1:11" x14ac:dyDescent="0.25">
      <c r="A1576">
        <v>1557</v>
      </c>
      <c r="B1576" t="s">
        <v>955</v>
      </c>
      <c r="C1576" t="s">
        <v>1265</v>
      </c>
      <c r="D1576" t="s">
        <v>13</v>
      </c>
      <c r="E1576" t="s">
        <v>69</v>
      </c>
      <c r="F1576" t="str">
        <f>VLOOKUP(Ramen_Ratings[[#This Row],[Country]],Country_Region[#All],2,FALSE)</f>
        <v>Africa</v>
      </c>
      <c r="G1576">
        <v>3.5</v>
      </c>
      <c r="H1576" t="str" cm="1">
        <f t="array" ref="H1576">_xlfn.IFS(Ramen_Ratings[[#This Row],[Stars]] = "Unrated", "NA",Ramen_Ratings[[#This Row],[Stars]]&gt;=4, "Good", Ramen_Ratings[[#This Row],[Stars]]&gt;2.5, "Fair", Ramen_Ratings[[#This Row],[Stars]] &gt;= 0, "Bad")</f>
        <v>Fair</v>
      </c>
      <c r="J1576" t="str">
        <f>LEFT(Ramen_Ratings[[#This Row],[Top Ten]],4)</f>
        <v/>
      </c>
      <c r="K1576" t="str">
        <f>IF(Ramen_Ratings[[#This Row],[Top Ten]]="", "",RIGHT(Ramen_Ratings[[#This Row],[Top Ten]],LEN(Ramen_Ratings[[#This Row],[Top Ten]])-6))</f>
        <v/>
      </c>
    </row>
    <row r="1577" spans="1:11" x14ac:dyDescent="0.25">
      <c r="A1577">
        <v>1553</v>
      </c>
      <c r="B1577" t="s">
        <v>668</v>
      </c>
      <c r="C1577" t="s">
        <v>1271</v>
      </c>
      <c r="D1577" t="s">
        <v>13</v>
      </c>
      <c r="E1577" t="s">
        <v>69</v>
      </c>
      <c r="F1577" t="str">
        <f>VLOOKUP(Ramen_Ratings[[#This Row],[Country]],Country_Region[#All],2,FALSE)</f>
        <v>Africa</v>
      </c>
      <c r="G1577">
        <v>3.75</v>
      </c>
      <c r="H1577" t="str" cm="1">
        <f t="array" ref="H1577">_xlfn.IFS(Ramen_Ratings[[#This Row],[Stars]] = "Unrated", "NA",Ramen_Ratings[[#This Row],[Stars]]&gt;=4, "Good", Ramen_Ratings[[#This Row],[Stars]]&gt;2.5, "Fair", Ramen_Ratings[[#This Row],[Stars]] &gt;= 0, "Bad")</f>
        <v>Fair</v>
      </c>
      <c r="J1577" t="str">
        <f>LEFT(Ramen_Ratings[[#This Row],[Top Ten]],4)</f>
        <v/>
      </c>
      <c r="K1577" t="str">
        <f>IF(Ramen_Ratings[[#This Row],[Top Ten]]="", "",RIGHT(Ramen_Ratings[[#This Row],[Top Ten]],LEN(Ramen_Ratings[[#This Row],[Top Ten]])-6))</f>
        <v/>
      </c>
    </row>
    <row r="1578" spans="1:11" x14ac:dyDescent="0.25">
      <c r="A1578">
        <v>1550</v>
      </c>
      <c r="B1578" t="s">
        <v>809</v>
      </c>
      <c r="C1578" t="s">
        <v>1274</v>
      </c>
      <c r="D1578" t="s">
        <v>13</v>
      </c>
      <c r="E1578" t="s">
        <v>69</v>
      </c>
      <c r="F1578" t="str">
        <f>VLOOKUP(Ramen_Ratings[[#This Row],[Country]],Country_Region[#All],2,FALSE)</f>
        <v>Africa</v>
      </c>
      <c r="G1578">
        <v>5</v>
      </c>
      <c r="H1578" t="str" cm="1">
        <f t="array" ref="H1578">_xlfn.IFS(Ramen_Ratings[[#This Row],[Stars]] = "Unrated", "NA",Ramen_Ratings[[#This Row],[Stars]]&gt;=4, "Good", Ramen_Ratings[[#This Row],[Stars]]&gt;2.5, "Fair", Ramen_Ratings[[#This Row],[Stars]] &gt;= 0, "Bad")</f>
        <v>Good</v>
      </c>
      <c r="J1578" t="str">
        <f>LEFT(Ramen_Ratings[[#This Row],[Top Ten]],4)</f>
        <v/>
      </c>
      <c r="K1578" t="str">
        <f>IF(Ramen_Ratings[[#This Row],[Top Ten]]="", "",RIGHT(Ramen_Ratings[[#This Row],[Top Ten]],LEN(Ramen_Ratings[[#This Row],[Top Ten]])-6))</f>
        <v/>
      </c>
    </row>
    <row r="1579" spans="1:11" x14ac:dyDescent="0.25">
      <c r="A1579">
        <v>1545</v>
      </c>
      <c r="B1579" t="s">
        <v>1279</v>
      </c>
      <c r="C1579" t="s">
        <v>1280</v>
      </c>
      <c r="D1579" t="s">
        <v>13</v>
      </c>
      <c r="E1579" t="s">
        <v>69</v>
      </c>
      <c r="F1579" t="str">
        <f>VLOOKUP(Ramen_Ratings[[#This Row],[Country]],Country_Region[#All],2,FALSE)</f>
        <v>Africa</v>
      </c>
      <c r="G1579">
        <v>5</v>
      </c>
      <c r="H1579" t="str" cm="1">
        <f t="array" ref="H1579">_xlfn.IFS(Ramen_Ratings[[#This Row],[Stars]] = "Unrated", "NA",Ramen_Ratings[[#This Row],[Stars]]&gt;=4, "Good", Ramen_Ratings[[#This Row],[Stars]]&gt;2.5, "Fair", Ramen_Ratings[[#This Row],[Stars]] &gt;= 0, "Bad")</f>
        <v>Good</v>
      </c>
      <c r="J1579" t="str">
        <f>LEFT(Ramen_Ratings[[#This Row],[Top Ten]],4)</f>
        <v/>
      </c>
      <c r="K1579" t="str">
        <f>IF(Ramen_Ratings[[#This Row],[Top Ten]]="", "",RIGHT(Ramen_Ratings[[#This Row],[Top Ten]],LEN(Ramen_Ratings[[#This Row],[Top Ten]])-6))</f>
        <v/>
      </c>
    </row>
    <row r="1580" spans="1:11" x14ac:dyDescent="0.25">
      <c r="A1580">
        <v>1534</v>
      </c>
      <c r="B1580" t="s">
        <v>929</v>
      </c>
      <c r="C1580" t="s">
        <v>1291</v>
      </c>
      <c r="D1580" t="s">
        <v>13</v>
      </c>
      <c r="E1580" t="s">
        <v>69</v>
      </c>
      <c r="F1580" t="str">
        <f>VLOOKUP(Ramen_Ratings[[#This Row],[Country]],Country_Region[#All],2,FALSE)</f>
        <v>Africa</v>
      </c>
      <c r="G1580">
        <v>3.75</v>
      </c>
      <c r="H1580" t="str" cm="1">
        <f t="array" ref="H1580">_xlfn.IFS(Ramen_Ratings[[#This Row],[Stars]] = "Unrated", "NA",Ramen_Ratings[[#This Row],[Stars]]&gt;=4, "Good", Ramen_Ratings[[#This Row],[Stars]]&gt;2.5, "Fair", Ramen_Ratings[[#This Row],[Stars]] &gt;= 0, "Bad")</f>
        <v>Fair</v>
      </c>
      <c r="J1580" t="str">
        <f>LEFT(Ramen_Ratings[[#This Row],[Top Ten]],4)</f>
        <v/>
      </c>
      <c r="K1580" t="str">
        <f>IF(Ramen_Ratings[[#This Row],[Top Ten]]="", "",RIGHT(Ramen_Ratings[[#This Row],[Top Ten]],LEN(Ramen_Ratings[[#This Row],[Top Ten]])-6))</f>
        <v/>
      </c>
    </row>
    <row r="1581" spans="1:11" x14ac:dyDescent="0.25">
      <c r="A1581">
        <v>1525</v>
      </c>
      <c r="B1581" t="s">
        <v>916</v>
      </c>
      <c r="C1581" t="s">
        <v>1301</v>
      </c>
      <c r="D1581" t="s">
        <v>9</v>
      </c>
      <c r="E1581" t="s">
        <v>69</v>
      </c>
      <c r="F1581" t="str">
        <f>VLOOKUP(Ramen_Ratings[[#This Row],[Country]],Country_Region[#All],2,FALSE)</f>
        <v>Africa</v>
      </c>
      <c r="G1581">
        <v>3.75</v>
      </c>
      <c r="H1581" t="str" cm="1">
        <f t="array" ref="H1581">_xlfn.IFS(Ramen_Ratings[[#This Row],[Stars]] = "Unrated", "NA",Ramen_Ratings[[#This Row],[Stars]]&gt;=4, "Good", Ramen_Ratings[[#This Row],[Stars]]&gt;2.5, "Fair", Ramen_Ratings[[#This Row],[Stars]] &gt;= 0, "Bad")</f>
        <v>Fair</v>
      </c>
      <c r="J1581" t="str">
        <f>LEFT(Ramen_Ratings[[#This Row],[Top Ten]],4)</f>
        <v/>
      </c>
      <c r="K1581" t="str">
        <f>IF(Ramen_Ratings[[#This Row],[Top Ten]]="", "",RIGHT(Ramen_Ratings[[#This Row],[Top Ten]],LEN(Ramen_Ratings[[#This Row],[Top Ten]])-6))</f>
        <v/>
      </c>
    </row>
    <row r="1582" spans="1:11" x14ac:dyDescent="0.25">
      <c r="A1582">
        <v>1518</v>
      </c>
      <c r="B1582" t="s">
        <v>668</v>
      </c>
      <c r="C1582" t="s">
        <v>1309</v>
      </c>
      <c r="D1582" t="s">
        <v>13</v>
      </c>
      <c r="E1582" t="s">
        <v>69</v>
      </c>
      <c r="F1582" t="str">
        <f>VLOOKUP(Ramen_Ratings[[#This Row],[Country]],Country_Region[#All],2,FALSE)</f>
        <v>Africa</v>
      </c>
      <c r="G1582">
        <v>4.5</v>
      </c>
      <c r="H1582" t="str" cm="1">
        <f t="array" ref="H1582">_xlfn.IFS(Ramen_Ratings[[#This Row],[Stars]] = "Unrated", "NA",Ramen_Ratings[[#This Row],[Stars]]&gt;=4, "Good", Ramen_Ratings[[#This Row],[Stars]]&gt;2.5, "Fair", Ramen_Ratings[[#This Row],[Stars]] &gt;= 0, "Bad")</f>
        <v>Good</v>
      </c>
      <c r="J1582" t="str">
        <f>LEFT(Ramen_Ratings[[#This Row],[Top Ten]],4)</f>
        <v/>
      </c>
      <c r="K1582" t="str">
        <f>IF(Ramen_Ratings[[#This Row],[Top Ten]]="", "",RIGHT(Ramen_Ratings[[#This Row],[Top Ten]],LEN(Ramen_Ratings[[#This Row],[Top Ten]])-6))</f>
        <v/>
      </c>
    </row>
    <row r="1583" spans="1:11" x14ac:dyDescent="0.25">
      <c r="A1583">
        <v>1514</v>
      </c>
      <c r="B1583" t="s">
        <v>132</v>
      </c>
      <c r="C1583" t="s">
        <v>1315</v>
      </c>
      <c r="D1583" t="s">
        <v>13</v>
      </c>
      <c r="E1583" t="s">
        <v>69</v>
      </c>
      <c r="F1583" t="str">
        <f>VLOOKUP(Ramen_Ratings[[#This Row],[Country]],Country_Region[#All],2,FALSE)</f>
        <v>Africa</v>
      </c>
      <c r="G1583">
        <v>4.5</v>
      </c>
      <c r="H1583" t="str" cm="1">
        <f t="array" ref="H1583">_xlfn.IFS(Ramen_Ratings[[#This Row],[Stars]] = "Unrated", "NA",Ramen_Ratings[[#This Row],[Stars]]&gt;=4, "Good", Ramen_Ratings[[#This Row],[Stars]]&gt;2.5, "Fair", Ramen_Ratings[[#This Row],[Stars]] &gt;= 0, "Bad")</f>
        <v>Good</v>
      </c>
      <c r="J1583" t="str">
        <f>LEFT(Ramen_Ratings[[#This Row],[Top Ten]],4)</f>
        <v/>
      </c>
      <c r="K1583" t="str">
        <f>IF(Ramen_Ratings[[#This Row],[Top Ten]]="", "",RIGHT(Ramen_Ratings[[#This Row],[Top Ten]],LEN(Ramen_Ratings[[#This Row],[Top Ten]])-6))</f>
        <v/>
      </c>
    </row>
    <row r="1584" spans="1:11" x14ac:dyDescent="0.25">
      <c r="A1584">
        <v>1495</v>
      </c>
      <c r="B1584" t="s">
        <v>987</v>
      </c>
      <c r="C1584" t="s">
        <v>1336</v>
      </c>
      <c r="D1584" t="s">
        <v>9</v>
      </c>
      <c r="E1584" t="s">
        <v>69</v>
      </c>
      <c r="F1584" t="str">
        <f>VLOOKUP(Ramen_Ratings[[#This Row],[Country]],Country_Region[#All],2,FALSE)</f>
        <v>Africa</v>
      </c>
      <c r="G1584">
        <v>3.75</v>
      </c>
      <c r="H1584" t="str" cm="1">
        <f t="array" ref="H1584">_xlfn.IFS(Ramen_Ratings[[#This Row],[Stars]] = "Unrated", "NA",Ramen_Ratings[[#This Row],[Stars]]&gt;=4, "Good", Ramen_Ratings[[#This Row],[Stars]]&gt;2.5, "Fair", Ramen_Ratings[[#This Row],[Stars]] &gt;= 0, "Bad")</f>
        <v>Fair</v>
      </c>
      <c r="J1584" t="str">
        <f>LEFT(Ramen_Ratings[[#This Row],[Top Ten]],4)</f>
        <v/>
      </c>
      <c r="K1584" t="str">
        <f>IF(Ramen_Ratings[[#This Row],[Top Ten]]="", "",RIGHT(Ramen_Ratings[[#This Row],[Top Ten]],LEN(Ramen_Ratings[[#This Row],[Top Ten]])-6))</f>
        <v/>
      </c>
    </row>
    <row r="1585" spans="1:11" x14ac:dyDescent="0.25">
      <c r="A1585">
        <v>1484</v>
      </c>
      <c r="B1585" t="s">
        <v>809</v>
      </c>
      <c r="C1585" t="s">
        <v>1346</v>
      </c>
      <c r="D1585" t="s">
        <v>13</v>
      </c>
      <c r="E1585" t="s">
        <v>69</v>
      </c>
      <c r="F1585" t="str">
        <f>VLOOKUP(Ramen_Ratings[[#This Row],[Country]],Country_Region[#All],2,FALSE)</f>
        <v>Africa</v>
      </c>
      <c r="G1585">
        <v>3.75</v>
      </c>
      <c r="H1585" t="str" cm="1">
        <f t="array" ref="H1585">_xlfn.IFS(Ramen_Ratings[[#This Row],[Stars]] = "Unrated", "NA",Ramen_Ratings[[#This Row],[Stars]]&gt;=4, "Good", Ramen_Ratings[[#This Row],[Stars]]&gt;2.5, "Fair", Ramen_Ratings[[#This Row],[Stars]] &gt;= 0, "Bad")</f>
        <v>Fair</v>
      </c>
      <c r="J1585" t="str">
        <f>LEFT(Ramen_Ratings[[#This Row],[Top Ten]],4)</f>
        <v/>
      </c>
      <c r="K1585" t="str">
        <f>IF(Ramen_Ratings[[#This Row],[Top Ten]]="", "",RIGHT(Ramen_Ratings[[#This Row],[Top Ten]],LEN(Ramen_Ratings[[#This Row],[Top Ten]])-6))</f>
        <v/>
      </c>
    </row>
    <row r="1586" spans="1:11" x14ac:dyDescent="0.25">
      <c r="A1586">
        <v>1464</v>
      </c>
      <c r="B1586" t="s">
        <v>1279</v>
      </c>
      <c r="C1586" t="s">
        <v>1368</v>
      </c>
      <c r="D1586" t="s">
        <v>13</v>
      </c>
      <c r="E1586" t="s">
        <v>69</v>
      </c>
      <c r="F1586" t="str">
        <f>VLOOKUP(Ramen_Ratings[[#This Row],[Country]],Country_Region[#All],2,FALSE)</f>
        <v>Africa</v>
      </c>
      <c r="G1586">
        <v>4.75</v>
      </c>
      <c r="H1586" t="str" cm="1">
        <f t="array" ref="H1586">_xlfn.IFS(Ramen_Ratings[[#This Row],[Stars]] = "Unrated", "NA",Ramen_Ratings[[#This Row],[Stars]]&gt;=4, "Good", Ramen_Ratings[[#This Row],[Stars]]&gt;2.5, "Fair", Ramen_Ratings[[#This Row],[Stars]] &gt;= 0, "Bad")</f>
        <v>Good</v>
      </c>
      <c r="J1586" t="str">
        <f>LEFT(Ramen_Ratings[[#This Row],[Top Ten]],4)</f>
        <v/>
      </c>
      <c r="K1586" t="str">
        <f>IF(Ramen_Ratings[[#This Row],[Top Ten]]="", "",RIGHT(Ramen_Ratings[[#This Row],[Top Ten]],LEN(Ramen_Ratings[[#This Row],[Top Ten]])-6))</f>
        <v/>
      </c>
    </row>
    <row r="1587" spans="1:11" x14ac:dyDescent="0.25">
      <c r="A1587">
        <v>1445</v>
      </c>
      <c r="B1587" t="s">
        <v>67</v>
      </c>
      <c r="C1587" t="s">
        <v>1382</v>
      </c>
      <c r="D1587" t="s">
        <v>13</v>
      </c>
      <c r="E1587" t="s">
        <v>69</v>
      </c>
      <c r="F1587" t="str">
        <f>VLOOKUP(Ramen_Ratings[[#This Row],[Country]],Country_Region[#All],2,FALSE)</f>
        <v>Africa</v>
      </c>
      <c r="G1587">
        <v>5</v>
      </c>
      <c r="H1587" t="str" cm="1">
        <f t="array" ref="H1587">_xlfn.IFS(Ramen_Ratings[[#This Row],[Stars]] = "Unrated", "NA",Ramen_Ratings[[#This Row],[Stars]]&gt;=4, "Good", Ramen_Ratings[[#This Row],[Stars]]&gt;2.5, "Fair", Ramen_Ratings[[#This Row],[Stars]] &gt;= 0, "Bad")</f>
        <v>Good</v>
      </c>
      <c r="J1587" t="str">
        <f>LEFT(Ramen_Ratings[[#This Row],[Top Ten]],4)</f>
        <v/>
      </c>
      <c r="K1587" t="str">
        <f>IF(Ramen_Ratings[[#This Row],[Top Ten]]="", "",RIGHT(Ramen_Ratings[[#This Row],[Top Ten]],LEN(Ramen_Ratings[[#This Row],[Top Ten]])-6))</f>
        <v/>
      </c>
    </row>
    <row r="1588" spans="1:11" x14ac:dyDescent="0.25">
      <c r="A1588">
        <v>1439</v>
      </c>
      <c r="B1588" t="s">
        <v>1388</v>
      </c>
      <c r="C1588" t="s">
        <v>1389</v>
      </c>
      <c r="D1588" t="s">
        <v>13</v>
      </c>
      <c r="E1588" t="s">
        <v>69</v>
      </c>
      <c r="F1588" t="str">
        <f>VLOOKUP(Ramen_Ratings[[#This Row],[Country]],Country_Region[#All],2,FALSE)</f>
        <v>Africa</v>
      </c>
      <c r="G1588">
        <v>3.5</v>
      </c>
      <c r="H1588" t="str" cm="1">
        <f t="array" ref="H1588">_xlfn.IFS(Ramen_Ratings[[#This Row],[Stars]] = "Unrated", "NA",Ramen_Ratings[[#This Row],[Stars]]&gt;=4, "Good", Ramen_Ratings[[#This Row],[Stars]]&gt;2.5, "Fair", Ramen_Ratings[[#This Row],[Stars]] &gt;= 0, "Bad")</f>
        <v>Fair</v>
      </c>
      <c r="J1588" t="str">
        <f>LEFT(Ramen_Ratings[[#This Row],[Top Ten]],4)</f>
        <v/>
      </c>
      <c r="K1588" t="str">
        <f>IF(Ramen_Ratings[[#This Row],[Top Ten]]="", "",RIGHT(Ramen_Ratings[[#This Row],[Top Ten]],LEN(Ramen_Ratings[[#This Row],[Top Ten]])-6))</f>
        <v/>
      </c>
    </row>
    <row r="1589" spans="1:11" x14ac:dyDescent="0.25">
      <c r="A1589">
        <v>1434</v>
      </c>
      <c r="B1589" t="s">
        <v>132</v>
      </c>
      <c r="C1589" t="s">
        <v>1394</v>
      </c>
      <c r="D1589" t="s">
        <v>9</v>
      </c>
      <c r="E1589" t="s">
        <v>69</v>
      </c>
      <c r="F1589" t="str">
        <f>VLOOKUP(Ramen_Ratings[[#This Row],[Country]],Country_Region[#All],2,FALSE)</f>
        <v>Africa</v>
      </c>
      <c r="G1589">
        <v>3.5</v>
      </c>
      <c r="H1589" t="str" cm="1">
        <f t="array" ref="H1589">_xlfn.IFS(Ramen_Ratings[[#This Row],[Stars]] = "Unrated", "NA",Ramen_Ratings[[#This Row],[Stars]]&gt;=4, "Good", Ramen_Ratings[[#This Row],[Stars]]&gt;2.5, "Fair", Ramen_Ratings[[#This Row],[Stars]] &gt;= 0, "Bad")</f>
        <v>Fair</v>
      </c>
      <c r="J1589" t="str">
        <f>LEFT(Ramen_Ratings[[#This Row],[Top Ten]],4)</f>
        <v/>
      </c>
      <c r="K1589" t="str">
        <f>IF(Ramen_Ratings[[#This Row],[Top Ten]]="", "",RIGHT(Ramen_Ratings[[#This Row],[Top Ten]],LEN(Ramen_Ratings[[#This Row],[Top Ten]])-6))</f>
        <v/>
      </c>
    </row>
    <row r="1590" spans="1:11" x14ac:dyDescent="0.25">
      <c r="A1590">
        <v>1425</v>
      </c>
      <c r="B1590" t="s">
        <v>955</v>
      </c>
      <c r="C1590" t="s">
        <v>1403</v>
      </c>
      <c r="D1590" t="s">
        <v>13</v>
      </c>
      <c r="E1590" t="s">
        <v>69</v>
      </c>
      <c r="F1590" t="str">
        <f>VLOOKUP(Ramen_Ratings[[#This Row],[Country]],Country_Region[#All],2,FALSE)</f>
        <v>Africa</v>
      </c>
      <c r="G1590">
        <v>4.5</v>
      </c>
      <c r="H1590" t="str" cm="1">
        <f t="array" ref="H1590">_xlfn.IFS(Ramen_Ratings[[#This Row],[Stars]] = "Unrated", "NA",Ramen_Ratings[[#This Row],[Stars]]&gt;=4, "Good", Ramen_Ratings[[#This Row],[Stars]]&gt;2.5, "Fair", Ramen_Ratings[[#This Row],[Stars]] &gt;= 0, "Bad")</f>
        <v>Good</v>
      </c>
      <c r="J1590" t="str">
        <f>LEFT(Ramen_Ratings[[#This Row],[Top Ten]],4)</f>
        <v/>
      </c>
      <c r="K1590" t="str">
        <f>IF(Ramen_Ratings[[#This Row],[Top Ten]]="", "",RIGHT(Ramen_Ratings[[#This Row],[Top Ten]],LEN(Ramen_Ratings[[#This Row],[Top Ten]])-6))</f>
        <v/>
      </c>
    </row>
    <row r="1591" spans="1:11" x14ac:dyDescent="0.25">
      <c r="A1591">
        <v>1410</v>
      </c>
      <c r="B1591" t="s">
        <v>1388</v>
      </c>
      <c r="C1591" t="s">
        <v>1418</v>
      </c>
      <c r="D1591" t="s">
        <v>13</v>
      </c>
      <c r="E1591" t="s">
        <v>69</v>
      </c>
      <c r="F1591" t="str">
        <f>VLOOKUP(Ramen_Ratings[[#This Row],[Country]],Country_Region[#All],2,FALSE)</f>
        <v>Africa</v>
      </c>
      <c r="G1591">
        <v>3.25</v>
      </c>
      <c r="H1591" t="str" cm="1">
        <f t="array" ref="H1591">_xlfn.IFS(Ramen_Ratings[[#This Row],[Stars]] = "Unrated", "NA",Ramen_Ratings[[#This Row],[Stars]]&gt;=4, "Good", Ramen_Ratings[[#This Row],[Stars]]&gt;2.5, "Fair", Ramen_Ratings[[#This Row],[Stars]] &gt;= 0, "Bad")</f>
        <v>Fair</v>
      </c>
      <c r="J1591" t="str">
        <f>LEFT(Ramen_Ratings[[#This Row],[Top Ten]],4)</f>
        <v/>
      </c>
      <c r="K1591" t="str">
        <f>IF(Ramen_Ratings[[#This Row],[Top Ten]]="", "",RIGHT(Ramen_Ratings[[#This Row],[Top Ten]],LEN(Ramen_Ratings[[#This Row],[Top Ten]])-6))</f>
        <v/>
      </c>
    </row>
    <row r="1592" spans="1:11" x14ac:dyDescent="0.25">
      <c r="A1592">
        <v>1393</v>
      </c>
      <c r="B1592" t="s">
        <v>1442</v>
      </c>
      <c r="C1592" t="s">
        <v>1443</v>
      </c>
      <c r="D1592" t="s">
        <v>13</v>
      </c>
      <c r="E1592" t="s">
        <v>69</v>
      </c>
      <c r="F1592" t="str">
        <f>VLOOKUP(Ramen_Ratings[[#This Row],[Country]],Country_Region[#All],2,FALSE)</f>
        <v>Africa</v>
      </c>
      <c r="G1592">
        <v>4.25</v>
      </c>
      <c r="H1592" t="str" cm="1">
        <f t="array" ref="H1592">_xlfn.IFS(Ramen_Ratings[[#This Row],[Stars]] = "Unrated", "NA",Ramen_Ratings[[#This Row],[Stars]]&gt;=4, "Good", Ramen_Ratings[[#This Row],[Stars]]&gt;2.5, "Fair", Ramen_Ratings[[#This Row],[Stars]] &gt;= 0, "Bad")</f>
        <v>Good</v>
      </c>
      <c r="J1592" t="str">
        <f>LEFT(Ramen_Ratings[[#This Row],[Top Ten]],4)</f>
        <v/>
      </c>
      <c r="K1592" t="str">
        <f>IF(Ramen_Ratings[[#This Row],[Top Ten]]="", "",RIGHT(Ramen_Ratings[[#This Row],[Top Ten]],LEN(Ramen_Ratings[[#This Row],[Top Ten]])-6))</f>
        <v/>
      </c>
    </row>
    <row r="1593" spans="1:11" x14ac:dyDescent="0.25">
      <c r="A1593">
        <v>1362</v>
      </c>
      <c r="B1593" t="s">
        <v>668</v>
      </c>
      <c r="C1593" t="s">
        <v>1478</v>
      </c>
      <c r="D1593" t="s">
        <v>13</v>
      </c>
      <c r="E1593" t="s">
        <v>69</v>
      </c>
      <c r="F1593" t="str">
        <f>VLOOKUP(Ramen_Ratings[[#This Row],[Country]],Country_Region[#All],2,FALSE)</f>
        <v>Africa</v>
      </c>
      <c r="G1593">
        <v>3.5</v>
      </c>
      <c r="H1593" t="str" cm="1">
        <f t="array" ref="H1593">_xlfn.IFS(Ramen_Ratings[[#This Row],[Stars]] = "Unrated", "NA",Ramen_Ratings[[#This Row],[Stars]]&gt;=4, "Good", Ramen_Ratings[[#This Row],[Stars]]&gt;2.5, "Fair", Ramen_Ratings[[#This Row],[Stars]] &gt;= 0, "Bad")</f>
        <v>Fair</v>
      </c>
      <c r="J1593" t="str">
        <f>LEFT(Ramen_Ratings[[#This Row],[Top Ten]],4)</f>
        <v/>
      </c>
      <c r="K1593" t="str">
        <f>IF(Ramen_Ratings[[#This Row],[Top Ten]]="", "",RIGHT(Ramen_Ratings[[#This Row],[Top Ten]],LEN(Ramen_Ratings[[#This Row],[Top Ten]])-6))</f>
        <v/>
      </c>
    </row>
    <row r="1594" spans="1:11" x14ac:dyDescent="0.25">
      <c r="A1594">
        <v>1361</v>
      </c>
      <c r="B1594" t="s">
        <v>668</v>
      </c>
      <c r="C1594" t="s">
        <v>1479</v>
      </c>
      <c r="D1594" t="s">
        <v>13</v>
      </c>
      <c r="E1594" t="s">
        <v>69</v>
      </c>
      <c r="F1594" t="str">
        <f>VLOOKUP(Ramen_Ratings[[#This Row],[Country]],Country_Region[#All],2,FALSE)</f>
        <v>Africa</v>
      </c>
      <c r="G1594">
        <v>5</v>
      </c>
      <c r="H1594" t="str" cm="1">
        <f t="array" ref="H1594">_xlfn.IFS(Ramen_Ratings[[#This Row],[Stars]] = "Unrated", "NA",Ramen_Ratings[[#This Row],[Stars]]&gt;=4, "Good", Ramen_Ratings[[#This Row],[Stars]]&gt;2.5, "Fair", Ramen_Ratings[[#This Row],[Stars]] &gt;= 0, "Bad")</f>
        <v>Good</v>
      </c>
      <c r="J1594" t="str">
        <f>LEFT(Ramen_Ratings[[#This Row],[Top Ten]],4)</f>
        <v/>
      </c>
      <c r="K1594" t="str">
        <f>IF(Ramen_Ratings[[#This Row],[Top Ten]]="", "",RIGHT(Ramen_Ratings[[#This Row],[Top Ten]],LEN(Ramen_Ratings[[#This Row],[Top Ten]])-6))</f>
        <v/>
      </c>
    </row>
    <row r="1595" spans="1:11" x14ac:dyDescent="0.25">
      <c r="A1595">
        <v>1360</v>
      </c>
      <c r="B1595" t="s">
        <v>668</v>
      </c>
      <c r="C1595" t="s">
        <v>1480</v>
      </c>
      <c r="D1595" t="s">
        <v>13</v>
      </c>
      <c r="E1595" t="s">
        <v>69</v>
      </c>
      <c r="F1595" t="str">
        <f>VLOOKUP(Ramen_Ratings[[#This Row],[Country]],Country_Region[#All],2,FALSE)</f>
        <v>Africa</v>
      </c>
      <c r="G1595">
        <v>3.75</v>
      </c>
      <c r="H1595" t="str" cm="1">
        <f t="array" ref="H1595">_xlfn.IFS(Ramen_Ratings[[#This Row],[Stars]] = "Unrated", "NA",Ramen_Ratings[[#This Row],[Stars]]&gt;=4, "Good", Ramen_Ratings[[#This Row],[Stars]]&gt;2.5, "Fair", Ramen_Ratings[[#This Row],[Stars]] &gt;= 0, "Bad")</f>
        <v>Fair</v>
      </c>
      <c r="J1595" t="str">
        <f>LEFT(Ramen_Ratings[[#This Row],[Top Ten]],4)</f>
        <v/>
      </c>
      <c r="K1595" t="str">
        <f>IF(Ramen_Ratings[[#This Row],[Top Ten]]="", "",RIGHT(Ramen_Ratings[[#This Row],[Top Ten]],LEN(Ramen_Ratings[[#This Row],[Top Ten]])-6))</f>
        <v/>
      </c>
    </row>
    <row r="1596" spans="1:11" x14ac:dyDescent="0.25">
      <c r="A1596">
        <v>1359</v>
      </c>
      <c r="B1596" t="s">
        <v>668</v>
      </c>
      <c r="C1596" t="s">
        <v>1481</v>
      </c>
      <c r="D1596" t="s">
        <v>9</v>
      </c>
      <c r="E1596" t="s">
        <v>69</v>
      </c>
      <c r="F1596" t="str">
        <f>VLOOKUP(Ramen_Ratings[[#This Row],[Country]],Country_Region[#All],2,FALSE)</f>
        <v>Africa</v>
      </c>
      <c r="G1596">
        <v>5</v>
      </c>
      <c r="H1596" t="str" cm="1">
        <f t="array" ref="H1596">_xlfn.IFS(Ramen_Ratings[[#This Row],[Stars]] = "Unrated", "NA",Ramen_Ratings[[#This Row],[Stars]]&gt;=4, "Good", Ramen_Ratings[[#This Row],[Stars]]&gt;2.5, "Fair", Ramen_Ratings[[#This Row],[Stars]] &gt;= 0, "Bad")</f>
        <v>Good</v>
      </c>
      <c r="J1596" t="str">
        <f>LEFT(Ramen_Ratings[[#This Row],[Top Ten]],4)</f>
        <v/>
      </c>
      <c r="K1596" t="str">
        <f>IF(Ramen_Ratings[[#This Row],[Top Ten]]="", "",RIGHT(Ramen_Ratings[[#This Row],[Top Ten]],LEN(Ramen_Ratings[[#This Row],[Top Ten]])-6))</f>
        <v/>
      </c>
    </row>
    <row r="1597" spans="1:11" x14ac:dyDescent="0.25">
      <c r="A1597">
        <v>1358</v>
      </c>
      <c r="B1597" t="s">
        <v>668</v>
      </c>
      <c r="C1597" t="s">
        <v>1482</v>
      </c>
      <c r="D1597" t="s">
        <v>13</v>
      </c>
      <c r="E1597" t="s">
        <v>69</v>
      </c>
      <c r="F1597" t="str">
        <f>VLOOKUP(Ramen_Ratings[[#This Row],[Country]],Country_Region[#All],2,FALSE)</f>
        <v>Africa</v>
      </c>
      <c r="G1597">
        <v>4</v>
      </c>
      <c r="H1597" t="str" cm="1">
        <f t="array" ref="H1597">_xlfn.IFS(Ramen_Ratings[[#This Row],[Stars]] = "Unrated", "NA",Ramen_Ratings[[#This Row],[Stars]]&gt;=4, "Good", Ramen_Ratings[[#This Row],[Stars]]&gt;2.5, "Fair", Ramen_Ratings[[#This Row],[Stars]] &gt;= 0, "Bad")</f>
        <v>Good</v>
      </c>
      <c r="J1597" t="str">
        <f>LEFT(Ramen_Ratings[[#This Row],[Top Ten]],4)</f>
        <v/>
      </c>
      <c r="K1597" t="str">
        <f>IF(Ramen_Ratings[[#This Row],[Top Ten]]="", "",RIGHT(Ramen_Ratings[[#This Row],[Top Ten]],LEN(Ramen_Ratings[[#This Row],[Top Ten]])-6))</f>
        <v/>
      </c>
    </row>
    <row r="1598" spans="1:11" x14ac:dyDescent="0.25">
      <c r="A1598">
        <v>1357</v>
      </c>
      <c r="B1598" t="s">
        <v>668</v>
      </c>
      <c r="C1598" t="s">
        <v>1483</v>
      </c>
      <c r="D1598" t="s">
        <v>9</v>
      </c>
      <c r="E1598" t="s">
        <v>69</v>
      </c>
      <c r="F1598" t="str">
        <f>VLOOKUP(Ramen_Ratings[[#This Row],[Country]],Country_Region[#All],2,FALSE)</f>
        <v>Africa</v>
      </c>
      <c r="G1598">
        <v>5</v>
      </c>
      <c r="H1598" t="str" cm="1">
        <f t="array" ref="H1598">_xlfn.IFS(Ramen_Ratings[[#This Row],[Stars]] = "Unrated", "NA",Ramen_Ratings[[#This Row],[Stars]]&gt;=4, "Good", Ramen_Ratings[[#This Row],[Stars]]&gt;2.5, "Fair", Ramen_Ratings[[#This Row],[Stars]] &gt;= 0, "Bad")</f>
        <v>Good</v>
      </c>
      <c r="J1598" t="str">
        <f>LEFT(Ramen_Ratings[[#This Row],[Top Ten]],4)</f>
        <v/>
      </c>
      <c r="K1598" t="str">
        <f>IF(Ramen_Ratings[[#This Row],[Top Ten]]="", "",RIGHT(Ramen_Ratings[[#This Row],[Top Ten]],LEN(Ramen_Ratings[[#This Row],[Top Ten]])-6))</f>
        <v/>
      </c>
    </row>
    <row r="1599" spans="1:11" x14ac:dyDescent="0.25">
      <c r="A1599">
        <v>1356</v>
      </c>
      <c r="B1599" t="s">
        <v>668</v>
      </c>
      <c r="C1599" t="s">
        <v>1484</v>
      </c>
      <c r="D1599" t="s">
        <v>13</v>
      </c>
      <c r="E1599" t="s">
        <v>69</v>
      </c>
      <c r="F1599" t="str">
        <f>VLOOKUP(Ramen_Ratings[[#This Row],[Country]],Country_Region[#All],2,FALSE)</f>
        <v>Africa</v>
      </c>
      <c r="G1599">
        <v>3.25</v>
      </c>
      <c r="H1599" t="str" cm="1">
        <f t="array" ref="H1599">_xlfn.IFS(Ramen_Ratings[[#This Row],[Stars]] = "Unrated", "NA",Ramen_Ratings[[#This Row],[Stars]]&gt;=4, "Good", Ramen_Ratings[[#This Row],[Stars]]&gt;2.5, "Fair", Ramen_Ratings[[#This Row],[Stars]] &gt;= 0, "Bad")</f>
        <v>Fair</v>
      </c>
      <c r="J1599" t="str">
        <f>LEFT(Ramen_Ratings[[#This Row],[Top Ten]],4)</f>
        <v/>
      </c>
      <c r="K1599" t="str">
        <f>IF(Ramen_Ratings[[#This Row],[Top Ten]]="", "",RIGHT(Ramen_Ratings[[#This Row],[Top Ten]],LEN(Ramen_Ratings[[#This Row],[Top Ten]])-6))</f>
        <v/>
      </c>
    </row>
    <row r="1600" spans="1:11" x14ac:dyDescent="0.25">
      <c r="A1600">
        <v>1355</v>
      </c>
      <c r="B1600" t="s">
        <v>668</v>
      </c>
      <c r="C1600" t="s">
        <v>1485</v>
      </c>
      <c r="D1600" t="s">
        <v>13</v>
      </c>
      <c r="E1600" t="s">
        <v>69</v>
      </c>
      <c r="F1600" t="str">
        <f>VLOOKUP(Ramen_Ratings[[#This Row],[Country]],Country_Region[#All],2,FALSE)</f>
        <v>Africa</v>
      </c>
      <c r="G1600">
        <v>3.25</v>
      </c>
      <c r="H1600" t="str" cm="1">
        <f t="array" ref="H1600">_xlfn.IFS(Ramen_Ratings[[#This Row],[Stars]] = "Unrated", "NA",Ramen_Ratings[[#This Row],[Stars]]&gt;=4, "Good", Ramen_Ratings[[#This Row],[Stars]]&gt;2.5, "Fair", Ramen_Ratings[[#This Row],[Stars]] &gt;= 0, "Bad")</f>
        <v>Fair</v>
      </c>
      <c r="J1600" t="str">
        <f>LEFT(Ramen_Ratings[[#This Row],[Top Ten]],4)</f>
        <v/>
      </c>
      <c r="K1600" t="str">
        <f>IF(Ramen_Ratings[[#This Row],[Top Ten]]="", "",RIGHT(Ramen_Ratings[[#This Row],[Top Ten]],LEN(Ramen_Ratings[[#This Row],[Top Ten]])-6))</f>
        <v/>
      </c>
    </row>
    <row r="1601" spans="1:11" x14ac:dyDescent="0.25">
      <c r="A1601">
        <v>1354</v>
      </c>
      <c r="B1601" t="s">
        <v>668</v>
      </c>
      <c r="C1601" t="s">
        <v>1479</v>
      </c>
      <c r="D1601" t="s">
        <v>9</v>
      </c>
      <c r="E1601" t="s">
        <v>69</v>
      </c>
      <c r="F1601" t="str">
        <f>VLOOKUP(Ramen_Ratings[[#This Row],[Country]],Country_Region[#All],2,FALSE)</f>
        <v>Africa</v>
      </c>
      <c r="G1601">
        <v>4.75</v>
      </c>
      <c r="H1601" t="str" cm="1">
        <f t="array" ref="H1601">_xlfn.IFS(Ramen_Ratings[[#This Row],[Stars]] = "Unrated", "NA",Ramen_Ratings[[#This Row],[Stars]]&gt;=4, "Good", Ramen_Ratings[[#This Row],[Stars]]&gt;2.5, "Fair", Ramen_Ratings[[#This Row],[Stars]] &gt;= 0, "Bad")</f>
        <v>Good</v>
      </c>
      <c r="J1601" t="str">
        <f>LEFT(Ramen_Ratings[[#This Row],[Top Ten]],4)</f>
        <v/>
      </c>
      <c r="K1601" t="str">
        <f>IF(Ramen_Ratings[[#This Row],[Top Ten]]="", "",RIGHT(Ramen_Ratings[[#This Row],[Top Ten]],LEN(Ramen_Ratings[[#This Row],[Top Ten]])-6))</f>
        <v/>
      </c>
    </row>
    <row r="1602" spans="1:11" x14ac:dyDescent="0.25">
      <c r="A1602">
        <v>1353</v>
      </c>
      <c r="B1602" t="s">
        <v>668</v>
      </c>
      <c r="C1602" t="s">
        <v>1486</v>
      </c>
      <c r="D1602" t="s">
        <v>13</v>
      </c>
      <c r="E1602" t="s">
        <v>69</v>
      </c>
      <c r="F1602" t="str">
        <f>VLOOKUP(Ramen_Ratings[[#This Row],[Country]],Country_Region[#All],2,FALSE)</f>
        <v>Africa</v>
      </c>
      <c r="G1602">
        <v>3.75</v>
      </c>
      <c r="H1602" t="str" cm="1">
        <f t="array" ref="H1602">_xlfn.IFS(Ramen_Ratings[[#This Row],[Stars]] = "Unrated", "NA",Ramen_Ratings[[#This Row],[Stars]]&gt;=4, "Good", Ramen_Ratings[[#This Row],[Stars]]&gt;2.5, "Fair", Ramen_Ratings[[#This Row],[Stars]] &gt;= 0, "Bad")</f>
        <v>Fair</v>
      </c>
      <c r="J1602" t="str">
        <f>LEFT(Ramen_Ratings[[#This Row],[Top Ten]],4)</f>
        <v/>
      </c>
      <c r="K1602" t="str">
        <f>IF(Ramen_Ratings[[#This Row],[Top Ten]]="", "",RIGHT(Ramen_Ratings[[#This Row],[Top Ten]],LEN(Ramen_Ratings[[#This Row],[Top Ten]])-6))</f>
        <v/>
      </c>
    </row>
    <row r="1603" spans="1:11" x14ac:dyDescent="0.25">
      <c r="A1603">
        <v>1352</v>
      </c>
      <c r="B1603" t="s">
        <v>668</v>
      </c>
      <c r="C1603" t="s">
        <v>1487</v>
      </c>
      <c r="D1603" t="s">
        <v>13</v>
      </c>
      <c r="E1603" t="s">
        <v>69</v>
      </c>
      <c r="F1603" t="str">
        <f>VLOOKUP(Ramen_Ratings[[#This Row],[Country]],Country_Region[#All],2,FALSE)</f>
        <v>Africa</v>
      </c>
      <c r="G1603">
        <v>3.75</v>
      </c>
      <c r="H1603" t="str" cm="1">
        <f t="array" ref="H1603">_xlfn.IFS(Ramen_Ratings[[#This Row],[Stars]] = "Unrated", "NA",Ramen_Ratings[[#This Row],[Stars]]&gt;=4, "Good", Ramen_Ratings[[#This Row],[Stars]]&gt;2.5, "Fair", Ramen_Ratings[[#This Row],[Stars]] &gt;= 0, "Bad")</f>
        <v>Fair</v>
      </c>
      <c r="J1603" t="str">
        <f>LEFT(Ramen_Ratings[[#This Row],[Top Ten]],4)</f>
        <v/>
      </c>
      <c r="K1603" t="str">
        <f>IF(Ramen_Ratings[[#This Row],[Top Ten]]="", "",RIGHT(Ramen_Ratings[[#This Row],[Top Ten]],LEN(Ramen_Ratings[[#This Row],[Top Ten]])-6))</f>
        <v/>
      </c>
    </row>
    <row r="1604" spans="1:11" x14ac:dyDescent="0.25">
      <c r="A1604">
        <v>1351</v>
      </c>
      <c r="B1604" t="s">
        <v>668</v>
      </c>
      <c r="C1604" t="s">
        <v>1488</v>
      </c>
      <c r="D1604" t="s">
        <v>13</v>
      </c>
      <c r="E1604" t="s">
        <v>69</v>
      </c>
      <c r="F1604" t="str">
        <f>VLOOKUP(Ramen_Ratings[[#This Row],[Country]],Country_Region[#All],2,FALSE)</f>
        <v>Africa</v>
      </c>
      <c r="G1604">
        <v>4</v>
      </c>
      <c r="H1604" t="str" cm="1">
        <f t="array" ref="H1604">_xlfn.IFS(Ramen_Ratings[[#This Row],[Stars]] = "Unrated", "NA",Ramen_Ratings[[#This Row],[Stars]]&gt;=4, "Good", Ramen_Ratings[[#This Row],[Stars]]&gt;2.5, "Fair", Ramen_Ratings[[#This Row],[Stars]] &gt;= 0, "Bad")</f>
        <v>Good</v>
      </c>
      <c r="J1604" t="str">
        <f>LEFT(Ramen_Ratings[[#This Row],[Top Ten]],4)</f>
        <v/>
      </c>
      <c r="K1604" t="str">
        <f>IF(Ramen_Ratings[[#This Row],[Top Ten]]="", "",RIGHT(Ramen_Ratings[[#This Row],[Top Ten]],LEN(Ramen_Ratings[[#This Row],[Top Ten]])-6))</f>
        <v/>
      </c>
    </row>
    <row r="1605" spans="1:11" x14ac:dyDescent="0.25">
      <c r="A1605">
        <v>1349</v>
      </c>
      <c r="B1605" t="s">
        <v>668</v>
      </c>
      <c r="C1605" t="s">
        <v>1490</v>
      </c>
      <c r="D1605" t="s">
        <v>9</v>
      </c>
      <c r="E1605" t="s">
        <v>69</v>
      </c>
      <c r="F1605" t="str">
        <f>VLOOKUP(Ramen_Ratings[[#This Row],[Country]],Country_Region[#All],2,FALSE)</f>
        <v>Africa</v>
      </c>
      <c r="G1605">
        <v>4.5</v>
      </c>
      <c r="H1605" t="str" cm="1">
        <f t="array" ref="H1605">_xlfn.IFS(Ramen_Ratings[[#This Row],[Stars]] = "Unrated", "NA",Ramen_Ratings[[#This Row],[Stars]]&gt;=4, "Good", Ramen_Ratings[[#This Row],[Stars]]&gt;2.5, "Fair", Ramen_Ratings[[#This Row],[Stars]] &gt;= 0, "Bad")</f>
        <v>Good</v>
      </c>
      <c r="J1605" t="str">
        <f>LEFT(Ramen_Ratings[[#This Row],[Top Ten]],4)</f>
        <v/>
      </c>
      <c r="K1605" t="str">
        <f>IF(Ramen_Ratings[[#This Row],[Top Ten]]="", "",RIGHT(Ramen_Ratings[[#This Row],[Top Ten]],LEN(Ramen_Ratings[[#This Row],[Top Ten]])-6))</f>
        <v/>
      </c>
    </row>
    <row r="1606" spans="1:11" x14ac:dyDescent="0.25">
      <c r="A1606">
        <v>1348</v>
      </c>
      <c r="B1606" t="s">
        <v>668</v>
      </c>
      <c r="C1606" t="s">
        <v>1491</v>
      </c>
      <c r="D1606" t="s">
        <v>13</v>
      </c>
      <c r="E1606" t="s">
        <v>69</v>
      </c>
      <c r="F1606" t="str">
        <f>VLOOKUP(Ramen_Ratings[[#This Row],[Country]],Country_Region[#All],2,FALSE)</f>
        <v>Africa</v>
      </c>
      <c r="G1606">
        <v>3.75</v>
      </c>
      <c r="H1606" t="str" cm="1">
        <f t="array" ref="H1606">_xlfn.IFS(Ramen_Ratings[[#This Row],[Stars]] = "Unrated", "NA",Ramen_Ratings[[#This Row],[Stars]]&gt;=4, "Good", Ramen_Ratings[[#This Row],[Stars]]&gt;2.5, "Fair", Ramen_Ratings[[#This Row],[Stars]] &gt;= 0, "Bad")</f>
        <v>Fair</v>
      </c>
      <c r="J1606" t="str">
        <f>LEFT(Ramen_Ratings[[#This Row],[Top Ten]],4)</f>
        <v/>
      </c>
      <c r="K1606" t="str">
        <f>IF(Ramen_Ratings[[#This Row],[Top Ten]]="", "",RIGHT(Ramen_Ratings[[#This Row],[Top Ten]],LEN(Ramen_Ratings[[#This Row],[Top Ten]])-6))</f>
        <v/>
      </c>
    </row>
    <row r="1607" spans="1:11" x14ac:dyDescent="0.25">
      <c r="A1607">
        <v>1342</v>
      </c>
      <c r="B1607" t="s">
        <v>1119</v>
      </c>
      <c r="C1607" t="s">
        <v>1260</v>
      </c>
      <c r="D1607" t="s">
        <v>13</v>
      </c>
      <c r="E1607" t="s">
        <v>69</v>
      </c>
      <c r="F1607" t="str">
        <f>VLOOKUP(Ramen_Ratings[[#This Row],[Country]],Country_Region[#All],2,FALSE)</f>
        <v>Africa</v>
      </c>
      <c r="G1607">
        <v>4.5</v>
      </c>
      <c r="H1607" t="str" cm="1">
        <f t="array" ref="H1607">_xlfn.IFS(Ramen_Ratings[[#This Row],[Stars]] = "Unrated", "NA",Ramen_Ratings[[#This Row],[Stars]]&gt;=4, "Good", Ramen_Ratings[[#This Row],[Stars]]&gt;2.5, "Fair", Ramen_Ratings[[#This Row],[Stars]] &gt;= 0, "Bad")</f>
        <v>Good</v>
      </c>
      <c r="J1607" t="str">
        <f>LEFT(Ramen_Ratings[[#This Row],[Top Ten]],4)</f>
        <v/>
      </c>
      <c r="K1607" t="str">
        <f>IF(Ramen_Ratings[[#This Row],[Top Ten]]="", "",RIGHT(Ramen_Ratings[[#This Row],[Top Ten]],LEN(Ramen_Ratings[[#This Row],[Top Ten]])-6))</f>
        <v/>
      </c>
    </row>
    <row r="1608" spans="1:11" x14ac:dyDescent="0.25">
      <c r="A1608">
        <v>1326</v>
      </c>
      <c r="B1608" t="s">
        <v>668</v>
      </c>
      <c r="C1608" t="s">
        <v>1518</v>
      </c>
      <c r="D1608" t="s">
        <v>13</v>
      </c>
      <c r="E1608" t="s">
        <v>69</v>
      </c>
      <c r="F1608" t="str">
        <f>VLOOKUP(Ramen_Ratings[[#This Row],[Country]],Country_Region[#All],2,FALSE)</f>
        <v>Africa</v>
      </c>
      <c r="G1608">
        <v>3.75</v>
      </c>
      <c r="H1608" t="str" cm="1">
        <f t="array" ref="H1608">_xlfn.IFS(Ramen_Ratings[[#This Row],[Stars]] = "Unrated", "NA",Ramen_Ratings[[#This Row],[Stars]]&gt;=4, "Good", Ramen_Ratings[[#This Row],[Stars]]&gt;2.5, "Fair", Ramen_Ratings[[#This Row],[Stars]] &gt;= 0, "Bad")</f>
        <v>Fair</v>
      </c>
      <c r="J1608" t="str">
        <f>LEFT(Ramen_Ratings[[#This Row],[Top Ten]],4)</f>
        <v/>
      </c>
      <c r="K1608" t="str">
        <f>IF(Ramen_Ratings[[#This Row],[Top Ten]]="", "",RIGHT(Ramen_Ratings[[#This Row],[Top Ten]],LEN(Ramen_Ratings[[#This Row],[Top Ten]])-6))</f>
        <v/>
      </c>
    </row>
    <row r="1609" spans="1:11" x14ac:dyDescent="0.25">
      <c r="A1609">
        <v>1319</v>
      </c>
      <c r="B1609" t="s">
        <v>1388</v>
      </c>
      <c r="C1609" t="s">
        <v>1524</v>
      </c>
      <c r="D1609" t="s">
        <v>13</v>
      </c>
      <c r="E1609" t="s">
        <v>69</v>
      </c>
      <c r="F1609" t="str">
        <f>VLOOKUP(Ramen_Ratings[[#This Row],[Country]],Country_Region[#All],2,FALSE)</f>
        <v>Africa</v>
      </c>
      <c r="G1609">
        <v>4.25</v>
      </c>
      <c r="H1609" t="str" cm="1">
        <f t="array" ref="H1609">_xlfn.IFS(Ramen_Ratings[[#This Row],[Stars]] = "Unrated", "NA",Ramen_Ratings[[#This Row],[Stars]]&gt;=4, "Good", Ramen_Ratings[[#This Row],[Stars]]&gt;2.5, "Fair", Ramen_Ratings[[#This Row],[Stars]] &gt;= 0, "Bad")</f>
        <v>Good</v>
      </c>
      <c r="J1609" t="str">
        <f>LEFT(Ramen_Ratings[[#This Row],[Top Ten]],4)</f>
        <v/>
      </c>
      <c r="K1609" t="str">
        <f>IF(Ramen_Ratings[[#This Row],[Top Ten]]="", "",RIGHT(Ramen_Ratings[[#This Row],[Top Ten]],LEN(Ramen_Ratings[[#This Row],[Top Ten]])-6))</f>
        <v/>
      </c>
    </row>
    <row r="1610" spans="1:11" x14ac:dyDescent="0.25">
      <c r="A1610">
        <v>1276</v>
      </c>
      <c r="B1610" t="s">
        <v>1388</v>
      </c>
      <c r="C1610" t="s">
        <v>1573</v>
      </c>
      <c r="D1610" t="s">
        <v>13</v>
      </c>
      <c r="E1610" t="s">
        <v>69</v>
      </c>
      <c r="F1610" t="str">
        <f>VLOOKUP(Ramen_Ratings[[#This Row],[Country]],Country_Region[#All],2,FALSE)</f>
        <v>Africa</v>
      </c>
      <c r="G1610">
        <v>4.25</v>
      </c>
      <c r="H1610" t="str" cm="1">
        <f t="array" ref="H1610">_xlfn.IFS(Ramen_Ratings[[#This Row],[Stars]] = "Unrated", "NA",Ramen_Ratings[[#This Row],[Stars]]&gt;=4, "Good", Ramen_Ratings[[#This Row],[Stars]]&gt;2.5, "Fair", Ramen_Ratings[[#This Row],[Stars]] &gt;= 0, "Bad")</f>
        <v>Good</v>
      </c>
      <c r="J1610" t="str">
        <f>LEFT(Ramen_Ratings[[#This Row],[Top Ten]],4)</f>
        <v/>
      </c>
      <c r="K1610" t="str">
        <f>IF(Ramen_Ratings[[#This Row],[Top Ten]]="", "",RIGHT(Ramen_Ratings[[#This Row],[Top Ten]],LEN(Ramen_Ratings[[#This Row],[Top Ten]])-6))</f>
        <v/>
      </c>
    </row>
    <row r="1611" spans="1:11" x14ac:dyDescent="0.25">
      <c r="A1611">
        <v>1240</v>
      </c>
      <c r="B1611" t="s">
        <v>132</v>
      </c>
      <c r="C1611" t="s">
        <v>1612</v>
      </c>
      <c r="D1611" t="s">
        <v>13</v>
      </c>
      <c r="E1611" t="s">
        <v>69</v>
      </c>
      <c r="F1611" t="str">
        <f>VLOOKUP(Ramen_Ratings[[#This Row],[Country]],Country_Region[#All],2,FALSE)</f>
        <v>Africa</v>
      </c>
      <c r="G1611">
        <v>4</v>
      </c>
      <c r="H1611" t="str" cm="1">
        <f t="array" ref="H1611">_xlfn.IFS(Ramen_Ratings[[#This Row],[Stars]] = "Unrated", "NA",Ramen_Ratings[[#This Row],[Stars]]&gt;=4, "Good", Ramen_Ratings[[#This Row],[Stars]]&gt;2.5, "Fair", Ramen_Ratings[[#This Row],[Stars]] &gt;= 0, "Bad")</f>
        <v>Good</v>
      </c>
      <c r="J1611" t="str">
        <f>LEFT(Ramen_Ratings[[#This Row],[Top Ten]],4)</f>
        <v/>
      </c>
      <c r="K1611" t="str">
        <f>IF(Ramen_Ratings[[#This Row],[Top Ten]]="", "",RIGHT(Ramen_Ratings[[#This Row],[Top Ten]],LEN(Ramen_Ratings[[#This Row],[Top Ten]])-6))</f>
        <v/>
      </c>
    </row>
    <row r="1612" spans="1:11" x14ac:dyDescent="0.25">
      <c r="A1612">
        <v>1230</v>
      </c>
      <c r="B1612" t="s">
        <v>1442</v>
      </c>
      <c r="C1612" t="s">
        <v>1623</v>
      </c>
      <c r="D1612" t="s">
        <v>13</v>
      </c>
      <c r="E1612" t="s">
        <v>69</v>
      </c>
      <c r="F1612" t="str">
        <f>VLOOKUP(Ramen_Ratings[[#This Row],[Country]],Country_Region[#All],2,FALSE)</f>
        <v>Africa</v>
      </c>
      <c r="G1612">
        <v>4</v>
      </c>
      <c r="H1612" t="str" cm="1">
        <f t="array" ref="H1612">_xlfn.IFS(Ramen_Ratings[[#This Row],[Stars]] = "Unrated", "NA",Ramen_Ratings[[#This Row],[Stars]]&gt;=4, "Good", Ramen_Ratings[[#This Row],[Stars]]&gt;2.5, "Fair", Ramen_Ratings[[#This Row],[Stars]] &gt;= 0, "Bad")</f>
        <v>Good</v>
      </c>
      <c r="J1612" t="str">
        <f>LEFT(Ramen_Ratings[[#This Row],[Top Ten]],4)</f>
        <v/>
      </c>
      <c r="K1612" t="str">
        <f>IF(Ramen_Ratings[[#This Row],[Top Ten]]="", "",RIGHT(Ramen_Ratings[[#This Row],[Top Ten]],LEN(Ramen_Ratings[[#This Row],[Top Ten]])-6))</f>
        <v/>
      </c>
    </row>
    <row r="1613" spans="1:11" x14ac:dyDescent="0.25">
      <c r="A1613">
        <v>1223</v>
      </c>
      <c r="B1613" t="s">
        <v>1471</v>
      </c>
      <c r="C1613" t="s">
        <v>1632</v>
      </c>
      <c r="D1613" t="s">
        <v>13</v>
      </c>
      <c r="E1613" t="s">
        <v>69</v>
      </c>
      <c r="F1613" t="str">
        <f>VLOOKUP(Ramen_Ratings[[#This Row],[Country]],Country_Region[#All],2,FALSE)</f>
        <v>Africa</v>
      </c>
      <c r="G1613">
        <v>2.5</v>
      </c>
      <c r="H1613" t="str" cm="1">
        <f t="array" ref="H1613">_xlfn.IFS(Ramen_Ratings[[#This Row],[Stars]] = "Unrated", "NA",Ramen_Ratings[[#This Row],[Stars]]&gt;=4, "Good", Ramen_Ratings[[#This Row],[Stars]]&gt;2.5, "Fair", Ramen_Ratings[[#This Row],[Stars]] &gt;= 0, "Bad")</f>
        <v>Bad</v>
      </c>
      <c r="J1613" t="str">
        <f>LEFT(Ramen_Ratings[[#This Row],[Top Ten]],4)</f>
        <v/>
      </c>
      <c r="K1613" t="str">
        <f>IF(Ramen_Ratings[[#This Row],[Top Ten]]="", "",RIGHT(Ramen_Ratings[[#This Row],[Top Ten]],LEN(Ramen_Ratings[[#This Row],[Top Ten]])-6))</f>
        <v/>
      </c>
    </row>
    <row r="1614" spans="1:11" x14ac:dyDescent="0.25">
      <c r="A1614">
        <v>1195</v>
      </c>
      <c r="B1614" t="s">
        <v>1471</v>
      </c>
      <c r="C1614" t="s">
        <v>1662</v>
      </c>
      <c r="D1614" t="s">
        <v>13</v>
      </c>
      <c r="E1614" t="s">
        <v>69</v>
      </c>
      <c r="F1614" t="str">
        <f>VLOOKUP(Ramen_Ratings[[#This Row],[Country]],Country_Region[#All],2,FALSE)</f>
        <v>Africa</v>
      </c>
      <c r="G1614">
        <v>2.5</v>
      </c>
      <c r="H1614" t="str" cm="1">
        <f t="array" ref="H1614">_xlfn.IFS(Ramen_Ratings[[#This Row],[Stars]] = "Unrated", "NA",Ramen_Ratings[[#This Row],[Stars]]&gt;=4, "Good", Ramen_Ratings[[#This Row],[Stars]]&gt;2.5, "Fair", Ramen_Ratings[[#This Row],[Stars]] &gt;= 0, "Bad")</f>
        <v>Bad</v>
      </c>
      <c r="J1614" t="str">
        <f>LEFT(Ramen_Ratings[[#This Row],[Top Ten]],4)</f>
        <v/>
      </c>
      <c r="K1614" t="str">
        <f>IF(Ramen_Ratings[[#This Row],[Top Ten]]="", "",RIGHT(Ramen_Ratings[[#This Row],[Top Ten]],LEN(Ramen_Ratings[[#This Row],[Top Ten]])-6))</f>
        <v/>
      </c>
    </row>
    <row r="1615" spans="1:11" x14ac:dyDescent="0.25">
      <c r="A1615">
        <v>1059</v>
      </c>
      <c r="B1615" t="s">
        <v>668</v>
      </c>
      <c r="C1615" t="s">
        <v>1807</v>
      </c>
      <c r="D1615" t="s">
        <v>13</v>
      </c>
      <c r="E1615" t="s">
        <v>69</v>
      </c>
      <c r="F1615" t="str">
        <f>VLOOKUP(Ramen_Ratings[[#This Row],[Country]],Country_Region[#All],2,FALSE)</f>
        <v>Africa</v>
      </c>
      <c r="G1615">
        <v>3.25</v>
      </c>
      <c r="H1615" t="str" cm="1">
        <f t="array" ref="H1615">_xlfn.IFS(Ramen_Ratings[[#This Row],[Stars]] = "Unrated", "NA",Ramen_Ratings[[#This Row],[Stars]]&gt;=4, "Good", Ramen_Ratings[[#This Row],[Stars]]&gt;2.5, "Fair", Ramen_Ratings[[#This Row],[Stars]] &gt;= 0, "Bad")</f>
        <v>Fair</v>
      </c>
      <c r="J1615" t="str">
        <f>LEFT(Ramen_Ratings[[#This Row],[Top Ten]],4)</f>
        <v/>
      </c>
      <c r="K1615" t="str">
        <f>IF(Ramen_Ratings[[#This Row],[Top Ten]]="", "",RIGHT(Ramen_Ratings[[#This Row],[Top Ten]],LEN(Ramen_Ratings[[#This Row],[Top Ten]])-6))</f>
        <v/>
      </c>
    </row>
    <row r="1616" spans="1:11" x14ac:dyDescent="0.25">
      <c r="A1616">
        <v>926</v>
      </c>
      <c r="B1616" t="s">
        <v>809</v>
      </c>
      <c r="C1616" t="s">
        <v>1942</v>
      </c>
      <c r="D1616" t="s">
        <v>13</v>
      </c>
      <c r="E1616" t="s">
        <v>69</v>
      </c>
      <c r="F1616" t="str">
        <f>VLOOKUP(Ramen_Ratings[[#This Row],[Country]],Country_Region[#All],2,FALSE)</f>
        <v>Africa</v>
      </c>
      <c r="G1616">
        <v>2.75</v>
      </c>
      <c r="H1616" t="str" cm="1">
        <f t="array" ref="H1616">_xlfn.IFS(Ramen_Ratings[[#This Row],[Stars]] = "Unrated", "NA",Ramen_Ratings[[#This Row],[Stars]]&gt;=4, "Good", Ramen_Ratings[[#This Row],[Stars]]&gt;2.5, "Fair", Ramen_Ratings[[#This Row],[Stars]] &gt;= 0, "Bad")</f>
        <v>Fair</v>
      </c>
      <c r="J1616" t="str">
        <f>LEFT(Ramen_Ratings[[#This Row],[Top Ten]],4)</f>
        <v/>
      </c>
      <c r="K1616" t="str">
        <f>IF(Ramen_Ratings[[#This Row],[Top Ten]]="", "",RIGHT(Ramen_Ratings[[#This Row],[Top Ten]],LEN(Ramen_Ratings[[#This Row],[Top Ten]])-6))</f>
        <v/>
      </c>
    </row>
    <row r="1617" spans="1:11" x14ac:dyDescent="0.25">
      <c r="A1617">
        <v>923</v>
      </c>
      <c r="B1617" t="s">
        <v>809</v>
      </c>
      <c r="C1617" t="s">
        <v>1945</v>
      </c>
      <c r="D1617" t="s">
        <v>13</v>
      </c>
      <c r="E1617" t="s">
        <v>69</v>
      </c>
      <c r="F1617" t="str">
        <f>VLOOKUP(Ramen_Ratings[[#This Row],[Country]],Country_Region[#All],2,FALSE)</f>
        <v>Africa</v>
      </c>
      <c r="G1617">
        <v>3.5</v>
      </c>
      <c r="H1617" t="str" cm="1">
        <f t="array" ref="H1617">_xlfn.IFS(Ramen_Ratings[[#This Row],[Stars]] = "Unrated", "NA",Ramen_Ratings[[#This Row],[Stars]]&gt;=4, "Good", Ramen_Ratings[[#This Row],[Stars]]&gt;2.5, "Fair", Ramen_Ratings[[#This Row],[Stars]] &gt;= 0, "Bad")</f>
        <v>Fair</v>
      </c>
      <c r="J1617" t="str">
        <f>LEFT(Ramen_Ratings[[#This Row],[Top Ten]],4)</f>
        <v/>
      </c>
      <c r="K1617" t="str">
        <f>IF(Ramen_Ratings[[#This Row],[Top Ten]]="", "",RIGHT(Ramen_Ratings[[#This Row],[Top Ten]],LEN(Ramen_Ratings[[#This Row],[Top Ten]])-6))</f>
        <v/>
      </c>
    </row>
    <row r="1618" spans="1:11" x14ac:dyDescent="0.25">
      <c r="A1618">
        <v>906</v>
      </c>
      <c r="B1618" t="s">
        <v>1964</v>
      </c>
      <c r="C1618" t="s">
        <v>1965</v>
      </c>
      <c r="D1618" t="s">
        <v>13</v>
      </c>
      <c r="E1618" t="s">
        <v>69</v>
      </c>
      <c r="F1618" t="str">
        <f>VLOOKUP(Ramen_Ratings[[#This Row],[Country]],Country_Region[#All],2,FALSE)</f>
        <v>Africa</v>
      </c>
      <c r="G1618">
        <v>5</v>
      </c>
      <c r="H1618" t="str" cm="1">
        <f t="array" ref="H1618">_xlfn.IFS(Ramen_Ratings[[#This Row],[Stars]] = "Unrated", "NA",Ramen_Ratings[[#This Row],[Stars]]&gt;=4, "Good", Ramen_Ratings[[#This Row],[Stars]]&gt;2.5, "Fair", Ramen_Ratings[[#This Row],[Stars]] &gt;= 0, "Bad")</f>
        <v>Good</v>
      </c>
      <c r="J1618" t="str">
        <f>LEFT(Ramen_Ratings[[#This Row],[Top Ten]],4)</f>
        <v/>
      </c>
      <c r="K1618" t="str">
        <f>IF(Ramen_Ratings[[#This Row],[Top Ten]]="", "",RIGHT(Ramen_Ratings[[#This Row],[Top Ten]],LEN(Ramen_Ratings[[#This Row],[Top Ten]])-6))</f>
        <v/>
      </c>
    </row>
    <row r="1619" spans="1:11" x14ac:dyDescent="0.25">
      <c r="A1619">
        <v>844</v>
      </c>
      <c r="B1619" t="s">
        <v>132</v>
      </c>
      <c r="C1619" t="s">
        <v>2037</v>
      </c>
      <c r="D1619" t="s">
        <v>13</v>
      </c>
      <c r="E1619" t="s">
        <v>69</v>
      </c>
      <c r="F1619" t="str">
        <f>VLOOKUP(Ramen_Ratings[[#This Row],[Country]],Country_Region[#All],2,FALSE)</f>
        <v>Africa</v>
      </c>
      <c r="G1619">
        <v>4</v>
      </c>
      <c r="H1619" t="str" cm="1">
        <f t="array" ref="H1619">_xlfn.IFS(Ramen_Ratings[[#This Row],[Stars]] = "Unrated", "NA",Ramen_Ratings[[#This Row],[Stars]]&gt;=4, "Good", Ramen_Ratings[[#This Row],[Stars]]&gt;2.5, "Fair", Ramen_Ratings[[#This Row],[Stars]] &gt;= 0, "Bad")</f>
        <v>Good</v>
      </c>
      <c r="J1619" t="str">
        <f>LEFT(Ramen_Ratings[[#This Row],[Top Ten]],4)</f>
        <v/>
      </c>
      <c r="K1619" t="str">
        <f>IF(Ramen_Ratings[[#This Row],[Top Ten]]="", "",RIGHT(Ramen_Ratings[[#This Row],[Top Ten]],LEN(Ramen_Ratings[[#This Row],[Top Ten]])-6))</f>
        <v/>
      </c>
    </row>
    <row r="1620" spans="1:11" x14ac:dyDescent="0.25">
      <c r="A1620">
        <v>778</v>
      </c>
      <c r="B1620" t="s">
        <v>668</v>
      </c>
      <c r="C1620" t="s">
        <v>2106</v>
      </c>
      <c r="D1620" t="s">
        <v>9</v>
      </c>
      <c r="E1620" t="s">
        <v>69</v>
      </c>
      <c r="F1620" t="str">
        <f>VLOOKUP(Ramen_Ratings[[#This Row],[Country]],Country_Region[#All],2,FALSE)</f>
        <v>Africa</v>
      </c>
      <c r="G1620">
        <v>2.5</v>
      </c>
      <c r="H1620" t="str" cm="1">
        <f t="array" ref="H1620">_xlfn.IFS(Ramen_Ratings[[#This Row],[Stars]] = "Unrated", "NA",Ramen_Ratings[[#This Row],[Stars]]&gt;=4, "Good", Ramen_Ratings[[#This Row],[Stars]]&gt;2.5, "Fair", Ramen_Ratings[[#This Row],[Stars]] &gt;= 0, "Bad")</f>
        <v>Bad</v>
      </c>
      <c r="J1620" t="str">
        <f>LEFT(Ramen_Ratings[[#This Row],[Top Ten]],4)</f>
        <v/>
      </c>
      <c r="K1620" t="str">
        <f>IF(Ramen_Ratings[[#This Row],[Top Ten]]="", "",RIGHT(Ramen_Ratings[[#This Row],[Top Ten]],LEN(Ramen_Ratings[[#This Row],[Top Ten]])-6))</f>
        <v/>
      </c>
    </row>
    <row r="1621" spans="1:11" x14ac:dyDescent="0.25">
      <c r="A1621">
        <v>743</v>
      </c>
      <c r="B1621" t="s">
        <v>668</v>
      </c>
      <c r="C1621" t="s">
        <v>2142</v>
      </c>
      <c r="D1621" t="s">
        <v>9</v>
      </c>
      <c r="E1621" t="s">
        <v>69</v>
      </c>
      <c r="F1621" t="str">
        <f>VLOOKUP(Ramen_Ratings[[#This Row],[Country]],Country_Region[#All],2,FALSE)</f>
        <v>Africa</v>
      </c>
      <c r="G1621">
        <v>3.75</v>
      </c>
      <c r="H1621" t="str" cm="1">
        <f t="array" ref="H1621">_xlfn.IFS(Ramen_Ratings[[#This Row],[Stars]] = "Unrated", "NA",Ramen_Ratings[[#This Row],[Stars]]&gt;=4, "Good", Ramen_Ratings[[#This Row],[Stars]]&gt;2.5, "Fair", Ramen_Ratings[[#This Row],[Stars]] &gt;= 0, "Bad")</f>
        <v>Fair</v>
      </c>
      <c r="J1621" t="str">
        <f>LEFT(Ramen_Ratings[[#This Row],[Top Ten]],4)</f>
        <v/>
      </c>
      <c r="K1621" t="str">
        <f>IF(Ramen_Ratings[[#This Row],[Top Ten]]="", "",RIGHT(Ramen_Ratings[[#This Row],[Top Ten]],LEN(Ramen_Ratings[[#This Row],[Top Ten]])-6))</f>
        <v/>
      </c>
    </row>
    <row r="1622" spans="1:11" x14ac:dyDescent="0.25">
      <c r="A1622">
        <v>691</v>
      </c>
      <c r="B1622" t="s">
        <v>668</v>
      </c>
      <c r="C1622" t="s">
        <v>2200</v>
      </c>
      <c r="D1622" t="s">
        <v>9</v>
      </c>
      <c r="E1622" t="s">
        <v>69</v>
      </c>
      <c r="F1622" t="str">
        <f>VLOOKUP(Ramen_Ratings[[#This Row],[Country]],Country_Region[#All],2,FALSE)</f>
        <v>Africa</v>
      </c>
      <c r="G1622">
        <v>2</v>
      </c>
      <c r="H1622" t="str" cm="1">
        <f t="array" ref="H1622">_xlfn.IFS(Ramen_Ratings[[#This Row],[Stars]] = "Unrated", "NA",Ramen_Ratings[[#This Row],[Stars]]&gt;=4, "Good", Ramen_Ratings[[#This Row],[Stars]]&gt;2.5, "Fair", Ramen_Ratings[[#This Row],[Stars]] &gt;= 0, "Bad")</f>
        <v>Bad</v>
      </c>
      <c r="J1622" t="str">
        <f>LEFT(Ramen_Ratings[[#This Row],[Top Ten]],4)</f>
        <v/>
      </c>
      <c r="K1622" t="str">
        <f>IF(Ramen_Ratings[[#This Row],[Top Ten]]="", "",RIGHT(Ramen_Ratings[[#This Row],[Top Ten]],LEN(Ramen_Ratings[[#This Row],[Top Ten]])-6))</f>
        <v/>
      </c>
    </row>
    <row r="1623" spans="1:11" x14ac:dyDescent="0.25">
      <c r="A1623">
        <v>679</v>
      </c>
      <c r="B1623" t="s">
        <v>668</v>
      </c>
      <c r="C1623" t="s">
        <v>2212</v>
      </c>
      <c r="D1623" t="s">
        <v>9</v>
      </c>
      <c r="E1623" t="s">
        <v>69</v>
      </c>
      <c r="F1623" t="str">
        <f>VLOOKUP(Ramen_Ratings[[#This Row],[Country]],Country_Region[#All],2,FALSE)</f>
        <v>Africa</v>
      </c>
      <c r="G1623">
        <v>3.25</v>
      </c>
      <c r="H1623" t="str" cm="1">
        <f t="array" ref="H1623">_xlfn.IFS(Ramen_Ratings[[#This Row],[Stars]] = "Unrated", "NA",Ramen_Ratings[[#This Row],[Stars]]&gt;=4, "Good", Ramen_Ratings[[#This Row],[Stars]]&gt;2.5, "Fair", Ramen_Ratings[[#This Row],[Stars]] &gt;= 0, "Bad")</f>
        <v>Fair</v>
      </c>
      <c r="J1623" t="str">
        <f>LEFT(Ramen_Ratings[[#This Row],[Top Ten]],4)</f>
        <v/>
      </c>
      <c r="K1623" t="str">
        <f>IF(Ramen_Ratings[[#This Row],[Top Ten]]="", "",RIGHT(Ramen_Ratings[[#This Row],[Top Ten]],LEN(Ramen_Ratings[[#This Row],[Top Ten]])-6))</f>
        <v/>
      </c>
    </row>
    <row r="1624" spans="1:11" x14ac:dyDescent="0.25">
      <c r="A1624">
        <v>457</v>
      </c>
      <c r="B1624" t="s">
        <v>809</v>
      </c>
      <c r="C1624" t="s">
        <v>2421</v>
      </c>
      <c r="D1624" t="s">
        <v>13</v>
      </c>
      <c r="E1624" t="s">
        <v>69</v>
      </c>
      <c r="F1624" t="str">
        <f>VLOOKUP(Ramen_Ratings[[#This Row],[Country]],Country_Region[#All],2,FALSE)</f>
        <v>Africa</v>
      </c>
      <c r="G1624">
        <v>4.5</v>
      </c>
      <c r="H1624" t="str" cm="1">
        <f t="array" ref="H1624">_xlfn.IFS(Ramen_Ratings[[#This Row],[Stars]] = "Unrated", "NA",Ramen_Ratings[[#This Row],[Stars]]&gt;=4, "Good", Ramen_Ratings[[#This Row],[Stars]]&gt;2.5, "Fair", Ramen_Ratings[[#This Row],[Stars]] &gt;= 0, "Bad")</f>
        <v>Good</v>
      </c>
      <c r="J1624" t="str">
        <f>LEFT(Ramen_Ratings[[#This Row],[Top Ten]],4)</f>
        <v/>
      </c>
      <c r="K1624" t="str">
        <f>IF(Ramen_Ratings[[#This Row],[Top Ten]]="", "",RIGHT(Ramen_Ratings[[#This Row],[Top Ten]],LEN(Ramen_Ratings[[#This Row],[Top Ten]])-6))</f>
        <v/>
      </c>
    </row>
    <row r="1625" spans="1:11" x14ac:dyDescent="0.25">
      <c r="A1625">
        <v>405</v>
      </c>
      <c r="B1625" t="s">
        <v>809</v>
      </c>
      <c r="C1625" t="s">
        <v>2478</v>
      </c>
      <c r="D1625" t="s">
        <v>13</v>
      </c>
      <c r="E1625" t="s">
        <v>69</v>
      </c>
      <c r="F1625" t="str">
        <f>VLOOKUP(Ramen_Ratings[[#This Row],[Country]],Country_Region[#All],2,FALSE)</f>
        <v>Africa</v>
      </c>
      <c r="G1625">
        <v>3.25</v>
      </c>
      <c r="H1625" t="str" cm="1">
        <f t="array" ref="H1625">_xlfn.IFS(Ramen_Ratings[[#This Row],[Stars]] = "Unrated", "NA",Ramen_Ratings[[#This Row],[Stars]]&gt;=4, "Good", Ramen_Ratings[[#This Row],[Stars]]&gt;2.5, "Fair", Ramen_Ratings[[#This Row],[Stars]] &gt;= 0, "Bad")</f>
        <v>Fair</v>
      </c>
      <c r="J1625" t="str">
        <f>LEFT(Ramen_Ratings[[#This Row],[Top Ten]],4)</f>
        <v/>
      </c>
      <c r="K1625" t="str">
        <f>IF(Ramen_Ratings[[#This Row],[Top Ten]]="", "",RIGHT(Ramen_Ratings[[#This Row],[Top Ten]],LEN(Ramen_Ratings[[#This Row],[Top Ten]])-6))</f>
        <v/>
      </c>
    </row>
    <row r="1626" spans="1:11" x14ac:dyDescent="0.25">
      <c r="A1626">
        <v>190</v>
      </c>
      <c r="B1626" t="s">
        <v>132</v>
      </c>
      <c r="C1626" t="s">
        <v>2685</v>
      </c>
      <c r="D1626" t="s">
        <v>13</v>
      </c>
      <c r="E1626" t="s">
        <v>69</v>
      </c>
      <c r="F1626" t="str">
        <f>VLOOKUP(Ramen_Ratings[[#This Row],[Country]],Country_Region[#All],2,FALSE)</f>
        <v>Africa</v>
      </c>
      <c r="G1626">
        <v>2.9</v>
      </c>
      <c r="H1626" t="str" cm="1">
        <f t="array" ref="H1626">_xlfn.IFS(Ramen_Ratings[[#This Row],[Stars]] = "Unrated", "NA",Ramen_Ratings[[#This Row],[Stars]]&gt;=4, "Good", Ramen_Ratings[[#This Row],[Stars]]&gt;2.5, "Fair", Ramen_Ratings[[#This Row],[Stars]] &gt;= 0, "Bad")</f>
        <v>Fair</v>
      </c>
      <c r="J1626" t="str">
        <f>LEFT(Ramen_Ratings[[#This Row],[Top Ten]],4)</f>
        <v/>
      </c>
      <c r="K1626" t="str">
        <f>IF(Ramen_Ratings[[#This Row],[Top Ten]]="", "",RIGHT(Ramen_Ratings[[#This Row],[Top Ten]],LEN(Ramen_Ratings[[#This Row],[Top Ten]])-6))</f>
        <v/>
      </c>
    </row>
    <row r="1627" spans="1:11" x14ac:dyDescent="0.25">
      <c r="A1627">
        <v>1521</v>
      </c>
      <c r="B1627" t="s">
        <v>102</v>
      </c>
      <c r="C1627" t="s">
        <v>1305</v>
      </c>
      <c r="D1627" t="s">
        <v>30</v>
      </c>
      <c r="E1627" t="s">
        <v>10</v>
      </c>
      <c r="F1627" t="str">
        <f>VLOOKUP(Ramen_Ratings[[#This Row],[Country]],Country_Region[#All],2,FALSE)</f>
        <v>Asia</v>
      </c>
      <c r="G1627">
        <v>5</v>
      </c>
      <c r="H1627" t="str" cm="1">
        <f t="array" ref="H1627">_xlfn.IFS(Ramen_Ratings[[#This Row],[Stars]] = "Unrated", "NA",Ramen_Ratings[[#This Row],[Stars]]&gt;=4, "Good", Ramen_Ratings[[#This Row],[Stars]]&gt;2.5, "Fair", Ramen_Ratings[[#This Row],[Stars]] &gt;= 0, "Bad")</f>
        <v>Good</v>
      </c>
      <c r="I1627" t="s">
        <v>1306</v>
      </c>
      <c r="J1627" t="str">
        <f>LEFT(Ramen_Ratings[[#This Row],[Top Ten]],4)</f>
        <v>2015</v>
      </c>
      <c r="K1627" t="str">
        <f>IF(Ramen_Ratings[[#This Row],[Top Ten]]="", "",RIGHT(Ramen_Ratings[[#This Row],[Top Ten]],LEN(Ramen_Ratings[[#This Row],[Top Ten]])-6))</f>
        <v>9</v>
      </c>
    </row>
    <row r="1628" spans="1:11" x14ac:dyDescent="0.25">
      <c r="A1628">
        <v>391</v>
      </c>
      <c r="B1628" t="s">
        <v>183</v>
      </c>
      <c r="C1628" t="s">
        <v>2492</v>
      </c>
      <c r="D1628" t="s">
        <v>13</v>
      </c>
      <c r="E1628" t="s">
        <v>10</v>
      </c>
      <c r="F1628" t="str">
        <f>VLOOKUP(Ramen_Ratings[[#This Row],[Country]],Country_Region[#All],2,FALSE)</f>
        <v>Asia</v>
      </c>
      <c r="G1628">
        <v>4.25</v>
      </c>
      <c r="H1628" t="str" cm="1">
        <f t="array" ref="H1628">_xlfn.IFS(Ramen_Ratings[[#This Row],[Stars]] = "Unrated", "NA",Ramen_Ratings[[#This Row],[Stars]]&gt;=4, "Good", Ramen_Ratings[[#This Row],[Stars]]&gt;2.5, "Fair", Ramen_Ratings[[#This Row],[Stars]] &gt;= 0, "Bad")</f>
        <v>Good</v>
      </c>
      <c r="I1628" t="s">
        <v>2493</v>
      </c>
      <c r="J1628" t="str">
        <f>LEFT(Ramen_Ratings[[#This Row],[Top Ten]],4)</f>
        <v>2012</v>
      </c>
      <c r="K1628" t="str">
        <f>IF(Ramen_Ratings[[#This Row],[Top Ten]]="", "",RIGHT(Ramen_Ratings[[#This Row],[Top Ten]],LEN(Ramen_Ratings[[#This Row],[Top Ten]])-6))</f>
        <v>6</v>
      </c>
    </row>
    <row r="1629" spans="1:11" x14ac:dyDescent="0.25">
      <c r="A1629">
        <v>31</v>
      </c>
      <c r="B1629" t="s">
        <v>183</v>
      </c>
      <c r="C1629" t="s">
        <v>2831</v>
      </c>
      <c r="D1629" t="s">
        <v>30</v>
      </c>
      <c r="E1629" t="s">
        <v>10</v>
      </c>
      <c r="F1629" t="str">
        <f>VLOOKUP(Ramen_Ratings[[#This Row],[Country]],Country_Region[#All],2,FALSE)</f>
        <v>Asia</v>
      </c>
      <c r="G1629">
        <v>4</v>
      </c>
      <c r="H1629" t="str" cm="1">
        <f t="array" ref="H1629">_xlfn.IFS(Ramen_Ratings[[#This Row],[Stars]] = "Unrated", "NA",Ramen_Ratings[[#This Row],[Stars]]&gt;=4, "Good", Ramen_Ratings[[#This Row],[Stars]]&gt;2.5, "Fair", Ramen_Ratings[[#This Row],[Stars]] &gt;= 0, "Bad")</f>
        <v>Good</v>
      </c>
      <c r="I1629" t="s">
        <v>2832</v>
      </c>
      <c r="J1629" t="str">
        <f>LEFT(Ramen_Ratings[[#This Row],[Top Ten]],4)</f>
        <v>2013</v>
      </c>
      <c r="K1629" t="str">
        <f>IF(Ramen_Ratings[[#This Row],[Top Ten]]="", "",RIGHT(Ramen_Ratings[[#This Row],[Top Ten]],LEN(Ramen_Ratings[[#This Row],[Top Ten]])-6))</f>
        <v>6</v>
      </c>
    </row>
    <row r="1630" spans="1:11" x14ac:dyDescent="0.25">
      <c r="A1630">
        <v>1330</v>
      </c>
      <c r="B1630" t="s">
        <v>374</v>
      </c>
      <c r="C1630" t="s">
        <v>1512</v>
      </c>
      <c r="D1630" t="s">
        <v>30</v>
      </c>
      <c r="E1630" t="s">
        <v>10</v>
      </c>
      <c r="F1630" t="str">
        <f>VLOOKUP(Ramen_Ratings[[#This Row],[Country]],Country_Region[#All],2,FALSE)</f>
        <v>Asia</v>
      </c>
      <c r="G1630">
        <v>5</v>
      </c>
      <c r="H1630" t="str" cm="1">
        <f t="array" ref="H1630">_xlfn.IFS(Ramen_Ratings[[#This Row],[Stars]] = "Unrated", "NA",Ramen_Ratings[[#This Row],[Stars]]&gt;=4, "Good", Ramen_Ratings[[#This Row],[Stars]]&gt;2.5, "Fair", Ramen_Ratings[[#This Row],[Stars]] &gt;= 0, "Bad")</f>
        <v>Good</v>
      </c>
      <c r="I1630" t="s">
        <v>1513</v>
      </c>
      <c r="J1630" t="str">
        <f>LEFT(Ramen_Ratings[[#This Row],[Top Ten]],4)</f>
        <v>2014</v>
      </c>
      <c r="K1630" t="str">
        <f>IF(Ramen_Ratings[[#This Row],[Top Ten]]="", "",RIGHT(Ramen_Ratings[[#This Row],[Top Ten]],LEN(Ramen_Ratings[[#This Row],[Top Ten]])-6))</f>
        <v>4</v>
      </c>
    </row>
    <row r="1631" spans="1:11" x14ac:dyDescent="0.25">
      <c r="A1631">
        <v>13</v>
      </c>
      <c r="B1631" t="s">
        <v>374</v>
      </c>
      <c r="C1631" t="s">
        <v>2846</v>
      </c>
      <c r="D1631" t="s">
        <v>13</v>
      </c>
      <c r="E1631" t="s">
        <v>10</v>
      </c>
      <c r="F1631" t="str">
        <f>VLOOKUP(Ramen_Ratings[[#This Row],[Country]],Country_Region[#All],2,FALSE)</f>
        <v>Asia</v>
      </c>
      <c r="G1631">
        <v>5</v>
      </c>
      <c r="H1631" t="str" cm="1">
        <f t="array" ref="H1631">_xlfn.IFS(Ramen_Ratings[[#This Row],[Stars]] = "Unrated", "NA",Ramen_Ratings[[#This Row],[Stars]]&gt;=4, "Good", Ramen_Ratings[[#This Row],[Stars]]&gt;2.5, "Fair", Ramen_Ratings[[#This Row],[Stars]] &gt;= 0, "Bad")</f>
        <v>Good</v>
      </c>
      <c r="I1631" t="s">
        <v>2847</v>
      </c>
      <c r="J1631" t="str">
        <f>LEFT(Ramen_Ratings[[#This Row],[Top Ten]],4)</f>
        <v>2012</v>
      </c>
      <c r="K1631" t="str">
        <f>IF(Ramen_Ratings[[#This Row],[Top Ten]]="", "",RIGHT(Ramen_Ratings[[#This Row],[Top Ten]],LEN(Ramen_Ratings[[#This Row],[Top Ten]])-6))</f>
        <v>4</v>
      </c>
    </row>
    <row r="1632" spans="1:11" x14ac:dyDescent="0.25">
      <c r="A1632">
        <v>392</v>
      </c>
      <c r="B1632" t="s">
        <v>15</v>
      </c>
      <c r="C1632" t="s">
        <v>2490</v>
      </c>
      <c r="D1632" t="s">
        <v>30</v>
      </c>
      <c r="E1632" t="s">
        <v>10</v>
      </c>
      <c r="F1632" t="str">
        <f>VLOOKUP(Ramen_Ratings[[#This Row],[Country]],Country_Region[#All],2,FALSE)</f>
        <v>Asia</v>
      </c>
      <c r="G1632">
        <v>5</v>
      </c>
      <c r="H1632" t="str" cm="1">
        <f t="array" ref="H1632">_xlfn.IFS(Ramen_Ratings[[#This Row],[Stars]] = "Unrated", "NA",Ramen_Ratings[[#This Row],[Stars]]&gt;=4, "Good", Ramen_Ratings[[#This Row],[Stars]]&gt;2.5, "Fair", Ramen_Ratings[[#This Row],[Stars]] &gt;= 0, "Bad")</f>
        <v>Good</v>
      </c>
      <c r="I1632" t="s">
        <v>2491</v>
      </c>
      <c r="J1632" t="str">
        <f>LEFT(Ramen_Ratings[[#This Row],[Top Ten]],4)</f>
        <v>2012</v>
      </c>
      <c r="K1632" t="str">
        <f>IF(Ramen_Ratings[[#This Row],[Top Ten]]="", "",RIGHT(Ramen_Ratings[[#This Row],[Top Ten]],LEN(Ramen_Ratings[[#This Row],[Top Ten]])-6))</f>
        <v>3</v>
      </c>
    </row>
    <row r="1633" spans="1:11" x14ac:dyDescent="0.25">
      <c r="A1633">
        <v>2580</v>
      </c>
      <c r="B1633" t="s">
        <v>7</v>
      </c>
      <c r="C1633" t="s">
        <v>8</v>
      </c>
      <c r="D1633" t="s">
        <v>9</v>
      </c>
      <c r="E1633" t="s">
        <v>10</v>
      </c>
      <c r="F1633" t="str">
        <f>VLOOKUP(Ramen_Ratings[[#This Row],[Country]],Country_Region[#All],2,FALSE)</f>
        <v>Asia</v>
      </c>
      <c r="G1633">
        <v>3.75</v>
      </c>
      <c r="H1633" t="str" cm="1">
        <f t="array" ref="H1633">_xlfn.IFS(Ramen_Ratings[[#This Row],[Stars]] = "Unrated", "NA",Ramen_Ratings[[#This Row],[Stars]]&gt;=4, "Good", Ramen_Ratings[[#This Row],[Stars]]&gt;2.5, "Fair", Ramen_Ratings[[#This Row],[Stars]] &gt;= 0, "Bad")</f>
        <v>Fair</v>
      </c>
      <c r="J1633" t="str">
        <f>LEFT(Ramen_Ratings[[#This Row],[Top Ten]],4)</f>
        <v/>
      </c>
      <c r="K1633" t="str">
        <f>IF(Ramen_Ratings[[#This Row],[Top Ten]]="", "",RIGHT(Ramen_Ratings[[#This Row],[Top Ten]],LEN(Ramen_Ratings[[#This Row],[Top Ten]])-6))</f>
        <v/>
      </c>
    </row>
    <row r="1634" spans="1:11" x14ac:dyDescent="0.25">
      <c r="A1634">
        <v>2574</v>
      </c>
      <c r="B1634" t="s">
        <v>26</v>
      </c>
      <c r="C1634" t="s">
        <v>27</v>
      </c>
      <c r="D1634" t="s">
        <v>9</v>
      </c>
      <c r="E1634" t="s">
        <v>10</v>
      </c>
      <c r="F1634" t="str">
        <f>VLOOKUP(Ramen_Ratings[[#This Row],[Country]],Country_Region[#All],2,FALSE)</f>
        <v>Asia</v>
      </c>
      <c r="G1634">
        <v>4</v>
      </c>
      <c r="H1634" t="str" cm="1">
        <f t="array" ref="H1634">_xlfn.IFS(Ramen_Ratings[[#This Row],[Stars]] = "Unrated", "NA",Ramen_Ratings[[#This Row],[Stars]]&gt;=4, "Good", Ramen_Ratings[[#This Row],[Stars]]&gt;2.5, "Fair", Ramen_Ratings[[#This Row],[Stars]] &gt;= 0, "Bad")</f>
        <v>Good</v>
      </c>
      <c r="J1634" t="str">
        <f>LEFT(Ramen_Ratings[[#This Row],[Top Ten]],4)</f>
        <v/>
      </c>
      <c r="K1634" t="str">
        <f>IF(Ramen_Ratings[[#This Row],[Top Ten]]="", "",RIGHT(Ramen_Ratings[[#This Row],[Top Ten]],LEN(Ramen_Ratings[[#This Row],[Top Ten]])-6))</f>
        <v/>
      </c>
    </row>
    <row r="1635" spans="1:11" x14ac:dyDescent="0.25">
      <c r="A1635">
        <v>2573</v>
      </c>
      <c r="B1635" t="s">
        <v>28</v>
      </c>
      <c r="C1635" t="s">
        <v>29</v>
      </c>
      <c r="D1635" t="s">
        <v>30</v>
      </c>
      <c r="E1635" t="s">
        <v>10</v>
      </c>
      <c r="F1635" t="str">
        <f>VLOOKUP(Ramen_Ratings[[#This Row],[Country]],Country_Region[#All],2,FALSE)</f>
        <v>Asia</v>
      </c>
      <c r="G1635">
        <v>3.75</v>
      </c>
      <c r="H1635" t="str" cm="1">
        <f t="array" ref="H1635">_xlfn.IFS(Ramen_Ratings[[#This Row],[Stars]] = "Unrated", "NA",Ramen_Ratings[[#This Row],[Stars]]&gt;=4, "Good", Ramen_Ratings[[#This Row],[Stars]]&gt;2.5, "Fair", Ramen_Ratings[[#This Row],[Stars]] &gt;= 0, "Bad")</f>
        <v>Fair</v>
      </c>
      <c r="J1635" t="str">
        <f>LEFT(Ramen_Ratings[[#This Row],[Top Ten]],4)</f>
        <v/>
      </c>
      <c r="K1635" t="str">
        <f>IF(Ramen_Ratings[[#This Row],[Top Ten]]="", "",RIGHT(Ramen_Ratings[[#This Row],[Top Ten]],LEN(Ramen_Ratings[[#This Row],[Top Ten]])-6))</f>
        <v/>
      </c>
    </row>
    <row r="1636" spans="1:11" x14ac:dyDescent="0.25">
      <c r="A1636">
        <v>2572</v>
      </c>
      <c r="B1636" t="s">
        <v>31</v>
      </c>
      <c r="C1636" t="s">
        <v>32</v>
      </c>
      <c r="D1636" t="s">
        <v>13</v>
      </c>
      <c r="E1636" t="s">
        <v>10</v>
      </c>
      <c r="F1636" t="str">
        <f>VLOOKUP(Ramen_Ratings[[#This Row],[Country]],Country_Region[#All],2,FALSE)</f>
        <v>Asia</v>
      </c>
      <c r="G1636">
        <v>0.25</v>
      </c>
      <c r="H1636" t="str" cm="1">
        <f t="array" ref="H1636">_xlfn.IFS(Ramen_Ratings[[#This Row],[Stars]] = "Unrated", "NA",Ramen_Ratings[[#This Row],[Stars]]&gt;=4, "Good", Ramen_Ratings[[#This Row],[Stars]]&gt;2.5, "Fair", Ramen_Ratings[[#This Row],[Stars]] &gt;= 0, "Bad")</f>
        <v>Bad</v>
      </c>
      <c r="J1636" t="str">
        <f>LEFT(Ramen_Ratings[[#This Row],[Top Ten]],4)</f>
        <v/>
      </c>
      <c r="K1636" t="str">
        <f>IF(Ramen_Ratings[[#This Row],[Top Ten]]="", "",RIGHT(Ramen_Ratings[[#This Row],[Top Ten]],LEN(Ramen_Ratings[[#This Row],[Top Ten]])-6))</f>
        <v/>
      </c>
    </row>
    <row r="1637" spans="1:11" x14ac:dyDescent="0.25">
      <c r="A1637">
        <v>2567</v>
      </c>
      <c r="B1637" t="s">
        <v>15</v>
      </c>
      <c r="C1637" t="s">
        <v>43</v>
      </c>
      <c r="D1637" t="s">
        <v>44</v>
      </c>
      <c r="E1637" t="s">
        <v>10</v>
      </c>
      <c r="F1637" t="str">
        <f>VLOOKUP(Ramen_Ratings[[#This Row],[Country]],Country_Region[#All],2,FALSE)</f>
        <v>Asia</v>
      </c>
      <c r="G1637">
        <v>4.5</v>
      </c>
      <c r="H1637" t="str" cm="1">
        <f t="array" ref="H1637">_xlfn.IFS(Ramen_Ratings[[#This Row],[Stars]] = "Unrated", "NA",Ramen_Ratings[[#This Row],[Stars]]&gt;=4, "Good", Ramen_Ratings[[#This Row],[Stars]]&gt;2.5, "Fair", Ramen_Ratings[[#This Row],[Stars]] &gt;= 0, "Bad")</f>
        <v>Good</v>
      </c>
      <c r="J1637" t="str">
        <f>LEFT(Ramen_Ratings[[#This Row],[Top Ten]],4)</f>
        <v/>
      </c>
      <c r="K1637" t="str">
        <f>IF(Ramen_Ratings[[#This Row],[Top Ten]]="", "",RIGHT(Ramen_Ratings[[#This Row],[Top Ten]],LEN(Ramen_Ratings[[#This Row],[Top Ten]])-6))</f>
        <v/>
      </c>
    </row>
    <row r="1638" spans="1:11" x14ac:dyDescent="0.25">
      <c r="A1638">
        <v>2553</v>
      </c>
      <c r="B1638" t="s">
        <v>15</v>
      </c>
      <c r="C1638" t="s">
        <v>66</v>
      </c>
      <c r="D1638" t="s">
        <v>44</v>
      </c>
      <c r="E1638" t="s">
        <v>10</v>
      </c>
      <c r="F1638" t="str">
        <f>VLOOKUP(Ramen_Ratings[[#This Row],[Country]],Country_Region[#All],2,FALSE)</f>
        <v>Asia</v>
      </c>
      <c r="G1638">
        <v>4.75</v>
      </c>
      <c r="H1638" t="str" cm="1">
        <f t="array" ref="H1638">_xlfn.IFS(Ramen_Ratings[[#This Row],[Stars]] = "Unrated", "NA",Ramen_Ratings[[#This Row],[Stars]]&gt;=4, "Good", Ramen_Ratings[[#This Row],[Stars]]&gt;2.5, "Fair", Ramen_Ratings[[#This Row],[Stars]] &gt;= 0, "Bad")</f>
        <v>Good</v>
      </c>
      <c r="J1638" t="str">
        <f>LEFT(Ramen_Ratings[[#This Row],[Top Ten]],4)</f>
        <v/>
      </c>
      <c r="K1638" t="str">
        <f>IF(Ramen_Ratings[[#This Row],[Top Ten]]="", "",RIGHT(Ramen_Ratings[[#This Row],[Top Ten]],LEN(Ramen_Ratings[[#This Row],[Top Ten]])-6))</f>
        <v/>
      </c>
    </row>
    <row r="1639" spans="1:11" x14ac:dyDescent="0.25">
      <c r="A1639">
        <v>2546</v>
      </c>
      <c r="B1639" t="s">
        <v>7</v>
      </c>
      <c r="C1639" t="s">
        <v>80</v>
      </c>
      <c r="D1639" t="s">
        <v>44</v>
      </c>
      <c r="E1639" t="s">
        <v>10</v>
      </c>
      <c r="F1639" t="str">
        <f>VLOOKUP(Ramen_Ratings[[#This Row],[Country]],Country_Region[#All],2,FALSE)</f>
        <v>Asia</v>
      </c>
      <c r="G1639">
        <v>3.75</v>
      </c>
      <c r="H1639" t="str" cm="1">
        <f t="array" ref="H1639">_xlfn.IFS(Ramen_Ratings[[#This Row],[Stars]] = "Unrated", "NA",Ramen_Ratings[[#This Row],[Stars]]&gt;=4, "Good", Ramen_Ratings[[#This Row],[Stars]]&gt;2.5, "Fair", Ramen_Ratings[[#This Row],[Stars]] &gt;= 0, "Bad")</f>
        <v>Fair</v>
      </c>
      <c r="J1639" t="str">
        <f>LEFT(Ramen_Ratings[[#This Row],[Top Ten]],4)</f>
        <v/>
      </c>
      <c r="K1639" t="str">
        <f>IF(Ramen_Ratings[[#This Row],[Top Ten]]="", "",RIGHT(Ramen_Ratings[[#This Row],[Top Ten]],LEN(Ramen_Ratings[[#This Row],[Top Ten]])-6))</f>
        <v/>
      </c>
    </row>
    <row r="1640" spans="1:11" x14ac:dyDescent="0.25">
      <c r="A1640">
        <v>2542</v>
      </c>
      <c r="B1640" t="s">
        <v>26</v>
      </c>
      <c r="C1640" t="s">
        <v>86</v>
      </c>
      <c r="D1640" t="s">
        <v>30</v>
      </c>
      <c r="E1640" t="s">
        <v>10</v>
      </c>
      <c r="F1640" t="str">
        <f>VLOOKUP(Ramen_Ratings[[#This Row],[Country]],Country_Region[#All],2,FALSE)</f>
        <v>Asia</v>
      </c>
      <c r="G1640">
        <v>1.5</v>
      </c>
      <c r="H1640" t="str" cm="1">
        <f t="array" ref="H1640">_xlfn.IFS(Ramen_Ratings[[#This Row],[Stars]] = "Unrated", "NA",Ramen_Ratings[[#This Row],[Stars]]&gt;=4, "Good", Ramen_Ratings[[#This Row],[Stars]]&gt;2.5, "Fair", Ramen_Ratings[[#This Row],[Stars]] &gt;= 0, "Bad")</f>
        <v>Bad</v>
      </c>
      <c r="J1640" t="str">
        <f>LEFT(Ramen_Ratings[[#This Row],[Top Ten]],4)</f>
        <v/>
      </c>
      <c r="K1640" t="str">
        <f>IF(Ramen_Ratings[[#This Row],[Top Ten]]="", "",RIGHT(Ramen_Ratings[[#This Row],[Top Ten]],LEN(Ramen_Ratings[[#This Row],[Top Ten]])-6))</f>
        <v/>
      </c>
    </row>
    <row r="1641" spans="1:11" x14ac:dyDescent="0.25">
      <c r="A1641">
        <v>2534</v>
      </c>
      <c r="B1641" t="s">
        <v>95</v>
      </c>
      <c r="C1641" t="s">
        <v>96</v>
      </c>
      <c r="D1641" t="s">
        <v>13</v>
      </c>
      <c r="E1641" t="s">
        <v>10</v>
      </c>
      <c r="F1641" t="str">
        <f>VLOOKUP(Ramen_Ratings[[#This Row],[Country]],Country_Region[#All],2,FALSE)</f>
        <v>Asia</v>
      </c>
      <c r="G1641">
        <v>4</v>
      </c>
      <c r="H1641" t="str" cm="1">
        <f t="array" ref="H1641">_xlfn.IFS(Ramen_Ratings[[#This Row],[Stars]] = "Unrated", "NA",Ramen_Ratings[[#This Row],[Stars]]&gt;=4, "Good", Ramen_Ratings[[#This Row],[Stars]]&gt;2.5, "Fair", Ramen_Ratings[[#This Row],[Stars]] &gt;= 0, "Bad")</f>
        <v>Good</v>
      </c>
      <c r="J1641" t="str">
        <f>LEFT(Ramen_Ratings[[#This Row],[Top Ten]],4)</f>
        <v/>
      </c>
      <c r="K1641" t="str">
        <f>IF(Ramen_Ratings[[#This Row],[Top Ten]]="", "",RIGHT(Ramen_Ratings[[#This Row],[Top Ten]],LEN(Ramen_Ratings[[#This Row],[Top Ten]])-6))</f>
        <v/>
      </c>
    </row>
    <row r="1642" spans="1:11" x14ac:dyDescent="0.25">
      <c r="A1642">
        <v>2532</v>
      </c>
      <c r="B1642" t="s">
        <v>15</v>
      </c>
      <c r="C1642" t="s">
        <v>98</v>
      </c>
      <c r="D1642" t="s">
        <v>44</v>
      </c>
      <c r="E1642" t="s">
        <v>10</v>
      </c>
      <c r="F1642" t="str">
        <f>VLOOKUP(Ramen_Ratings[[#This Row],[Country]],Country_Region[#All],2,FALSE)</f>
        <v>Asia</v>
      </c>
      <c r="G1642">
        <v>4.75</v>
      </c>
      <c r="H1642" t="str" cm="1">
        <f t="array" ref="H1642">_xlfn.IFS(Ramen_Ratings[[#This Row],[Stars]] = "Unrated", "NA",Ramen_Ratings[[#This Row],[Stars]]&gt;=4, "Good", Ramen_Ratings[[#This Row],[Stars]]&gt;2.5, "Fair", Ramen_Ratings[[#This Row],[Stars]] &gt;= 0, "Bad")</f>
        <v>Good</v>
      </c>
      <c r="J1642" t="str">
        <f>LEFT(Ramen_Ratings[[#This Row],[Top Ten]],4)</f>
        <v/>
      </c>
      <c r="K1642" t="str">
        <f>IF(Ramen_Ratings[[#This Row],[Top Ten]]="", "",RIGHT(Ramen_Ratings[[#This Row],[Top Ten]],LEN(Ramen_Ratings[[#This Row],[Top Ten]])-6))</f>
        <v/>
      </c>
    </row>
    <row r="1643" spans="1:11" x14ac:dyDescent="0.25">
      <c r="A1643">
        <v>2529</v>
      </c>
      <c r="B1643" t="s">
        <v>102</v>
      </c>
      <c r="C1643" t="s">
        <v>103</v>
      </c>
      <c r="D1643" t="s">
        <v>44</v>
      </c>
      <c r="E1643" t="s">
        <v>10</v>
      </c>
      <c r="F1643" t="str">
        <f>VLOOKUP(Ramen_Ratings[[#This Row],[Country]],Country_Region[#All],2,FALSE)</f>
        <v>Asia</v>
      </c>
      <c r="G1643">
        <v>4.5</v>
      </c>
      <c r="H1643" t="str" cm="1">
        <f t="array" ref="H1643">_xlfn.IFS(Ramen_Ratings[[#This Row],[Stars]] = "Unrated", "NA",Ramen_Ratings[[#This Row],[Stars]]&gt;=4, "Good", Ramen_Ratings[[#This Row],[Stars]]&gt;2.5, "Fair", Ramen_Ratings[[#This Row],[Stars]] &gt;= 0, "Bad")</f>
        <v>Good</v>
      </c>
      <c r="J1643" t="str">
        <f>LEFT(Ramen_Ratings[[#This Row],[Top Ten]],4)</f>
        <v/>
      </c>
      <c r="K1643" t="str">
        <f>IF(Ramen_Ratings[[#This Row],[Top Ten]]="", "",RIGHT(Ramen_Ratings[[#This Row],[Top Ten]],LEN(Ramen_Ratings[[#This Row],[Top Ten]])-6))</f>
        <v/>
      </c>
    </row>
    <row r="1644" spans="1:11" x14ac:dyDescent="0.25">
      <c r="A1644">
        <v>2525</v>
      </c>
      <c r="B1644" t="s">
        <v>108</v>
      </c>
      <c r="C1644" t="s">
        <v>109</v>
      </c>
      <c r="D1644" t="s">
        <v>13</v>
      </c>
      <c r="E1644" t="s">
        <v>10</v>
      </c>
      <c r="F1644" t="str">
        <f>VLOOKUP(Ramen_Ratings[[#This Row],[Country]],Country_Region[#All],2,FALSE)</f>
        <v>Asia</v>
      </c>
      <c r="G1644">
        <v>3.5</v>
      </c>
      <c r="H1644" t="str" cm="1">
        <f t="array" ref="H1644">_xlfn.IFS(Ramen_Ratings[[#This Row],[Stars]] = "Unrated", "NA",Ramen_Ratings[[#This Row],[Stars]]&gt;=4, "Good", Ramen_Ratings[[#This Row],[Stars]]&gt;2.5, "Fair", Ramen_Ratings[[#This Row],[Stars]] &gt;= 0, "Bad")</f>
        <v>Fair</v>
      </c>
      <c r="J1644" t="str">
        <f>LEFT(Ramen_Ratings[[#This Row],[Top Ten]],4)</f>
        <v/>
      </c>
      <c r="K1644" t="str">
        <f>IF(Ramen_Ratings[[#This Row],[Top Ten]]="", "",RIGHT(Ramen_Ratings[[#This Row],[Top Ten]],LEN(Ramen_Ratings[[#This Row],[Top Ten]])-6))</f>
        <v/>
      </c>
    </row>
    <row r="1645" spans="1:11" x14ac:dyDescent="0.25">
      <c r="A1645">
        <v>2522</v>
      </c>
      <c r="B1645" t="s">
        <v>112</v>
      </c>
      <c r="C1645" t="s">
        <v>113</v>
      </c>
      <c r="D1645" t="s">
        <v>13</v>
      </c>
      <c r="E1645" t="s">
        <v>10</v>
      </c>
      <c r="F1645" t="str">
        <f>VLOOKUP(Ramen_Ratings[[#This Row],[Country]],Country_Region[#All],2,FALSE)</f>
        <v>Asia</v>
      </c>
      <c r="G1645">
        <v>5</v>
      </c>
      <c r="H1645" t="str" cm="1">
        <f t="array" ref="H1645">_xlfn.IFS(Ramen_Ratings[[#This Row],[Stars]] = "Unrated", "NA",Ramen_Ratings[[#This Row],[Stars]]&gt;=4, "Good", Ramen_Ratings[[#This Row],[Stars]]&gt;2.5, "Fair", Ramen_Ratings[[#This Row],[Stars]] &gt;= 0, "Bad")</f>
        <v>Good</v>
      </c>
      <c r="J1645" t="str">
        <f>LEFT(Ramen_Ratings[[#This Row],[Top Ten]],4)</f>
        <v/>
      </c>
      <c r="K1645" t="str">
        <f>IF(Ramen_Ratings[[#This Row],[Top Ten]]="", "",RIGHT(Ramen_Ratings[[#This Row],[Top Ten]],LEN(Ramen_Ratings[[#This Row],[Top Ten]])-6))</f>
        <v/>
      </c>
    </row>
    <row r="1646" spans="1:11" x14ac:dyDescent="0.25">
      <c r="A1646">
        <v>2518</v>
      </c>
      <c r="B1646" t="s">
        <v>118</v>
      </c>
      <c r="C1646" t="s">
        <v>119</v>
      </c>
      <c r="D1646" t="s">
        <v>13</v>
      </c>
      <c r="E1646" t="s">
        <v>10</v>
      </c>
      <c r="F1646" t="str">
        <f>VLOOKUP(Ramen_Ratings[[#This Row],[Country]],Country_Region[#All],2,FALSE)</f>
        <v>Asia</v>
      </c>
      <c r="G1646">
        <v>4</v>
      </c>
      <c r="H1646" t="str" cm="1">
        <f t="array" ref="H1646">_xlfn.IFS(Ramen_Ratings[[#This Row],[Stars]] = "Unrated", "NA",Ramen_Ratings[[#This Row],[Stars]]&gt;=4, "Good", Ramen_Ratings[[#This Row],[Stars]]&gt;2.5, "Fair", Ramen_Ratings[[#This Row],[Stars]] &gt;= 0, "Bad")</f>
        <v>Good</v>
      </c>
      <c r="J1646" t="str">
        <f>LEFT(Ramen_Ratings[[#This Row],[Top Ten]],4)</f>
        <v/>
      </c>
      <c r="K1646" t="str">
        <f>IF(Ramen_Ratings[[#This Row],[Top Ten]]="", "",RIGHT(Ramen_Ratings[[#This Row],[Top Ten]],LEN(Ramen_Ratings[[#This Row],[Top Ten]])-6))</f>
        <v/>
      </c>
    </row>
    <row r="1647" spans="1:11" x14ac:dyDescent="0.25">
      <c r="A1647">
        <v>2517</v>
      </c>
      <c r="B1647" t="s">
        <v>28</v>
      </c>
      <c r="C1647" t="s">
        <v>120</v>
      </c>
      <c r="D1647" t="s">
        <v>44</v>
      </c>
      <c r="E1647" t="s">
        <v>10</v>
      </c>
      <c r="F1647" t="str">
        <f>VLOOKUP(Ramen_Ratings[[#This Row],[Country]],Country_Region[#All],2,FALSE)</f>
        <v>Asia</v>
      </c>
      <c r="G1647">
        <v>4.5</v>
      </c>
      <c r="H1647" t="str" cm="1">
        <f t="array" ref="H1647">_xlfn.IFS(Ramen_Ratings[[#This Row],[Stars]] = "Unrated", "NA",Ramen_Ratings[[#This Row],[Stars]]&gt;=4, "Good", Ramen_Ratings[[#This Row],[Stars]]&gt;2.5, "Fair", Ramen_Ratings[[#This Row],[Stars]] &gt;= 0, "Bad")</f>
        <v>Good</v>
      </c>
      <c r="J1647" t="str">
        <f>LEFT(Ramen_Ratings[[#This Row],[Top Ten]],4)</f>
        <v/>
      </c>
      <c r="K1647" t="str">
        <f>IF(Ramen_Ratings[[#This Row],[Top Ten]]="", "",RIGHT(Ramen_Ratings[[#This Row],[Top Ten]],LEN(Ramen_Ratings[[#This Row],[Top Ten]])-6))</f>
        <v/>
      </c>
    </row>
    <row r="1648" spans="1:11" x14ac:dyDescent="0.25">
      <c r="A1648">
        <v>2516</v>
      </c>
      <c r="B1648" t="s">
        <v>95</v>
      </c>
      <c r="C1648" t="s">
        <v>121</v>
      </c>
      <c r="D1648" t="s">
        <v>13</v>
      </c>
      <c r="E1648" t="s">
        <v>10</v>
      </c>
      <c r="F1648" t="str">
        <f>VLOOKUP(Ramen_Ratings[[#This Row],[Country]],Country_Region[#All],2,FALSE)</f>
        <v>Asia</v>
      </c>
      <c r="G1648">
        <v>3.5</v>
      </c>
      <c r="H1648" t="str" cm="1">
        <f t="array" ref="H1648">_xlfn.IFS(Ramen_Ratings[[#This Row],[Stars]] = "Unrated", "NA",Ramen_Ratings[[#This Row],[Stars]]&gt;=4, "Good", Ramen_Ratings[[#This Row],[Stars]]&gt;2.5, "Fair", Ramen_Ratings[[#This Row],[Stars]] &gt;= 0, "Bad")</f>
        <v>Fair</v>
      </c>
      <c r="J1648" t="str">
        <f>LEFT(Ramen_Ratings[[#This Row],[Top Ten]],4)</f>
        <v/>
      </c>
      <c r="K1648" t="str">
        <f>IF(Ramen_Ratings[[#This Row],[Top Ten]]="", "",RIGHT(Ramen_Ratings[[#This Row],[Top Ten]],LEN(Ramen_Ratings[[#This Row],[Top Ten]])-6))</f>
        <v/>
      </c>
    </row>
    <row r="1649" spans="1:11" x14ac:dyDescent="0.25">
      <c r="A1649">
        <v>2514</v>
      </c>
      <c r="B1649" t="s">
        <v>123</v>
      </c>
      <c r="C1649" t="s">
        <v>124</v>
      </c>
      <c r="D1649" t="s">
        <v>13</v>
      </c>
      <c r="E1649" t="s">
        <v>10</v>
      </c>
      <c r="F1649" t="str">
        <f>VLOOKUP(Ramen_Ratings[[#This Row],[Country]],Country_Region[#All],2,FALSE)</f>
        <v>Asia</v>
      </c>
      <c r="G1649">
        <v>4.5</v>
      </c>
      <c r="H1649" t="str" cm="1">
        <f t="array" ref="H1649">_xlfn.IFS(Ramen_Ratings[[#This Row],[Stars]] = "Unrated", "NA",Ramen_Ratings[[#This Row],[Stars]]&gt;=4, "Good", Ramen_Ratings[[#This Row],[Stars]]&gt;2.5, "Fair", Ramen_Ratings[[#This Row],[Stars]] &gt;= 0, "Bad")</f>
        <v>Good</v>
      </c>
      <c r="J1649" t="str">
        <f>LEFT(Ramen_Ratings[[#This Row],[Top Ten]],4)</f>
        <v/>
      </c>
      <c r="K1649" t="str">
        <f>IF(Ramen_Ratings[[#This Row],[Top Ten]]="", "",RIGHT(Ramen_Ratings[[#This Row],[Top Ten]],LEN(Ramen_Ratings[[#This Row],[Top Ten]])-6))</f>
        <v/>
      </c>
    </row>
    <row r="1650" spans="1:11" x14ac:dyDescent="0.25">
      <c r="A1650">
        <v>2505</v>
      </c>
      <c r="B1650" t="s">
        <v>26</v>
      </c>
      <c r="C1650" t="s">
        <v>138</v>
      </c>
      <c r="D1650" t="s">
        <v>44</v>
      </c>
      <c r="E1650" t="s">
        <v>10</v>
      </c>
      <c r="F1650" t="str">
        <f>VLOOKUP(Ramen_Ratings[[#This Row],[Country]],Country_Region[#All],2,FALSE)</f>
        <v>Asia</v>
      </c>
      <c r="G1650">
        <v>3.5</v>
      </c>
      <c r="H1650" t="str" cm="1">
        <f t="array" ref="H1650">_xlfn.IFS(Ramen_Ratings[[#This Row],[Stars]] = "Unrated", "NA",Ramen_Ratings[[#This Row],[Stars]]&gt;=4, "Good", Ramen_Ratings[[#This Row],[Stars]]&gt;2.5, "Fair", Ramen_Ratings[[#This Row],[Stars]] &gt;= 0, "Bad")</f>
        <v>Fair</v>
      </c>
      <c r="J1650" t="str">
        <f>LEFT(Ramen_Ratings[[#This Row],[Top Ten]],4)</f>
        <v/>
      </c>
      <c r="K1650" t="str">
        <f>IF(Ramen_Ratings[[#This Row],[Top Ten]]="", "",RIGHT(Ramen_Ratings[[#This Row],[Top Ten]],LEN(Ramen_Ratings[[#This Row],[Top Ten]])-6))</f>
        <v/>
      </c>
    </row>
    <row r="1651" spans="1:11" x14ac:dyDescent="0.25">
      <c r="A1651">
        <v>2480</v>
      </c>
      <c r="B1651" t="s">
        <v>26</v>
      </c>
      <c r="C1651" t="s">
        <v>169</v>
      </c>
      <c r="D1651" t="s">
        <v>44</v>
      </c>
      <c r="E1651" t="s">
        <v>10</v>
      </c>
      <c r="F1651" t="str">
        <f>VLOOKUP(Ramen_Ratings[[#This Row],[Country]],Country_Region[#All],2,FALSE)</f>
        <v>Asia</v>
      </c>
      <c r="G1651">
        <v>4.25</v>
      </c>
      <c r="H1651" t="str" cm="1">
        <f t="array" ref="H1651">_xlfn.IFS(Ramen_Ratings[[#This Row],[Stars]] = "Unrated", "NA",Ramen_Ratings[[#This Row],[Stars]]&gt;=4, "Good", Ramen_Ratings[[#This Row],[Stars]]&gt;2.5, "Fair", Ramen_Ratings[[#This Row],[Stars]] &gt;= 0, "Bad")</f>
        <v>Good</v>
      </c>
      <c r="J1651" t="str">
        <f>LEFT(Ramen_Ratings[[#This Row],[Top Ten]],4)</f>
        <v/>
      </c>
      <c r="K1651" t="str">
        <f>IF(Ramen_Ratings[[#This Row],[Top Ten]]="", "",RIGHT(Ramen_Ratings[[#This Row],[Top Ten]],LEN(Ramen_Ratings[[#This Row],[Top Ten]])-6))</f>
        <v/>
      </c>
    </row>
    <row r="1652" spans="1:11" x14ac:dyDescent="0.25">
      <c r="A1652">
        <v>2475</v>
      </c>
      <c r="B1652" t="s">
        <v>102</v>
      </c>
      <c r="C1652" t="s">
        <v>176</v>
      </c>
      <c r="D1652" t="s">
        <v>44</v>
      </c>
      <c r="E1652" t="s">
        <v>10</v>
      </c>
      <c r="F1652" t="str">
        <f>VLOOKUP(Ramen_Ratings[[#This Row],[Country]],Country_Region[#All],2,FALSE)</f>
        <v>Asia</v>
      </c>
      <c r="G1652">
        <v>4.75</v>
      </c>
      <c r="H1652" t="str" cm="1">
        <f t="array" ref="H1652">_xlfn.IFS(Ramen_Ratings[[#This Row],[Stars]] = "Unrated", "NA",Ramen_Ratings[[#This Row],[Stars]]&gt;=4, "Good", Ramen_Ratings[[#This Row],[Stars]]&gt;2.5, "Fair", Ramen_Ratings[[#This Row],[Stars]] &gt;= 0, "Bad")</f>
        <v>Good</v>
      </c>
      <c r="J1652" t="str">
        <f>LEFT(Ramen_Ratings[[#This Row],[Top Ten]],4)</f>
        <v/>
      </c>
      <c r="K1652" t="str">
        <f>IF(Ramen_Ratings[[#This Row],[Top Ten]]="", "",RIGHT(Ramen_Ratings[[#This Row],[Top Ten]],LEN(Ramen_Ratings[[#This Row],[Top Ten]])-6))</f>
        <v/>
      </c>
    </row>
    <row r="1653" spans="1:11" x14ac:dyDescent="0.25">
      <c r="A1653">
        <v>2473</v>
      </c>
      <c r="B1653" t="s">
        <v>178</v>
      </c>
      <c r="C1653" t="s">
        <v>179</v>
      </c>
      <c r="D1653" t="s">
        <v>13</v>
      </c>
      <c r="E1653" t="s">
        <v>10</v>
      </c>
      <c r="F1653" t="str">
        <f>VLOOKUP(Ramen_Ratings[[#This Row],[Country]],Country_Region[#All],2,FALSE)</f>
        <v>Asia</v>
      </c>
      <c r="G1653">
        <v>2</v>
      </c>
      <c r="H1653" t="str" cm="1">
        <f t="array" ref="H1653">_xlfn.IFS(Ramen_Ratings[[#This Row],[Stars]] = "Unrated", "NA",Ramen_Ratings[[#This Row],[Stars]]&gt;=4, "Good", Ramen_Ratings[[#This Row],[Stars]]&gt;2.5, "Fair", Ramen_Ratings[[#This Row],[Stars]] &gt;= 0, "Bad")</f>
        <v>Bad</v>
      </c>
      <c r="J1653" t="str">
        <f>LEFT(Ramen_Ratings[[#This Row],[Top Ten]],4)</f>
        <v/>
      </c>
      <c r="K1653" t="str">
        <f>IF(Ramen_Ratings[[#This Row],[Top Ten]]="", "",RIGHT(Ramen_Ratings[[#This Row],[Top Ten]],LEN(Ramen_Ratings[[#This Row],[Top Ten]])-6))</f>
        <v/>
      </c>
    </row>
    <row r="1654" spans="1:11" x14ac:dyDescent="0.25">
      <c r="A1654">
        <v>2468</v>
      </c>
      <c r="B1654" t="s">
        <v>26</v>
      </c>
      <c r="C1654" t="s">
        <v>186</v>
      </c>
      <c r="D1654" t="s">
        <v>9</v>
      </c>
      <c r="E1654" t="s">
        <v>10</v>
      </c>
      <c r="F1654" t="str">
        <f>VLOOKUP(Ramen_Ratings[[#This Row],[Country]],Country_Region[#All],2,FALSE)</f>
        <v>Asia</v>
      </c>
      <c r="G1654">
        <v>4.25</v>
      </c>
      <c r="H1654" t="str" cm="1">
        <f t="array" ref="H1654">_xlfn.IFS(Ramen_Ratings[[#This Row],[Stars]] = "Unrated", "NA",Ramen_Ratings[[#This Row],[Stars]]&gt;=4, "Good", Ramen_Ratings[[#This Row],[Stars]]&gt;2.5, "Fair", Ramen_Ratings[[#This Row],[Stars]] &gt;= 0, "Bad")</f>
        <v>Good</v>
      </c>
      <c r="J1654" t="str">
        <f>LEFT(Ramen_Ratings[[#This Row],[Top Ten]],4)</f>
        <v/>
      </c>
      <c r="K1654" t="str">
        <f>IF(Ramen_Ratings[[#This Row],[Top Ten]]="", "",RIGHT(Ramen_Ratings[[#This Row],[Top Ten]],LEN(Ramen_Ratings[[#This Row],[Top Ten]])-6))</f>
        <v/>
      </c>
    </row>
    <row r="1655" spans="1:11" x14ac:dyDescent="0.25">
      <c r="A1655">
        <v>2461</v>
      </c>
      <c r="B1655" t="s">
        <v>95</v>
      </c>
      <c r="C1655" t="s">
        <v>195</v>
      </c>
      <c r="D1655" t="s">
        <v>13</v>
      </c>
      <c r="E1655" t="s">
        <v>10</v>
      </c>
      <c r="F1655" t="str">
        <f>VLOOKUP(Ramen_Ratings[[#This Row],[Country]],Country_Region[#All],2,FALSE)</f>
        <v>Asia</v>
      </c>
      <c r="G1655">
        <v>4.5</v>
      </c>
      <c r="H1655" t="str" cm="1">
        <f t="array" ref="H1655">_xlfn.IFS(Ramen_Ratings[[#This Row],[Stars]] = "Unrated", "NA",Ramen_Ratings[[#This Row],[Stars]]&gt;=4, "Good", Ramen_Ratings[[#This Row],[Stars]]&gt;2.5, "Fair", Ramen_Ratings[[#This Row],[Stars]] &gt;= 0, "Bad")</f>
        <v>Good</v>
      </c>
      <c r="J1655" t="str">
        <f>LEFT(Ramen_Ratings[[#This Row],[Top Ten]],4)</f>
        <v/>
      </c>
      <c r="K1655" t="str">
        <f>IF(Ramen_Ratings[[#This Row],[Top Ten]]="", "",RIGHT(Ramen_Ratings[[#This Row],[Top Ten]],LEN(Ramen_Ratings[[#This Row],[Top Ten]])-6))</f>
        <v/>
      </c>
    </row>
    <row r="1656" spans="1:11" x14ac:dyDescent="0.25">
      <c r="A1656">
        <v>2459</v>
      </c>
      <c r="B1656" t="s">
        <v>15</v>
      </c>
      <c r="C1656" t="s">
        <v>198</v>
      </c>
      <c r="D1656" t="s">
        <v>13</v>
      </c>
      <c r="E1656" t="s">
        <v>10</v>
      </c>
      <c r="F1656" t="str">
        <f>VLOOKUP(Ramen_Ratings[[#This Row],[Country]],Country_Region[#All],2,FALSE)</f>
        <v>Asia</v>
      </c>
      <c r="G1656">
        <v>3.5</v>
      </c>
      <c r="H1656" t="str" cm="1">
        <f t="array" ref="H1656">_xlfn.IFS(Ramen_Ratings[[#This Row],[Stars]] = "Unrated", "NA",Ramen_Ratings[[#This Row],[Stars]]&gt;=4, "Good", Ramen_Ratings[[#This Row],[Stars]]&gt;2.5, "Fair", Ramen_Ratings[[#This Row],[Stars]] &gt;= 0, "Bad")</f>
        <v>Fair</v>
      </c>
      <c r="J1656" t="str">
        <f>LEFT(Ramen_Ratings[[#This Row],[Top Ten]],4)</f>
        <v/>
      </c>
      <c r="K1656" t="str">
        <f>IF(Ramen_Ratings[[#This Row],[Top Ten]]="", "",RIGHT(Ramen_Ratings[[#This Row],[Top Ten]],LEN(Ramen_Ratings[[#This Row],[Top Ten]])-6))</f>
        <v/>
      </c>
    </row>
    <row r="1657" spans="1:11" x14ac:dyDescent="0.25">
      <c r="A1657">
        <v>2441</v>
      </c>
      <c r="B1657" t="s">
        <v>67</v>
      </c>
      <c r="C1657" t="s">
        <v>217</v>
      </c>
      <c r="D1657" t="s">
        <v>84</v>
      </c>
      <c r="E1657" t="s">
        <v>10</v>
      </c>
      <c r="F1657" t="str">
        <f>VLOOKUP(Ramen_Ratings[[#This Row],[Country]],Country_Region[#All],2,FALSE)</f>
        <v>Asia</v>
      </c>
      <c r="G1657">
        <v>5</v>
      </c>
      <c r="H1657" t="str" cm="1">
        <f t="array" ref="H1657">_xlfn.IFS(Ramen_Ratings[[#This Row],[Stars]] = "Unrated", "NA",Ramen_Ratings[[#This Row],[Stars]]&gt;=4, "Good", Ramen_Ratings[[#This Row],[Stars]]&gt;2.5, "Fair", Ramen_Ratings[[#This Row],[Stars]] &gt;= 0, "Bad")</f>
        <v>Good</v>
      </c>
      <c r="J1657" t="str">
        <f>LEFT(Ramen_Ratings[[#This Row],[Top Ten]],4)</f>
        <v/>
      </c>
      <c r="K1657" t="str">
        <f>IF(Ramen_Ratings[[#This Row],[Top Ten]]="", "",RIGHT(Ramen_Ratings[[#This Row],[Top Ten]],LEN(Ramen_Ratings[[#This Row],[Top Ten]])-6))</f>
        <v/>
      </c>
    </row>
    <row r="1658" spans="1:11" x14ac:dyDescent="0.25">
      <c r="A1658">
        <v>2437</v>
      </c>
      <c r="B1658" t="s">
        <v>15</v>
      </c>
      <c r="C1658" t="s">
        <v>223</v>
      </c>
      <c r="D1658" t="s">
        <v>44</v>
      </c>
      <c r="E1658" t="s">
        <v>10</v>
      </c>
      <c r="F1658" t="str">
        <f>VLOOKUP(Ramen_Ratings[[#This Row],[Country]],Country_Region[#All],2,FALSE)</f>
        <v>Asia</v>
      </c>
      <c r="G1658">
        <v>4.5</v>
      </c>
      <c r="H1658" t="str" cm="1">
        <f t="array" ref="H1658">_xlfn.IFS(Ramen_Ratings[[#This Row],[Stars]] = "Unrated", "NA",Ramen_Ratings[[#This Row],[Stars]]&gt;=4, "Good", Ramen_Ratings[[#This Row],[Stars]]&gt;2.5, "Fair", Ramen_Ratings[[#This Row],[Stars]] &gt;= 0, "Bad")</f>
        <v>Good</v>
      </c>
      <c r="J1658" t="str">
        <f>LEFT(Ramen_Ratings[[#This Row],[Top Ten]],4)</f>
        <v/>
      </c>
      <c r="K1658" t="str">
        <f>IF(Ramen_Ratings[[#This Row],[Top Ten]]="", "",RIGHT(Ramen_Ratings[[#This Row],[Top Ten]],LEN(Ramen_Ratings[[#This Row],[Top Ten]])-6))</f>
        <v/>
      </c>
    </row>
    <row r="1659" spans="1:11" x14ac:dyDescent="0.25">
      <c r="A1659">
        <v>2433</v>
      </c>
      <c r="B1659" t="s">
        <v>15</v>
      </c>
      <c r="C1659" t="s">
        <v>229</v>
      </c>
      <c r="D1659" t="s">
        <v>9</v>
      </c>
      <c r="E1659" t="s">
        <v>10</v>
      </c>
      <c r="F1659" t="str">
        <f>VLOOKUP(Ramen_Ratings[[#This Row],[Country]],Country_Region[#All],2,FALSE)</f>
        <v>Asia</v>
      </c>
      <c r="G1659">
        <v>3.75</v>
      </c>
      <c r="H1659" t="str" cm="1">
        <f t="array" ref="H1659">_xlfn.IFS(Ramen_Ratings[[#This Row],[Stars]] = "Unrated", "NA",Ramen_Ratings[[#This Row],[Stars]]&gt;=4, "Good", Ramen_Ratings[[#This Row],[Stars]]&gt;2.5, "Fair", Ramen_Ratings[[#This Row],[Stars]] &gt;= 0, "Bad")</f>
        <v>Fair</v>
      </c>
      <c r="J1659" t="str">
        <f>LEFT(Ramen_Ratings[[#This Row],[Top Ten]],4)</f>
        <v/>
      </c>
      <c r="K1659" t="str">
        <f>IF(Ramen_Ratings[[#This Row],[Top Ten]]="", "",RIGHT(Ramen_Ratings[[#This Row],[Top Ten]],LEN(Ramen_Ratings[[#This Row],[Top Ten]])-6))</f>
        <v/>
      </c>
    </row>
    <row r="1660" spans="1:11" x14ac:dyDescent="0.25">
      <c r="A1660">
        <v>2429</v>
      </c>
      <c r="B1660" t="s">
        <v>7</v>
      </c>
      <c r="C1660" t="s">
        <v>235</v>
      </c>
      <c r="D1660" t="s">
        <v>9</v>
      </c>
      <c r="E1660" t="s">
        <v>10</v>
      </c>
      <c r="F1660" t="str">
        <f>VLOOKUP(Ramen_Ratings[[#This Row],[Country]],Country_Region[#All],2,FALSE)</f>
        <v>Asia</v>
      </c>
      <c r="G1660">
        <v>4</v>
      </c>
      <c r="H1660" t="str" cm="1">
        <f t="array" ref="H1660">_xlfn.IFS(Ramen_Ratings[[#This Row],[Stars]] = "Unrated", "NA",Ramen_Ratings[[#This Row],[Stars]]&gt;=4, "Good", Ramen_Ratings[[#This Row],[Stars]]&gt;2.5, "Fair", Ramen_Ratings[[#This Row],[Stars]] &gt;= 0, "Bad")</f>
        <v>Good</v>
      </c>
      <c r="J1660" t="str">
        <f>LEFT(Ramen_Ratings[[#This Row],[Top Ten]],4)</f>
        <v/>
      </c>
      <c r="K1660" t="str">
        <f>IF(Ramen_Ratings[[#This Row],[Top Ten]]="", "",RIGHT(Ramen_Ratings[[#This Row],[Top Ten]],LEN(Ramen_Ratings[[#This Row],[Top Ten]])-6))</f>
        <v/>
      </c>
    </row>
    <row r="1661" spans="1:11" x14ac:dyDescent="0.25">
      <c r="A1661">
        <v>2427</v>
      </c>
      <c r="B1661" t="s">
        <v>237</v>
      </c>
      <c r="C1661" t="s">
        <v>238</v>
      </c>
      <c r="D1661" t="s">
        <v>13</v>
      </c>
      <c r="E1661" t="s">
        <v>10</v>
      </c>
      <c r="F1661" t="str">
        <f>VLOOKUP(Ramen_Ratings[[#This Row],[Country]],Country_Region[#All],2,FALSE)</f>
        <v>Asia</v>
      </c>
      <c r="G1661">
        <v>2.5</v>
      </c>
      <c r="H1661" t="str" cm="1">
        <f t="array" ref="H1661">_xlfn.IFS(Ramen_Ratings[[#This Row],[Stars]] = "Unrated", "NA",Ramen_Ratings[[#This Row],[Stars]]&gt;=4, "Good", Ramen_Ratings[[#This Row],[Stars]]&gt;2.5, "Fair", Ramen_Ratings[[#This Row],[Stars]] &gt;= 0, "Bad")</f>
        <v>Bad</v>
      </c>
      <c r="J1661" t="str">
        <f>LEFT(Ramen_Ratings[[#This Row],[Top Ten]],4)</f>
        <v/>
      </c>
      <c r="K1661" t="str">
        <f>IF(Ramen_Ratings[[#This Row],[Top Ten]]="", "",RIGHT(Ramen_Ratings[[#This Row],[Top Ten]],LEN(Ramen_Ratings[[#This Row],[Top Ten]])-6))</f>
        <v/>
      </c>
    </row>
    <row r="1662" spans="1:11" x14ac:dyDescent="0.25">
      <c r="A1662">
        <v>2419</v>
      </c>
      <c r="B1662" t="s">
        <v>67</v>
      </c>
      <c r="C1662" t="s">
        <v>248</v>
      </c>
      <c r="D1662" t="s">
        <v>84</v>
      </c>
      <c r="E1662" t="s">
        <v>10</v>
      </c>
      <c r="F1662" t="str">
        <f>VLOOKUP(Ramen_Ratings[[#This Row],[Country]],Country_Region[#All],2,FALSE)</f>
        <v>Asia</v>
      </c>
      <c r="G1662">
        <v>5</v>
      </c>
      <c r="H1662" t="str" cm="1">
        <f t="array" ref="H1662">_xlfn.IFS(Ramen_Ratings[[#This Row],[Stars]] = "Unrated", "NA",Ramen_Ratings[[#This Row],[Stars]]&gt;=4, "Good", Ramen_Ratings[[#This Row],[Stars]]&gt;2.5, "Fair", Ramen_Ratings[[#This Row],[Stars]] &gt;= 0, "Bad")</f>
        <v>Good</v>
      </c>
      <c r="J1662" t="str">
        <f>LEFT(Ramen_Ratings[[#This Row],[Top Ten]],4)</f>
        <v/>
      </c>
      <c r="K1662" t="str">
        <f>IF(Ramen_Ratings[[#This Row],[Top Ten]]="", "",RIGHT(Ramen_Ratings[[#This Row],[Top Ten]],LEN(Ramen_Ratings[[#This Row],[Top Ten]])-6))</f>
        <v/>
      </c>
    </row>
    <row r="1663" spans="1:11" x14ac:dyDescent="0.25">
      <c r="A1663">
        <v>2418</v>
      </c>
      <c r="B1663" t="s">
        <v>183</v>
      </c>
      <c r="C1663" t="s">
        <v>249</v>
      </c>
      <c r="D1663" t="s">
        <v>30</v>
      </c>
      <c r="E1663" t="s">
        <v>10</v>
      </c>
      <c r="F1663" t="str">
        <f>VLOOKUP(Ramen_Ratings[[#This Row],[Country]],Country_Region[#All],2,FALSE)</f>
        <v>Asia</v>
      </c>
      <c r="G1663">
        <v>4.5</v>
      </c>
      <c r="H1663" t="str" cm="1">
        <f t="array" ref="H1663">_xlfn.IFS(Ramen_Ratings[[#This Row],[Stars]] = "Unrated", "NA",Ramen_Ratings[[#This Row],[Stars]]&gt;=4, "Good", Ramen_Ratings[[#This Row],[Stars]]&gt;2.5, "Fair", Ramen_Ratings[[#This Row],[Stars]] &gt;= 0, "Bad")</f>
        <v>Good</v>
      </c>
      <c r="J1663" t="str">
        <f>LEFT(Ramen_Ratings[[#This Row],[Top Ten]],4)</f>
        <v/>
      </c>
      <c r="K1663" t="str">
        <f>IF(Ramen_Ratings[[#This Row],[Top Ten]]="", "",RIGHT(Ramen_Ratings[[#This Row],[Top Ten]],LEN(Ramen_Ratings[[#This Row],[Top Ten]])-6))</f>
        <v/>
      </c>
    </row>
    <row r="1664" spans="1:11" x14ac:dyDescent="0.25">
      <c r="A1664">
        <v>2415</v>
      </c>
      <c r="B1664" t="s">
        <v>15</v>
      </c>
      <c r="C1664" t="s">
        <v>254</v>
      </c>
      <c r="D1664" t="s">
        <v>44</v>
      </c>
      <c r="E1664" t="s">
        <v>10</v>
      </c>
      <c r="F1664" t="str">
        <f>VLOOKUP(Ramen_Ratings[[#This Row],[Country]],Country_Region[#All],2,FALSE)</f>
        <v>Asia</v>
      </c>
      <c r="G1664">
        <v>5</v>
      </c>
      <c r="H1664" t="str" cm="1">
        <f t="array" ref="H1664">_xlfn.IFS(Ramen_Ratings[[#This Row],[Stars]] = "Unrated", "NA",Ramen_Ratings[[#This Row],[Stars]]&gt;=4, "Good", Ramen_Ratings[[#This Row],[Stars]]&gt;2.5, "Fair", Ramen_Ratings[[#This Row],[Stars]] &gt;= 0, "Bad")</f>
        <v>Good</v>
      </c>
      <c r="J1664" t="str">
        <f>LEFT(Ramen_Ratings[[#This Row],[Top Ten]],4)</f>
        <v/>
      </c>
      <c r="K1664" t="str">
        <f>IF(Ramen_Ratings[[#This Row],[Top Ten]]="", "",RIGHT(Ramen_Ratings[[#This Row],[Top Ten]],LEN(Ramen_Ratings[[#This Row],[Top Ten]])-6))</f>
        <v/>
      </c>
    </row>
    <row r="1665" spans="1:11" x14ac:dyDescent="0.25">
      <c r="A1665">
        <v>2393</v>
      </c>
      <c r="B1665" t="s">
        <v>31</v>
      </c>
      <c r="C1665" t="s">
        <v>283</v>
      </c>
      <c r="D1665" t="s">
        <v>13</v>
      </c>
      <c r="E1665" t="s">
        <v>10</v>
      </c>
      <c r="F1665" t="str">
        <f>VLOOKUP(Ramen_Ratings[[#This Row],[Country]],Country_Region[#All],2,FALSE)</f>
        <v>Asia</v>
      </c>
      <c r="G1665">
        <v>3</v>
      </c>
      <c r="H1665" t="str" cm="1">
        <f t="array" ref="H1665">_xlfn.IFS(Ramen_Ratings[[#This Row],[Stars]] = "Unrated", "NA",Ramen_Ratings[[#This Row],[Stars]]&gt;=4, "Good", Ramen_Ratings[[#This Row],[Stars]]&gt;2.5, "Fair", Ramen_Ratings[[#This Row],[Stars]] &gt;= 0, "Bad")</f>
        <v>Fair</v>
      </c>
      <c r="J1665" t="str">
        <f>LEFT(Ramen_Ratings[[#This Row],[Top Ten]],4)</f>
        <v/>
      </c>
      <c r="K1665" t="str">
        <f>IF(Ramen_Ratings[[#This Row],[Top Ten]]="", "",RIGHT(Ramen_Ratings[[#This Row],[Top Ten]],LEN(Ramen_Ratings[[#This Row],[Top Ten]])-6))</f>
        <v/>
      </c>
    </row>
    <row r="1666" spans="1:11" x14ac:dyDescent="0.25">
      <c r="A1666">
        <v>2371</v>
      </c>
      <c r="B1666" t="s">
        <v>309</v>
      </c>
      <c r="C1666" t="s">
        <v>310</v>
      </c>
      <c r="D1666" t="s">
        <v>9</v>
      </c>
      <c r="E1666" t="s">
        <v>10</v>
      </c>
      <c r="F1666" t="str">
        <f>VLOOKUP(Ramen_Ratings[[#This Row],[Country]],Country_Region[#All],2,FALSE)</f>
        <v>Asia</v>
      </c>
      <c r="G1666">
        <v>3.5</v>
      </c>
      <c r="H1666" t="str" cm="1">
        <f t="array" ref="H1666">_xlfn.IFS(Ramen_Ratings[[#This Row],[Stars]] = "Unrated", "NA",Ramen_Ratings[[#This Row],[Stars]]&gt;=4, "Good", Ramen_Ratings[[#This Row],[Stars]]&gt;2.5, "Fair", Ramen_Ratings[[#This Row],[Stars]] &gt;= 0, "Bad")</f>
        <v>Fair</v>
      </c>
      <c r="J1666" t="str">
        <f>LEFT(Ramen_Ratings[[#This Row],[Top Ten]],4)</f>
        <v/>
      </c>
      <c r="K1666" t="str">
        <f>IF(Ramen_Ratings[[#This Row],[Top Ten]]="", "",RIGHT(Ramen_Ratings[[#This Row],[Top Ten]],LEN(Ramen_Ratings[[#This Row],[Top Ten]])-6))</f>
        <v/>
      </c>
    </row>
    <row r="1667" spans="1:11" x14ac:dyDescent="0.25">
      <c r="A1667">
        <v>2359</v>
      </c>
      <c r="B1667" t="s">
        <v>309</v>
      </c>
      <c r="C1667" t="s">
        <v>324</v>
      </c>
      <c r="D1667" t="s">
        <v>9</v>
      </c>
      <c r="E1667" t="s">
        <v>10</v>
      </c>
      <c r="F1667" t="str">
        <f>VLOOKUP(Ramen_Ratings[[#This Row],[Country]],Country_Region[#All],2,FALSE)</f>
        <v>Asia</v>
      </c>
      <c r="G1667">
        <v>2</v>
      </c>
      <c r="H1667" t="str" cm="1">
        <f t="array" ref="H1667">_xlfn.IFS(Ramen_Ratings[[#This Row],[Stars]] = "Unrated", "NA",Ramen_Ratings[[#This Row],[Stars]]&gt;=4, "Good", Ramen_Ratings[[#This Row],[Stars]]&gt;2.5, "Fair", Ramen_Ratings[[#This Row],[Stars]] &gt;= 0, "Bad")</f>
        <v>Bad</v>
      </c>
      <c r="J1667" t="str">
        <f>LEFT(Ramen_Ratings[[#This Row],[Top Ten]],4)</f>
        <v/>
      </c>
      <c r="K1667" t="str">
        <f>IF(Ramen_Ratings[[#This Row],[Top Ten]]="", "",RIGHT(Ramen_Ratings[[#This Row],[Top Ten]],LEN(Ramen_Ratings[[#This Row],[Top Ten]])-6))</f>
        <v/>
      </c>
    </row>
    <row r="1668" spans="1:11" x14ac:dyDescent="0.25">
      <c r="A1668">
        <v>2355</v>
      </c>
      <c r="B1668" t="s">
        <v>329</v>
      </c>
      <c r="C1668" t="s">
        <v>330</v>
      </c>
      <c r="D1668" t="s">
        <v>13</v>
      </c>
      <c r="E1668" t="s">
        <v>10</v>
      </c>
      <c r="F1668" t="str">
        <f>VLOOKUP(Ramen_Ratings[[#This Row],[Country]],Country_Region[#All],2,FALSE)</f>
        <v>Asia</v>
      </c>
      <c r="G1668">
        <v>4</v>
      </c>
      <c r="H1668" t="str" cm="1">
        <f t="array" ref="H1668">_xlfn.IFS(Ramen_Ratings[[#This Row],[Stars]] = "Unrated", "NA",Ramen_Ratings[[#This Row],[Stars]]&gt;=4, "Good", Ramen_Ratings[[#This Row],[Stars]]&gt;2.5, "Fair", Ramen_Ratings[[#This Row],[Stars]] &gt;= 0, "Bad")</f>
        <v>Good</v>
      </c>
      <c r="J1668" t="str">
        <f>LEFT(Ramen_Ratings[[#This Row],[Top Ten]],4)</f>
        <v/>
      </c>
      <c r="K1668" t="str">
        <f>IF(Ramen_Ratings[[#This Row],[Top Ten]]="", "",RIGHT(Ramen_Ratings[[#This Row],[Top Ten]],LEN(Ramen_Ratings[[#This Row],[Top Ten]])-6))</f>
        <v/>
      </c>
    </row>
    <row r="1669" spans="1:11" x14ac:dyDescent="0.25">
      <c r="A1669">
        <v>2353</v>
      </c>
      <c r="B1669" t="s">
        <v>15</v>
      </c>
      <c r="C1669" t="s">
        <v>333</v>
      </c>
      <c r="D1669" t="s">
        <v>9</v>
      </c>
      <c r="E1669" t="s">
        <v>10</v>
      </c>
      <c r="F1669" t="str">
        <f>VLOOKUP(Ramen_Ratings[[#This Row],[Country]],Country_Region[#All],2,FALSE)</f>
        <v>Asia</v>
      </c>
      <c r="G1669">
        <v>4</v>
      </c>
      <c r="H1669" t="str" cm="1">
        <f t="array" ref="H1669">_xlfn.IFS(Ramen_Ratings[[#This Row],[Stars]] = "Unrated", "NA",Ramen_Ratings[[#This Row],[Stars]]&gt;=4, "Good", Ramen_Ratings[[#This Row],[Stars]]&gt;2.5, "Fair", Ramen_Ratings[[#This Row],[Stars]] &gt;= 0, "Bad")</f>
        <v>Good</v>
      </c>
      <c r="J1669" t="str">
        <f>LEFT(Ramen_Ratings[[#This Row],[Top Ten]],4)</f>
        <v/>
      </c>
      <c r="K1669" t="str">
        <f>IF(Ramen_Ratings[[#This Row],[Top Ten]]="", "",RIGHT(Ramen_Ratings[[#This Row],[Top Ten]],LEN(Ramen_Ratings[[#This Row],[Top Ten]])-6))</f>
        <v/>
      </c>
    </row>
    <row r="1670" spans="1:11" x14ac:dyDescent="0.25">
      <c r="A1670">
        <v>2348</v>
      </c>
      <c r="B1670" t="s">
        <v>31</v>
      </c>
      <c r="C1670" t="s">
        <v>341</v>
      </c>
      <c r="D1670" t="s">
        <v>13</v>
      </c>
      <c r="E1670" t="s">
        <v>10</v>
      </c>
      <c r="F1670" t="str">
        <f>VLOOKUP(Ramen_Ratings[[#This Row],[Country]],Country_Region[#All],2,FALSE)</f>
        <v>Asia</v>
      </c>
      <c r="G1670">
        <v>3</v>
      </c>
      <c r="H1670" t="str" cm="1">
        <f t="array" ref="H1670">_xlfn.IFS(Ramen_Ratings[[#This Row],[Stars]] = "Unrated", "NA",Ramen_Ratings[[#This Row],[Stars]]&gt;=4, "Good", Ramen_Ratings[[#This Row],[Stars]]&gt;2.5, "Fair", Ramen_Ratings[[#This Row],[Stars]] &gt;= 0, "Bad")</f>
        <v>Fair</v>
      </c>
      <c r="J1670" t="str">
        <f>LEFT(Ramen_Ratings[[#This Row],[Top Ten]],4)</f>
        <v/>
      </c>
      <c r="K1670" t="str">
        <f>IF(Ramen_Ratings[[#This Row],[Top Ten]]="", "",RIGHT(Ramen_Ratings[[#This Row],[Top Ten]],LEN(Ramen_Ratings[[#This Row],[Top Ten]])-6))</f>
        <v/>
      </c>
    </row>
    <row r="1671" spans="1:11" x14ac:dyDescent="0.25">
      <c r="A1671">
        <v>2323</v>
      </c>
      <c r="B1671" t="s">
        <v>123</v>
      </c>
      <c r="C1671" t="s">
        <v>373</v>
      </c>
      <c r="D1671" t="s">
        <v>13</v>
      </c>
      <c r="E1671" t="s">
        <v>10</v>
      </c>
      <c r="F1671" t="str">
        <f>VLOOKUP(Ramen_Ratings[[#This Row],[Country]],Country_Region[#All],2,FALSE)</f>
        <v>Asia</v>
      </c>
      <c r="G1671">
        <v>5</v>
      </c>
      <c r="H1671" t="str" cm="1">
        <f t="array" ref="H1671">_xlfn.IFS(Ramen_Ratings[[#This Row],[Stars]] = "Unrated", "NA",Ramen_Ratings[[#This Row],[Stars]]&gt;=4, "Good", Ramen_Ratings[[#This Row],[Stars]]&gt;2.5, "Fair", Ramen_Ratings[[#This Row],[Stars]] &gt;= 0, "Bad")</f>
        <v>Good</v>
      </c>
      <c r="J1671" t="str">
        <f>LEFT(Ramen_Ratings[[#This Row],[Top Ten]],4)</f>
        <v/>
      </c>
      <c r="K1671" t="str">
        <f>IF(Ramen_Ratings[[#This Row],[Top Ten]]="", "",RIGHT(Ramen_Ratings[[#This Row],[Top Ten]],LEN(Ramen_Ratings[[#This Row],[Top Ten]])-6))</f>
        <v/>
      </c>
    </row>
    <row r="1672" spans="1:11" x14ac:dyDescent="0.25">
      <c r="A1672">
        <v>2322</v>
      </c>
      <c r="B1672" t="s">
        <v>374</v>
      </c>
      <c r="C1672" t="s">
        <v>375</v>
      </c>
      <c r="D1672" t="s">
        <v>44</v>
      </c>
      <c r="E1672" t="s">
        <v>10</v>
      </c>
      <c r="F1672" t="str">
        <f>VLOOKUP(Ramen_Ratings[[#This Row],[Country]],Country_Region[#All],2,FALSE)</f>
        <v>Asia</v>
      </c>
      <c r="G1672">
        <v>3</v>
      </c>
      <c r="H1672" t="str" cm="1">
        <f t="array" ref="H1672">_xlfn.IFS(Ramen_Ratings[[#This Row],[Stars]] = "Unrated", "NA",Ramen_Ratings[[#This Row],[Stars]]&gt;=4, "Good", Ramen_Ratings[[#This Row],[Stars]]&gt;2.5, "Fair", Ramen_Ratings[[#This Row],[Stars]] &gt;= 0, "Bad")</f>
        <v>Fair</v>
      </c>
      <c r="J1672" t="str">
        <f>LEFT(Ramen_Ratings[[#This Row],[Top Ten]],4)</f>
        <v/>
      </c>
      <c r="K1672" t="str">
        <f>IF(Ramen_Ratings[[#This Row],[Top Ten]]="", "",RIGHT(Ramen_Ratings[[#This Row],[Top Ten]],LEN(Ramen_Ratings[[#This Row],[Top Ten]])-6))</f>
        <v/>
      </c>
    </row>
    <row r="1673" spans="1:11" x14ac:dyDescent="0.25">
      <c r="A1673">
        <v>2320</v>
      </c>
      <c r="B1673" t="s">
        <v>15</v>
      </c>
      <c r="C1673" t="s">
        <v>377</v>
      </c>
      <c r="D1673" t="s">
        <v>9</v>
      </c>
      <c r="E1673" t="s">
        <v>10</v>
      </c>
      <c r="F1673" t="str">
        <f>VLOOKUP(Ramen_Ratings[[#This Row],[Country]],Country_Region[#All],2,FALSE)</f>
        <v>Asia</v>
      </c>
      <c r="G1673">
        <v>4</v>
      </c>
      <c r="H1673" t="str" cm="1">
        <f t="array" ref="H1673">_xlfn.IFS(Ramen_Ratings[[#This Row],[Stars]] = "Unrated", "NA",Ramen_Ratings[[#This Row],[Stars]]&gt;=4, "Good", Ramen_Ratings[[#This Row],[Stars]]&gt;2.5, "Fair", Ramen_Ratings[[#This Row],[Stars]] &gt;= 0, "Bad")</f>
        <v>Good</v>
      </c>
      <c r="J1673" t="str">
        <f>LEFT(Ramen_Ratings[[#This Row],[Top Ten]],4)</f>
        <v/>
      </c>
      <c r="K1673" t="str">
        <f>IF(Ramen_Ratings[[#This Row],[Top Ten]]="", "",RIGHT(Ramen_Ratings[[#This Row],[Top Ten]],LEN(Ramen_Ratings[[#This Row],[Top Ten]])-6))</f>
        <v/>
      </c>
    </row>
    <row r="1674" spans="1:11" x14ac:dyDescent="0.25">
      <c r="A1674">
        <v>2316</v>
      </c>
      <c r="B1674" t="s">
        <v>15</v>
      </c>
      <c r="C1674" t="s">
        <v>382</v>
      </c>
      <c r="D1674" t="s">
        <v>9</v>
      </c>
      <c r="E1674" t="s">
        <v>10</v>
      </c>
      <c r="F1674" t="str">
        <f>VLOOKUP(Ramen_Ratings[[#This Row],[Country]],Country_Region[#All],2,FALSE)</f>
        <v>Asia</v>
      </c>
      <c r="G1674">
        <v>5</v>
      </c>
      <c r="H1674" t="str" cm="1">
        <f t="array" ref="H1674">_xlfn.IFS(Ramen_Ratings[[#This Row],[Stars]] = "Unrated", "NA",Ramen_Ratings[[#This Row],[Stars]]&gt;=4, "Good", Ramen_Ratings[[#This Row],[Stars]]&gt;2.5, "Fair", Ramen_Ratings[[#This Row],[Stars]] &gt;= 0, "Bad")</f>
        <v>Good</v>
      </c>
      <c r="J1674" t="str">
        <f>LEFT(Ramen_Ratings[[#This Row],[Top Ten]],4)</f>
        <v/>
      </c>
      <c r="K1674" t="str">
        <f>IF(Ramen_Ratings[[#This Row],[Top Ten]]="", "",RIGHT(Ramen_Ratings[[#This Row],[Top Ten]],LEN(Ramen_Ratings[[#This Row],[Top Ten]])-6))</f>
        <v/>
      </c>
    </row>
    <row r="1675" spans="1:11" x14ac:dyDescent="0.25">
      <c r="A1675">
        <v>2305</v>
      </c>
      <c r="B1675" t="s">
        <v>237</v>
      </c>
      <c r="C1675" t="s">
        <v>394</v>
      </c>
      <c r="D1675" t="s">
        <v>13</v>
      </c>
      <c r="E1675" t="s">
        <v>10</v>
      </c>
      <c r="F1675" t="str">
        <f>VLOOKUP(Ramen_Ratings[[#This Row],[Country]],Country_Region[#All],2,FALSE)</f>
        <v>Asia</v>
      </c>
      <c r="G1675">
        <v>4</v>
      </c>
      <c r="H1675" t="str" cm="1">
        <f t="array" ref="H1675">_xlfn.IFS(Ramen_Ratings[[#This Row],[Stars]] = "Unrated", "NA",Ramen_Ratings[[#This Row],[Stars]]&gt;=4, "Good", Ramen_Ratings[[#This Row],[Stars]]&gt;2.5, "Fair", Ramen_Ratings[[#This Row],[Stars]] &gt;= 0, "Bad")</f>
        <v>Good</v>
      </c>
      <c r="J1675" t="str">
        <f>LEFT(Ramen_Ratings[[#This Row],[Top Ten]],4)</f>
        <v/>
      </c>
      <c r="K1675" t="str">
        <f>IF(Ramen_Ratings[[#This Row],[Top Ten]]="", "",RIGHT(Ramen_Ratings[[#This Row],[Top Ten]],LEN(Ramen_Ratings[[#This Row],[Top Ten]])-6))</f>
        <v/>
      </c>
    </row>
    <row r="1676" spans="1:11" x14ac:dyDescent="0.25">
      <c r="A1676">
        <v>2302</v>
      </c>
      <c r="B1676" t="s">
        <v>15</v>
      </c>
      <c r="C1676" t="s">
        <v>397</v>
      </c>
      <c r="D1676" t="s">
        <v>30</v>
      </c>
      <c r="E1676" t="s">
        <v>10</v>
      </c>
      <c r="F1676" t="str">
        <f>VLOOKUP(Ramen_Ratings[[#This Row],[Country]],Country_Region[#All],2,FALSE)</f>
        <v>Asia</v>
      </c>
      <c r="G1676">
        <v>5</v>
      </c>
      <c r="H1676" t="str" cm="1">
        <f t="array" ref="H1676">_xlfn.IFS(Ramen_Ratings[[#This Row],[Stars]] = "Unrated", "NA",Ramen_Ratings[[#This Row],[Stars]]&gt;=4, "Good", Ramen_Ratings[[#This Row],[Stars]]&gt;2.5, "Fair", Ramen_Ratings[[#This Row],[Stars]] &gt;= 0, "Bad")</f>
        <v>Good</v>
      </c>
      <c r="J1676" t="str">
        <f>LEFT(Ramen_Ratings[[#This Row],[Top Ten]],4)</f>
        <v/>
      </c>
      <c r="K1676" t="str">
        <f>IF(Ramen_Ratings[[#This Row],[Top Ten]]="", "",RIGHT(Ramen_Ratings[[#This Row],[Top Ten]],LEN(Ramen_Ratings[[#This Row],[Top Ten]])-6))</f>
        <v/>
      </c>
    </row>
    <row r="1677" spans="1:11" x14ac:dyDescent="0.25">
      <c r="A1677">
        <v>2294</v>
      </c>
      <c r="B1677" t="s">
        <v>374</v>
      </c>
      <c r="C1677" t="s">
        <v>407</v>
      </c>
      <c r="D1677" t="s">
        <v>44</v>
      </c>
      <c r="E1677" t="s">
        <v>10</v>
      </c>
      <c r="F1677" t="str">
        <f>VLOOKUP(Ramen_Ratings[[#This Row],[Country]],Country_Region[#All],2,FALSE)</f>
        <v>Asia</v>
      </c>
      <c r="G1677">
        <v>4</v>
      </c>
      <c r="H1677" t="str" cm="1">
        <f t="array" ref="H1677">_xlfn.IFS(Ramen_Ratings[[#This Row],[Stars]] = "Unrated", "NA",Ramen_Ratings[[#This Row],[Stars]]&gt;=4, "Good", Ramen_Ratings[[#This Row],[Stars]]&gt;2.5, "Fair", Ramen_Ratings[[#This Row],[Stars]] &gt;= 0, "Bad")</f>
        <v>Good</v>
      </c>
      <c r="J1677" t="str">
        <f>LEFT(Ramen_Ratings[[#This Row],[Top Ten]],4)</f>
        <v/>
      </c>
      <c r="K1677" t="str">
        <f>IF(Ramen_Ratings[[#This Row],[Top Ten]]="", "",RIGHT(Ramen_Ratings[[#This Row],[Top Ten]],LEN(Ramen_Ratings[[#This Row],[Top Ten]])-6))</f>
        <v/>
      </c>
    </row>
    <row r="1678" spans="1:11" x14ac:dyDescent="0.25">
      <c r="A1678">
        <v>2289</v>
      </c>
      <c r="B1678" t="s">
        <v>183</v>
      </c>
      <c r="C1678" t="s">
        <v>412</v>
      </c>
      <c r="D1678" t="s">
        <v>44</v>
      </c>
      <c r="E1678" t="s">
        <v>10</v>
      </c>
      <c r="F1678" t="str">
        <f>VLOOKUP(Ramen_Ratings[[#This Row],[Country]],Country_Region[#All],2,FALSE)</f>
        <v>Asia</v>
      </c>
      <c r="G1678">
        <v>4</v>
      </c>
      <c r="H1678" t="str" cm="1">
        <f t="array" ref="H1678">_xlfn.IFS(Ramen_Ratings[[#This Row],[Stars]] = "Unrated", "NA",Ramen_Ratings[[#This Row],[Stars]]&gt;=4, "Good", Ramen_Ratings[[#This Row],[Stars]]&gt;2.5, "Fair", Ramen_Ratings[[#This Row],[Stars]] &gt;= 0, "Bad")</f>
        <v>Good</v>
      </c>
      <c r="J1678" t="str">
        <f>LEFT(Ramen_Ratings[[#This Row],[Top Ten]],4)</f>
        <v/>
      </c>
      <c r="K1678" t="str">
        <f>IF(Ramen_Ratings[[#This Row],[Top Ten]]="", "",RIGHT(Ramen_Ratings[[#This Row],[Top Ten]],LEN(Ramen_Ratings[[#This Row],[Top Ten]])-6))</f>
        <v/>
      </c>
    </row>
    <row r="1679" spans="1:11" x14ac:dyDescent="0.25">
      <c r="A1679">
        <v>2283</v>
      </c>
      <c r="B1679" t="s">
        <v>15</v>
      </c>
      <c r="C1679" t="s">
        <v>418</v>
      </c>
      <c r="D1679" t="s">
        <v>13</v>
      </c>
      <c r="E1679" t="s">
        <v>10</v>
      </c>
      <c r="F1679" t="str">
        <f>VLOOKUP(Ramen_Ratings[[#This Row],[Country]],Country_Region[#All],2,FALSE)</f>
        <v>Asia</v>
      </c>
      <c r="G1679">
        <v>5</v>
      </c>
      <c r="H1679" t="str" cm="1">
        <f t="array" ref="H1679">_xlfn.IFS(Ramen_Ratings[[#This Row],[Stars]] = "Unrated", "NA",Ramen_Ratings[[#This Row],[Stars]]&gt;=4, "Good", Ramen_Ratings[[#This Row],[Stars]]&gt;2.5, "Fair", Ramen_Ratings[[#This Row],[Stars]] &gt;= 0, "Bad")</f>
        <v>Good</v>
      </c>
      <c r="J1679" t="str">
        <f>LEFT(Ramen_Ratings[[#This Row],[Top Ten]],4)</f>
        <v/>
      </c>
      <c r="K1679" t="str">
        <f>IF(Ramen_Ratings[[#This Row],[Top Ten]]="", "",RIGHT(Ramen_Ratings[[#This Row],[Top Ten]],LEN(Ramen_Ratings[[#This Row],[Top Ten]])-6))</f>
        <v/>
      </c>
    </row>
    <row r="1680" spans="1:11" x14ac:dyDescent="0.25">
      <c r="A1680">
        <v>2278</v>
      </c>
      <c r="B1680" t="s">
        <v>15</v>
      </c>
      <c r="C1680" t="s">
        <v>423</v>
      </c>
      <c r="D1680" t="s">
        <v>13</v>
      </c>
      <c r="E1680" t="s">
        <v>10</v>
      </c>
      <c r="F1680" t="str">
        <f>VLOOKUP(Ramen_Ratings[[#This Row],[Country]],Country_Region[#All],2,FALSE)</f>
        <v>Asia</v>
      </c>
      <c r="G1680">
        <v>5</v>
      </c>
      <c r="H1680" t="str" cm="1">
        <f t="array" ref="H1680">_xlfn.IFS(Ramen_Ratings[[#This Row],[Stars]] = "Unrated", "NA",Ramen_Ratings[[#This Row],[Stars]]&gt;=4, "Good", Ramen_Ratings[[#This Row],[Stars]]&gt;2.5, "Fair", Ramen_Ratings[[#This Row],[Stars]] &gt;= 0, "Bad")</f>
        <v>Good</v>
      </c>
      <c r="J1680" t="str">
        <f>LEFT(Ramen_Ratings[[#This Row],[Top Ten]],4)</f>
        <v/>
      </c>
      <c r="K1680" t="str">
        <f>IF(Ramen_Ratings[[#This Row],[Top Ten]]="", "",RIGHT(Ramen_Ratings[[#This Row],[Top Ten]],LEN(Ramen_Ratings[[#This Row],[Top Ten]])-6))</f>
        <v/>
      </c>
    </row>
    <row r="1681" spans="1:11" x14ac:dyDescent="0.25">
      <c r="A1681">
        <v>2265</v>
      </c>
      <c r="B1681" t="s">
        <v>15</v>
      </c>
      <c r="C1681" t="s">
        <v>435</v>
      </c>
      <c r="D1681" t="s">
        <v>9</v>
      </c>
      <c r="E1681" t="s">
        <v>10</v>
      </c>
      <c r="F1681" t="str">
        <f>VLOOKUP(Ramen_Ratings[[#This Row],[Country]],Country_Region[#All],2,FALSE)</f>
        <v>Asia</v>
      </c>
      <c r="G1681">
        <v>3</v>
      </c>
      <c r="H1681" t="str" cm="1">
        <f t="array" ref="H1681">_xlfn.IFS(Ramen_Ratings[[#This Row],[Stars]] = "Unrated", "NA",Ramen_Ratings[[#This Row],[Stars]]&gt;=4, "Good", Ramen_Ratings[[#This Row],[Stars]]&gt;2.5, "Fair", Ramen_Ratings[[#This Row],[Stars]] &gt;= 0, "Bad")</f>
        <v>Fair</v>
      </c>
      <c r="J1681" t="str">
        <f>LEFT(Ramen_Ratings[[#This Row],[Top Ten]],4)</f>
        <v/>
      </c>
      <c r="K1681" t="str">
        <f>IF(Ramen_Ratings[[#This Row],[Top Ten]]="", "",RIGHT(Ramen_Ratings[[#This Row],[Top Ten]],LEN(Ramen_Ratings[[#This Row],[Top Ten]])-6))</f>
        <v/>
      </c>
    </row>
    <row r="1682" spans="1:11" x14ac:dyDescent="0.25">
      <c r="A1682">
        <v>2261</v>
      </c>
      <c r="B1682" t="s">
        <v>439</v>
      </c>
      <c r="C1682" t="s">
        <v>440</v>
      </c>
      <c r="D1682" t="s">
        <v>44</v>
      </c>
      <c r="E1682" t="s">
        <v>10</v>
      </c>
      <c r="F1682" t="str">
        <f>VLOOKUP(Ramen_Ratings[[#This Row],[Country]],Country_Region[#All],2,FALSE)</f>
        <v>Asia</v>
      </c>
      <c r="G1682">
        <v>4</v>
      </c>
      <c r="H1682" t="str" cm="1">
        <f t="array" ref="H1682">_xlfn.IFS(Ramen_Ratings[[#This Row],[Stars]] = "Unrated", "NA",Ramen_Ratings[[#This Row],[Stars]]&gt;=4, "Good", Ramen_Ratings[[#This Row],[Stars]]&gt;2.5, "Fair", Ramen_Ratings[[#This Row],[Stars]] &gt;= 0, "Bad")</f>
        <v>Good</v>
      </c>
      <c r="J1682" t="str">
        <f>LEFT(Ramen_Ratings[[#This Row],[Top Ten]],4)</f>
        <v/>
      </c>
      <c r="K1682" t="str">
        <f>IF(Ramen_Ratings[[#This Row],[Top Ten]]="", "",RIGHT(Ramen_Ratings[[#This Row],[Top Ten]],LEN(Ramen_Ratings[[#This Row],[Top Ten]])-6))</f>
        <v/>
      </c>
    </row>
    <row r="1683" spans="1:11" x14ac:dyDescent="0.25">
      <c r="A1683">
        <v>2255</v>
      </c>
      <c r="B1683" t="s">
        <v>309</v>
      </c>
      <c r="C1683" t="s">
        <v>448</v>
      </c>
      <c r="D1683" t="s">
        <v>30</v>
      </c>
      <c r="E1683" t="s">
        <v>10</v>
      </c>
      <c r="F1683" t="str">
        <f>VLOOKUP(Ramen_Ratings[[#This Row],[Country]],Country_Region[#All],2,FALSE)</f>
        <v>Asia</v>
      </c>
      <c r="G1683">
        <v>5</v>
      </c>
      <c r="H1683" t="str" cm="1">
        <f t="array" ref="H1683">_xlfn.IFS(Ramen_Ratings[[#This Row],[Stars]] = "Unrated", "NA",Ramen_Ratings[[#This Row],[Stars]]&gt;=4, "Good", Ramen_Ratings[[#This Row],[Stars]]&gt;2.5, "Fair", Ramen_Ratings[[#This Row],[Stars]] &gt;= 0, "Bad")</f>
        <v>Good</v>
      </c>
      <c r="J1683" t="str">
        <f>LEFT(Ramen_Ratings[[#This Row],[Top Ten]],4)</f>
        <v/>
      </c>
      <c r="K1683" t="str">
        <f>IF(Ramen_Ratings[[#This Row],[Top Ten]]="", "",RIGHT(Ramen_Ratings[[#This Row],[Top Ten]],LEN(Ramen_Ratings[[#This Row],[Top Ten]])-6))</f>
        <v/>
      </c>
    </row>
    <row r="1684" spans="1:11" x14ac:dyDescent="0.25">
      <c r="A1684">
        <v>2252</v>
      </c>
      <c r="B1684" t="s">
        <v>7</v>
      </c>
      <c r="C1684" t="s">
        <v>452</v>
      </c>
      <c r="D1684" t="s">
        <v>44</v>
      </c>
      <c r="E1684" t="s">
        <v>10</v>
      </c>
      <c r="F1684" t="str">
        <f>VLOOKUP(Ramen_Ratings[[#This Row],[Country]],Country_Region[#All],2,FALSE)</f>
        <v>Asia</v>
      </c>
      <c r="G1684">
        <v>5</v>
      </c>
      <c r="H1684" t="str" cm="1">
        <f t="array" ref="H1684">_xlfn.IFS(Ramen_Ratings[[#This Row],[Stars]] = "Unrated", "NA",Ramen_Ratings[[#This Row],[Stars]]&gt;=4, "Good", Ramen_Ratings[[#This Row],[Stars]]&gt;2.5, "Fair", Ramen_Ratings[[#This Row],[Stars]] &gt;= 0, "Bad")</f>
        <v>Good</v>
      </c>
      <c r="J1684" t="str">
        <f>LEFT(Ramen_Ratings[[#This Row],[Top Ten]],4)</f>
        <v/>
      </c>
      <c r="K1684" t="str">
        <f>IF(Ramen_Ratings[[#This Row],[Top Ten]]="", "",RIGHT(Ramen_Ratings[[#This Row],[Top Ten]],LEN(Ramen_Ratings[[#This Row],[Top Ten]])-6))</f>
        <v/>
      </c>
    </row>
    <row r="1685" spans="1:11" x14ac:dyDescent="0.25">
      <c r="A1685">
        <v>2247</v>
      </c>
      <c r="B1685" t="s">
        <v>15</v>
      </c>
      <c r="C1685" t="s">
        <v>458</v>
      </c>
      <c r="D1685" t="s">
        <v>44</v>
      </c>
      <c r="E1685" t="s">
        <v>10</v>
      </c>
      <c r="F1685" t="str">
        <f>VLOOKUP(Ramen_Ratings[[#This Row],[Country]],Country_Region[#All],2,FALSE)</f>
        <v>Asia</v>
      </c>
      <c r="G1685">
        <v>5</v>
      </c>
      <c r="H1685" t="str" cm="1">
        <f t="array" ref="H1685">_xlfn.IFS(Ramen_Ratings[[#This Row],[Stars]] = "Unrated", "NA",Ramen_Ratings[[#This Row],[Stars]]&gt;=4, "Good", Ramen_Ratings[[#This Row],[Stars]]&gt;2.5, "Fair", Ramen_Ratings[[#This Row],[Stars]] &gt;= 0, "Bad")</f>
        <v>Good</v>
      </c>
      <c r="J1685" t="str">
        <f>LEFT(Ramen_Ratings[[#This Row],[Top Ten]],4)</f>
        <v/>
      </c>
      <c r="K1685" t="str">
        <f>IF(Ramen_Ratings[[#This Row],[Top Ten]]="", "",RIGHT(Ramen_Ratings[[#This Row],[Top Ten]],LEN(Ramen_Ratings[[#This Row],[Top Ten]])-6))</f>
        <v/>
      </c>
    </row>
    <row r="1686" spans="1:11" x14ac:dyDescent="0.25">
      <c r="A1686">
        <v>2237</v>
      </c>
      <c r="B1686" t="s">
        <v>15</v>
      </c>
      <c r="C1686" t="s">
        <v>472</v>
      </c>
      <c r="D1686" t="s">
        <v>9</v>
      </c>
      <c r="E1686" t="s">
        <v>10</v>
      </c>
      <c r="F1686" t="str">
        <f>VLOOKUP(Ramen_Ratings[[#This Row],[Country]],Country_Region[#All],2,FALSE)</f>
        <v>Asia</v>
      </c>
      <c r="G1686">
        <v>5</v>
      </c>
      <c r="H1686" t="str" cm="1">
        <f t="array" ref="H1686">_xlfn.IFS(Ramen_Ratings[[#This Row],[Stars]] = "Unrated", "NA",Ramen_Ratings[[#This Row],[Stars]]&gt;=4, "Good", Ramen_Ratings[[#This Row],[Stars]]&gt;2.5, "Fair", Ramen_Ratings[[#This Row],[Stars]] &gt;= 0, "Bad")</f>
        <v>Good</v>
      </c>
      <c r="J1686" t="str">
        <f>LEFT(Ramen_Ratings[[#This Row],[Top Ten]],4)</f>
        <v/>
      </c>
      <c r="K1686" t="str">
        <f>IF(Ramen_Ratings[[#This Row],[Top Ten]]="", "",RIGHT(Ramen_Ratings[[#This Row],[Top Ten]],LEN(Ramen_Ratings[[#This Row],[Top Ten]])-6))</f>
        <v/>
      </c>
    </row>
    <row r="1687" spans="1:11" x14ac:dyDescent="0.25">
      <c r="A1687">
        <v>2236</v>
      </c>
      <c r="B1687" t="s">
        <v>102</v>
      </c>
      <c r="C1687" t="s">
        <v>473</v>
      </c>
      <c r="D1687" t="s">
        <v>44</v>
      </c>
      <c r="E1687" t="s">
        <v>10</v>
      </c>
      <c r="F1687" t="str">
        <f>VLOOKUP(Ramen_Ratings[[#This Row],[Country]],Country_Region[#All],2,FALSE)</f>
        <v>Asia</v>
      </c>
      <c r="G1687">
        <v>4</v>
      </c>
      <c r="H1687" t="str" cm="1">
        <f t="array" ref="H1687">_xlfn.IFS(Ramen_Ratings[[#This Row],[Stars]] = "Unrated", "NA",Ramen_Ratings[[#This Row],[Stars]]&gt;=4, "Good", Ramen_Ratings[[#This Row],[Stars]]&gt;2.5, "Fair", Ramen_Ratings[[#This Row],[Stars]] &gt;= 0, "Bad")</f>
        <v>Good</v>
      </c>
      <c r="J1687" t="str">
        <f>LEFT(Ramen_Ratings[[#This Row],[Top Ten]],4)</f>
        <v/>
      </c>
      <c r="K1687" t="str">
        <f>IF(Ramen_Ratings[[#This Row],[Top Ten]]="", "",RIGHT(Ramen_Ratings[[#This Row],[Top Ten]],LEN(Ramen_Ratings[[#This Row],[Top Ten]])-6))</f>
        <v/>
      </c>
    </row>
    <row r="1688" spans="1:11" x14ac:dyDescent="0.25">
      <c r="A1688">
        <v>2232</v>
      </c>
      <c r="B1688" t="s">
        <v>15</v>
      </c>
      <c r="C1688" t="s">
        <v>477</v>
      </c>
      <c r="D1688" t="s">
        <v>44</v>
      </c>
      <c r="E1688" t="s">
        <v>10</v>
      </c>
      <c r="F1688" t="str">
        <f>VLOOKUP(Ramen_Ratings[[#This Row],[Country]],Country_Region[#All],2,FALSE)</f>
        <v>Asia</v>
      </c>
      <c r="G1688">
        <v>5</v>
      </c>
      <c r="H1688" t="str" cm="1">
        <f t="array" ref="H1688">_xlfn.IFS(Ramen_Ratings[[#This Row],[Stars]] = "Unrated", "NA",Ramen_Ratings[[#This Row],[Stars]]&gt;=4, "Good", Ramen_Ratings[[#This Row],[Stars]]&gt;2.5, "Fair", Ramen_Ratings[[#This Row],[Stars]] &gt;= 0, "Bad")</f>
        <v>Good</v>
      </c>
      <c r="J1688" t="str">
        <f>LEFT(Ramen_Ratings[[#This Row],[Top Ten]],4)</f>
        <v/>
      </c>
      <c r="K1688" t="str">
        <f>IF(Ramen_Ratings[[#This Row],[Top Ten]]="", "",RIGHT(Ramen_Ratings[[#This Row],[Top Ten]],LEN(Ramen_Ratings[[#This Row],[Top Ten]])-6))</f>
        <v/>
      </c>
    </row>
    <row r="1689" spans="1:11" x14ac:dyDescent="0.25">
      <c r="A1689">
        <v>2230</v>
      </c>
      <c r="B1689" t="s">
        <v>329</v>
      </c>
      <c r="C1689" t="s">
        <v>479</v>
      </c>
      <c r="D1689" t="s">
        <v>13</v>
      </c>
      <c r="E1689" t="s">
        <v>10</v>
      </c>
      <c r="F1689" t="str">
        <f>VLOOKUP(Ramen_Ratings[[#This Row],[Country]],Country_Region[#All],2,FALSE)</f>
        <v>Asia</v>
      </c>
      <c r="G1689">
        <v>4</v>
      </c>
      <c r="H1689" t="str" cm="1">
        <f t="array" ref="H1689">_xlfn.IFS(Ramen_Ratings[[#This Row],[Stars]] = "Unrated", "NA",Ramen_Ratings[[#This Row],[Stars]]&gt;=4, "Good", Ramen_Ratings[[#This Row],[Stars]]&gt;2.5, "Fair", Ramen_Ratings[[#This Row],[Stars]] &gt;= 0, "Bad")</f>
        <v>Good</v>
      </c>
      <c r="J1689" t="str">
        <f>LEFT(Ramen_Ratings[[#This Row],[Top Ten]],4)</f>
        <v/>
      </c>
      <c r="K1689" t="str">
        <f>IF(Ramen_Ratings[[#This Row],[Top Ten]]="", "",RIGHT(Ramen_Ratings[[#This Row],[Top Ten]],LEN(Ramen_Ratings[[#This Row],[Top Ten]])-6))</f>
        <v/>
      </c>
    </row>
    <row r="1690" spans="1:11" x14ac:dyDescent="0.25">
      <c r="A1690">
        <v>2228</v>
      </c>
      <c r="B1690" t="s">
        <v>15</v>
      </c>
      <c r="C1690" t="s">
        <v>481</v>
      </c>
      <c r="D1690" t="s">
        <v>44</v>
      </c>
      <c r="E1690" t="s">
        <v>10</v>
      </c>
      <c r="F1690" t="str">
        <f>VLOOKUP(Ramen_Ratings[[#This Row],[Country]],Country_Region[#All],2,FALSE)</f>
        <v>Asia</v>
      </c>
      <c r="G1690">
        <v>5</v>
      </c>
      <c r="H1690" t="str" cm="1">
        <f t="array" ref="H1690">_xlfn.IFS(Ramen_Ratings[[#This Row],[Stars]] = "Unrated", "NA",Ramen_Ratings[[#This Row],[Stars]]&gt;=4, "Good", Ramen_Ratings[[#This Row],[Stars]]&gt;2.5, "Fair", Ramen_Ratings[[#This Row],[Stars]] &gt;= 0, "Bad")</f>
        <v>Good</v>
      </c>
      <c r="J1690" t="str">
        <f>LEFT(Ramen_Ratings[[#This Row],[Top Ten]],4)</f>
        <v/>
      </c>
      <c r="K1690" t="str">
        <f>IF(Ramen_Ratings[[#This Row],[Top Ten]]="", "",RIGHT(Ramen_Ratings[[#This Row],[Top Ten]],LEN(Ramen_Ratings[[#This Row],[Top Ten]])-6))</f>
        <v/>
      </c>
    </row>
    <row r="1691" spans="1:11" x14ac:dyDescent="0.25">
      <c r="A1691">
        <v>2226</v>
      </c>
      <c r="B1691" t="s">
        <v>483</v>
      </c>
      <c r="C1691" t="s">
        <v>484</v>
      </c>
      <c r="D1691" t="s">
        <v>13</v>
      </c>
      <c r="E1691" t="s">
        <v>10</v>
      </c>
      <c r="F1691" t="str">
        <f>VLOOKUP(Ramen_Ratings[[#This Row],[Country]],Country_Region[#All],2,FALSE)</f>
        <v>Asia</v>
      </c>
      <c r="G1691">
        <v>3</v>
      </c>
      <c r="H1691" t="str" cm="1">
        <f t="array" ref="H1691">_xlfn.IFS(Ramen_Ratings[[#This Row],[Stars]] = "Unrated", "NA",Ramen_Ratings[[#This Row],[Stars]]&gt;=4, "Good", Ramen_Ratings[[#This Row],[Stars]]&gt;2.5, "Fair", Ramen_Ratings[[#This Row],[Stars]] &gt;= 0, "Bad")</f>
        <v>Fair</v>
      </c>
      <c r="J1691" t="str">
        <f>LEFT(Ramen_Ratings[[#This Row],[Top Ten]],4)</f>
        <v/>
      </c>
      <c r="K1691" t="str">
        <f>IF(Ramen_Ratings[[#This Row],[Top Ten]]="", "",RIGHT(Ramen_Ratings[[#This Row],[Top Ten]],LEN(Ramen_Ratings[[#This Row],[Top Ten]])-6))</f>
        <v/>
      </c>
    </row>
    <row r="1692" spans="1:11" x14ac:dyDescent="0.25">
      <c r="A1692">
        <v>2221</v>
      </c>
      <c r="B1692" t="s">
        <v>15</v>
      </c>
      <c r="C1692" t="s">
        <v>490</v>
      </c>
      <c r="D1692" t="s">
        <v>9</v>
      </c>
      <c r="E1692" t="s">
        <v>10</v>
      </c>
      <c r="F1692" t="str">
        <f>VLOOKUP(Ramen_Ratings[[#This Row],[Country]],Country_Region[#All],2,FALSE)</f>
        <v>Asia</v>
      </c>
      <c r="G1692">
        <v>5</v>
      </c>
      <c r="H1692" t="str" cm="1">
        <f t="array" ref="H1692">_xlfn.IFS(Ramen_Ratings[[#This Row],[Stars]] = "Unrated", "NA",Ramen_Ratings[[#This Row],[Stars]]&gt;=4, "Good", Ramen_Ratings[[#This Row],[Stars]]&gt;2.5, "Fair", Ramen_Ratings[[#This Row],[Stars]] &gt;= 0, "Bad")</f>
        <v>Good</v>
      </c>
      <c r="J1692" t="str">
        <f>LEFT(Ramen_Ratings[[#This Row],[Top Ten]],4)</f>
        <v/>
      </c>
      <c r="K1692" t="str">
        <f>IF(Ramen_Ratings[[#This Row],[Top Ten]]="", "",RIGHT(Ramen_Ratings[[#This Row],[Top Ten]],LEN(Ramen_Ratings[[#This Row],[Top Ten]])-6))</f>
        <v/>
      </c>
    </row>
    <row r="1693" spans="1:11" x14ac:dyDescent="0.25">
      <c r="A1693">
        <v>2214</v>
      </c>
      <c r="B1693" t="s">
        <v>374</v>
      </c>
      <c r="C1693" t="s">
        <v>499</v>
      </c>
      <c r="D1693" t="s">
        <v>44</v>
      </c>
      <c r="E1693" t="s">
        <v>10</v>
      </c>
      <c r="F1693" t="str">
        <f>VLOOKUP(Ramen_Ratings[[#This Row],[Country]],Country_Region[#All],2,FALSE)</f>
        <v>Asia</v>
      </c>
      <c r="G1693">
        <v>4</v>
      </c>
      <c r="H1693" t="str" cm="1">
        <f t="array" ref="H1693">_xlfn.IFS(Ramen_Ratings[[#This Row],[Stars]] = "Unrated", "NA",Ramen_Ratings[[#This Row],[Stars]]&gt;=4, "Good", Ramen_Ratings[[#This Row],[Stars]]&gt;2.5, "Fair", Ramen_Ratings[[#This Row],[Stars]] &gt;= 0, "Bad")</f>
        <v>Good</v>
      </c>
      <c r="J1693" t="str">
        <f>LEFT(Ramen_Ratings[[#This Row],[Top Ten]],4)</f>
        <v/>
      </c>
      <c r="K1693" t="str">
        <f>IF(Ramen_Ratings[[#This Row],[Top Ten]]="", "",RIGHT(Ramen_Ratings[[#This Row],[Top Ten]],LEN(Ramen_Ratings[[#This Row],[Top Ten]])-6))</f>
        <v/>
      </c>
    </row>
    <row r="1694" spans="1:11" x14ac:dyDescent="0.25">
      <c r="A1694">
        <v>2206</v>
      </c>
      <c r="B1694" t="s">
        <v>15</v>
      </c>
      <c r="C1694" t="s">
        <v>508</v>
      </c>
      <c r="D1694" t="s">
        <v>44</v>
      </c>
      <c r="E1694" t="s">
        <v>10</v>
      </c>
      <c r="F1694" t="str">
        <f>VLOOKUP(Ramen_Ratings[[#This Row],[Country]],Country_Region[#All],2,FALSE)</f>
        <v>Asia</v>
      </c>
      <c r="G1694">
        <v>5</v>
      </c>
      <c r="H1694" t="str" cm="1">
        <f t="array" ref="H1694">_xlfn.IFS(Ramen_Ratings[[#This Row],[Stars]] = "Unrated", "NA",Ramen_Ratings[[#This Row],[Stars]]&gt;=4, "Good", Ramen_Ratings[[#This Row],[Stars]]&gt;2.5, "Fair", Ramen_Ratings[[#This Row],[Stars]] &gt;= 0, "Bad")</f>
        <v>Good</v>
      </c>
      <c r="J1694" t="str">
        <f>LEFT(Ramen_Ratings[[#This Row],[Top Ten]],4)</f>
        <v/>
      </c>
      <c r="K1694" t="str">
        <f>IF(Ramen_Ratings[[#This Row],[Top Ten]]="", "",RIGHT(Ramen_Ratings[[#This Row],[Top Ten]],LEN(Ramen_Ratings[[#This Row],[Top Ten]])-6))</f>
        <v/>
      </c>
    </row>
    <row r="1695" spans="1:11" x14ac:dyDescent="0.25">
      <c r="A1695">
        <v>2195</v>
      </c>
      <c r="B1695" t="s">
        <v>15</v>
      </c>
      <c r="C1695" t="s">
        <v>522</v>
      </c>
      <c r="D1695" t="s">
        <v>44</v>
      </c>
      <c r="E1695" t="s">
        <v>10</v>
      </c>
      <c r="F1695" t="str">
        <f>VLOOKUP(Ramen_Ratings[[#This Row],[Country]],Country_Region[#All],2,FALSE)</f>
        <v>Asia</v>
      </c>
      <c r="G1695">
        <v>5</v>
      </c>
      <c r="H1695" t="str" cm="1">
        <f t="array" ref="H1695">_xlfn.IFS(Ramen_Ratings[[#This Row],[Stars]] = "Unrated", "NA",Ramen_Ratings[[#This Row],[Stars]]&gt;=4, "Good", Ramen_Ratings[[#This Row],[Stars]]&gt;2.5, "Fair", Ramen_Ratings[[#This Row],[Stars]] &gt;= 0, "Bad")</f>
        <v>Good</v>
      </c>
      <c r="J1695" t="str">
        <f>LEFT(Ramen_Ratings[[#This Row],[Top Ten]],4)</f>
        <v/>
      </c>
      <c r="K1695" t="str">
        <f>IF(Ramen_Ratings[[#This Row],[Top Ten]]="", "",RIGHT(Ramen_Ratings[[#This Row],[Top Ten]],LEN(Ramen_Ratings[[#This Row],[Top Ten]])-6))</f>
        <v/>
      </c>
    </row>
    <row r="1696" spans="1:11" x14ac:dyDescent="0.25">
      <c r="A1696">
        <v>2190</v>
      </c>
      <c r="B1696" t="s">
        <v>183</v>
      </c>
      <c r="C1696" t="s">
        <v>528</v>
      </c>
      <c r="D1696" t="s">
        <v>44</v>
      </c>
      <c r="E1696" t="s">
        <v>10</v>
      </c>
      <c r="F1696" t="str">
        <f>VLOOKUP(Ramen_Ratings[[#This Row],[Country]],Country_Region[#All],2,FALSE)</f>
        <v>Asia</v>
      </c>
      <c r="G1696">
        <v>4.75</v>
      </c>
      <c r="H1696" t="str" cm="1">
        <f t="array" ref="H1696">_xlfn.IFS(Ramen_Ratings[[#This Row],[Stars]] = "Unrated", "NA",Ramen_Ratings[[#This Row],[Stars]]&gt;=4, "Good", Ramen_Ratings[[#This Row],[Stars]]&gt;2.5, "Fair", Ramen_Ratings[[#This Row],[Stars]] &gt;= 0, "Bad")</f>
        <v>Good</v>
      </c>
      <c r="J1696" t="str">
        <f>LEFT(Ramen_Ratings[[#This Row],[Top Ten]],4)</f>
        <v/>
      </c>
      <c r="K1696" t="str">
        <f>IF(Ramen_Ratings[[#This Row],[Top Ten]]="", "",RIGHT(Ramen_Ratings[[#This Row],[Top Ten]],LEN(Ramen_Ratings[[#This Row],[Top Ten]])-6))</f>
        <v/>
      </c>
    </row>
    <row r="1697" spans="1:11" x14ac:dyDescent="0.25">
      <c r="A1697">
        <v>2185</v>
      </c>
      <c r="B1697" t="s">
        <v>15</v>
      </c>
      <c r="C1697" t="s">
        <v>532</v>
      </c>
      <c r="D1697" t="s">
        <v>13</v>
      </c>
      <c r="E1697" t="s">
        <v>10</v>
      </c>
      <c r="F1697" t="str">
        <f>VLOOKUP(Ramen_Ratings[[#This Row],[Country]],Country_Region[#All],2,FALSE)</f>
        <v>Asia</v>
      </c>
      <c r="G1697">
        <v>5</v>
      </c>
      <c r="H1697" t="str" cm="1">
        <f t="array" ref="H1697">_xlfn.IFS(Ramen_Ratings[[#This Row],[Stars]] = "Unrated", "NA",Ramen_Ratings[[#This Row],[Stars]]&gt;=4, "Good", Ramen_Ratings[[#This Row],[Stars]]&gt;2.5, "Fair", Ramen_Ratings[[#This Row],[Stars]] &gt;= 0, "Bad")</f>
        <v>Good</v>
      </c>
      <c r="J1697" t="str">
        <f>LEFT(Ramen_Ratings[[#This Row],[Top Ten]],4)</f>
        <v/>
      </c>
      <c r="K1697" t="str">
        <f>IF(Ramen_Ratings[[#This Row],[Top Ten]]="", "",RIGHT(Ramen_Ratings[[#This Row],[Top Ten]],LEN(Ramen_Ratings[[#This Row],[Top Ten]])-6))</f>
        <v/>
      </c>
    </row>
    <row r="1698" spans="1:11" x14ac:dyDescent="0.25">
      <c r="A1698">
        <v>2163</v>
      </c>
      <c r="B1698" t="s">
        <v>15</v>
      </c>
      <c r="C1698" t="s">
        <v>556</v>
      </c>
      <c r="D1698" t="s">
        <v>44</v>
      </c>
      <c r="E1698" t="s">
        <v>10</v>
      </c>
      <c r="F1698" t="str">
        <f>VLOOKUP(Ramen_Ratings[[#This Row],[Country]],Country_Region[#All],2,FALSE)</f>
        <v>Asia</v>
      </c>
      <c r="G1698">
        <v>4</v>
      </c>
      <c r="H1698" t="str" cm="1">
        <f t="array" ref="H1698">_xlfn.IFS(Ramen_Ratings[[#This Row],[Stars]] = "Unrated", "NA",Ramen_Ratings[[#This Row],[Stars]]&gt;=4, "Good", Ramen_Ratings[[#This Row],[Stars]]&gt;2.5, "Fair", Ramen_Ratings[[#This Row],[Stars]] &gt;= 0, "Bad")</f>
        <v>Good</v>
      </c>
      <c r="J1698" t="str">
        <f>LEFT(Ramen_Ratings[[#This Row],[Top Ten]],4)</f>
        <v/>
      </c>
      <c r="K1698" t="str">
        <f>IF(Ramen_Ratings[[#This Row],[Top Ten]]="", "",RIGHT(Ramen_Ratings[[#This Row],[Top Ten]],LEN(Ramen_Ratings[[#This Row],[Top Ten]])-6))</f>
        <v/>
      </c>
    </row>
    <row r="1699" spans="1:11" x14ac:dyDescent="0.25">
      <c r="A1699">
        <v>2160</v>
      </c>
      <c r="B1699" t="s">
        <v>559</v>
      </c>
      <c r="C1699" t="s">
        <v>560</v>
      </c>
      <c r="D1699" t="s">
        <v>44</v>
      </c>
      <c r="E1699" t="s">
        <v>10</v>
      </c>
      <c r="F1699" t="str">
        <f>VLOOKUP(Ramen_Ratings[[#This Row],[Country]],Country_Region[#All],2,FALSE)</f>
        <v>Asia</v>
      </c>
      <c r="G1699">
        <v>5</v>
      </c>
      <c r="H1699" t="str" cm="1">
        <f t="array" ref="H1699">_xlfn.IFS(Ramen_Ratings[[#This Row],[Stars]] = "Unrated", "NA",Ramen_Ratings[[#This Row],[Stars]]&gt;=4, "Good", Ramen_Ratings[[#This Row],[Stars]]&gt;2.5, "Fair", Ramen_Ratings[[#This Row],[Stars]] &gt;= 0, "Bad")</f>
        <v>Good</v>
      </c>
      <c r="J1699" t="str">
        <f>LEFT(Ramen_Ratings[[#This Row],[Top Ten]],4)</f>
        <v/>
      </c>
      <c r="K1699" t="str">
        <f>IF(Ramen_Ratings[[#This Row],[Top Ten]]="", "",RIGHT(Ramen_Ratings[[#This Row],[Top Ten]],LEN(Ramen_Ratings[[#This Row],[Top Ten]])-6))</f>
        <v/>
      </c>
    </row>
    <row r="1700" spans="1:11" x14ac:dyDescent="0.25">
      <c r="A1700">
        <v>2146</v>
      </c>
      <c r="B1700" t="s">
        <v>374</v>
      </c>
      <c r="C1700" t="s">
        <v>576</v>
      </c>
      <c r="D1700" t="s">
        <v>44</v>
      </c>
      <c r="E1700" t="s">
        <v>10</v>
      </c>
      <c r="F1700" t="str">
        <f>VLOOKUP(Ramen_Ratings[[#This Row],[Country]],Country_Region[#All],2,FALSE)</f>
        <v>Asia</v>
      </c>
      <c r="G1700">
        <v>3</v>
      </c>
      <c r="H1700" t="str" cm="1">
        <f t="array" ref="H1700">_xlfn.IFS(Ramen_Ratings[[#This Row],[Stars]] = "Unrated", "NA",Ramen_Ratings[[#This Row],[Stars]]&gt;=4, "Good", Ramen_Ratings[[#This Row],[Stars]]&gt;2.5, "Fair", Ramen_Ratings[[#This Row],[Stars]] &gt;= 0, "Bad")</f>
        <v>Fair</v>
      </c>
      <c r="J1700" t="str">
        <f>LEFT(Ramen_Ratings[[#This Row],[Top Ten]],4)</f>
        <v/>
      </c>
      <c r="K1700" t="str">
        <f>IF(Ramen_Ratings[[#This Row],[Top Ten]]="", "",RIGHT(Ramen_Ratings[[#This Row],[Top Ten]],LEN(Ramen_Ratings[[#This Row],[Top Ten]])-6))</f>
        <v/>
      </c>
    </row>
    <row r="1701" spans="1:11" x14ac:dyDescent="0.25">
      <c r="A1701">
        <v>2141</v>
      </c>
      <c r="B1701" t="s">
        <v>15</v>
      </c>
      <c r="C1701" t="s">
        <v>582</v>
      </c>
      <c r="D1701" t="s">
        <v>44</v>
      </c>
      <c r="E1701" t="s">
        <v>10</v>
      </c>
      <c r="F1701" t="str">
        <f>VLOOKUP(Ramen_Ratings[[#This Row],[Country]],Country_Region[#All],2,FALSE)</f>
        <v>Asia</v>
      </c>
      <c r="G1701">
        <v>5</v>
      </c>
      <c r="H1701" t="str" cm="1">
        <f t="array" ref="H1701">_xlfn.IFS(Ramen_Ratings[[#This Row],[Stars]] = "Unrated", "NA",Ramen_Ratings[[#This Row],[Stars]]&gt;=4, "Good", Ramen_Ratings[[#This Row],[Stars]]&gt;2.5, "Fair", Ramen_Ratings[[#This Row],[Stars]] &gt;= 0, "Bad")</f>
        <v>Good</v>
      </c>
      <c r="J1701" t="str">
        <f>LEFT(Ramen_Ratings[[#This Row],[Top Ten]],4)</f>
        <v/>
      </c>
      <c r="K1701" t="str">
        <f>IF(Ramen_Ratings[[#This Row],[Top Ten]]="", "",RIGHT(Ramen_Ratings[[#This Row],[Top Ten]],LEN(Ramen_Ratings[[#This Row],[Top Ten]])-6))</f>
        <v/>
      </c>
    </row>
    <row r="1702" spans="1:11" x14ac:dyDescent="0.25">
      <c r="A1702">
        <v>2133</v>
      </c>
      <c r="B1702" t="s">
        <v>15</v>
      </c>
      <c r="C1702" t="s">
        <v>591</v>
      </c>
      <c r="D1702" t="s">
        <v>44</v>
      </c>
      <c r="E1702" t="s">
        <v>10</v>
      </c>
      <c r="F1702" t="str">
        <f>VLOOKUP(Ramen_Ratings[[#This Row],[Country]],Country_Region[#All],2,FALSE)</f>
        <v>Asia</v>
      </c>
      <c r="G1702">
        <v>5</v>
      </c>
      <c r="H1702" t="str" cm="1">
        <f t="array" ref="H1702">_xlfn.IFS(Ramen_Ratings[[#This Row],[Stars]] = "Unrated", "NA",Ramen_Ratings[[#This Row],[Stars]]&gt;=4, "Good", Ramen_Ratings[[#This Row],[Stars]]&gt;2.5, "Fair", Ramen_Ratings[[#This Row],[Stars]] &gt;= 0, "Bad")</f>
        <v>Good</v>
      </c>
      <c r="J1702" t="str">
        <f>LEFT(Ramen_Ratings[[#This Row],[Top Ten]],4)</f>
        <v/>
      </c>
      <c r="K1702" t="str">
        <f>IF(Ramen_Ratings[[#This Row],[Top Ten]]="", "",RIGHT(Ramen_Ratings[[#This Row],[Top Ten]],LEN(Ramen_Ratings[[#This Row],[Top Ten]])-6))</f>
        <v/>
      </c>
    </row>
    <row r="1703" spans="1:11" x14ac:dyDescent="0.25">
      <c r="A1703">
        <v>2128</v>
      </c>
      <c r="B1703" t="s">
        <v>374</v>
      </c>
      <c r="C1703" t="s">
        <v>597</v>
      </c>
      <c r="D1703" t="s">
        <v>9</v>
      </c>
      <c r="E1703" t="s">
        <v>10</v>
      </c>
      <c r="F1703" t="str">
        <f>VLOOKUP(Ramen_Ratings[[#This Row],[Country]],Country_Region[#All],2,FALSE)</f>
        <v>Asia</v>
      </c>
      <c r="G1703">
        <v>4</v>
      </c>
      <c r="H1703" t="str" cm="1">
        <f t="array" ref="H1703">_xlfn.IFS(Ramen_Ratings[[#This Row],[Stars]] = "Unrated", "NA",Ramen_Ratings[[#This Row],[Stars]]&gt;=4, "Good", Ramen_Ratings[[#This Row],[Stars]]&gt;2.5, "Fair", Ramen_Ratings[[#This Row],[Stars]] &gt;= 0, "Bad")</f>
        <v>Good</v>
      </c>
      <c r="J1703" t="str">
        <f>LEFT(Ramen_Ratings[[#This Row],[Top Ten]],4)</f>
        <v/>
      </c>
      <c r="K1703" t="str">
        <f>IF(Ramen_Ratings[[#This Row],[Top Ten]]="", "",RIGHT(Ramen_Ratings[[#This Row],[Top Ten]],LEN(Ramen_Ratings[[#This Row],[Top Ten]])-6))</f>
        <v/>
      </c>
    </row>
    <row r="1704" spans="1:11" x14ac:dyDescent="0.25">
      <c r="A1704">
        <v>2126</v>
      </c>
      <c r="B1704" t="s">
        <v>15</v>
      </c>
      <c r="C1704" t="s">
        <v>599</v>
      </c>
      <c r="D1704" t="s">
        <v>44</v>
      </c>
      <c r="E1704" t="s">
        <v>10</v>
      </c>
      <c r="F1704" t="str">
        <f>VLOOKUP(Ramen_Ratings[[#This Row],[Country]],Country_Region[#All],2,FALSE)</f>
        <v>Asia</v>
      </c>
      <c r="G1704">
        <v>5</v>
      </c>
      <c r="H1704" t="str" cm="1">
        <f t="array" ref="H1704">_xlfn.IFS(Ramen_Ratings[[#This Row],[Stars]] = "Unrated", "NA",Ramen_Ratings[[#This Row],[Stars]]&gt;=4, "Good", Ramen_Ratings[[#This Row],[Stars]]&gt;2.5, "Fair", Ramen_Ratings[[#This Row],[Stars]] &gt;= 0, "Bad")</f>
        <v>Good</v>
      </c>
      <c r="J1704" t="str">
        <f>LEFT(Ramen_Ratings[[#This Row],[Top Ten]],4)</f>
        <v/>
      </c>
      <c r="K1704" t="str">
        <f>IF(Ramen_Ratings[[#This Row],[Top Ten]]="", "",RIGHT(Ramen_Ratings[[#This Row],[Top Ten]],LEN(Ramen_Ratings[[#This Row],[Top Ten]])-6))</f>
        <v/>
      </c>
    </row>
    <row r="1705" spans="1:11" x14ac:dyDescent="0.25">
      <c r="A1705">
        <v>2106</v>
      </c>
      <c r="B1705" t="s">
        <v>621</v>
      </c>
      <c r="C1705" t="s">
        <v>622</v>
      </c>
      <c r="D1705" t="s">
        <v>13</v>
      </c>
      <c r="E1705" t="s">
        <v>10</v>
      </c>
      <c r="F1705" t="str">
        <f>VLOOKUP(Ramen_Ratings[[#This Row],[Country]],Country_Region[#All],2,FALSE)</f>
        <v>Asia</v>
      </c>
      <c r="G1705">
        <v>3.5</v>
      </c>
      <c r="H1705" t="str" cm="1">
        <f t="array" ref="H1705">_xlfn.IFS(Ramen_Ratings[[#This Row],[Stars]] = "Unrated", "NA",Ramen_Ratings[[#This Row],[Stars]]&gt;=4, "Good", Ramen_Ratings[[#This Row],[Stars]]&gt;2.5, "Fair", Ramen_Ratings[[#This Row],[Stars]] &gt;= 0, "Bad")</f>
        <v>Fair</v>
      </c>
      <c r="J1705" t="str">
        <f>LEFT(Ramen_Ratings[[#This Row],[Top Ten]],4)</f>
        <v/>
      </c>
      <c r="K1705" t="str">
        <f>IF(Ramen_Ratings[[#This Row],[Top Ten]]="", "",RIGHT(Ramen_Ratings[[#This Row],[Top Ten]],LEN(Ramen_Ratings[[#This Row],[Top Ten]])-6))</f>
        <v/>
      </c>
    </row>
    <row r="1706" spans="1:11" x14ac:dyDescent="0.25">
      <c r="A1706">
        <v>2102</v>
      </c>
      <c r="B1706" t="s">
        <v>15</v>
      </c>
      <c r="C1706" t="s">
        <v>626</v>
      </c>
      <c r="D1706" t="s">
        <v>9</v>
      </c>
      <c r="E1706" t="s">
        <v>10</v>
      </c>
      <c r="F1706" t="str">
        <f>VLOOKUP(Ramen_Ratings[[#This Row],[Country]],Country_Region[#All],2,FALSE)</f>
        <v>Asia</v>
      </c>
      <c r="G1706">
        <v>5</v>
      </c>
      <c r="H1706" t="str" cm="1">
        <f t="array" ref="H1706">_xlfn.IFS(Ramen_Ratings[[#This Row],[Stars]] = "Unrated", "NA",Ramen_Ratings[[#This Row],[Stars]]&gt;=4, "Good", Ramen_Ratings[[#This Row],[Stars]]&gt;2.5, "Fair", Ramen_Ratings[[#This Row],[Stars]] &gt;= 0, "Bad")</f>
        <v>Good</v>
      </c>
      <c r="J1706" t="str">
        <f>LEFT(Ramen_Ratings[[#This Row],[Top Ten]],4)</f>
        <v/>
      </c>
      <c r="K1706" t="str">
        <f>IF(Ramen_Ratings[[#This Row],[Top Ten]]="", "",RIGHT(Ramen_Ratings[[#This Row],[Top Ten]],LEN(Ramen_Ratings[[#This Row],[Top Ten]])-6))</f>
        <v/>
      </c>
    </row>
    <row r="1707" spans="1:11" x14ac:dyDescent="0.25">
      <c r="A1707">
        <v>2099</v>
      </c>
      <c r="B1707" t="s">
        <v>629</v>
      </c>
      <c r="C1707" t="s">
        <v>630</v>
      </c>
      <c r="D1707" t="s">
        <v>44</v>
      </c>
      <c r="E1707" t="s">
        <v>10</v>
      </c>
      <c r="F1707" t="str">
        <f>VLOOKUP(Ramen_Ratings[[#This Row],[Country]],Country_Region[#All],2,FALSE)</f>
        <v>Asia</v>
      </c>
      <c r="G1707">
        <v>4</v>
      </c>
      <c r="H1707" t="str" cm="1">
        <f t="array" ref="H1707">_xlfn.IFS(Ramen_Ratings[[#This Row],[Stars]] = "Unrated", "NA",Ramen_Ratings[[#This Row],[Stars]]&gt;=4, "Good", Ramen_Ratings[[#This Row],[Stars]]&gt;2.5, "Fair", Ramen_Ratings[[#This Row],[Stars]] &gt;= 0, "Bad")</f>
        <v>Good</v>
      </c>
      <c r="J1707" t="str">
        <f>LEFT(Ramen_Ratings[[#This Row],[Top Ten]],4)</f>
        <v/>
      </c>
      <c r="K1707" t="str">
        <f>IF(Ramen_Ratings[[#This Row],[Top Ten]]="", "",RIGHT(Ramen_Ratings[[#This Row],[Top Ten]],LEN(Ramen_Ratings[[#This Row],[Top Ten]])-6))</f>
        <v/>
      </c>
    </row>
    <row r="1708" spans="1:11" x14ac:dyDescent="0.25">
      <c r="A1708">
        <v>2096</v>
      </c>
      <c r="B1708" t="s">
        <v>102</v>
      </c>
      <c r="C1708" t="s">
        <v>633</v>
      </c>
      <c r="D1708" t="s">
        <v>44</v>
      </c>
      <c r="E1708" t="s">
        <v>10</v>
      </c>
      <c r="F1708" t="str">
        <f>VLOOKUP(Ramen_Ratings[[#This Row],[Country]],Country_Region[#All],2,FALSE)</f>
        <v>Asia</v>
      </c>
      <c r="G1708">
        <v>4</v>
      </c>
      <c r="H1708" t="str" cm="1">
        <f t="array" ref="H1708">_xlfn.IFS(Ramen_Ratings[[#This Row],[Stars]] = "Unrated", "NA",Ramen_Ratings[[#This Row],[Stars]]&gt;=4, "Good", Ramen_Ratings[[#This Row],[Stars]]&gt;2.5, "Fair", Ramen_Ratings[[#This Row],[Stars]] &gt;= 0, "Bad")</f>
        <v>Good</v>
      </c>
      <c r="J1708" t="str">
        <f>LEFT(Ramen_Ratings[[#This Row],[Top Ten]],4)</f>
        <v/>
      </c>
      <c r="K1708" t="str">
        <f>IF(Ramen_Ratings[[#This Row],[Top Ten]]="", "",RIGHT(Ramen_Ratings[[#This Row],[Top Ten]],LEN(Ramen_Ratings[[#This Row],[Top Ten]])-6))</f>
        <v/>
      </c>
    </row>
    <row r="1709" spans="1:11" x14ac:dyDescent="0.25">
      <c r="A1709">
        <v>2070</v>
      </c>
      <c r="B1709" t="s">
        <v>660</v>
      </c>
      <c r="C1709" t="s">
        <v>661</v>
      </c>
      <c r="D1709" t="s">
        <v>44</v>
      </c>
      <c r="E1709" t="s">
        <v>10</v>
      </c>
      <c r="F1709" t="str">
        <f>VLOOKUP(Ramen_Ratings[[#This Row],[Country]],Country_Region[#All],2,FALSE)</f>
        <v>Asia</v>
      </c>
      <c r="G1709">
        <v>1.75</v>
      </c>
      <c r="H1709" t="str" cm="1">
        <f t="array" ref="H1709">_xlfn.IFS(Ramen_Ratings[[#This Row],[Stars]] = "Unrated", "NA",Ramen_Ratings[[#This Row],[Stars]]&gt;=4, "Good", Ramen_Ratings[[#This Row],[Stars]]&gt;2.5, "Fair", Ramen_Ratings[[#This Row],[Stars]] &gt;= 0, "Bad")</f>
        <v>Bad</v>
      </c>
      <c r="J1709" t="str">
        <f>LEFT(Ramen_Ratings[[#This Row],[Top Ten]],4)</f>
        <v/>
      </c>
      <c r="K1709" t="str">
        <f>IF(Ramen_Ratings[[#This Row],[Top Ten]]="", "",RIGHT(Ramen_Ratings[[#This Row],[Top Ten]],LEN(Ramen_Ratings[[#This Row],[Top Ten]])-6))</f>
        <v/>
      </c>
    </row>
    <row r="1710" spans="1:11" x14ac:dyDescent="0.25">
      <c r="A1710">
        <v>2066</v>
      </c>
      <c r="B1710" t="s">
        <v>329</v>
      </c>
      <c r="C1710" t="s">
        <v>665</v>
      </c>
      <c r="D1710" t="s">
        <v>13</v>
      </c>
      <c r="E1710" t="s">
        <v>10</v>
      </c>
      <c r="F1710" t="str">
        <f>VLOOKUP(Ramen_Ratings[[#This Row],[Country]],Country_Region[#All],2,FALSE)</f>
        <v>Asia</v>
      </c>
      <c r="G1710">
        <v>5</v>
      </c>
      <c r="H1710" t="str" cm="1">
        <f t="array" ref="H1710">_xlfn.IFS(Ramen_Ratings[[#This Row],[Stars]] = "Unrated", "NA",Ramen_Ratings[[#This Row],[Stars]]&gt;=4, "Good", Ramen_Ratings[[#This Row],[Stars]]&gt;2.5, "Fair", Ramen_Ratings[[#This Row],[Stars]] &gt;= 0, "Bad")</f>
        <v>Good</v>
      </c>
      <c r="J1710" t="str">
        <f>LEFT(Ramen_Ratings[[#This Row],[Top Ten]],4)</f>
        <v/>
      </c>
      <c r="K1710" t="str">
        <f>IF(Ramen_Ratings[[#This Row],[Top Ten]]="", "",RIGHT(Ramen_Ratings[[#This Row],[Top Ten]],LEN(Ramen_Ratings[[#This Row],[Top Ten]])-6))</f>
        <v/>
      </c>
    </row>
    <row r="1711" spans="1:11" x14ac:dyDescent="0.25">
      <c r="A1711">
        <v>2060</v>
      </c>
      <c r="B1711" t="s">
        <v>15</v>
      </c>
      <c r="C1711" t="s">
        <v>672</v>
      </c>
      <c r="D1711" t="s">
        <v>9</v>
      </c>
      <c r="E1711" t="s">
        <v>10</v>
      </c>
      <c r="F1711" t="str">
        <f>VLOOKUP(Ramen_Ratings[[#This Row],[Country]],Country_Region[#All],2,FALSE)</f>
        <v>Asia</v>
      </c>
      <c r="G1711">
        <v>5</v>
      </c>
      <c r="H1711" t="str" cm="1">
        <f t="array" ref="H1711">_xlfn.IFS(Ramen_Ratings[[#This Row],[Stars]] = "Unrated", "NA",Ramen_Ratings[[#This Row],[Stars]]&gt;=4, "Good", Ramen_Ratings[[#This Row],[Stars]]&gt;2.5, "Fair", Ramen_Ratings[[#This Row],[Stars]] &gt;= 0, "Bad")</f>
        <v>Good</v>
      </c>
      <c r="J1711" t="str">
        <f>LEFT(Ramen_Ratings[[#This Row],[Top Ten]],4)</f>
        <v/>
      </c>
      <c r="K1711" t="str">
        <f>IF(Ramen_Ratings[[#This Row],[Top Ten]]="", "",RIGHT(Ramen_Ratings[[#This Row],[Top Ten]],LEN(Ramen_Ratings[[#This Row],[Top Ten]])-6))</f>
        <v/>
      </c>
    </row>
    <row r="1712" spans="1:11" x14ac:dyDescent="0.25">
      <c r="A1712">
        <v>2055</v>
      </c>
      <c r="B1712" t="s">
        <v>15</v>
      </c>
      <c r="C1712" t="s">
        <v>679</v>
      </c>
      <c r="D1712" t="s">
        <v>44</v>
      </c>
      <c r="E1712" t="s">
        <v>10</v>
      </c>
      <c r="F1712" t="str">
        <f>VLOOKUP(Ramen_Ratings[[#This Row],[Country]],Country_Region[#All],2,FALSE)</f>
        <v>Asia</v>
      </c>
      <c r="G1712">
        <v>5</v>
      </c>
      <c r="H1712" t="str" cm="1">
        <f t="array" ref="H1712">_xlfn.IFS(Ramen_Ratings[[#This Row],[Stars]] = "Unrated", "NA",Ramen_Ratings[[#This Row],[Stars]]&gt;=4, "Good", Ramen_Ratings[[#This Row],[Stars]]&gt;2.5, "Fair", Ramen_Ratings[[#This Row],[Stars]] &gt;= 0, "Bad")</f>
        <v>Good</v>
      </c>
      <c r="J1712" t="str">
        <f>LEFT(Ramen_Ratings[[#This Row],[Top Ten]],4)</f>
        <v/>
      </c>
      <c r="K1712" t="str">
        <f>IF(Ramen_Ratings[[#This Row],[Top Ten]]="", "",RIGHT(Ramen_Ratings[[#This Row],[Top Ten]],LEN(Ramen_Ratings[[#This Row],[Top Ten]])-6))</f>
        <v/>
      </c>
    </row>
    <row r="1713" spans="1:11" x14ac:dyDescent="0.25">
      <c r="A1713">
        <v>2048</v>
      </c>
      <c r="B1713" t="s">
        <v>26</v>
      </c>
      <c r="C1713" t="s">
        <v>686</v>
      </c>
      <c r="D1713" t="s">
        <v>44</v>
      </c>
      <c r="E1713" t="s">
        <v>10</v>
      </c>
      <c r="F1713" t="str">
        <f>VLOOKUP(Ramen_Ratings[[#This Row],[Country]],Country_Region[#All],2,FALSE)</f>
        <v>Asia</v>
      </c>
      <c r="G1713">
        <v>3.8</v>
      </c>
      <c r="H1713" t="str" cm="1">
        <f t="array" ref="H1713">_xlfn.IFS(Ramen_Ratings[[#This Row],[Stars]] = "Unrated", "NA",Ramen_Ratings[[#This Row],[Stars]]&gt;=4, "Good", Ramen_Ratings[[#This Row],[Stars]]&gt;2.5, "Fair", Ramen_Ratings[[#This Row],[Stars]] &gt;= 0, "Bad")</f>
        <v>Fair</v>
      </c>
      <c r="J1713" t="str">
        <f>LEFT(Ramen_Ratings[[#This Row],[Top Ten]],4)</f>
        <v/>
      </c>
      <c r="K1713" t="str">
        <f>IF(Ramen_Ratings[[#This Row],[Top Ten]]="", "",RIGHT(Ramen_Ratings[[#This Row],[Top Ten]],LEN(Ramen_Ratings[[#This Row],[Top Ten]])-6))</f>
        <v/>
      </c>
    </row>
    <row r="1714" spans="1:11" x14ac:dyDescent="0.25">
      <c r="A1714">
        <v>2039</v>
      </c>
      <c r="B1714" t="s">
        <v>660</v>
      </c>
      <c r="C1714" t="s">
        <v>630</v>
      </c>
      <c r="D1714" t="s">
        <v>44</v>
      </c>
      <c r="E1714" t="s">
        <v>10</v>
      </c>
      <c r="F1714" t="str">
        <f>VLOOKUP(Ramen_Ratings[[#This Row],[Country]],Country_Region[#All],2,FALSE)</f>
        <v>Asia</v>
      </c>
      <c r="G1714">
        <v>5</v>
      </c>
      <c r="H1714" t="str" cm="1">
        <f t="array" ref="H1714">_xlfn.IFS(Ramen_Ratings[[#This Row],[Stars]] = "Unrated", "NA",Ramen_Ratings[[#This Row],[Stars]]&gt;=4, "Good", Ramen_Ratings[[#This Row],[Stars]]&gt;2.5, "Fair", Ramen_Ratings[[#This Row],[Stars]] &gt;= 0, "Bad")</f>
        <v>Good</v>
      </c>
      <c r="J1714" t="str">
        <f>LEFT(Ramen_Ratings[[#This Row],[Top Ten]],4)</f>
        <v/>
      </c>
      <c r="K1714" t="str">
        <f>IF(Ramen_Ratings[[#This Row],[Top Ten]]="", "",RIGHT(Ramen_Ratings[[#This Row],[Top Ten]],LEN(Ramen_Ratings[[#This Row],[Top Ten]])-6))</f>
        <v/>
      </c>
    </row>
    <row r="1715" spans="1:11" x14ac:dyDescent="0.25">
      <c r="A1715">
        <v>2035</v>
      </c>
      <c r="B1715" t="s">
        <v>26</v>
      </c>
      <c r="C1715" t="s">
        <v>701</v>
      </c>
      <c r="D1715" t="s">
        <v>9</v>
      </c>
      <c r="E1715" t="s">
        <v>10</v>
      </c>
      <c r="F1715" t="str">
        <f>VLOOKUP(Ramen_Ratings[[#This Row],[Country]],Country_Region[#All],2,FALSE)</f>
        <v>Asia</v>
      </c>
      <c r="G1715">
        <v>3.5</v>
      </c>
      <c r="H1715" t="str" cm="1">
        <f t="array" ref="H1715">_xlfn.IFS(Ramen_Ratings[[#This Row],[Stars]] = "Unrated", "NA",Ramen_Ratings[[#This Row],[Stars]]&gt;=4, "Good", Ramen_Ratings[[#This Row],[Stars]]&gt;2.5, "Fair", Ramen_Ratings[[#This Row],[Stars]] &gt;= 0, "Bad")</f>
        <v>Fair</v>
      </c>
      <c r="J1715" t="str">
        <f>LEFT(Ramen_Ratings[[#This Row],[Top Ten]],4)</f>
        <v/>
      </c>
      <c r="K1715" t="str">
        <f>IF(Ramen_Ratings[[#This Row],[Top Ten]]="", "",RIGHT(Ramen_Ratings[[#This Row],[Top Ten]],LEN(Ramen_Ratings[[#This Row],[Top Ten]])-6))</f>
        <v/>
      </c>
    </row>
    <row r="1716" spans="1:11" x14ac:dyDescent="0.25">
      <c r="A1716">
        <v>2030</v>
      </c>
      <c r="B1716" t="s">
        <v>183</v>
      </c>
      <c r="C1716" t="s">
        <v>707</v>
      </c>
      <c r="D1716" t="s">
        <v>13</v>
      </c>
      <c r="E1716" t="s">
        <v>10</v>
      </c>
      <c r="F1716" t="str">
        <f>VLOOKUP(Ramen_Ratings[[#This Row],[Country]],Country_Region[#All],2,FALSE)</f>
        <v>Asia</v>
      </c>
      <c r="G1716">
        <v>3.75</v>
      </c>
      <c r="H1716" t="str" cm="1">
        <f t="array" ref="H1716">_xlfn.IFS(Ramen_Ratings[[#This Row],[Stars]] = "Unrated", "NA",Ramen_Ratings[[#This Row],[Stars]]&gt;=4, "Good", Ramen_Ratings[[#This Row],[Stars]]&gt;2.5, "Fair", Ramen_Ratings[[#This Row],[Stars]] &gt;= 0, "Bad")</f>
        <v>Fair</v>
      </c>
      <c r="J1716" t="str">
        <f>LEFT(Ramen_Ratings[[#This Row],[Top Ten]],4)</f>
        <v/>
      </c>
      <c r="K1716" t="str">
        <f>IF(Ramen_Ratings[[#This Row],[Top Ten]]="", "",RIGHT(Ramen_Ratings[[#This Row],[Top Ten]],LEN(Ramen_Ratings[[#This Row],[Top Ten]])-6))</f>
        <v/>
      </c>
    </row>
    <row r="1717" spans="1:11" x14ac:dyDescent="0.25">
      <c r="A1717">
        <v>2027</v>
      </c>
      <c r="B1717" t="s">
        <v>15</v>
      </c>
      <c r="C1717" t="s">
        <v>710</v>
      </c>
      <c r="D1717" t="s">
        <v>44</v>
      </c>
      <c r="E1717" t="s">
        <v>10</v>
      </c>
      <c r="F1717" t="str">
        <f>VLOOKUP(Ramen_Ratings[[#This Row],[Country]],Country_Region[#All],2,FALSE)</f>
        <v>Asia</v>
      </c>
      <c r="G1717">
        <v>5</v>
      </c>
      <c r="H1717" t="str" cm="1">
        <f t="array" ref="H1717">_xlfn.IFS(Ramen_Ratings[[#This Row],[Stars]] = "Unrated", "NA",Ramen_Ratings[[#This Row],[Stars]]&gt;=4, "Good", Ramen_Ratings[[#This Row],[Stars]]&gt;2.5, "Fair", Ramen_Ratings[[#This Row],[Stars]] &gt;= 0, "Bad")</f>
        <v>Good</v>
      </c>
      <c r="J1717" t="str">
        <f>LEFT(Ramen_Ratings[[#This Row],[Top Ten]],4)</f>
        <v/>
      </c>
      <c r="K1717" t="str">
        <f>IF(Ramen_Ratings[[#This Row],[Top Ten]]="", "",RIGHT(Ramen_Ratings[[#This Row],[Top Ten]],LEN(Ramen_Ratings[[#This Row],[Top Ten]])-6))</f>
        <v/>
      </c>
    </row>
    <row r="1718" spans="1:11" x14ac:dyDescent="0.25">
      <c r="A1718">
        <v>2019</v>
      </c>
      <c r="B1718" t="s">
        <v>26</v>
      </c>
      <c r="C1718" t="s">
        <v>719</v>
      </c>
      <c r="D1718" t="s">
        <v>9</v>
      </c>
      <c r="E1718" t="s">
        <v>10</v>
      </c>
      <c r="F1718" t="str">
        <f>VLOOKUP(Ramen_Ratings[[#This Row],[Country]],Country_Region[#All],2,FALSE)</f>
        <v>Asia</v>
      </c>
      <c r="G1718">
        <v>3.75</v>
      </c>
      <c r="H1718" t="str" cm="1">
        <f t="array" ref="H1718">_xlfn.IFS(Ramen_Ratings[[#This Row],[Stars]] = "Unrated", "NA",Ramen_Ratings[[#This Row],[Stars]]&gt;=4, "Good", Ramen_Ratings[[#This Row],[Stars]]&gt;2.5, "Fair", Ramen_Ratings[[#This Row],[Stars]] &gt;= 0, "Bad")</f>
        <v>Fair</v>
      </c>
      <c r="J1718" t="str">
        <f>LEFT(Ramen_Ratings[[#This Row],[Top Ten]],4)</f>
        <v/>
      </c>
      <c r="K1718" t="str">
        <f>IF(Ramen_Ratings[[#This Row],[Top Ten]]="", "",RIGHT(Ramen_Ratings[[#This Row],[Top Ten]],LEN(Ramen_Ratings[[#This Row],[Top Ten]])-6))</f>
        <v/>
      </c>
    </row>
    <row r="1719" spans="1:11" x14ac:dyDescent="0.25">
      <c r="A1719">
        <v>2004</v>
      </c>
      <c r="B1719" t="s">
        <v>15</v>
      </c>
      <c r="C1719" t="s">
        <v>739</v>
      </c>
      <c r="D1719" t="s">
        <v>44</v>
      </c>
      <c r="E1719" t="s">
        <v>10</v>
      </c>
      <c r="F1719" t="str">
        <f>VLOOKUP(Ramen_Ratings[[#This Row],[Country]],Country_Region[#All],2,FALSE)</f>
        <v>Asia</v>
      </c>
      <c r="G1719">
        <v>3.75</v>
      </c>
      <c r="H1719" t="str" cm="1">
        <f t="array" ref="H1719">_xlfn.IFS(Ramen_Ratings[[#This Row],[Stars]] = "Unrated", "NA",Ramen_Ratings[[#This Row],[Stars]]&gt;=4, "Good", Ramen_Ratings[[#This Row],[Stars]]&gt;2.5, "Fair", Ramen_Ratings[[#This Row],[Stars]] &gt;= 0, "Bad")</f>
        <v>Fair</v>
      </c>
      <c r="J1719" t="str">
        <f>LEFT(Ramen_Ratings[[#This Row],[Top Ten]],4)</f>
        <v/>
      </c>
      <c r="K1719" t="str">
        <f>IF(Ramen_Ratings[[#This Row],[Top Ten]]="", "",RIGHT(Ramen_Ratings[[#This Row],[Top Ten]],LEN(Ramen_Ratings[[#This Row],[Top Ten]])-6))</f>
        <v/>
      </c>
    </row>
    <row r="1720" spans="1:11" x14ac:dyDescent="0.25">
      <c r="A1720">
        <v>2003</v>
      </c>
      <c r="B1720" t="s">
        <v>15</v>
      </c>
      <c r="C1720" t="s">
        <v>740</v>
      </c>
      <c r="D1720" t="s">
        <v>44</v>
      </c>
      <c r="E1720" t="s">
        <v>10</v>
      </c>
      <c r="F1720" t="str">
        <f>VLOOKUP(Ramen_Ratings[[#This Row],[Country]],Country_Region[#All],2,FALSE)</f>
        <v>Asia</v>
      </c>
      <c r="G1720">
        <v>5</v>
      </c>
      <c r="H1720" t="str" cm="1">
        <f t="array" ref="H1720">_xlfn.IFS(Ramen_Ratings[[#This Row],[Stars]] = "Unrated", "NA",Ramen_Ratings[[#This Row],[Stars]]&gt;=4, "Good", Ramen_Ratings[[#This Row],[Stars]]&gt;2.5, "Fair", Ramen_Ratings[[#This Row],[Stars]] &gt;= 0, "Bad")</f>
        <v>Good</v>
      </c>
      <c r="J1720" t="str">
        <f>LEFT(Ramen_Ratings[[#This Row],[Top Ten]],4)</f>
        <v/>
      </c>
      <c r="K1720" t="str">
        <f>IF(Ramen_Ratings[[#This Row],[Top Ten]]="", "",RIGHT(Ramen_Ratings[[#This Row],[Top Ten]],LEN(Ramen_Ratings[[#This Row],[Top Ten]])-6))</f>
        <v/>
      </c>
    </row>
    <row r="1721" spans="1:11" x14ac:dyDescent="0.25">
      <c r="A1721">
        <v>2002</v>
      </c>
      <c r="B1721" t="s">
        <v>15</v>
      </c>
      <c r="C1721" t="s">
        <v>741</v>
      </c>
      <c r="D1721" t="s">
        <v>9</v>
      </c>
      <c r="E1721" t="s">
        <v>10</v>
      </c>
      <c r="F1721" t="str">
        <f>VLOOKUP(Ramen_Ratings[[#This Row],[Country]],Country_Region[#All],2,FALSE)</f>
        <v>Asia</v>
      </c>
      <c r="G1721">
        <v>3.8</v>
      </c>
      <c r="H1721" t="str" cm="1">
        <f t="array" ref="H1721">_xlfn.IFS(Ramen_Ratings[[#This Row],[Stars]] = "Unrated", "NA",Ramen_Ratings[[#This Row],[Stars]]&gt;=4, "Good", Ramen_Ratings[[#This Row],[Stars]]&gt;2.5, "Fair", Ramen_Ratings[[#This Row],[Stars]] &gt;= 0, "Bad")</f>
        <v>Fair</v>
      </c>
      <c r="J1721" t="str">
        <f>LEFT(Ramen_Ratings[[#This Row],[Top Ten]],4)</f>
        <v/>
      </c>
      <c r="K1721" t="str">
        <f>IF(Ramen_Ratings[[#This Row],[Top Ten]]="", "",RIGHT(Ramen_Ratings[[#This Row],[Top Ten]],LEN(Ramen_Ratings[[#This Row],[Top Ten]])-6))</f>
        <v/>
      </c>
    </row>
    <row r="1722" spans="1:11" x14ac:dyDescent="0.25">
      <c r="A1722">
        <v>2001</v>
      </c>
      <c r="B1722" t="s">
        <v>15</v>
      </c>
      <c r="C1722" t="s">
        <v>742</v>
      </c>
      <c r="D1722" t="s">
        <v>9</v>
      </c>
      <c r="E1722" t="s">
        <v>10</v>
      </c>
      <c r="F1722" t="str">
        <f>VLOOKUP(Ramen_Ratings[[#This Row],[Country]],Country_Region[#All],2,FALSE)</f>
        <v>Asia</v>
      </c>
      <c r="G1722">
        <v>4</v>
      </c>
      <c r="H1722" t="str" cm="1">
        <f t="array" ref="H1722">_xlfn.IFS(Ramen_Ratings[[#This Row],[Stars]] = "Unrated", "NA",Ramen_Ratings[[#This Row],[Stars]]&gt;=4, "Good", Ramen_Ratings[[#This Row],[Stars]]&gt;2.5, "Fair", Ramen_Ratings[[#This Row],[Stars]] &gt;= 0, "Bad")</f>
        <v>Good</v>
      </c>
      <c r="J1722" t="str">
        <f>LEFT(Ramen_Ratings[[#This Row],[Top Ten]],4)</f>
        <v/>
      </c>
      <c r="K1722" t="str">
        <f>IF(Ramen_Ratings[[#This Row],[Top Ten]]="", "",RIGHT(Ramen_Ratings[[#This Row],[Top Ten]],LEN(Ramen_Ratings[[#This Row],[Top Ten]])-6))</f>
        <v/>
      </c>
    </row>
    <row r="1723" spans="1:11" x14ac:dyDescent="0.25">
      <c r="A1723">
        <v>2000</v>
      </c>
      <c r="B1723" t="s">
        <v>15</v>
      </c>
      <c r="C1723" t="s">
        <v>743</v>
      </c>
      <c r="D1723" t="s">
        <v>44</v>
      </c>
      <c r="E1723" t="s">
        <v>10</v>
      </c>
      <c r="F1723" t="str">
        <f>VLOOKUP(Ramen_Ratings[[#This Row],[Country]],Country_Region[#All],2,FALSE)</f>
        <v>Asia</v>
      </c>
      <c r="G1723">
        <v>5</v>
      </c>
      <c r="H1723" t="str" cm="1">
        <f t="array" ref="H1723">_xlfn.IFS(Ramen_Ratings[[#This Row],[Stars]] = "Unrated", "NA",Ramen_Ratings[[#This Row],[Stars]]&gt;=4, "Good", Ramen_Ratings[[#This Row],[Stars]]&gt;2.5, "Fair", Ramen_Ratings[[#This Row],[Stars]] &gt;= 0, "Bad")</f>
        <v>Good</v>
      </c>
      <c r="J1723" t="str">
        <f>LEFT(Ramen_Ratings[[#This Row],[Top Ten]],4)</f>
        <v/>
      </c>
      <c r="K1723" t="str">
        <f>IF(Ramen_Ratings[[#This Row],[Top Ten]]="", "",RIGHT(Ramen_Ratings[[#This Row],[Top Ten]],LEN(Ramen_Ratings[[#This Row],[Top Ten]])-6))</f>
        <v/>
      </c>
    </row>
    <row r="1724" spans="1:11" x14ac:dyDescent="0.25">
      <c r="A1724">
        <v>1999</v>
      </c>
      <c r="B1724" t="s">
        <v>15</v>
      </c>
      <c r="C1724" t="s">
        <v>109</v>
      </c>
      <c r="D1724" t="s">
        <v>9</v>
      </c>
      <c r="E1724" t="s">
        <v>10</v>
      </c>
      <c r="F1724" t="str">
        <f>VLOOKUP(Ramen_Ratings[[#This Row],[Country]],Country_Region[#All],2,FALSE)</f>
        <v>Asia</v>
      </c>
      <c r="G1724">
        <v>5</v>
      </c>
      <c r="H1724" t="str" cm="1">
        <f t="array" ref="H1724">_xlfn.IFS(Ramen_Ratings[[#This Row],[Stars]] = "Unrated", "NA",Ramen_Ratings[[#This Row],[Stars]]&gt;=4, "Good", Ramen_Ratings[[#This Row],[Stars]]&gt;2.5, "Fair", Ramen_Ratings[[#This Row],[Stars]] &gt;= 0, "Bad")</f>
        <v>Good</v>
      </c>
      <c r="J1724" t="str">
        <f>LEFT(Ramen_Ratings[[#This Row],[Top Ten]],4)</f>
        <v/>
      </c>
      <c r="K1724" t="str">
        <f>IF(Ramen_Ratings[[#This Row],[Top Ten]]="", "",RIGHT(Ramen_Ratings[[#This Row],[Top Ten]],LEN(Ramen_Ratings[[#This Row],[Top Ten]])-6))</f>
        <v/>
      </c>
    </row>
    <row r="1725" spans="1:11" x14ac:dyDescent="0.25">
      <c r="A1725">
        <v>1998</v>
      </c>
      <c r="B1725" t="s">
        <v>15</v>
      </c>
      <c r="C1725" t="s">
        <v>744</v>
      </c>
      <c r="D1725" t="s">
        <v>44</v>
      </c>
      <c r="E1725" t="s">
        <v>10</v>
      </c>
      <c r="F1725" t="str">
        <f>VLOOKUP(Ramen_Ratings[[#This Row],[Country]],Country_Region[#All],2,FALSE)</f>
        <v>Asia</v>
      </c>
      <c r="G1725">
        <v>5</v>
      </c>
      <c r="H1725" t="str" cm="1">
        <f t="array" ref="H1725">_xlfn.IFS(Ramen_Ratings[[#This Row],[Stars]] = "Unrated", "NA",Ramen_Ratings[[#This Row],[Stars]]&gt;=4, "Good", Ramen_Ratings[[#This Row],[Stars]]&gt;2.5, "Fair", Ramen_Ratings[[#This Row],[Stars]] &gt;= 0, "Bad")</f>
        <v>Good</v>
      </c>
      <c r="J1725" t="str">
        <f>LEFT(Ramen_Ratings[[#This Row],[Top Ten]],4)</f>
        <v/>
      </c>
      <c r="K1725" t="str">
        <f>IF(Ramen_Ratings[[#This Row],[Top Ten]]="", "",RIGHT(Ramen_Ratings[[#This Row],[Top Ten]],LEN(Ramen_Ratings[[#This Row],[Top Ten]])-6))</f>
        <v/>
      </c>
    </row>
    <row r="1726" spans="1:11" x14ac:dyDescent="0.25">
      <c r="A1726">
        <v>1997</v>
      </c>
      <c r="B1726" t="s">
        <v>15</v>
      </c>
      <c r="C1726" t="s">
        <v>745</v>
      </c>
      <c r="D1726" t="s">
        <v>9</v>
      </c>
      <c r="E1726" t="s">
        <v>10</v>
      </c>
      <c r="F1726" t="str">
        <f>VLOOKUP(Ramen_Ratings[[#This Row],[Country]],Country_Region[#All],2,FALSE)</f>
        <v>Asia</v>
      </c>
      <c r="G1726">
        <v>4.3</v>
      </c>
      <c r="H1726" t="str" cm="1">
        <f t="array" ref="H1726">_xlfn.IFS(Ramen_Ratings[[#This Row],[Stars]] = "Unrated", "NA",Ramen_Ratings[[#This Row],[Stars]]&gt;=4, "Good", Ramen_Ratings[[#This Row],[Stars]]&gt;2.5, "Fair", Ramen_Ratings[[#This Row],[Stars]] &gt;= 0, "Bad")</f>
        <v>Good</v>
      </c>
      <c r="J1726" t="str">
        <f>LEFT(Ramen_Ratings[[#This Row],[Top Ten]],4)</f>
        <v/>
      </c>
      <c r="K1726" t="str">
        <f>IF(Ramen_Ratings[[#This Row],[Top Ten]]="", "",RIGHT(Ramen_Ratings[[#This Row],[Top Ten]],LEN(Ramen_Ratings[[#This Row],[Top Ten]])-6))</f>
        <v/>
      </c>
    </row>
    <row r="1727" spans="1:11" x14ac:dyDescent="0.25">
      <c r="A1727">
        <v>1996</v>
      </c>
      <c r="B1727" t="s">
        <v>15</v>
      </c>
      <c r="C1727" t="s">
        <v>746</v>
      </c>
      <c r="D1727" t="s">
        <v>9</v>
      </c>
      <c r="E1727" t="s">
        <v>10</v>
      </c>
      <c r="F1727" t="str">
        <f>VLOOKUP(Ramen_Ratings[[#This Row],[Country]],Country_Region[#All],2,FALSE)</f>
        <v>Asia</v>
      </c>
      <c r="G1727">
        <v>4</v>
      </c>
      <c r="H1727" t="str" cm="1">
        <f t="array" ref="H1727">_xlfn.IFS(Ramen_Ratings[[#This Row],[Stars]] = "Unrated", "NA",Ramen_Ratings[[#This Row],[Stars]]&gt;=4, "Good", Ramen_Ratings[[#This Row],[Stars]]&gt;2.5, "Fair", Ramen_Ratings[[#This Row],[Stars]] &gt;= 0, "Bad")</f>
        <v>Good</v>
      </c>
      <c r="J1727" t="str">
        <f>LEFT(Ramen_Ratings[[#This Row],[Top Ten]],4)</f>
        <v/>
      </c>
      <c r="K1727" t="str">
        <f>IF(Ramen_Ratings[[#This Row],[Top Ten]]="", "",RIGHT(Ramen_Ratings[[#This Row],[Top Ten]],LEN(Ramen_Ratings[[#This Row],[Top Ten]])-6))</f>
        <v/>
      </c>
    </row>
    <row r="1728" spans="1:11" x14ac:dyDescent="0.25">
      <c r="A1728">
        <v>1995</v>
      </c>
      <c r="B1728" t="s">
        <v>15</v>
      </c>
      <c r="C1728" t="s">
        <v>747</v>
      </c>
      <c r="D1728" t="s">
        <v>9</v>
      </c>
      <c r="E1728" t="s">
        <v>10</v>
      </c>
      <c r="F1728" t="str">
        <f>VLOOKUP(Ramen_Ratings[[#This Row],[Country]],Country_Region[#All],2,FALSE)</f>
        <v>Asia</v>
      </c>
      <c r="G1728">
        <v>5</v>
      </c>
      <c r="H1728" t="str" cm="1">
        <f t="array" ref="H1728">_xlfn.IFS(Ramen_Ratings[[#This Row],[Stars]] = "Unrated", "NA",Ramen_Ratings[[#This Row],[Stars]]&gt;=4, "Good", Ramen_Ratings[[#This Row],[Stars]]&gt;2.5, "Fair", Ramen_Ratings[[#This Row],[Stars]] &gt;= 0, "Bad")</f>
        <v>Good</v>
      </c>
      <c r="J1728" t="str">
        <f>LEFT(Ramen_Ratings[[#This Row],[Top Ten]],4)</f>
        <v/>
      </c>
      <c r="K1728" t="str">
        <f>IF(Ramen_Ratings[[#This Row],[Top Ten]]="", "",RIGHT(Ramen_Ratings[[#This Row],[Top Ten]],LEN(Ramen_Ratings[[#This Row],[Top Ten]])-6))</f>
        <v/>
      </c>
    </row>
    <row r="1729" spans="1:11" x14ac:dyDescent="0.25">
      <c r="A1729">
        <v>1994</v>
      </c>
      <c r="B1729" t="s">
        <v>15</v>
      </c>
      <c r="C1729" t="s">
        <v>748</v>
      </c>
      <c r="D1729" t="s">
        <v>44</v>
      </c>
      <c r="E1729" t="s">
        <v>10</v>
      </c>
      <c r="F1729" t="str">
        <f>VLOOKUP(Ramen_Ratings[[#This Row],[Country]],Country_Region[#All],2,FALSE)</f>
        <v>Asia</v>
      </c>
      <c r="G1729">
        <v>5</v>
      </c>
      <c r="H1729" t="str" cm="1">
        <f t="array" ref="H1729">_xlfn.IFS(Ramen_Ratings[[#This Row],[Stars]] = "Unrated", "NA",Ramen_Ratings[[#This Row],[Stars]]&gt;=4, "Good", Ramen_Ratings[[#This Row],[Stars]]&gt;2.5, "Fair", Ramen_Ratings[[#This Row],[Stars]] &gt;= 0, "Bad")</f>
        <v>Good</v>
      </c>
      <c r="J1729" t="str">
        <f>LEFT(Ramen_Ratings[[#This Row],[Top Ten]],4)</f>
        <v/>
      </c>
      <c r="K1729" t="str">
        <f>IF(Ramen_Ratings[[#This Row],[Top Ten]]="", "",RIGHT(Ramen_Ratings[[#This Row],[Top Ten]],LEN(Ramen_Ratings[[#This Row],[Top Ten]])-6))</f>
        <v/>
      </c>
    </row>
    <row r="1730" spans="1:11" x14ac:dyDescent="0.25">
      <c r="A1730">
        <v>1993</v>
      </c>
      <c r="B1730" t="s">
        <v>15</v>
      </c>
      <c r="C1730" t="s">
        <v>749</v>
      </c>
      <c r="D1730" t="s">
        <v>13</v>
      </c>
      <c r="E1730" t="s">
        <v>10</v>
      </c>
      <c r="F1730" t="str">
        <f>VLOOKUP(Ramen_Ratings[[#This Row],[Country]],Country_Region[#All],2,FALSE)</f>
        <v>Asia</v>
      </c>
      <c r="G1730">
        <v>5</v>
      </c>
      <c r="H1730" t="str" cm="1">
        <f t="array" ref="H1730">_xlfn.IFS(Ramen_Ratings[[#This Row],[Stars]] = "Unrated", "NA",Ramen_Ratings[[#This Row],[Stars]]&gt;=4, "Good", Ramen_Ratings[[#This Row],[Stars]]&gt;2.5, "Fair", Ramen_Ratings[[#This Row],[Stars]] &gt;= 0, "Bad")</f>
        <v>Good</v>
      </c>
      <c r="J1730" t="str">
        <f>LEFT(Ramen_Ratings[[#This Row],[Top Ten]],4)</f>
        <v/>
      </c>
      <c r="K1730" t="str">
        <f>IF(Ramen_Ratings[[#This Row],[Top Ten]]="", "",RIGHT(Ramen_Ratings[[#This Row],[Top Ten]],LEN(Ramen_Ratings[[#This Row],[Top Ten]])-6))</f>
        <v/>
      </c>
    </row>
    <row r="1731" spans="1:11" x14ac:dyDescent="0.25">
      <c r="A1731">
        <v>1992</v>
      </c>
      <c r="B1731" t="s">
        <v>15</v>
      </c>
      <c r="C1731" t="s">
        <v>750</v>
      </c>
      <c r="D1731" t="s">
        <v>9</v>
      </c>
      <c r="E1731" t="s">
        <v>10</v>
      </c>
      <c r="F1731" t="str">
        <f>VLOOKUP(Ramen_Ratings[[#This Row],[Country]],Country_Region[#All],2,FALSE)</f>
        <v>Asia</v>
      </c>
      <c r="G1731">
        <v>4.5</v>
      </c>
      <c r="H1731" t="str" cm="1">
        <f t="array" ref="H1731">_xlfn.IFS(Ramen_Ratings[[#This Row],[Stars]] = "Unrated", "NA",Ramen_Ratings[[#This Row],[Stars]]&gt;=4, "Good", Ramen_Ratings[[#This Row],[Stars]]&gt;2.5, "Fair", Ramen_Ratings[[#This Row],[Stars]] &gt;= 0, "Bad")</f>
        <v>Good</v>
      </c>
      <c r="J1731" t="str">
        <f>LEFT(Ramen_Ratings[[#This Row],[Top Ten]],4)</f>
        <v/>
      </c>
      <c r="K1731" t="str">
        <f>IF(Ramen_Ratings[[#This Row],[Top Ten]]="", "",RIGHT(Ramen_Ratings[[#This Row],[Top Ten]],LEN(Ramen_Ratings[[#This Row],[Top Ten]])-6))</f>
        <v/>
      </c>
    </row>
    <row r="1732" spans="1:11" x14ac:dyDescent="0.25">
      <c r="A1732">
        <v>1991</v>
      </c>
      <c r="B1732" t="s">
        <v>15</v>
      </c>
      <c r="C1732" t="s">
        <v>751</v>
      </c>
      <c r="D1732" t="s">
        <v>9</v>
      </c>
      <c r="E1732" t="s">
        <v>10</v>
      </c>
      <c r="F1732" t="str">
        <f>VLOOKUP(Ramen_Ratings[[#This Row],[Country]],Country_Region[#All],2,FALSE)</f>
        <v>Asia</v>
      </c>
      <c r="G1732">
        <v>5</v>
      </c>
      <c r="H1732" t="str" cm="1">
        <f t="array" ref="H1732">_xlfn.IFS(Ramen_Ratings[[#This Row],[Stars]] = "Unrated", "NA",Ramen_Ratings[[#This Row],[Stars]]&gt;=4, "Good", Ramen_Ratings[[#This Row],[Stars]]&gt;2.5, "Fair", Ramen_Ratings[[#This Row],[Stars]] &gt;= 0, "Bad")</f>
        <v>Good</v>
      </c>
      <c r="J1732" t="str">
        <f>LEFT(Ramen_Ratings[[#This Row],[Top Ten]],4)</f>
        <v/>
      </c>
      <c r="K1732" t="str">
        <f>IF(Ramen_Ratings[[#This Row],[Top Ten]]="", "",RIGHT(Ramen_Ratings[[#This Row],[Top Ten]],LEN(Ramen_Ratings[[#This Row],[Top Ten]])-6))</f>
        <v/>
      </c>
    </row>
    <row r="1733" spans="1:11" x14ac:dyDescent="0.25">
      <c r="A1733">
        <v>1990</v>
      </c>
      <c r="B1733" t="s">
        <v>15</v>
      </c>
      <c r="C1733" t="s">
        <v>752</v>
      </c>
      <c r="D1733" t="s">
        <v>9</v>
      </c>
      <c r="E1733" t="s">
        <v>10</v>
      </c>
      <c r="F1733" t="str">
        <f>VLOOKUP(Ramen_Ratings[[#This Row],[Country]],Country_Region[#All],2,FALSE)</f>
        <v>Asia</v>
      </c>
      <c r="G1733">
        <v>5</v>
      </c>
      <c r="H1733" t="str" cm="1">
        <f t="array" ref="H1733">_xlfn.IFS(Ramen_Ratings[[#This Row],[Stars]] = "Unrated", "NA",Ramen_Ratings[[#This Row],[Stars]]&gt;=4, "Good", Ramen_Ratings[[#This Row],[Stars]]&gt;2.5, "Fair", Ramen_Ratings[[#This Row],[Stars]] &gt;= 0, "Bad")</f>
        <v>Good</v>
      </c>
      <c r="J1733" t="str">
        <f>LEFT(Ramen_Ratings[[#This Row],[Top Ten]],4)</f>
        <v/>
      </c>
      <c r="K1733" t="str">
        <f>IF(Ramen_Ratings[[#This Row],[Top Ten]]="", "",RIGHT(Ramen_Ratings[[#This Row],[Top Ten]],LEN(Ramen_Ratings[[#This Row],[Top Ten]])-6))</f>
        <v/>
      </c>
    </row>
    <row r="1734" spans="1:11" x14ac:dyDescent="0.25">
      <c r="A1734">
        <v>1987</v>
      </c>
      <c r="B1734" t="s">
        <v>15</v>
      </c>
      <c r="C1734" t="s">
        <v>755</v>
      </c>
      <c r="D1734" t="s">
        <v>44</v>
      </c>
      <c r="E1734" t="s">
        <v>10</v>
      </c>
      <c r="F1734" t="str">
        <f>VLOOKUP(Ramen_Ratings[[#This Row],[Country]],Country_Region[#All],2,FALSE)</f>
        <v>Asia</v>
      </c>
      <c r="G1734">
        <v>4.5</v>
      </c>
      <c r="H1734" t="str" cm="1">
        <f t="array" ref="H1734">_xlfn.IFS(Ramen_Ratings[[#This Row],[Stars]] = "Unrated", "NA",Ramen_Ratings[[#This Row],[Stars]]&gt;=4, "Good", Ramen_Ratings[[#This Row],[Stars]]&gt;2.5, "Fair", Ramen_Ratings[[#This Row],[Stars]] &gt;= 0, "Bad")</f>
        <v>Good</v>
      </c>
      <c r="J1734" t="str">
        <f>LEFT(Ramen_Ratings[[#This Row],[Top Ten]],4)</f>
        <v/>
      </c>
      <c r="K1734" t="str">
        <f>IF(Ramen_Ratings[[#This Row],[Top Ten]]="", "",RIGHT(Ramen_Ratings[[#This Row],[Top Ten]],LEN(Ramen_Ratings[[#This Row],[Top Ten]])-6))</f>
        <v/>
      </c>
    </row>
    <row r="1735" spans="1:11" x14ac:dyDescent="0.25">
      <c r="A1735">
        <v>1983</v>
      </c>
      <c r="B1735" t="s">
        <v>660</v>
      </c>
      <c r="C1735" t="s">
        <v>760</v>
      </c>
      <c r="D1735" t="s">
        <v>13</v>
      </c>
      <c r="E1735" t="s">
        <v>10</v>
      </c>
      <c r="F1735" t="str">
        <f>VLOOKUP(Ramen_Ratings[[#This Row],[Country]],Country_Region[#All],2,FALSE)</f>
        <v>Asia</v>
      </c>
      <c r="G1735">
        <v>4</v>
      </c>
      <c r="H1735" t="str" cm="1">
        <f t="array" ref="H1735">_xlfn.IFS(Ramen_Ratings[[#This Row],[Stars]] = "Unrated", "NA",Ramen_Ratings[[#This Row],[Stars]]&gt;=4, "Good", Ramen_Ratings[[#This Row],[Stars]]&gt;2.5, "Fair", Ramen_Ratings[[#This Row],[Stars]] &gt;= 0, "Bad")</f>
        <v>Good</v>
      </c>
      <c r="J1735" t="str">
        <f>LEFT(Ramen_Ratings[[#This Row],[Top Ten]],4)</f>
        <v/>
      </c>
      <c r="K1735" t="str">
        <f>IF(Ramen_Ratings[[#This Row],[Top Ten]]="", "",RIGHT(Ramen_Ratings[[#This Row],[Top Ten]],LEN(Ramen_Ratings[[#This Row],[Top Ten]])-6))</f>
        <v/>
      </c>
    </row>
    <row r="1736" spans="1:11" x14ac:dyDescent="0.25">
      <c r="A1736">
        <v>1979</v>
      </c>
      <c r="B1736" t="s">
        <v>15</v>
      </c>
      <c r="C1736" t="s">
        <v>764</v>
      </c>
      <c r="D1736" t="s">
        <v>9</v>
      </c>
      <c r="E1736" t="s">
        <v>10</v>
      </c>
      <c r="F1736" t="str">
        <f>VLOOKUP(Ramen_Ratings[[#This Row],[Country]],Country_Region[#All],2,FALSE)</f>
        <v>Asia</v>
      </c>
      <c r="G1736">
        <v>3</v>
      </c>
      <c r="H1736" t="str" cm="1">
        <f t="array" ref="H1736">_xlfn.IFS(Ramen_Ratings[[#This Row],[Stars]] = "Unrated", "NA",Ramen_Ratings[[#This Row],[Stars]]&gt;=4, "Good", Ramen_Ratings[[#This Row],[Stars]]&gt;2.5, "Fair", Ramen_Ratings[[#This Row],[Stars]] &gt;= 0, "Bad")</f>
        <v>Fair</v>
      </c>
      <c r="J1736" t="str">
        <f>LEFT(Ramen_Ratings[[#This Row],[Top Ten]],4)</f>
        <v/>
      </c>
      <c r="K1736" t="str">
        <f>IF(Ramen_Ratings[[#This Row],[Top Ten]]="", "",RIGHT(Ramen_Ratings[[#This Row],[Top Ten]],LEN(Ramen_Ratings[[#This Row],[Top Ten]])-6))</f>
        <v/>
      </c>
    </row>
    <row r="1737" spans="1:11" x14ac:dyDescent="0.25">
      <c r="A1737">
        <v>1976</v>
      </c>
      <c r="B1737" t="s">
        <v>768</v>
      </c>
      <c r="C1737" t="s">
        <v>769</v>
      </c>
      <c r="D1737" t="s">
        <v>13</v>
      </c>
      <c r="E1737" t="s">
        <v>10</v>
      </c>
      <c r="F1737" t="str">
        <f>VLOOKUP(Ramen_Ratings[[#This Row],[Country]],Country_Region[#All],2,FALSE)</f>
        <v>Asia</v>
      </c>
      <c r="G1737">
        <v>4.25</v>
      </c>
      <c r="H1737" t="str" cm="1">
        <f t="array" ref="H1737">_xlfn.IFS(Ramen_Ratings[[#This Row],[Stars]] = "Unrated", "NA",Ramen_Ratings[[#This Row],[Stars]]&gt;=4, "Good", Ramen_Ratings[[#This Row],[Stars]]&gt;2.5, "Fair", Ramen_Ratings[[#This Row],[Stars]] &gt;= 0, "Bad")</f>
        <v>Good</v>
      </c>
      <c r="J1737" t="str">
        <f>LEFT(Ramen_Ratings[[#This Row],[Top Ten]],4)</f>
        <v/>
      </c>
      <c r="K1737" t="str">
        <f>IF(Ramen_Ratings[[#This Row],[Top Ten]]="", "",RIGHT(Ramen_Ratings[[#This Row],[Top Ten]],LEN(Ramen_Ratings[[#This Row],[Top Ten]])-6))</f>
        <v/>
      </c>
    </row>
    <row r="1738" spans="1:11" x14ac:dyDescent="0.25">
      <c r="A1738">
        <v>1971</v>
      </c>
      <c r="B1738" t="s">
        <v>95</v>
      </c>
      <c r="C1738" t="s">
        <v>774</v>
      </c>
      <c r="D1738" t="s">
        <v>13</v>
      </c>
      <c r="E1738" t="s">
        <v>10</v>
      </c>
      <c r="F1738" t="str">
        <f>VLOOKUP(Ramen_Ratings[[#This Row],[Country]],Country_Region[#All],2,FALSE)</f>
        <v>Asia</v>
      </c>
      <c r="G1738">
        <v>3.5</v>
      </c>
      <c r="H1738" t="str" cm="1">
        <f t="array" ref="H1738">_xlfn.IFS(Ramen_Ratings[[#This Row],[Stars]] = "Unrated", "NA",Ramen_Ratings[[#This Row],[Stars]]&gt;=4, "Good", Ramen_Ratings[[#This Row],[Stars]]&gt;2.5, "Fair", Ramen_Ratings[[#This Row],[Stars]] &gt;= 0, "Bad")</f>
        <v>Fair</v>
      </c>
      <c r="J1738" t="str">
        <f>LEFT(Ramen_Ratings[[#This Row],[Top Ten]],4)</f>
        <v/>
      </c>
      <c r="K1738" t="str">
        <f>IF(Ramen_Ratings[[#This Row],[Top Ten]]="", "",RIGHT(Ramen_Ratings[[#This Row],[Top Ten]],LEN(Ramen_Ratings[[#This Row],[Top Ten]])-6))</f>
        <v/>
      </c>
    </row>
    <row r="1739" spans="1:11" x14ac:dyDescent="0.25">
      <c r="A1739">
        <v>1967</v>
      </c>
      <c r="B1739" t="s">
        <v>660</v>
      </c>
      <c r="C1739" t="s">
        <v>778</v>
      </c>
      <c r="D1739" t="s">
        <v>13</v>
      </c>
      <c r="E1739" t="s">
        <v>10</v>
      </c>
      <c r="F1739" t="str">
        <f>VLOOKUP(Ramen_Ratings[[#This Row],[Country]],Country_Region[#All],2,FALSE)</f>
        <v>Asia</v>
      </c>
      <c r="G1739">
        <v>4.5</v>
      </c>
      <c r="H1739" t="str" cm="1">
        <f t="array" ref="H1739">_xlfn.IFS(Ramen_Ratings[[#This Row],[Stars]] = "Unrated", "NA",Ramen_Ratings[[#This Row],[Stars]]&gt;=4, "Good", Ramen_Ratings[[#This Row],[Stars]]&gt;2.5, "Fair", Ramen_Ratings[[#This Row],[Stars]] &gt;= 0, "Bad")</f>
        <v>Good</v>
      </c>
      <c r="J1739" t="str">
        <f>LEFT(Ramen_Ratings[[#This Row],[Top Ten]],4)</f>
        <v/>
      </c>
      <c r="K1739" t="str">
        <f>IF(Ramen_Ratings[[#This Row],[Top Ten]]="", "",RIGHT(Ramen_Ratings[[#This Row],[Top Ten]],LEN(Ramen_Ratings[[#This Row],[Top Ten]])-6))</f>
        <v/>
      </c>
    </row>
    <row r="1740" spans="1:11" x14ac:dyDescent="0.25">
      <c r="A1740">
        <v>1959</v>
      </c>
      <c r="B1740" t="s">
        <v>183</v>
      </c>
      <c r="C1740" t="s">
        <v>788</v>
      </c>
      <c r="D1740" t="s">
        <v>13</v>
      </c>
      <c r="E1740" t="s">
        <v>10</v>
      </c>
      <c r="F1740" t="str">
        <f>VLOOKUP(Ramen_Ratings[[#This Row],[Country]],Country_Region[#All],2,FALSE)</f>
        <v>Asia</v>
      </c>
      <c r="G1740">
        <v>4</v>
      </c>
      <c r="H1740" t="str" cm="1">
        <f t="array" ref="H1740">_xlfn.IFS(Ramen_Ratings[[#This Row],[Stars]] = "Unrated", "NA",Ramen_Ratings[[#This Row],[Stars]]&gt;=4, "Good", Ramen_Ratings[[#This Row],[Stars]]&gt;2.5, "Fair", Ramen_Ratings[[#This Row],[Stars]] &gt;= 0, "Bad")</f>
        <v>Good</v>
      </c>
      <c r="J1740" t="str">
        <f>LEFT(Ramen_Ratings[[#This Row],[Top Ten]],4)</f>
        <v/>
      </c>
      <c r="K1740" t="str">
        <f>IF(Ramen_Ratings[[#This Row],[Top Ten]]="", "",RIGHT(Ramen_Ratings[[#This Row],[Top Ten]],LEN(Ramen_Ratings[[#This Row],[Top Ten]])-6))</f>
        <v/>
      </c>
    </row>
    <row r="1741" spans="1:11" x14ac:dyDescent="0.25">
      <c r="A1741">
        <v>1956</v>
      </c>
      <c r="B1741" t="s">
        <v>102</v>
      </c>
      <c r="C1741" t="s">
        <v>792</v>
      </c>
      <c r="D1741" t="s">
        <v>9</v>
      </c>
      <c r="E1741" t="s">
        <v>10</v>
      </c>
      <c r="F1741" t="str">
        <f>VLOOKUP(Ramen_Ratings[[#This Row],[Country]],Country_Region[#All],2,FALSE)</f>
        <v>Asia</v>
      </c>
      <c r="G1741">
        <v>0</v>
      </c>
      <c r="H1741" t="str" cm="1">
        <f t="array" ref="H1741">_xlfn.IFS(Ramen_Ratings[[#This Row],[Stars]] = "Unrated", "NA",Ramen_Ratings[[#This Row],[Stars]]&gt;=4, "Good", Ramen_Ratings[[#This Row],[Stars]]&gt;2.5, "Fair", Ramen_Ratings[[#This Row],[Stars]] &gt;= 0, "Bad")</f>
        <v>Bad</v>
      </c>
      <c r="J1741" t="str">
        <f>LEFT(Ramen_Ratings[[#This Row],[Top Ten]],4)</f>
        <v/>
      </c>
      <c r="K1741" t="str">
        <f>IF(Ramen_Ratings[[#This Row],[Top Ten]]="", "",RIGHT(Ramen_Ratings[[#This Row],[Top Ten]],LEN(Ramen_Ratings[[#This Row],[Top Ten]])-6))</f>
        <v/>
      </c>
    </row>
    <row r="1742" spans="1:11" x14ac:dyDescent="0.25">
      <c r="A1742">
        <v>1950</v>
      </c>
      <c r="B1742" t="s">
        <v>95</v>
      </c>
      <c r="C1742" t="s">
        <v>799</v>
      </c>
      <c r="D1742" t="s">
        <v>13</v>
      </c>
      <c r="E1742" t="s">
        <v>10</v>
      </c>
      <c r="F1742" t="str">
        <f>VLOOKUP(Ramen_Ratings[[#This Row],[Country]],Country_Region[#All],2,FALSE)</f>
        <v>Asia</v>
      </c>
      <c r="G1742">
        <v>4</v>
      </c>
      <c r="H1742" t="str" cm="1">
        <f t="array" ref="H1742">_xlfn.IFS(Ramen_Ratings[[#This Row],[Stars]] = "Unrated", "NA",Ramen_Ratings[[#This Row],[Stars]]&gt;=4, "Good", Ramen_Ratings[[#This Row],[Stars]]&gt;2.5, "Fair", Ramen_Ratings[[#This Row],[Stars]] &gt;= 0, "Bad")</f>
        <v>Good</v>
      </c>
      <c r="J1742" t="str">
        <f>LEFT(Ramen_Ratings[[#This Row],[Top Ten]],4)</f>
        <v/>
      </c>
      <c r="K1742" t="str">
        <f>IF(Ramen_Ratings[[#This Row],[Top Ten]]="", "",RIGHT(Ramen_Ratings[[#This Row],[Top Ten]],LEN(Ramen_Ratings[[#This Row],[Top Ten]])-6))</f>
        <v/>
      </c>
    </row>
    <row r="1743" spans="1:11" x14ac:dyDescent="0.25">
      <c r="A1743">
        <v>1946</v>
      </c>
      <c r="B1743" t="s">
        <v>15</v>
      </c>
      <c r="C1743" t="s">
        <v>805</v>
      </c>
      <c r="D1743" t="s">
        <v>13</v>
      </c>
      <c r="E1743" t="s">
        <v>10</v>
      </c>
      <c r="F1743" t="str">
        <f>VLOOKUP(Ramen_Ratings[[#This Row],[Country]],Country_Region[#All],2,FALSE)</f>
        <v>Asia</v>
      </c>
      <c r="G1743">
        <v>4.75</v>
      </c>
      <c r="H1743" t="str" cm="1">
        <f t="array" ref="H1743">_xlfn.IFS(Ramen_Ratings[[#This Row],[Stars]] = "Unrated", "NA",Ramen_Ratings[[#This Row],[Stars]]&gt;=4, "Good", Ramen_Ratings[[#This Row],[Stars]]&gt;2.5, "Fair", Ramen_Ratings[[#This Row],[Stars]] &gt;= 0, "Bad")</f>
        <v>Good</v>
      </c>
      <c r="J1743" t="str">
        <f>LEFT(Ramen_Ratings[[#This Row],[Top Ten]],4)</f>
        <v/>
      </c>
      <c r="K1743" t="str">
        <f>IF(Ramen_Ratings[[#This Row],[Top Ten]]="", "",RIGHT(Ramen_Ratings[[#This Row],[Top Ten]],LEN(Ramen_Ratings[[#This Row],[Top Ten]])-6))</f>
        <v/>
      </c>
    </row>
    <row r="1744" spans="1:11" x14ac:dyDescent="0.25">
      <c r="A1744">
        <v>1943</v>
      </c>
      <c r="B1744" t="s">
        <v>7</v>
      </c>
      <c r="C1744" t="s">
        <v>808</v>
      </c>
      <c r="D1744" t="s">
        <v>44</v>
      </c>
      <c r="E1744" t="s">
        <v>10</v>
      </c>
      <c r="F1744" t="str">
        <f>VLOOKUP(Ramen_Ratings[[#This Row],[Country]],Country_Region[#All],2,FALSE)</f>
        <v>Asia</v>
      </c>
      <c r="G1744">
        <v>5</v>
      </c>
      <c r="H1744" t="str" cm="1">
        <f t="array" ref="H1744">_xlfn.IFS(Ramen_Ratings[[#This Row],[Stars]] = "Unrated", "NA",Ramen_Ratings[[#This Row],[Stars]]&gt;=4, "Good", Ramen_Ratings[[#This Row],[Stars]]&gt;2.5, "Fair", Ramen_Ratings[[#This Row],[Stars]] &gt;= 0, "Bad")</f>
        <v>Good</v>
      </c>
      <c r="J1744" t="str">
        <f>LEFT(Ramen_Ratings[[#This Row],[Top Ten]],4)</f>
        <v/>
      </c>
      <c r="K1744" t="str">
        <f>IF(Ramen_Ratings[[#This Row],[Top Ten]]="", "",RIGHT(Ramen_Ratings[[#This Row],[Top Ten]],LEN(Ramen_Ratings[[#This Row],[Top Ten]])-6))</f>
        <v/>
      </c>
    </row>
    <row r="1745" spans="1:11" x14ac:dyDescent="0.25">
      <c r="A1745">
        <v>1940</v>
      </c>
      <c r="B1745" t="s">
        <v>15</v>
      </c>
      <c r="C1745" t="s">
        <v>813</v>
      </c>
      <c r="D1745" t="s">
        <v>9</v>
      </c>
      <c r="E1745" t="s">
        <v>10</v>
      </c>
      <c r="F1745" t="str">
        <f>VLOOKUP(Ramen_Ratings[[#This Row],[Country]],Country_Region[#All],2,FALSE)</f>
        <v>Asia</v>
      </c>
      <c r="G1745">
        <v>5</v>
      </c>
      <c r="H1745" t="str" cm="1">
        <f t="array" ref="H1745">_xlfn.IFS(Ramen_Ratings[[#This Row],[Stars]] = "Unrated", "NA",Ramen_Ratings[[#This Row],[Stars]]&gt;=4, "Good", Ramen_Ratings[[#This Row],[Stars]]&gt;2.5, "Fair", Ramen_Ratings[[#This Row],[Stars]] &gt;= 0, "Bad")</f>
        <v>Good</v>
      </c>
      <c r="J1745" t="str">
        <f>LEFT(Ramen_Ratings[[#This Row],[Top Ten]],4)</f>
        <v/>
      </c>
      <c r="K1745" t="str">
        <f>IF(Ramen_Ratings[[#This Row],[Top Ten]]="", "",RIGHT(Ramen_Ratings[[#This Row],[Top Ten]],LEN(Ramen_Ratings[[#This Row],[Top Ten]])-6))</f>
        <v/>
      </c>
    </row>
    <row r="1746" spans="1:11" x14ac:dyDescent="0.25">
      <c r="A1746">
        <v>1938</v>
      </c>
      <c r="B1746" t="s">
        <v>15</v>
      </c>
      <c r="C1746" t="s">
        <v>815</v>
      </c>
      <c r="D1746" t="s">
        <v>44</v>
      </c>
      <c r="E1746" t="s">
        <v>10</v>
      </c>
      <c r="F1746" t="str">
        <f>VLOOKUP(Ramen_Ratings[[#This Row],[Country]],Country_Region[#All],2,FALSE)</f>
        <v>Asia</v>
      </c>
      <c r="G1746">
        <v>5</v>
      </c>
      <c r="H1746" t="str" cm="1">
        <f t="array" ref="H1746">_xlfn.IFS(Ramen_Ratings[[#This Row],[Stars]] = "Unrated", "NA",Ramen_Ratings[[#This Row],[Stars]]&gt;=4, "Good", Ramen_Ratings[[#This Row],[Stars]]&gt;2.5, "Fair", Ramen_Ratings[[#This Row],[Stars]] &gt;= 0, "Bad")</f>
        <v>Good</v>
      </c>
      <c r="J1746" t="str">
        <f>LEFT(Ramen_Ratings[[#This Row],[Top Ten]],4)</f>
        <v/>
      </c>
      <c r="K1746" t="str">
        <f>IF(Ramen_Ratings[[#This Row],[Top Ten]]="", "",RIGHT(Ramen_Ratings[[#This Row],[Top Ten]],LEN(Ramen_Ratings[[#This Row],[Top Ten]])-6))</f>
        <v/>
      </c>
    </row>
    <row r="1747" spans="1:11" x14ac:dyDescent="0.25">
      <c r="A1747">
        <v>1927</v>
      </c>
      <c r="B1747" t="s">
        <v>329</v>
      </c>
      <c r="C1747" t="s">
        <v>828</v>
      </c>
      <c r="D1747" t="s">
        <v>44</v>
      </c>
      <c r="E1747" t="s">
        <v>10</v>
      </c>
      <c r="F1747" t="str">
        <f>VLOOKUP(Ramen_Ratings[[#This Row],[Country]],Country_Region[#All],2,FALSE)</f>
        <v>Asia</v>
      </c>
      <c r="G1747">
        <v>3.5</v>
      </c>
      <c r="H1747" t="str" cm="1">
        <f t="array" ref="H1747">_xlfn.IFS(Ramen_Ratings[[#This Row],[Stars]] = "Unrated", "NA",Ramen_Ratings[[#This Row],[Stars]]&gt;=4, "Good", Ramen_Ratings[[#This Row],[Stars]]&gt;2.5, "Fair", Ramen_Ratings[[#This Row],[Stars]] &gt;= 0, "Bad")</f>
        <v>Fair</v>
      </c>
      <c r="J1747" t="str">
        <f>LEFT(Ramen_Ratings[[#This Row],[Top Ten]],4)</f>
        <v/>
      </c>
      <c r="K1747" t="str">
        <f>IF(Ramen_Ratings[[#This Row],[Top Ten]]="", "",RIGHT(Ramen_Ratings[[#This Row],[Top Ten]],LEN(Ramen_Ratings[[#This Row],[Top Ten]])-6))</f>
        <v/>
      </c>
    </row>
    <row r="1748" spans="1:11" x14ac:dyDescent="0.25">
      <c r="A1748">
        <v>1920</v>
      </c>
      <c r="B1748" t="s">
        <v>768</v>
      </c>
      <c r="C1748" t="s">
        <v>837</v>
      </c>
      <c r="D1748" t="s">
        <v>13</v>
      </c>
      <c r="E1748" t="s">
        <v>10</v>
      </c>
      <c r="F1748" t="str">
        <f>VLOOKUP(Ramen_Ratings[[#This Row],[Country]],Country_Region[#All],2,FALSE)</f>
        <v>Asia</v>
      </c>
      <c r="G1748">
        <v>0.75</v>
      </c>
      <c r="H1748" t="str" cm="1">
        <f t="array" ref="H1748">_xlfn.IFS(Ramen_Ratings[[#This Row],[Stars]] = "Unrated", "NA",Ramen_Ratings[[#This Row],[Stars]]&gt;=4, "Good", Ramen_Ratings[[#This Row],[Stars]]&gt;2.5, "Fair", Ramen_Ratings[[#This Row],[Stars]] &gt;= 0, "Bad")</f>
        <v>Bad</v>
      </c>
      <c r="J1748" t="str">
        <f>LEFT(Ramen_Ratings[[#This Row],[Top Ten]],4)</f>
        <v/>
      </c>
      <c r="K1748" t="str">
        <f>IF(Ramen_Ratings[[#This Row],[Top Ten]]="", "",RIGHT(Ramen_Ratings[[#This Row],[Top Ten]],LEN(Ramen_Ratings[[#This Row],[Top Ten]])-6))</f>
        <v/>
      </c>
    </row>
    <row r="1749" spans="1:11" x14ac:dyDescent="0.25">
      <c r="A1749">
        <v>1919</v>
      </c>
      <c r="B1749" t="s">
        <v>102</v>
      </c>
      <c r="C1749" t="s">
        <v>838</v>
      </c>
      <c r="D1749" t="s">
        <v>44</v>
      </c>
      <c r="E1749" t="s">
        <v>10</v>
      </c>
      <c r="F1749" t="str">
        <f>VLOOKUP(Ramen_Ratings[[#This Row],[Country]],Country_Region[#All],2,FALSE)</f>
        <v>Asia</v>
      </c>
      <c r="G1749">
        <v>4.5</v>
      </c>
      <c r="H1749" t="str" cm="1">
        <f t="array" ref="H1749">_xlfn.IFS(Ramen_Ratings[[#This Row],[Stars]] = "Unrated", "NA",Ramen_Ratings[[#This Row],[Stars]]&gt;=4, "Good", Ramen_Ratings[[#This Row],[Stars]]&gt;2.5, "Fair", Ramen_Ratings[[#This Row],[Stars]] &gt;= 0, "Bad")</f>
        <v>Good</v>
      </c>
      <c r="J1749" t="str">
        <f>LEFT(Ramen_Ratings[[#This Row],[Top Ten]],4)</f>
        <v/>
      </c>
      <c r="K1749" t="str">
        <f>IF(Ramen_Ratings[[#This Row],[Top Ten]]="", "",RIGHT(Ramen_Ratings[[#This Row],[Top Ten]],LEN(Ramen_Ratings[[#This Row],[Top Ten]])-6))</f>
        <v/>
      </c>
    </row>
    <row r="1750" spans="1:11" x14ac:dyDescent="0.25">
      <c r="A1750">
        <v>1915</v>
      </c>
      <c r="B1750" t="s">
        <v>768</v>
      </c>
      <c r="C1750" t="s">
        <v>842</v>
      </c>
      <c r="D1750" t="s">
        <v>44</v>
      </c>
      <c r="E1750" t="s">
        <v>10</v>
      </c>
      <c r="F1750" t="str">
        <f>VLOOKUP(Ramen_Ratings[[#This Row],[Country]],Country_Region[#All],2,FALSE)</f>
        <v>Asia</v>
      </c>
      <c r="G1750">
        <v>4.5</v>
      </c>
      <c r="H1750" t="str" cm="1">
        <f t="array" ref="H1750">_xlfn.IFS(Ramen_Ratings[[#This Row],[Stars]] = "Unrated", "NA",Ramen_Ratings[[#This Row],[Stars]]&gt;=4, "Good", Ramen_Ratings[[#This Row],[Stars]]&gt;2.5, "Fair", Ramen_Ratings[[#This Row],[Stars]] &gt;= 0, "Bad")</f>
        <v>Good</v>
      </c>
      <c r="J1750" t="str">
        <f>LEFT(Ramen_Ratings[[#This Row],[Top Ten]],4)</f>
        <v/>
      </c>
      <c r="K1750" t="str">
        <f>IF(Ramen_Ratings[[#This Row],[Top Ten]]="", "",RIGHT(Ramen_Ratings[[#This Row],[Top Ten]],LEN(Ramen_Ratings[[#This Row],[Top Ten]])-6))</f>
        <v/>
      </c>
    </row>
    <row r="1751" spans="1:11" x14ac:dyDescent="0.25">
      <c r="A1751">
        <v>1911</v>
      </c>
      <c r="B1751" t="s">
        <v>15</v>
      </c>
      <c r="C1751" t="s">
        <v>847</v>
      </c>
      <c r="D1751" t="s">
        <v>9</v>
      </c>
      <c r="E1751" t="s">
        <v>10</v>
      </c>
      <c r="F1751" t="str">
        <f>VLOOKUP(Ramen_Ratings[[#This Row],[Country]],Country_Region[#All],2,FALSE)</f>
        <v>Asia</v>
      </c>
      <c r="G1751">
        <v>5</v>
      </c>
      <c r="H1751" t="str" cm="1">
        <f t="array" ref="H1751">_xlfn.IFS(Ramen_Ratings[[#This Row],[Stars]] = "Unrated", "NA",Ramen_Ratings[[#This Row],[Stars]]&gt;=4, "Good", Ramen_Ratings[[#This Row],[Stars]]&gt;2.5, "Fair", Ramen_Ratings[[#This Row],[Stars]] &gt;= 0, "Bad")</f>
        <v>Good</v>
      </c>
      <c r="J1751" t="str">
        <f>LEFT(Ramen_Ratings[[#This Row],[Top Ten]],4)</f>
        <v/>
      </c>
      <c r="K1751" t="str">
        <f>IF(Ramen_Ratings[[#This Row],[Top Ten]]="", "",RIGHT(Ramen_Ratings[[#This Row],[Top Ten]],LEN(Ramen_Ratings[[#This Row],[Top Ten]])-6))</f>
        <v/>
      </c>
    </row>
    <row r="1752" spans="1:11" x14ac:dyDescent="0.25">
      <c r="A1752">
        <v>1908</v>
      </c>
      <c r="B1752" t="s">
        <v>15</v>
      </c>
      <c r="C1752" t="s">
        <v>851</v>
      </c>
      <c r="D1752" t="s">
        <v>44</v>
      </c>
      <c r="E1752" t="s">
        <v>10</v>
      </c>
      <c r="F1752" t="str">
        <f>VLOOKUP(Ramen_Ratings[[#This Row],[Country]],Country_Region[#All],2,FALSE)</f>
        <v>Asia</v>
      </c>
      <c r="G1752">
        <v>4.75</v>
      </c>
      <c r="H1752" t="str" cm="1">
        <f t="array" ref="H1752">_xlfn.IFS(Ramen_Ratings[[#This Row],[Stars]] = "Unrated", "NA",Ramen_Ratings[[#This Row],[Stars]]&gt;=4, "Good", Ramen_Ratings[[#This Row],[Stars]]&gt;2.5, "Fair", Ramen_Ratings[[#This Row],[Stars]] &gt;= 0, "Bad")</f>
        <v>Good</v>
      </c>
      <c r="J1752" t="str">
        <f>LEFT(Ramen_Ratings[[#This Row],[Top Ten]],4)</f>
        <v/>
      </c>
      <c r="K1752" t="str">
        <f>IF(Ramen_Ratings[[#This Row],[Top Ten]]="", "",RIGHT(Ramen_Ratings[[#This Row],[Top Ten]],LEN(Ramen_Ratings[[#This Row],[Top Ten]])-6))</f>
        <v/>
      </c>
    </row>
    <row r="1753" spans="1:11" x14ac:dyDescent="0.25">
      <c r="A1753">
        <v>1903</v>
      </c>
      <c r="B1753" t="s">
        <v>859</v>
      </c>
      <c r="C1753" t="s">
        <v>860</v>
      </c>
      <c r="D1753" t="s">
        <v>13</v>
      </c>
      <c r="E1753" t="s">
        <v>10</v>
      </c>
      <c r="F1753" t="str">
        <f>VLOOKUP(Ramen_Ratings[[#This Row],[Country]],Country_Region[#All],2,FALSE)</f>
        <v>Asia</v>
      </c>
      <c r="G1753">
        <v>4.5</v>
      </c>
      <c r="H1753" t="str" cm="1">
        <f t="array" ref="H1753">_xlfn.IFS(Ramen_Ratings[[#This Row],[Stars]] = "Unrated", "NA",Ramen_Ratings[[#This Row],[Stars]]&gt;=4, "Good", Ramen_Ratings[[#This Row],[Stars]]&gt;2.5, "Fair", Ramen_Ratings[[#This Row],[Stars]] &gt;= 0, "Bad")</f>
        <v>Good</v>
      </c>
      <c r="J1753" t="str">
        <f>LEFT(Ramen_Ratings[[#This Row],[Top Ten]],4)</f>
        <v/>
      </c>
      <c r="K1753" t="str">
        <f>IF(Ramen_Ratings[[#This Row],[Top Ten]]="", "",RIGHT(Ramen_Ratings[[#This Row],[Top Ten]],LEN(Ramen_Ratings[[#This Row],[Top Ten]])-6))</f>
        <v/>
      </c>
    </row>
    <row r="1754" spans="1:11" x14ac:dyDescent="0.25">
      <c r="A1754">
        <v>1897</v>
      </c>
      <c r="B1754" t="s">
        <v>15</v>
      </c>
      <c r="C1754" t="s">
        <v>866</v>
      </c>
      <c r="D1754" t="s">
        <v>9</v>
      </c>
      <c r="E1754" t="s">
        <v>10</v>
      </c>
      <c r="F1754" t="str">
        <f>VLOOKUP(Ramen_Ratings[[#This Row],[Country]],Country_Region[#All],2,FALSE)</f>
        <v>Asia</v>
      </c>
      <c r="G1754">
        <v>3.5</v>
      </c>
      <c r="H1754" t="str" cm="1">
        <f t="array" ref="H1754">_xlfn.IFS(Ramen_Ratings[[#This Row],[Stars]] = "Unrated", "NA",Ramen_Ratings[[#This Row],[Stars]]&gt;=4, "Good", Ramen_Ratings[[#This Row],[Stars]]&gt;2.5, "Fair", Ramen_Ratings[[#This Row],[Stars]] &gt;= 0, "Bad")</f>
        <v>Fair</v>
      </c>
      <c r="J1754" t="str">
        <f>LEFT(Ramen_Ratings[[#This Row],[Top Ten]],4)</f>
        <v/>
      </c>
      <c r="K1754" t="str">
        <f>IF(Ramen_Ratings[[#This Row],[Top Ten]]="", "",RIGHT(Ramen_Ratings[[#This Row],[Top Ten]],LEN(Ramen_Ratings[[#This Row],[Top Ten]])-6))</f>
        <v/>
      </c>
    </row>
    <row r="1755" spans="1:11" x14ac:dyDescent="0.25">
      <c r="A1755">
        <v>1895</v>
      </c>
      <c r="B1755" t="s">
        <v>102</v>
      </c>
      <c r="C1755" t="s">
        <v>867</v>
      </c>
      <c r="D1755" t="s">
        <v>44</v>
      </c>
      <c r="E1755" t="s">
        <v>10</v>
      </c>
      <c r="F1755" t="str">
        <f>VLOOKUP(Ramen_Ratings[[#This Row],[Country]],Country_Region[#All],2,FALSE)</f>
        <v>Asia</v>
      </c>
      <c r="G1755">
        <v>5</v>
      </c>
      <c r="H1755" t="str" cm="1">
        <f t="array" ref="H1755">_xlfn.IFS(Ramen_Ratings[[#This Row],[Stars]] = "Unrated", "NA",Ramen_Ratings[[#This Row],[Stars]]&gt;=4, "Good", Ramen_Ratings[[#This Row],[Stars]]&gt;2.5, "Fair", Ramen_Ratings[[#This Row],[Stars]] &gt;= 0, "Bad")</f>
        <v>Good</v>
      </c>
      <c r="J1755" t="str">
        <f>LEFT(Ramen_Ratings[[#This Row],[Top Ten]],4)</f>
        <v/>
      </c>
      <c r="K1755" t="str">
        <f>IF(Ramen_Ratings[[#This Row],[Top Ten]]="", "",RIGHT(Ramen_Ratings[[#This Row],[Top Ten]],LEN(Ramen_Ratings[[#This Row],[Top Ten]])-6))</f>
        <v/>
      </c>
    </row>
    <row r="1756" spans="1:11" x14ac:dyDescent="0.25">
      <c r="A1756">
        <v>1893</v>
      </c>
      <c r="B1756" t="s">
        <v>15</v>
      </c>
      <c r="C1756" t="s">
        <v>869</v>
      </c>
      <c r="D1756" t="s">
        <v>9</v>
      </c>
      <c r="E1756" t="s">
        <v>10</v>
      </c>
      <c r="F1756" t="str">
        <f>VLOOKUP(Ramen_Ratings[[#This Row],[Country]],Country_Region[#All],2,FALSE)</f>
        <v>Asia</v>
      </c>
      <c r="G1756">
        <v>5</v>
      </c>
      <c r="H1756" t="str" cm="1">
        <f t="array" ref="H1756">_xlfn.IFS(Ramen_Ratings[[#This Row],[Stars]] = "Unrated", "NA",Ramen_Ratings[[#This Row],[Stars]]&gt;=4, "Good", Ramen_Ratings[[#This Row],[Stars]]&gt;2.5, "Fair", Ramen_Ratings[[#This Row],[Stars]] &gt;= 0, "Bad")</f>
        <v>Good</v>
      </c>
      <c r="J1756" t="str">
        <f>LEFT(Ramen_Ratings[[#This Row],[Top Ten]],4)</f>
        <v/>
      </c>
      <c r="K1756" t="str">
        <f>IF(Ramen_Ratings[[#This Row],[Top Ten]]="", "",RIGHT(Ramen_Ratings[[#This Row],[Top Ten]],LEN(Ramen_Ratings[[#This Row],[Top Ten]])-6))</f>
        <v/>
      </c>
    </row>
    <row r="1757" spans="1:11" x14ac:dyDescent="0.25">
      <c r="A1757">
        <v>1890</v>
      </c>
      <c r="B1757" t="s">
        <v>872</v>
      </c>
      <c r="C1757" t="s">
        <v>873</v>
      </c>
      <c r="D1757" t="s">
        <v>13</v>
      </c>
      <c r="E1757" t="s">
        <v>10</v>
      </c>
      <c r="F1757" t="str">
        <f>VLOOKUP(Ramen_Ratings[[#This Row],[Country]],Country_Region[#All],2,FALSE)</f>
        <v>Asia</v>
      </c>
      <c r="G1757">
        <v>4.5</v>
      </c>
      <c r="H1757" t="str" cm="1">
        <f t="array" ref="H1757">_xlfn.IFS(Ramen_Ratings[[#This Row],[Stars]] = "Unrated", "NA",Ramen_Ratings[[#This Row],[Stars]]&gt;=4, "Good", Ramen_Ratings[[#This Row],[Stars]]&gt;2.5, "Fair", Ramen_Ratings[[#This Row],[Stars]] &gt;= 0, "Bad")</f>
        <v>Good</v>
      </c>
      <c r="J1757" t="str">
        <f>LEFT(Ramen_Ratings[[#This Row],[Top Ten]],4)</f>
        <v/>
      </c>
      <c r="K1757" t="str">
        <f>IF(Ramen_Ratings[[#This Row],[Top Ten]]="", "",RIGHT(Ramen_Ratings[[#This Row],[Top Ten]],LEN(Ramen_Ratings[[#This Row],[Top Ten]])-6))</f>
        <v/>
      </c>
    </row>
    <row r="1758" spans="1:11" x14ac:dyDescent="0.25">
      <c r="A1758">
        <v>1872</v>
      </c>
      <c r="B1758" t="s">
        <v>768</v>
      </c>
      <c r="C1758" t="s">
        <v>891</v>
      </c>
      <c r="D1758" t="s">
        <v>13</v>
      </c>
      <c r="E1758" t="s">
        <v>10</v>
      </c>
      <c r="F1758" t="str">
        <f>VLOOKUP(Ramen_Ratings[[#This Row],[Country]],Country_Region[#All],2,FALSE)</f>
        <v>Asia</v>
      </c>
      <c r="G1758">
        <v>5</v>
      </c>
      <c r="H1758" t="str" cm="1">
        <f t="array" ref="H1758">_xlfn.IFS(Ramen_Ratings[[#This Row],[Stars]] = "Unrated", "NA",Ramen_Ratings[[#This Row],[Stars]]&gt;=4, "Good", Ramen_Ratings[[#This Row],[Stars]]&gt;2.5, "Fair", Ramen_Ratings[[#This Row],[Stars]] &gt;= 0, "Bad")</f>
        <v>Good</v>
      </c>
      <c r="J1758" t="str">
        <f>LEFT(Ramen_Ratings[[#This Row],[Top Ten]],4)</f>
        <v/>
      </c>
      <c r="K1758" t="str">
        <f>IF(Ramen_Ratings[[#This Row],[Top Ten]]="", "",RIGHT(Ramen_Ratings[[#This Row],[Top Ten]],LEN(Ramen_Ratings[[#This Row],[Top Ten]])-6))</f>
        <v/>
      </c>
    </row>
    <row r="1759" spans="1:11" x14ac:dyDescent="0.25">
      <c r="A1759">
        <v>1868</v>
      </c>
      <c r="B1759" t="s">
        <v>329</v>
      </c>
      <c r="C1759" t="s">
        <v>851</v>
      </c>
      <c r="D1759" t="s">
        <v>44</v>
      </c>
      <c r="E1759" t="s">
        <v>10</v>
      </c>
      <c r="F1759" t="str">
        <f>VLOOKUP(Ramen_Ratings[[#This Row],[Country]],Country_Region[#All],2,FALSE)</f>
        <v>Asia</v>
      </c>
      <c r="G1759">
        <v>4</v>
      </c>
      <c r="H1759" t="str" cm="1">
        <f t="array" ref="H1759">_xlfn.IFS(Ramen_Ratings[[#This Row],[Stars]] = "Unrated", "NA",Ramen_Ratings[[#This Row],[Stars]]&gt;=4, "Good", Ramen_Ratings[[#This Row],[Stars]]&gt;2.5, "Fair", Ramen_Ratings[[#This Row],[Stars]] &gt;= 0, "Bad")</f>
        <v>Good</v>
      </c>
      <c r="J1759" t="str">
        <f>LEFT(Ramen_Ratings[[#This Row],[Top Ten]],4)</f>
        <v/>
      </c>
      <c r="K1759" t="str">
        <f>IF(Ramen_Ratings[[#This Row],[Top Ten]]="", "",RIGHT(Ramen_Ratings[[#This Row],[Top Ten]],LEN(Ramen_Ratings[[#This Row],[Top Ten]])-6))</f>
        <v/>
      </c>
    </row>
    <row r="1760" spans="1:11" x14ac:dyDescent="0.25">
      <c r="A1760">
        <v>1860</v>
      </c>
      <c r="B1760" t="s">
        <v>15</v>
      </c>
      <c r="C1760" t="s">
        <v>904</v>
      </c>
      <c r="D1760" t="s">
        <v>9</v>
      </c>
      <c r="E1760" t="s">
        <v>10</v>
      </c>
      <c r="F1760" t="str">
        <f>VLOOKUP(Ramen_Ratings[[#This Row],[Country]],Country_Region[#All],2,FALSE)</f>
        <v>Asia</v>
      </c>
      <c r="G1760">
        <v>2.75</v>
      </c>
      <c r="H1760" t="str" cm="1">
        <f t="array" ref="H1760">_xlfn.IFS(Ramen_Ratings[[#This Row],[Stars]] = "Unrated", "NA",Ramen_Ratings[[#This Row],[Stars]]&gt;=4, "Good", Ramen_Ratings[[#This Row],[Stars]]&gt;2.5, "Fair", Ramen_Ratings[[#This Row],[Stars]] &gt;= 0, "Bad")</f>
        <v>Fair</v>
      </c>
      <c r="J1760" t="str">
        <f>LEFT(Ramen_Ratings[[#This Row],[Top Ten]],4)</f>
        <v/>
      </c>
      <c r="K1760" t="str">
        <f>IF(Ramen_Ratings[[#This Row],[Top Ten]]="", "",RIGHT(Ramen_Ratings[[#This Row],[Top Ten]],LEN(Ramen_Ratings[[#This Row],[Top Ten]])-6))</f>
        <v/>
      </c>
    </row>
    <row r="1761" spans="1:11" x14ac:dyDescent="0.25">
      <c r="A1761">
        <v>1858</v>
      </c>
      <c r="B1761" t="s">
        <v>183</v>
      </c>
      <c r="C1761" t="s">
        <v>906</v>
      </c>
      <c r="D1761" t="s">
        <v>44</v>
      </c>
      <c r="E1761" t="s">
        <v>10</v>
      </c>
      <c r="F1761" t="str">
        <f>VLOOKUP(Ramen_Ratings[[#This Row],[Country]],Country_Region[#All],2,FALSE)</f>
        <v>Asia</v>
      </c>
      <c r="G1761">
        <v>5</v>
      </c>
      <c r="H1761" t="str" cm="1">
        <f t="array" ref="H1761">_xlfn.IFS(Ramen_Ratings[[#This Row],[Stars]] = "Unrated", "NA",Ramen_Ratings[[#This Row],[Stars]]&gt;=4, "Good", Ramen_Ratings[[#This Row],[Stars]]&gt;2.5, "Fair", Ramen_Ratings[[#This Row],[Stars]] &gt;= 0, "Bad")</f>
        <v>Good</v>
      </c>
      <c r="J1761" t="str">
        <f>LEFT(Ramen_Ratings[[#This Row],[Top Ten]],4)</f>
        <v/>
      </c>
      <c r="K1761" t="str">
        <f>IF(Ramen_Ratings[[#This Row],[Top Ten]]="", "",RIGHT(Ramen_Ratings[[#This Row],[Top Ten]],LEN(Ramen_Ratings[[#This Row],[Top Ten]])-6))</f>
        <v/>
      </c>
    </row>
    <row r="1762" spans="1:11" x14ac:dyDescent="0.25">
      <c r="A1762">
        <v>1855</v>
      </c>
      <c r="B1762" t="s">
        <v>909</v>
      </c>
      <c r="C1762" t="s">
        <v>910</v>
      </c>
      <c r="D1762" t="s">
        <v>13</v>
      </c>
      <c r="E1762" t="s">
        <v>10</v>
      </c>
      <c r="F1762" t="str">
        <f>VLOOKUP(Ramen_Ratings[[#This Row],[Country]],Country_Region[#All],2,FALSE)</f>
        <v>Asia</v>
      </c>
      <c r="G1762">
        <v>3</v>
      </c>
      <c r="H1762" t="str" cm="1">
        <f t="array" ref="H1762">_xlfn.IFS(Ramen_Ratings[[#This Row],[Stars]] = "Unrated", "NA",Ramen_Ratings[[#This Row],[Stars]]&gt;=4, "Good", Ramen_Ratings[[#This Row],[Stars]]&gt;2.5, "Fair", Ramen_Ratings[[#This Row],[Stars]] &gt;= 0, "Bad")</f>
        <v>Fair</v>
      </c>
      <c r="J1762" t="str">
        <f>LEFT(Ramen_Ratings[[#This Row],[Top Ten]],4)</f>
        <v/>
      </c>
      <c r="K1762" t="str">
        <f>IF(Ramen_Ratings[[#This Row],[Top Ten]]="", "",RIGHT(Ramen_Ratings[[#This Row],[Top Ten]],LEN(Ramen_Ratings[[#This Row],[Top Ten]])-6))</f>
        <v/>
      </c>
    </row>
    <row r="1763" spans="1:11" x14ac:dyDescent="0.25">
      <c r="A1763">
        <v>1851</v>
      </c>
      <c r="B1763" t="s">
        <v>95</v>
      </c>
      <c r="C1763" t="s">
        <v>914</v>
      </c>
      <c r="D1763" t="s">
        <v>13</v>
      </c>
      <c r="E1763" t="s">
        <v>10</v>
      </c>
      <c r="F1763" t="str">
        <f>VLOOKUP(Ramen_Ratings[[#This Row],[Country]],Country_Region[#All],2,FALSE)</f>
        <v>Asia</v>
      </c>
      <c r="G1763">
        <v>3.5</v>
      </c>
      <c r="H1763" t="str" cm="1">
        <f t="array" ref="H1763">_xlfn.IFS(Ramen_Ratings[[#This Row],[Stars]] = "Unrated", "NA",Ramen_Ratings[[#This Row],[Stars]]&gt;=4, "Good", Ramen_Ratings[[#This Row],[Stars]]&gt;2.5, "Fair", Ramen_Ratings[[#This Row],[Stars]] &gt;= 0, "Bad")</f>
        <v>Fair</v>
      </c>
      <c r="J1763" t="str">
        <f>LEFT(Ramen_Ratings[[#This Row],[Top Ten]],4)</f>
        <v/>
      </c>
      <c r="K1763" t="str">
        <f>IF(Ramen_Ratings[[#This Row],[Top Ten]]="", "",RIGHT(Ramen_Ratings[[#This Row],[Top Ten]],LEN(Ramen_Ratings[[#This Row],[Top Ten]])-6))</f>
        <v/>
      </c>
    </row>
    <row r="1764" spans="1:11" x14ac:dyDescent="0.25">
      <c r="A1764">
        <v>1844</v>
      </c>
      <c r="B1764" t="s">
        <v>922</v>
      </c>
      <c r="C1764" t="s">
        <v>923</v>
      </c>
      <c r="D1764" t="s">
        <v>44</v>
      </c>
      <c r="E1764" t="s">
        <v>10</v>
      </c>
      <c r="F1764" t="str">
        <f>VLOOKUP(Ramen_Ratings[[#This Row],[Country]],Country_Region[#All],2,FALSE)</f>
        <v>Asia</v>
      </c>
      <c r="G1764">
        <v>5</v>
      </c>
      <c r="H1764" t="str" cm="1">
        <f t="array" ref="H1764">_xlfn.IFS(Ramen_Ratings[[#This Row],[Stars]] = "Unrated", "NA",Ramen_Ratings[[#This Row],[Stars]]&gt;=4, "Good", Ramen_Ratings[[#This Row],[Stars]]&gt;2.5, "Fair", Ramen_Ratings[[#This Row],[Stars]] &gt;= 0, "Bad")</f>
        <v>Good</v>
      </c>
      <c r="J1764" t="str">
        <f>LEFT(Ramen_Ratings[[#This Row],[Top Ten]],4)</f>
        <v/>
      </c>
      <c r="K1764" t="str">
        <f>IF(Ramen_Ratings[[#This Row],[Top Ten]]="", "",RIGHT(Ramen_Ratings[[#This Row],[Top Ten]],LEN(Ramen_Ratings[[#This Row],[Top Ten]])-6))</f>
        <v/>
      </c>
    </row>
    <row r="1765" spans="1:11" x14ac:dyDescent="0.25">
      <c r="A1765">
        <v>1831</v>
      </c>
      <c r="B1765" t="s">
        <v>872</v>
      </c>
      <c r="C1765" t="s">
        <v>938</v>
      </c>
      <c r="D1765" t="s">
        <v>13</v>
      </c>
      <c r="E1765" t="s">
        <v>10</v>
      </c>
      <c r="F1765" t="str">
        <f>VLOOKUP(Ramen_Ratings[[#This Row],[Country]],Country_Region[#All],2,FALSE)</f>
        <v>Asia</v>
      </c>
      <c r="G1765">
        <v>4</v>
      </c>
      <c r="H1765" t="str" cm="1">
        <f t="array" ref="H1765">_xlfn.IFS(Ramen_Ratings[[#This Row],[Stars]] = "Unrated", "NA",Ramen_Ratings[[#This Row],[Stars]]&gt;=4, "Good", Ramen_Ratings[[#This Row],[Stars]]&gt;2.5, "Fair", Ramen_Ratings[[#This Row],[Stars]] &gt;= 0, "Bad")</f>
        <v>Good</v>
      </c>
      <c r="J1765" t="str">
        <f>LEFT(Ramen_Ratings[[#This Row],[Top Ten]],4)</f>
        <v/>
      </c>
      <c r="K1765" t="str">
        <f>IF(Ramen_Ratings[[#This Row],[Top Ten]]="", "",RIGHT(Ramen_Ratings[[#This Row],[Top Ten]],LEN(Ramen_Ratings[[#This Row],[Top Ten]])-6))</f>
        <v/>
      </c>
    </row>
    <row r="1766" spans="1:11" x14ac:dyDescent="0.25">
      <c r="A1766">
        <v>1818</v>
      </c>
      <c r="B1766" t="s">
        <v>953</v>
      </c>
      <c r="C1766" t="s">
        <v>954</v>
      </c>
      <c r="D1766" t="s">
        <v>44</v>
      </c>
      <c r="E1766" t="s">
        <v>10</v>
      </c>
      <c r="F1766" t="str">
        <f>VLOOKUP(Ramen_Ratings[[#This Row],[Country]],Country_Region[#All],2,FALSE)</f>
        <v>Asia</v>
      </c>
      <c r="G1766">
        <v>4.5</v>
      </c>
      <c r="H1766" t="str" cm="1">
        <f t="array" ref="H1766">_xlfn.IFS(Ramen_Ratings[[#This Row],[Stars]] = "Unrated", "NA",Ramen_Ratings[[#This Row],[Stars]]&gt;=4, "Good", Ramen_Ratings[[#This Row],[Stars]]&gt;2.5, "Fair", Ramen_Ratings[[#This Row],[Stars]] &gt;= 0, "Bad")</f>
        <v>Good</v>
      </c>
      <c r="J1766" t="str">
        <f>LEFT(Ramen_Ratings[[#This Row],[Top Ten]],4)</f>
        <v/>
      </c>
      <c r="K1766" t="str">
        <f>IF(Ramen_Ratings[[#This Row],[Top Ten]]="", "",RIGHT(Ramen_Ratings[[#This Row],[Top Ten]],LEN(Ramen_Ratings[[#This Row],[Top Ten]])-6))</f>
        <v/>
      </c>
    </row>
    <row r="1767" spans="1:11" x14ac:dyDescent="0.25">
      <c r="A1767">
        <v>1815</v>
      </c>
      <c r="B1767" t="s">
        <v>958</v>
      </c>
      <c r="C1767" t="s">
        <v>959</v>
      </c>
      <c r="D1767" t="s">
        <v>13</v>
      </c>
      <c r="E1767" t="s">
        <v>10</v>
      </c>
      <c r="F1767" t="str">
        <f>VLOOKUP(Ramen_Ratings[[#This Row],[Country]],Country_Region[#All],2,FALSE)</f>
        <v>Asia</v>
      </c>
      <c r="G1767">
        <v>4</v>
      </c>
      <c r="H1767" t="str" cm="1">
        <f t="array" ref="H1767">_xlfn.IFS(Ramen_Ratings[[#This Row],[Stars]] = "Unrated", "NA",Ramen_Ratings[[#This Row],[Stars]]&gt;=4, "Good", Ramen_Ratings[[#This Row],[Stars]]&gt;2.5, "Fair", Ramen_Ratings[[#This Row],[Stars]] &gt;= 0, "Bad")</f>
        <v>Good</v>
      </c>
      <c r="J1767" t="str">
        <f>LEFT(Ramen_Ratings[[#This Row],[Top Ten]],4)</f>
        <v/>
      </c>
      <c r="K1767" t="str">
        <f>IF(Ramen_Ratings[[#This Row],[Top Ten]]="", "",RIGHT(Ramen_Ratings[[#This Row],[Top Ten]],LEN(Ramen_Ratings[[#This Row],[Top Ten]])-6))</f>
        <v/>
      </c>
    </row>
    <row r="1768" spans="1:11" x14ac:dyDescent="0.25">
      <c r="A1768">
        <v>1809</v>
      </c>
      <c r="B1768" t="s">
        <v>329</v>
      </c>
      <c r="C1768" t="s">
        <v>965</v>
      </c>
      <c r="D1768" t="s">
        <v>44</v>
      </c>
      <c r="E1768" t="s">
        <v>10</v>
      </c>
      <c r="F1768" t="str">
        <f>VLOOKUP(Ramen_Ratings[[#This Row],[Country]],Country_Region[#All],2,FALSE)</f>
        <v>Asia</v>
      </c>
      <c r="G1768">
        <v>4.75</v>
      </c>
      <c r="H1768" t="str" cm="1">
        <f t="array" ref="H1768">_xlfn.IFS(Ramen_Ratings[[#This Row],[Stars]] = "Unrated", "NA",Ramen_Ratings[[#This Row],[Stars]]&gt;=4, "Good", Ramen_Ratings[[#This Row],[Stars]]&gt;2.5, "Fair", Ramen_Ratings[[#This Row],[Stars]] &gt;= 0, "Bad")</f>
        <v>Good</v>
      </c>
      <c r="J1768" t="str">
        <f>LEFT(Ramen_Ratings[[#This Row],[Top Ten]],4)</f>
        <v/>
      </c>
      <c r="K1768" t="str">
        <f>IF(Ramen_Ratings[[#This Row],[Top Ten]]="", "",RIGHT(Ramen_Ratings[[#This Row],[Top Ten]],LEN(Ramen_Ratings[[#This Row],[Top Ten]])-6))</f>
        <v/>
      </c>
    </row>
    <row r="1769" spans="1:11" x14ac:dyDescent="0.25">
      <c r="A1769">
        <v>1796</v>
      </c>
      <c r="B1769" t="s">
        <v>95</v>
      </c>
      <c r="C1769" t="s">
        <v>980</v>
      </c>
      <c r="D1769" t="s">
        <v>13</v>
      </c>
      <c r="E1769" t="s">
        <v>10</v>
      </c>
      <c r="F1769" t="str">
        <f>VLOOKUP(Ramen_Ratings[[#This Row],[Country]],Country_Region[#All],2,FALSE)</f>
        <v>Asia</v>
      </c>
      <c r="G1769">
        <v>4.75</v>
      </c>
      <c r="H1769" t="str" cm="1">
        <f t="array" ref="H1769">_xlfn.IFS(Ramen_Ratings[[#This Row],[Stars]] = "Unrated", "NA",Ramen_Ratings[[#This Row],[Stars]]&gt;=4, "Good", Ramen_Ratings[[#This Row],[Stars]]&gt;2.5, "Fair", Ramen_Ratings[[#This Row],[Stars]] &gt;= 0, "Bad")</f>
        <v>Good</v>
      </c>
      <c r="J1769" t="str">
        <f>LEFT(Ramen_Ratings[[#This Row],[Top Ten]],4)</f>
        <v/>
      </c>
      <c r="K1769" t="str">
        <f>IF(Ramen_Ratings[[#This Row],[Top Ten]]="", "",RIGHT(Ramen_Ratings[[#This Row],[Top Ten]],LEN(Ramen_Ratings[[#This Row],[Top Ten]])-6))</f>
        <v/>
      </c>
    </row>
    <row r="1770" spans="1:11" x14ac:dyDescent="0.25">
      <c r="A1770">
        <v>1784</v>
      </c>
      <c r="B1770" t="s">
        <v>994</v>
      </c>
      <c r="C1770" t="s">
        <v>665</v>
      </c>
      <c r="D1770" t="s">
        <v>13</v>
      </c>
      <c r="E1770" t="s">
        <v>10</v>
      </c>
      <c r="F1770" t="str">
        <f>VLOOKUP(Ramen_Ratings[[#This Row],[Country]],Country_Region[#All],2,FALSE)</f>
        <v>Asia</v>
      </c>
      <c r="G1770">
        <v>5</v>
      </c>
      <c r="H1770" t="str" cm="1">
        <f t="array" ref="H1770">_xlfn.IFS(Ramen_Ratings[[#This Row],[Stars]] = "Unrated", "NA",Ramen_Ratings[[#This Row],[Stars]]&gt;=4, "Good", Ramen_Ratings[[#This Row],[Stars]]&gt;2.5, "Fair", Ramen_Ratings[[#This Row],[Stars]] &gt;= 0, "Bad")</f>
        <v>Good</v>
      </c>
      <c r="J1770" t="str">
        <f>LEFT(Ramen_Ratings[[#This Row],[Top Ten]],4)</f>
        <v/>
      </c>
      <c r="K1770" t="str">
        <f>IF(Ramen_Ratings[[#This Row],[Top Ten]]="", "",RIGHT(Ramen_Ratings[[#This Row],[Top Ten]],LEN(Ramen_Ratings[[#This Row],[Top Ten]])-6))</f>
        <v/>
      </c>
    </row>
    <row r="1771" spans="1:11" x14ac:dyDescent="0.25">
      <c r="A1771">
        <v>1768</v>
      </c>
      <c r="B1771" t="s">
        <v>7</v>
      </c>
      <c r="C1771" t="s">
        <v>1012</v>
      </c>
      <c r="D1771" t="s">
        <v>44</v>
      </c>
      <c r="E1771" t="s">
        <v>10</v>
      </c>
      <c r="F1771" t="str">
        <f>VLOOKUP(Ramen_Ratings[[#This Row],[Country]],Country_Region[#All],2,FALSE)</f>
        <v>Asia</v>
      </c>
      <c r="G1771">
        <v>5</v>
      </c>
      <c r="H1771" t="str" cm="1">
        <f t="array" ref="H1771">_xlfn.IFS(Ramen_Ratings[[#This Row],[Stars]] = "Unrated", "NA",Ramen_Ratings[[#This Row],[Stars]]&gt;=4, "Good", Ramen_Ratings[[#This Row],[Stars]]&gt;2.5, "Fair", Ramen_Ratings[[#This Row],[Stars]] &gt;= 0, "Bad")</f>
        <v>Good</v>
      </c>
      <c r="J1771" t="str">
        <f>LEFT(Ramen_Ratings[[#This Row],[Top Ten]],4)</f>
        <v/>
      </c>
      <c r="K1771" t="str">
        <f>IF(Ramen_Ratings[[#This Row],[Top Ten]]="", "",RIGHT(Ramen_Ratings[[#This Row],[Top Ten]],LEN(Ramen_Ratings[[#This Row],[Top Ten]])-6))</f>
        <v/>
      </c>
    </row>
    <row r="1772" spans="1:11" x14ac:dyDescent="0.25">
      <c r="A1772">
        <v>1763</v>
      </c>
      <c r="B1772" t="s">
        <v>1017</v>
      </c>
      <c r="C1772" t="s">
        <v>1018</v>
      </c>
      <c r="D1772" t="s">
        <v>13</v>
      </c>
      <c r="E1772" t="s">
        <v>10</v>
      </c>
      <c r="F1772" t="str">
        <f>VLOOKUP(Ramen_Ratings[[#This Row],[Country]],Country_Region[#All],2,FALSE)</f>
        <v>Asia</v>
      </c>
      <c r="G1772">
        <v>4.5</v>
      </c>
      <c r="H1772" t="str" cm="1">
        <f t="array" ref="H1772">_xlfn.IFS(Ramen_Ratings[[#This Row],[Stars]] = "Unrated", "NA",Ramen_Ratings[[#This Row],[Stars]]&gt;=4, "Good", Ramen_Ratings[[#This Row],[Stars]]&gt;2.5, "Fair", Ramen_Ratings[[#This Row],[Stars]] &gt;= 0, "Bad")</f>
        <v>Good</v>
      </c>
      <c r="J1772" t="str">
        <f>LEFT(Ramen_Ratings[[#This Row],[Top Ten]],4)</f>
        <v/>
      </c>
      <c r="K1772" t="str">
        <f>IF(Ramen_Ratings[[#This Row],[Top Ten]]="", "",RIGHT(Ramen_Ratings[[#This Row],[Top Ten]],LEN(Ramen_Ratings[[#This Row],[Top Ten]])-6))</f>
        <v/>
      </c>
    </row>
    <row r="1773" spans="1:11" x14ac:dyDescent="0.25">
      <c r="A1773">
        <v>1760</v>
      </c>
      <c r="B1773" t="s">
        <v>7</v>
      </c>
      <c r="C1773" t="s">
        <v>1022</v>
      </c>
      <c r="D1773" t="s">
        <v>44</v>
      </c>
      <c r="E1773" t="s">
        <v>10</v>
      </c>
      <c r="F1773" t="str">
        <f>VLOOKUP(Ramen_Ratings[[#This Row],[Country]],Country_Region[#All],2,FALSE)</f>
        <v>Asia</v>
      </c>
      <c r="G1773">
        <v>4.5</v>
      </c>
      <c r="H1773" t="str" cm="1">
        <f t="array" ref="H1773">_xlfn.IFS(Ramen_Ratings[[#This Row],[Stars]] = "Unrated", "NA",Ramen_Ratings[[#This Row],[Stars]]&gt;=4, "Good", Ramen_Ratings[[#This Row],[Stars]]&gt;2.5, "Fair", Ramen_Ratings[[#This Row],[Stars]] &gt;= 0, "Bad")</f>
        <v>Good</v>
      </c>
      <c r="J1773" t="str">
        <f>LEFT(Ramen_Ratings[[#This Row],[Top Ten]],4)</f>
        <v/>
      </c>
      <c r="K1773" t="str">
        <f>IF(Ramen_Ratings[[#This Row],[Top Ten]]="", "",RIGHT(Ramen_Ratings[[#This Row],[Top Ten]],LEN(Ramen_Ratings[[#This Row],[Top Ten]])-6))</f>
        <v/>
      </c>
    </row>
    <row r="1774" spans="1:11" x14ac:dyDescent="0.25">
      <c r="A1774">
        <v>1752</v>
      </c>
      <c r="B1774" t="s">
        <v>872</v>
      </c>
      <c r="C1774" t="s">
        <v>1028</v>
      </c>
      <c r="D1774" t="s">
        <v>13</v>
      </c>
      <c r="E1774" t="s">
        <v>10</v>
      </c>
      <c r="F1774" t="str">
        <f>VLOOKUP(Ramen_Ratings[[#This Row],[Country]],Country_Region[#All],2,FALSE)</f>
        <v>Asia</v>
      </c>
      <c r="G1774">
        <v>4.75</v>
      </c>
      <c r="H1774" t="str" cm="1">
        <f t="array" ref="H1774">_xlfn.IFS(Ramen_Ratings[[#This Row],[Stars]] = "Unrated", "NA",Ramen_Ratings[[#This Row],[Stars]]&gt;=4, "Good", Ramen_Ratings[[#This Row],[Stars]]&gt;2.5, "Fair", Ramen_Ratings[[#This Row],[Stars]] &gt;= 0, "Bad")</f>
        <v>Good</v>
      </c>
      <c r="J1774" t="str">
        <f>LEFT(Ramen_Ratings[[#This Row],[Top Ten]],4)</f>
        <v/>
      </c>
      <c r="K1774" t="str">
        <f>IF(Ramen_Ratings[[#This Row],[Top Ten]]="", "",RIGHT(Ramen_Ratings[[#This Row],[Top Ten]],LEN(Ramen_Ratings[[#This Row],[Top Ten]])-6))</f>
        <v/>
      </c>
    </row>
    <row r="1775" spans="1:11" x14ac:dyDescent="0.25">
      <c r="A1775">
        <v>1746</v>
      </c>
      <c r="B1775" t="s">
        <v>329</v>
      </c>
      <c r="C1775" t="s">
        <v>1034</v>
      </c>
      <c r="D1775" t="s">
        <v>44</v>
      </c>
      <c r="E1775" t="s">
        <v>10</v>
      </c>
      <c r="F1775" t="str">
        <f>VLOOKUP(Ramen_Ratings[[#This Row],[Country]],Country_Region[#All],2,FALSE)</f>
        <v>Asia</v>
      </c>
      <c r="G1775">
        <v>4.25</v>
      </c>
      <c r="H1775" t="str" cm="1">
        <f t="array" ref="H1775">_xlfn.IFS(Ramen_Ratings[[#This Row],[Stars]] = "Unrated", "NA",Ramen_Ratings[[#This Row],[Stars]]&gt;=4, "Good", Ramen_Ratings[[#This Row],[Stars]]&gt;2.5, "Fair", Ramen_Ratings[[#This Row],[Stars]] &gt;= 0, "Bad")</f>
        <v>Good</v>
      </c>
      <c r="J1775" t="str">
        <f>LEFT(Ramen_Ratings[[#This Row],[Top Ten]],4)</f>
        <v/>
      </c>
      <c r="K1775" t="str">
        <f>IF(Ramen_Ratings[[#This Row],[Top Ten]]="", "",RIGHT(Ramen_Ratings[[#This Row],[Top Ten]],LEN(Ramen_Ratings[[#This Row],[Top Ten]])-6))</f>
        <v/>
      </c>
    </row>
    <row r="1776" spans="1:11" x14ac:dyDescent="0.25">
      <c r="A1776">
        <v>1739</v>
      </c>
      <c r="B1776" t="s">
        <v>15</v>
      </c>
      <c r="C1776" t="s">
        <v>1042</v>
      </c>
      <c r="D1776" t="s">
        <v>44</v>
      </c>
      <c r="E1776" t="s">
        <v>10</v>
      </c>
      <c r="F1776" t="str">
        <f>VLOOKUP(Ramen_Ratings[[#This Row],[Country]],Country_Region[#All],2,FALSE)</f>
        <v>Asia</v>
      </c>
      <c r="G1776">
        <v>4.5</v>
      </c>
      <c r="H1776" t="str" cm="1">
        <f t="array" ref="H1776">_xlfn.IFS(Ramen_Ratings[[#This Row],[Stars]] = "Unrated", "NA",Ramen_Ratings[[#This Row],[Stars]]&gt;=4, "Good", Ramen_Ratings[[#This Row],[Stars]]&gt;2.5, "Fair", Ramen_Ratings[[#This Row],[Stars]] &gt;= 0, "Bad")</f>
        <v>Good</v>
      </c>
      <c r="J1776" t="str">
        <f>LEFT(Ramen_Ratings[[#This Row],[Top Ten]],4)</f>
        <v/>
      </c>
      <c r="K1776" t="str">
        <f>IF(Ramen_Ratings[[#This Row],[Top Ten]]="", "",RIGHT(Ramen_Ratings[[#This Row],[Top Ten]],LEN(Ramen_Ratings[[#This Row],[Top Ten]])-6))</f>
        <v/>
      </c>
    </row>
    <row r="1777" spans="1:11" x14ac:dyDescent="0.25">
      <c r="A1777">
        <v>1728</v>
      </c>
      <c r="B1777" t="s">
        <v>1052</v>
      </c>
      <c r="C1777" t="s">
        <v>1053</v>
      </c>
      <c r="D1777" t="s">
        <v>44</v>
      </c>
      <c r="E1777" t="s">
        <v>10</v>
      </c>
      <c r="F1777" t="str">
        <f>VLOOKUP(Ramen_Ratings[[#This Row],[Country]],Country_Region[#All],2,FALSE)</f>
        <v>Asia</v>
      </c>
      <c r="G1777">
        <v>3.25</v>
      </c>
      <c r="H1777" t="str" cm="1">
        <f t="array" ref="H1777">_xlfn.IFS(Ramen_Ratings[[#This Row],[Stars]] = "Unrated", "NA",Ramen_Ratings[[#This Row],[Stars]]&gt;=4, "Good", Ramen_Ratings[[#This Row],[Stars]]&gt;2.5, "Fair", Ramen_Ratings[[#This Row],[Stars]] &gt;= 0, "Bad")</f>
        <v>Fair</v>
      </c>
      <c r="J1777" t="str">
        <f>LEFT(Ramen_Ratings[[#This Row],[Top Ten]],4)</f>
        <v/>
      </c>
      <c r="K1777" t="str">
        <f>IF(Ramen_Ratings[[#This Row],[Top Ten]]="", "",RIGHT(Ramen_Ratings[[#This Row],[Top Ten]],LEN(Ramen_Ratings[[#This Row],[Top Ten]])-6))</f>
        <v/>
      </c>
    </row>
    <row r="1778" spans="1:11" x14ac:dyDescent="0.25">
      <c r="A1778">
        <v>1712</v>
      </c>
      <c r="B1778" t="s">
        <v>1073</v>
      </c>
      <c r="C1778" t="s">
        <v>1074</v>
      </c>
      <c r="D1778" t="s">
        <v>13</v>
      </c>
      <c r="E1778" t="s">
        <v>10</v>
      </c>
      <c r="F1778" t="str">
        <f>VLOOKUP(Ramen_Ratings[[#This Row],[Country]],Country_Region[#All],2,FALSE)</f>
        <v>Asia</v>
      </c>
      <c r="G1778">
        <v>4.5</v>
      </c>
      <c r="H1778" t="str" cm="1">
        <f t="array" ref="H1778">_xlfn.IFS(Ramen_Ratings[[#This Row],[Stars]] = "Unrated", "NA",Ramen_Ratings[[#This Row],[Stars]]&gt;=4, "Good", Ramen_Ratings[[#This Row],[Stars]]&gt;2.5, "Fair", Ramen_Ratings[[#This Row],[Stars]] &gt;= 0, "Bad")</f>
        <v>Good</v>
      </c>
      <c r="J1778" t="str">
        <f>LEFT(Ramen_Ratings[[#This Row],[Top Ten]],4)</f>
        <v/>
      </c>
      <c r="K1778" t="str">
        <f>IF(Ramen_Ratings[[#This Row],[Top Ten]]="", "",RIGHT(Ramen_Ratings[[#This Row],[Top Ten]],LEN(Ramen_Ratings[[#This Row],[Top Ten]])-6))</f>
        <v/>
      </c>
    </row>
    <row r="1779" spans="1:11" x14ac:dyDescent="0.25">
      <c r="A1779">
        <v>1702</v>
      </c>
      <c r="B1779" t="s">
        <v>23</v>
      </c>
      <c r="C1779" t="s">
        <v>1086</v>
      </c>
      <c r="D1779" t="s">
        <v>9</v>
      </c>
      <c r="E1779" t="s">
        <v>10</v>
      </c>
      <c r="F1779" t="str">
        <f>VLOOKUP(Ramen_Ratings[[#This Row],[Country]],Country_Region[#All],2,FALSE)</f>
        <v>Asia</v>
      </c>
      <c r="G1779">
        <v>2.75</v>
      </c>
      <c r="H1779" t="str" cm="1">
        <f t="array" ref="H1779">_xlfn.IFS(Ramen_Ratings[[#This Row],[Stars]] = "Unrated", "NA",Ramen_Ratings[[#This Row],[Stars]]&gt;=4, "Good", Ramen_Ratings[[#This Row],[Stars]]&gt;2.5, "Fair", Ramen_Ratings[[#This Row],[Stars]] &gt;= 0, "Bad")</f>
        <v>Fair</v>
      </c>
      <c r="J1779" t="str">
        <f>LEFT(Ramen_Ratings[[#This Row],[Top Ten]],4)</f>
        <v/>
      </c>
      <c r="K1779" t="str">
        <f>IF(Ramen_Ratings[[#This Row],[Top Ten]]="", "",RIGHT(Ramen_Ratings[[#This Row],[Top Ten]],LEN(Ramen_Ratings[[#This Row],[Top Ten]])-6))</f>
        <v/>
      </c>
    </row>
    <row r="1780" spans="1:11" x14ac:dyDescent="0.25">
      <c r="A1780">
        <v>1701</v>
      </c>
      <c r="B1780" t="s">
        <v>1073</v>
      </c>
      <c r="C1780" t="s">
        <v>1087</v>
      </c>
      <c r="D1780" t="s">
        <v>13</v>
      </c>
      <c r="E1780" t="s">
        <v>10</v>
      </c>
      <c r="F1780" t="str">
        <f>VLOOKUP(Ramen_Ratings[[#This Row],[Country]],Country_Region[#All],2,FALSE)</f>
        <v>Asia</v>
      </c>
      <c r="G1780">
        <v>4.25</v>
      </c>
      <c r="H1780" t="str" cm="1">
        <f t="array" ref="H1780">_xlfn.IFS(Ramen_Ratings[[#This Row],[Stars]] = "Unrated", "NA",Ramen_Ratings[[#This Row],[Stars]]&gt;=4, "Good", Ramen_Ratings[[#This Row],[Stars]]&gt;2.5, "Fair", Ramen_Ratings[[#This Row],[Stars]] &gt;= 0, "Bad")</f>
        <v>Good</v>
      </c>
      <c r="J1780" t="str">
        <f>LEFT(Ramen_Ratings[[#This Row],[Top Ten]],4)</f>
        <v/>
      </c>
      <c r="K1780" t="str">
        <f>IF(Ramen_Ratings[[#This Row],[Top Ten]]="", "",RIGHT(Ramen_Ratings[[#This Row],[Top Ten]],LEN(Ramen_Ratings[[#This Row],[Top Ten]])-6))</f>
        <v/>
      </c>
    </row>
    <row r="1781" spans="1:11" x14ac:dyDescent="0.25">
      <c r="A1781">
        <v>1631</v>
      </c>
      <c r="B1781" t="s">
        <v>15</v>
      </c>
      <c r="C1781" t="s">
        <v>1177</v>
      </c>
      <c r="D1781" t="s">
        <v>44</v>
      </c>
      <c r="E1781" t="s">
        <v>10</v>
      </c>
      <c r="F1781" t="str">
        <f>VLOOKUP(Ramen_Ratings[[#This Row],[Country]],Country_Region[#All],2,FALSE)</f>
        <v>Asia</v>
      </c>
      <c r="G1781">
        <v>4</v>
      </c>
      <c r="H1781" t="str" cm="1">
        <f t="array" ref="H1781">_xlfn.IFS(Ramen_Ratings[[#This Row],[Stars]] = "Unrated", "NA",Ramen_Ratings[[#This Row],[Stars]]&gt;=4, "Good", Ramen_Ratings[[#This Row],[Stars]]&gt;2.5, "Fair", Ramen_Ratings[[#This Row],[Stars]] &gt;= 0, "Bad")</f>
        <v>Good</v>
      </c>
      <c r="J1781" t="str">
        <f>LEFT(Ramen_Ratings[[#This Row],[Top Ten]],4)</f>
        <v/>
      </c>
      <c r="K1781" t="str">
        <f>IF(Ramen_Ratings[[#This Row],[Top Ten]]="", "",RIGHT(Ramen_Ratings[[#This Row],[Top Ten]],LEN(Ramen_Ratings[[#This Row],[Top Ten]])-6))</f>
        <v/>
      </c>
    </row>
    <row r="1782" spans="1:11" x14ac:dyDescent="0.25">
      <c r="A1782">
        <v>1626</v>
      </c>
      <c r="B1782" t="s">
        <v>15</v>
      </c>
      <c r="C1782" t="s">
        <v>1182</v>
      </c>
      <c r="D1782" t="s">
        <v>44</v>
      </c>
      <c r="E1782" t="s">
        <v>10</v>
      </c>
      <c r="F1782" t="str">
        <f>VLOOKUP(Ramen_Ratings[[#This Row],[Country]],Country_Region[#All],2,FALSE)</f>
        <v>Asia</v>
      </c>
      <c r="G1782">
        <v>2.75</v>
      </c>
      <c r="H1782" t="str" cm="1">
        <f t="array" ref="H1782">_xlfn.IFS(Ramen_Ratings[[#This Row],[Stars]] = "Unrated", "NA",Ramen_Ratings[[#This Row],[Stars]]&gt;=4, "Good", Ramen_Ratings[[#This Row],[Stars]]&gt;2.5, "Fair", Ramen_Ratings[[#This Row],[Stars]] &gt;= 0, "Bad")</f>
        <v>Fair</v>
      </c>
      <c r="J1782" t="str">
        <f>LEFT(Ramen_Ratings[[#This Row],[Top Ten]],4)</f>
        <v/>
      </c>
      <c r="K1782" t="str">
        <f>IF(Ramen_Ratings[[#This Row],[Top Ten]]="", "",RIGHT(Ramen_Ratings[[#This Row],[Top Ten]],LEN(Ramen_Ratings[[#This Row],[Top Ten]])-6))</f>
        <v/>
      </c>
    </row>
    <row r="1783" spans="1:11" x14ac:dyDescent="0.25">
      <c r="A1783">
        <v>1621</v>
      </c>
      <c r="B1783" t="s">
        <v>183</v>
      </c>
      <c r="C1783" t="s">
        <v>1187</v>
      </c>
      <c r="D1783" t="s">
        <v>44</v>
      </c>
      <c r="E1783" t="s">
        <v>10</v>
      </c>
      <c r="F1783" t="str">
        <f>VLOOKUP(Ramen_Ratings[[#This Row],[Country]],Country_Region[#All],2,FALSE)</f>
        <v>Asia</v>
      </c>
      <c r="G1783">
        <v>3</v>
      </c>
      <c r="H1783" t="str" cm="1">
        <f t="array" ref="H1783">_xlfn.IFS(Ramen_Ratings[[#This Row],[Stars]] = "Unrated", "NA",Ramen_Ratings[[#This Row],[Stars]]&gt;=4, "Good", Ramen_Ratings[[#This Row],[Stars]]&gt;2.5, "Fair", Ramen_Ratings[[#This Row],[Stars]] &gt;= 0, "Bad")</f>
        <v>Fair</v>
      </c>
      <c r="J1783" t="str">
        <f>LEFT(Ramen_Ratings[[#This Row],[Top Ten]],4)</f>
        <v/>
      </c>
      <c r="K1783" t="str">
        <f>IF(Ramen_Ratings[[#This Row],[Top Ten]]="", "",RIGHT(Ramen_Ratings[[#This Row],[Top Ten]],LEN(Ramen_Ratings[[#This Row],[Top Ten]])-6))</f>
        <v/>
      </c>
    </row>
    <row r="1784" spans="1:11" x14ac:dyDescent="0.25">
      <c r="A1784">
        <v>1613</v>
      </c>
      <c r="B1784" t="s">
        <v>102</v>
      </c>
      <c r="C1784" t="s">
        <v>1199</v>
      </c>
      <c r="D1784" t="s">
        <v>44</v>
      </c>
      <c r="E1784" t="s">
        <v>10</v>
      </c>
      <c r="F1784" t="str">
        <f>VLOOKUP(Ramen_Ratings[[#This Row],[Country]],Country_Region[#All],2,FALSE)</f>
        <v>Asia</v>
      </c>
      <c r="G1784">
        <v>3.25</v>
      </c>
      <c r="H1784" t="str" cm="1">
        <f t="array" ref="H1784">_xlfn.IFS(Ramen_Ratings[[#This Row],[Stars]] = "Unrated", "NA",Ramen_Ratings[[#This Row],[Stars]]&gt;=4, "Good", Ramen_Ratings[[#This Row],[Stars]]&gt;2.5, "Fair", Ramen_Ratings[[#This Row],[Stars]] &gt;= 0, "Bad")</f>
        <v>Fair</v>
      </c>
      <c r="J1784" t="str">
        <f>LEFT(Ramen_Ratings[[#This Row],[Top Ten]],4)</f>
        <v/>
      </c>
      <c r="K1784" t="str">
        <f>IF(Ramen_Ratings[[#This Row],[Top Ten]]="", "",RIGHT(Ramen_Ratings[[#This Row],[Top Ten]],LEN(Ramen_Ratings[[#This Row],[Top Ten]])-6))</f>
        <v/>
      </c>
    </row>
    <row r="1785" spans="1:11" x14ac:dyDescent="0.25">
      <c r="A1785">
        <v>1609</v>
      </c>
      <c r="B1785" t="s">
        <v>1203</v>
      </c>
      <c r="C1785" t="s">
        <v>1204</v>
      </c>
      <c r="D1785" t="s">
        <v>13</v>
      </c>
      <c r="E1785" t="s">
        <v>10</v>
      </c>
      <c r="F1785" t="str">
        <f>VLOOKUP(Ramen_Ratings[[#This Row],[Country]],Country_Region[#All],2,FALSE)</f>
        <v>Asia</v>
      </c>
      <c r="G1785">
        <v>0.25</v>
      </c>
      <c r="H1785" t="str" cm="1">
        <f t="array" ref="H1785">_xlfn.IFS(Ramen_Ratings[[#This Row],[Stars]] = "Unrated", "NA",Ramen_Ratings[[#This Row],[Stars]]&gt;=4, "Good", Ramen_Ratings[[#This Row],[Stars]]&gt;2.5, "Fair", Ramen_Ratings[[#This Row],[Stars]] &gt;= 0, "Bad")</f>
        <v>Bad</v>
      </c>
      <c r="J1785" t="str">
        <f>LEFT(Ramen_Ratings[[#This Row],[Top Ten]],4)</f>
        <v/>
      </c>
      <c r="K1785" t="str">
        <f>IF(Ramen_Ratings[[#This Row],[Top Ten]]="", "",RIGHT(Ramen_Ratings[[#This Row],[Top Ten]],LEN(Ramen_Ratings[[#This Row],[Top Ten]])-6))</f>
        <v/>
      </c>
    </row>
    <row r="1786" spans="1:11" x14ac:dyDescent="0.25">
      <c r="A1786">
        <v>1607</v>
      </c>
      <c r="B1786" t="s">
        <v>183</v>
      </c>
      <c r="C1786" t="s">
        <v>1206</v>
      </c>
      <c r="D1786" t="s">
        <v>44</v>
      </c>
      <c r="E1786" t="s">
        <v>10</v>
      </c>
      <c r="F1786" t="str">
        <f>VLOOKUP(Ramen_Ratings[[#This Row],[Country]],Country_Region[#All],2,FALSE)</f>
        <v>Asia</v>
      </c>
      <c r="G1786">
        <v>2.75</v>
      </c>
      <c r="H1786" t="str" cm="1">
        <f t="array" ref="H1786">_xlfn.IFS(Ramen_Ratings[[#This Row],[Stars]] = "Unrated", "NA",Ramen_Ratings[[#This Row],[Stars]]&gt;=4, "Good", Ramen_Ratings[[#This Row],[Stars]]&gt;2.5, "Fair", Ramen_Ratings[[#This Row],[Stars]] &gt;= 0, "Bad")</f>
        <v>Fair</v>
      </c>
      <c r="J1786" t="str">
        <f>LEFT(Ramen_Ratings[[#This Row],[Top Ten]],4)</f>
        <v/>
      </c>
      <c r="K1786" t="str">
        <f>IF(Ramen_Ratings[[#This Row],[Top Ten]]="", "",RIGHT(Ramen_Ratings[[#This Row],[Top Ten]],LEN(Ramen_Ratings[[#This Row],[Top Ten]])-6))</f>
        <v/>
      </c>
    </row>
    <row r="1787" spans="1:11" x14ac:dyDescent="0.25">
      <c r="A1787">
        <v>1604</v>
      </c>
      <c r="B1787" t="s">
        <v>1209</v>
      </c>
      <c r="C1787" t="s">
        <v>1210</v>
      </c>
      <c r="D1787" t="s">
        <v>13</v>
      </c>
      <c r="E1787" t="s">
        <v>10</v>
      </c>
      <c r="F1787" t="str">
        <f>VLOOKUP(Ramen_Ratings[[#This Row],[Country]],Country_Region[#All],2,FALSE)</f>
        <v>Asia</v>
      </c>
      <c r="G1787">
        <v>1</v>
      </c>
      <c r="H1787" t="str" cm="1">
        <f t="array" ref="H1787">_xlfn.IFS(Ramen_Ratings[[#This Row],[Stars]] = "Unrated", "NA",Ramen_Ratings[[#This Row],[Stars]]&gt;=4, "Good", Ramen_Ratings[[#This Row],[Stars]]&gt;2.5, "Fair", Ramen_Ratings[[#This Row],[Stars]] &gt;= 0, "Bad")</f>
        <v>Bad</v>
      </c>
      <c r="J1787" t="str">
        <f>LEFT(Ramen_Ratings[[#This Row],[Top Ten]],4)</f>
        <v/>
      </c>
      <c r="K1787" t="str">
        <f>IF(Ramen_Ratings[[#This Row],[Top Ten]]="", "",RIGHT(Ramen_Ratings[[#This Row],[Top Ten]],LEN(Ramen_Ratings[[#This Row],[Top Ten]])-6))</f>
        <v/>
      </c>
    </row>
    <row r="1788" spans="1:11" x14ac:dyDescent="0.25">
      <c r="A1788">
        <v>1594</v>
      </c>
      <c r="B1788" t="s">
        <v>26</v>
      </c>
      <c r="C1788" t="s">
        <v>1221</v>
      </c>
      <c r="D1788" t="s">
        <v>9</v>
      </c>
      <c r="E1788" t="s">
        <v>10</v>
      </c>
      <c r="F1788" t="str">
        <f>VLOOKUP(Ramen_Ratings[[#This Row],[Country]],Country_Region[#All],2,FALSE)</f>
        <v>Asia</v>
      </c>
      <c r="G1788">
        <v>2.25</v>
      </c>
      <c r="H1788" t="str" cm="1">
        <f t="array" ref="H1788">_xlfn.IFS(Ramen_Ratings[[#This Row],[Stars]] = "Unrated", "NA",Ramen_Ratings[[#This Row],[Stars]]&gt;=4, "Good", Ramen_Ratings[[#This Row],[Stars]]&gt;2.5, "Fair", Ramen_Ratings[[#This Row],[Stars]] &gt;= 0, "Bad")</f>
        <v>Bad</v>
      </c>
      <c r="J1788" t="str">
        <f>LEFT(Ramen_Ratings[[#This Row],[Top Ten]],4)</f>
        <v/>
      </c>
      <c r="K1788" t="str">
        <f>IF(Ramen_Ratings[[#This Row],[Top Ten]]="", "",RIGHT(Ramen_Ratings[[#This Row],[Top Ten]],LEN(Ramen_Ratings[[#This Row],[Top Ten]])-6))</f>
        <v/>
      </c>
    </row>
    <row r="1789" spans="1:11" x14ac:dyDescent="0.25">
      <c r="A1789">
        <v>1578</v>
      </c>
      <c r="B1789" t="s">
        <v>15</v>
      </c>
      <c r="C1789" t="s">
        <v>1241</v>
      </c>
      <c r="D1789" t="s">
        <v>44</v>
      </c>
      <c r="E1789" t="s">
        <v>10</v>
      </c>
      <c r="F1789" t="str">
        <f>VLOOKUP(Ramen_Ratings[[#This Row],[Country]],Country_Region[#All],2,FALSE)</f>
        <v>Asia</v>
      </c>
      <c r="G1789">
        <v>4</v>
      </c>
      <c r="H1789" t="str" cm="1">
        <f t="array" ref="H1789">_xlfn.IFS(Ramen_Ratings[[#This Row],[Stars]] = "Unrated", "NA",Ramen_Ratings[[#This Row],[Stars]]&gt;=4, "Good", Ramen_Ratings[[#This Row],[Stars]]&gt;2.5, "Fair", Ramen_Ratings[[#This Row],[Stars]] &gt;= 0, "Bad")</f>
        <v>Good</v>
      </c>
      <c r="J1789" t="str">
        <f>LEFT(Ramen_Ratings[[#This Row],[Top Ten]],4)</f>
        <v/>
      </c>
      <c r="K1789" t="str">
        <f>IF(Ramen_Ratings[[#This Row],[Top Ten]]="", "",RIGHT(Ramen_Ratings[[#This Row],[Top Ten]],LEN(Ramen_Ratings[[#This Row],[Top Ten]])-6))</f>
        <v/>
      </c>
    </row>
    <row r="1790" spans="1:11" x14ac:dyDescent="0.25">
      <c r="A1790">
        <v>1570</v>
      </c>
      <c r="B1790" t="s">
        <v>102</v>
      </c>
      <c r="C1790" t="s">
        <v>1250</v>
      </c>
      <c r="D1790" t="s">
        <v>44</v>
      </c>
      <c r="E1790" t="s">
        <v>10</v>
      </c>
      <c r="F1790" t="str">
        <f>VLOOKUP(Ramen_Ratings[[#This Row],[Country]],Country_Region[#All],2,FALSE)</f>
        <v>Asia</v>
      </c>
      <c r="G1790">
        <v>5</v>
      </c>
      <c r="H1790" t="str" cm="1">
        <f t="array" ref="H1790">_xlfn.IFS(Ramen_Ratings[[#This Row],[Stars]] = "Unrated", "NA",Ramen_Ratings[[#This Row],[Stars]]&gt;=4, "Good", Ramen_Ratings[[#This Row],[Stars]]&gt;2.5, "Fair", Ramen_Ratings[[#This Row],[Stars]] &gt;= 0, "Bad")</f>
        <v>Good</v>
      </c>
      <c r="J1790" t="str">
        <f>LEFT(Ramen_Ratings[[#This Row],[Top Ten]],4)</f>
        <v/>
      </c>
      <c r="K1790" t="str">
        <f>IF(Ramen_Ratings[[#This Row],[Top Ten]]="", "",RIGHT(Ramen_Ratings[[#This Row],[Top Ten]],LEN(Ramen_Ratings[[#This Row],[Top Ten]])-6))</f>
        <v/>
      </c>
    </row>
    <row r="1791" spans="1:11" x14ac:dyDescent="0.25">
      <c r="A1791">
        <v>1567</v>
      </c>
      <c r="B1791" t="s">
        <v>15</v>
      </c>
      <c r="C1791" t="s">
        <v>1253</v>
      </c>
      <c r="D1791" t="s">
        <v>9</v>
      </c>
      <c r="E1791" t="s">
        <v>10</v>
      </c>
      <c r="F1791" t="str">
        <f>VLOOKUP(Ramen_Ratings[[#This Row],[Country]],Country_Region[#All],2,FALSE)</f>
        <v>Asia</v>
      </c>
      <c r="G1791">
        <v>4.25</v>
      </c>
      <c r="H1791" t="str" cm="1">
        <f t="array" ref="H1791">_xlfn.IFS(Ramen_Ratings[[#This Row],[Stars]] = "Unrated", "NA",Ramen_Ratings[[#This Row],[Stars]]&gt;=4, "Good", Ramen_Ratings[[#This Row],[Stars]]&gt;2.5, "Fair", Ramen_Ratings[[#This Row],[Stars]] &gt;= 0, "Bad")</f>
        <v>Good</v>
      </c>
      <c r="J1791" t="str">
        <f>LEFT(Ramen_Ratings[[#This Row],[Top Ten]],4)</f>
        <v/>
      </c>
      <c r="K1791" t="str">
        <f>IF(Ramen_Ratings[[#This Row],[Top Ten]]="", "",RIGHT(Ramen_Ratings[[#This Row],[Top Ten]],LEN(Ramen_Ratings[[#This Row],[Top Ten]])-6))</f>
        <v/>
      </c>
    </row>
    <row r="1792" spans="1:11" x14ac:dyDescent="0.25">
      <c r="A1792">
        <v>1565</v>
      </c>
      <c r="B1792" t="s">
        <v>1255</v>
      </c>
      <c r="C1792" t="s">
        <v>1256</v>
      </c>
      <c r="D1792" t="s">
        <v>13</v>
      </c>
      <c r="E1792" t="s">
        <v>10</v>
      </c>
      <c r="F1792" t="str">
        <f>VLOOKUP(Ramen_Ratings[[#This Row],[Country]],Country_Region[#All],2,FALSE)</f>
        <v>Asia</v>
      </c>
      <c r="G1792">
        <v>2.5</v>
      </c>
      <c r="H1792" t="str" cm="1">
        <f t="array" ref="H1792">_xlfn.IFS(Ramen_Ratings[[#This Row],[Stars]] = "Unrated", "NA",Ramen_Ratings[[#This Row],[Stars]]&gt;=4, "Good", Ramen_Ratings[[#This Row],[Stars]]&gt;2.5, "Fair", Ramen_Ratings[[#This Row],[Stars]] &gt;= 0, "Bad")</f>
        <v>Bad</v>
      </c>
      <c r="J1792" t="str">
        <f>LEFT(Ramen_Ratings[[#This Row],[Top Ten]],4)</f>
        <v/>
      </c>
      <c r="K1792" t="str">
        <f>IF(Ramen_Ratings[[#This Row],[Top Ten]]="", "",RIGHT(Ramen_Ratings[[#This Row],[Top Ten]],LEN(Ramen_Ratings[[#This Row],[Top Ten]])-6))</f>
        <v/>
      </c>
    </row>
    <row r="1793" spans="1:11" x14ac:dyDescent="0.25">
      <c r="A1793">
        <v>1551</v>
      </c>
      <c r="B1793" t="s">
        <v>183</v>
      </c>
      <c r="C1793" t="s">
        <v>1273</v>
      </c>
      <c r="D1793" t="s">
        <v>44</v>
      </c>
      <c r="E1793" t="s">
        <v>10</v>
      </c>
      <c r="F1793" t="str">
        <f>VLOOKUP(Ramen_Ratings[[#This Row],[Country]],Country_Region[#All],2,FALSE)</f>
        <v>Asia</v>
      </c>
      <c r="G1793">
        <v>3.5</v>
      </c>
      <c r="H1793" t="str" cm="1">
        <f t="array" ref="H1793">_xlfn.IFS(Ramen_Ratings[[#This Row],[Stars]] = "Unrated", "NA",Ramen_Ratings[[#This Row],[Stars]]&gt;=4, "Good", Ramen_Ratings[[#This Row],[Stars]]&gt;2.5, "Fair", Ramen_Ratings[[#This Row],[Stars]] &gt;= 0, "Bad")</f>
        <v>Fair</v>
      </c>
      <c r="J1793" t="str">
        <f>LEFT(Ramen_Ratings[[#This Row],[Top Ten]],4)</f>
        <v/>
      </c>
      <c r="K1793" t="str">
        <f>IF(Ramen_Ratings[[#This Row],[Top Ten]]="", "",RIGHT(Ramen_Ratings[[#This Row],[Top Ten]],LEN(Ramen_Ratings[[#This Row],[Top Ten]])-6))</f>
        <v/>
      </c>
    </row>
    <row r="1794" spans="1:11" x14ac:dyDescent="0.25">
      <c r="A1794">
        <v>1548</v>
      </c>
      <c r="B1794" t="s">
        <v>23</v>
      </c>
      <c r="C1794" t="s">
        <v>1276</v>
      </c>
      <c r="D1794" t="s">
        <v>9</v>
      </c>
      <c r="E1794" t="s">
        <v>10</v>
      </c>
      <c r="F1794" t="str">
        <f>VLOOKUP(Ramen_Ratings[[#This Row],[Country]],Country_Region[#All],2,FALSE)</f>
        <v>Asia</v>
      </c>
      <c r="G1794">
        <v>3.75</v>
      </c>
      <c r="H1794" t="str" cm="1">
        <f t="array" ref="H1794">_xlfn.IFS(Ramen_Ratings[[#This Row],[Stars]] = "Unrated", "NA",Ramen_Ratings[[#This Row],[Stars]]&gt;=4, "Good", Ramen_Ratings[[#This Row],[Stars]]&gt;2.5, "Fair", Ramen_Ratings[[#This Row],[Stars]] &gt;= 0, "Bad")</f>
        <v>Fair</v>
      </c>
      <c r="J1794" t="str">
        <f>LEFT(Ramen_Ratings[[#This Row],[Top Ten]],4)</f>
        <v/>
      </c>
      <c r="K1794" t="str">
        <f>IF(Ramen_Ratings[[#This Row],[Top Ten]]="", "",RIGHT(Ramen_Ratings[[#This Row],[Top Ten]],LEN(Ramen_Ratings[[#This Row],[Top Ten]])-6))</f>
        <v/>
      </c>
    </row>
    <row r="1795" spans="1:11" x14ac:dyDescent="0.25">
      <c r="A1795">
        <v>1539</v>
      </c>
      <c r="B1795" t="s">
        <v>7</v>
      </c>
      <c r="C1795" t="s">
        <v>1286</v>
      </c>
      <c r="D1795" t="s">
        <v>44</v>
      </c>
      <c r="E1795" t="s">
        <v>10</v>
      </c>
      <c r="F1795" t="str">
        <f>VLOOKUP(Ramen_Ratings[[#This Row],[Country]],Country_Region[#All],2,FALSE)</f>
        <v>Asia</v>
      </c>
      <c r="G1795">
        <v>3.5</v>
      </c>
      <c r="H1795" t="str" cm="1">
        <f t="array" ref="H1795">_xlfn.IFS(Ramen_Ratings[[#This Row],[Stars]] = "Unrated", "NA",Ramen_Ratings[[#This Row],[Stars]]&gt;=4, "Good", Ramen_Ratings[[#This Row],[Stars]]&gt;2.5, "Fair", Ramen_Ratings[[#This Row],[Stars]] &gt;= 0, "Bad")</f>
        <v>Fair</v>
      </c>
      <c r="J1795" t="str">
        <f>LEFT(Ramen_Ratings[[#This Row],[Top Ten]],4)</f>
        <v/>
      </c>
      <c r="K1795" t="str">
        <f>IF(Ramen_Ratings[[#This Row],[Top Ten]]="", "",RIGHT(Ramen_Ratings[[#This Row],[Top Ten]],LEN(Ramen_Ratings[[#This Row],[Top Ten]])-6))</f>
        <v/>
      </c>
    </row>
    <row r="1796" spans="1:11" x14ac:dyDescent="0.25">
      <c r="A1796">
        <v>1516</v>
      </c>
      <c r="B1796" t="s">
        <v>1312</v>
      </c>
      <c r="C1796" t="s">
        <v>1313</v>
      </c>
      <c r="D1796" t="s">
        <v>13</v>
      </c>
      <c r="E1796" t="s">
        <v>10</v>
      </c>
      <c r="F1796" t="str">
        <f>VLOOKUP(Ramen_Ratings[[#This Row],[Country]],Country_Region[#All],2,FALSE)</f>
        <v>Asia</v>
      </c>
      <c r="G1796">
        <v>3.75</v>
      </c>
      <c r="H1796" t="str" cm="1">
        <f t="array" ref="H1796">_xlfn.IFS(Ramen_Ratings[[#This Row],[Stars]] = "Unrated", "NA",Ramen_Ratings[[#This Row],[Stars]]&gt;=4, "Good", Ramen_Ratings[[#This Row],[Stars]]&gt;2.5, "Fair", Ramen_Ratings[[#This Row],[Stars]] &gt;= 0, "Bad")</f>
        <v>Fair</v>
      </c>
      <c r="J1796" t="str">
        <f>LEFT(Ramen_Ratings[[#This Row],[Top Ten]],4)</f>
        <v/>
      </c>
      <c r="K1796" t="str">
        <f>IF(Ramen_Ratings[[#This Row],[Top Ten]]="", "",RIGHT(Ramen_Ratings[[#This Row],[Top Ten]],LEN(Ramen_Ratings[[#This Row],[Top Ten]])-6))</f>
        <v/>
      </c>
    </row>
    <row r="1797" spans="1:11" x14ac:dyDescent="0.25">
      <c r="A1797">
        <v>1509</v>
      </c>
      <c r="B1797" t="s">
        <v>15</v>
      </c>
      <c r="C1797" t="s">
        <v>1321</v>
      </c>
      <c r="D1797" t="s">
        <v>44</v>
      </c>
      <c r="E1797" t="s">
        <v>10</v>
      </c>
      <c r="F1797" t="str">
        <f>VLOOKUP(Ramen_Ratings[[#This Row],[Country]],Country_Region[#All],2,FALSE)</f>
        <v>Asia</v>
      </c>
      <c r="G1797">
        <v>3.5</v>
      </c>
      <c r="H1797" t="str" cm="1">
        <f t="array" ref="H1797">_xlfn.IFS(Ramen_Ratings[[#This Row],[Stars]] = "Unrated", "NA",Ramen_Ratings[[#This Row],[Stars]]&gt;=4, "Good", Ramen_Ratings[[#This Row],[Stars]]&gt;2.5, "Fair", Ramen_Ratings[[#This Row],[Stars]] &gt;= 0, "Bad")</f>
        <v>Fair</v>
      </c>
      <c r="J1797" t="str">
        <f>LEFT(Ramen_Ratings[[#This Row],[Top Ten]],4)</f>
        <v/>
      </c>
      <c r="K1797" t="str">
        <f>IF(Ramen_Ratings[[#This Row],[Top Ten]]="", "",RIGHT(Ramen_Ratings[[#This Row],[Top Ten]],LEN(Ramen_Ratings[[#This Row],[Top Ten]])-6))</f>
        <v/>
      </c>
    </row>
    <row r="1798" spans="1:11" x14ac:dyDescent="0.25">
      <c r="A1798">
        <v>1501</v>
      </c>
      <c r="B1798" t="s">
        <v>26</v>
      </c>
      <c r="C1798" t="s">
        <v>1330</v>
      </c>
      <c r="D1798" t="s">
        <v>30</v>
      </c>
      <c r="E1798" t="s">
        <v>10</v>
      </c>
      <c r="F1798" t="str">
        <f>VLOOKUP(Ramen_Ratings[[#This Row],[Country]],Country_Region[#All],2,FALSE)</f>
        <v>Asia</v>
      </c>
      <c r="G1798">
        <v>3.25</v>
      </c>
      <c r="H1798" t="str" cm="1">
        <f t="array" ref="H1798">_xlfn.IFS(Ramen_Ratings[[#This Row],[Stars]] = "Unrated", "NA",Ramen_Ratings[[#This Row],[Stars]]&gt;=4, "Good", Ramen_Ratings[[#This Row],[Stars]]&gt;2.5, "Fair", Ramen_Ratings[[#This Row],[Stars]] &gt;= 0, "Bad")</f>
        <v>Fair</v>
      </c>
      <c r="J1798" t="str">
        <f>LEFT(Ramen_Ratings[[#This Row],[Top Ten]],4)</f>
        <v/>
      </c>
      <c r="K1798" t="str">
        <f>IF(Ramen_Ratings[[#This Row],[Top Ten]]="", "",RIGHT(Ramen_Ratings[[#This Row],[Top Ten]],LEN(Ramen_Ratings[[#This Row],[Top Ten]])-6))</f>
        <v/>
      </c>
    </row>
    <row r="1799" spans="1:11" x14ac:dyDescent="0.25">
      <c r="A1799">
        <v>1493</v>
      </c>
      <c r="B1799" t="s">
        <v>102</v>
      </c>
      <c r="C1799" t="s">
        <v>1338</v>
      </c>
      <c r="D1799" t="s">
        <v>44</v>
      </c>
      <c r="E1799" t="s">
        <v>10</v>
      </c>
      <c r="F1799" t="str">
        <f>VLOOKUP(Ramen_Ratings[[#This Row],[Country]],Country_Region[#All],2,FALSE)</f>
        <v>Asia</v>
      </c>
      <c r="G1799">
        <v>4.25</v>
      </c>
      <c r="H1799" t="str" cm="1">
        <f t="array" ref="H1799">_xlfn.IFS(Ramen_Ratings[[#This Row],[Stars]] = "Unrated", "NA",Ramen_Ratings[[#This Row],[Stars]]&gt;=4, "Good", Ramen_Ratings[[#This Row],[Stars]]&gt;2.5, "Fair", Ramen_Ratings[[#This Row],[Stars]] &gt;= 0, "Bad")</f>
        <v>Good</v>
      </c>
      <c r="J1799" t="str">
        <f>LEFT(Ramen_Ratings[[#This Row],[Top Ten]],4)</f>
        <v/>
      </c>
      <c r="K1799" t="str">
        <f>IF(Ramen_Ratings[[#This Row],[Top Ten]]="", "",RIGHT(Ramen_Ratings[[#This Row],[Top Ten]],LEN(Ramen_Ratings[[#This Row],[Top Ten]])-6))</f>
        <v/>
      </c>
    </row>
    <row r="1800" spans="1:11" x14ac:dyDescent="0.25">
      <c r="A1800">
        <v>1482</v>
      </c>
      <c r="B1800" t="s">
        <v>102</v>
      </c>
      <c r="C1800" t="s">
        <v>1348</v>
      </c>
      <c r="D1800" t="s">
        <v>13</v>
      </c>
      <c r="E1800" t="s">
        <v>10</v>
      </c>
      <c r="F1800" t="str">
        <f>VLOOKUP(Ramen_Ratings[[#This Row],[Country]],Country_Region[#All],2,FALSE)</f>
        <v>Asia</v>
      </c>
      <c r="G1800">
        <v>4</v>
      </c>
      <c r="H1800" t="str" cm="1">
        <f t="array" ref="H1800">_xlfn.IFS(Ramen_Ratings[[#This Row],[Stars]] = "Unrated", "NA",Ramen_Ratings[[#This Row],[Stars]]&gt;=4, "Good", Ramen_Ratings[[#This Row],[Stars]]&gt;2.5, "Fair", Ramen_Ratings[[#This Row],[Stars]] &gt;= 0, "Bad")</f>
        <v>Good</v>
      </c>
      <c r="J1800" t="str">
        <f>LEFT(Ramen_Ratings[[#This Row],[Top Ten]],4)</f>
        <v/>
      </c>
      <c r="K1800" t="str">
        <f>IF(Ramen_Ratings[[#This Row],[Top Ten]]="", "",RIGHT(Ramen_Ratings[[#This Row],[Top Ten]],LEN(Ramen_Ratings[[#This Row],[Top Ten]])-6))</f>
        <v/>
      </c>
    </row>
    <row r="1801" spans="1:11" x14ac:dyDescent="0.25">
      <c r="A1801">
        <v>1446</v>
      </c>
      <c r="B1801" t="s">
        <v>183</v>
      </c>
      <c r="C1801" t="s">
        <v>1381</v>
      </c>
      <c r="D1801" t="s">
        <v>30</v>
      </c>
      <c r="E1801" t="s">
        <v>10</v>
      </c>
      <c r="F1801" t="str">
        <f>VLOOKUP(Ramen_Ratings[[#This Row],[Country]],Country_Region[#All],2,FALSE)</f>
        <v>Asia</v>
      </c>
      <c r="G1801">
        <v>4.5</v>
      </c>
      <c r="H1801" t="str" cm="1">
        <f t="array" ref="H1801">_xlfn.IFS(Ramen_Ratings[[#This Row],[Stars]] = "Unrated", "NA",Ramen_Ratings[[#This Row],[Stars]]&gt;=4, "Good", Ramen_Ratings[[#This Row],[Stars]]&gt;2.5, "Fair", Ramen_Ratings[[#This Row],[Stars]] &gt;= 0, "Bad")</f>
        <v>Good</v>
      </c>
      <c r="J1801" t="str">
        <f>LEFT(Ramen_Ratings[[#This Row],[Top Ten]],4)</f>
        <v/>
      </c>
      <c r="K1801" t="str">
        <f>IF(Ramen_Ratings[[#This Row],[Top Ten]]="", "",RIGHT(Ramen_Ratings[[#This Row],[Top Ten]],LEN(Ramen_Ratings[[#This Row],[Top Ten]])-6))</f>
        <v/>
      </c>
    </row>
    <row r="1802" spans="1:11" x14ac:dyDescent="0.25">
      <c r="A1802">
        <v>1438</v>
      </c>
      <c r="B1802" t="s">
        <v>102</v>
      </c>
      <c r="C1802" t="s">
        <v>1390</v>
      </c>
      <c r="D1802" t="s">
        <v>13</v>
      </c>
      <c r="E1802" t="s">
        <v>10</v>
      </c>
      <c r="F1802" t="str">
        <f>VLOOKUP(Ramen_Ratings[[#This Row],[Country]],Country_Region[#All],2,FALSE)</f>
        <v>Asia</v>
      </c>
      <c r="G1802">
        <v>3.5</v>
      </c>
      <c r="H1802" t="str" cm="1">
        <f t="array" ref="H1802">_xlfn.IFS(Ramen_Ratings[[#This Row],[Stars]] = "Unrated", "NA",Ramen_Ratings[[#This Row],[Stars]]&gt;=4, "Good", Ramen_Ratings[[#This Row],[Stars]]&gt;2.5, "Fair", Ramen_Ratings[[#This Row],[Stars]] &gt;= 0, "Bad")</f>
        <v>Fair</v>
      </c>
      <c r="J1802" t="str">
        <f>LEFT(Ramen_Ratings[[#This Row],[Top Ten]],4)</f>
        <v/>
      </c>
      <c r="K1802" t="str">
        <f>IF(Ramen_Ratings[[#This Row],[Top Ten]]="", "",RIGHT(Ramen_Ratings[[#This Row],[Top Ten]],LEN(Ramen_Ratings[[#This Row],[Top Ten]])-6))</f>
        <v/>
      </c>
    </row>
    <row r="1803" spans="1:11" x14ac:dyDescent="0.25">
      <c r="A1803">
        <v>1428</v>
      </c>
      <c r="B1803" t="s">
        <v>183</v>
      </c>
      <c r="C1803" t="s">
        <v>1400</v>
      </c>
      <c r="D1803" t="s">
        <v>13</v>
      </c>
      <c r="E1803" t="s">
        <v>10</v>
      </c>
      <c r="F1803" t="str">
        <f>VLOOKUP(Ramen_Ratings[[#This Row],[Country]],Country_Region[#All],2,FALSE)</f>
        <v>Asia</v>
      </c>
      <c r="G1803">
        <v>3</v>
      </c>
      <c r="H1803" t="str" cm="1">
        <f t="array" ref="H1803">_xlfn.IFS(Ramen_Ratings[[#This Row],[Stars]] = "Unrated", "NA",Ramen_Ratings[[#This Row],[Stars]]&gt;=4, "Good", Ramen_Ratings[[#This Row],[Stars]]&gt;2.5, "Fair", Ramen_Ratings[[#This Row],[Stars]] &gt;= 0, "Bad")</f>
        <v>Fair</v>
      </c>
      <c r="J1803" t="str">
        <f>LEFT(Ramen_Ratings[[#This Row],[Top Ten]],4)</f>
        <v/>
      </c>
      <c r="K1803" t="str">
        <f>IF(Ramen_Ratings[[#This Row],[Top Ten]]="", "",RIGHT(Ramen_Ratings[[#This Row],[Top Ten]],LEN(Ramen_Ratings[[#This Row],[Top Ten]])-6))</f>
        <v/>
      </c>
    </row>
    <row r="1804" spans="1:11" x14ac:dyDescent="0.25">
      <c r="A1804">
        <v>1420</v>
      </c>
      <c r="B1804" t="s">
        <v>102</v>
      </c>
      <c r="C1804" t="s">
        <v>1408</v>
      </c>
      <c r="D1804" t="s">
        <v>13</v>
      </c>
      <c r="E1804" t="s">
        <v>10</v>
      </c>
      <c r="F1804" t="str">
        <f>VLOOKUP(Ramen_Ratings[[#This Row],[Country]],Country_Region[#All],2,FALSE)</f>
        <v>Asia</v>
      </c>
      <c r="G1804">
        <v>3.75</v>
      </c>
      <c r="H1804" t="str" cm="1">
        <f t="array" ref="H1804">_xlfn.IFS(Ramen_Ratings[[#This Row],[Stars]] = "Unrated", "NA",Ramen_Ratings[[#This Row],[Stars]]&gt;=4, "Good", Ramen_Ratings[[#This Row],[Stars]]&gt;2.5, "Fair", Ramen_Ratings[[#This Row],[Stars]] &gt;= 0, "Bad")</f>
        <v>Fair</v>
      </c>
      <c r="J1804" t="str">
        <f>LEFT(Ramen_Ratings[[#This Row],[Top Ten]],4)</f>
        <v/>
      </c>
      <c r="K1804" t="str">
        <f>IF(Ramen_Ratings[[#This Row],[Top Ten]]="", "",RIGHT(Ramen_Ratings[[#This Row],[Top Ten]],LEN(Ramen_Ratings[[#This Row],[Top Ten]])-6))</f>
        <v/>
      </c>
    </row>
    <row r="1805" spans="1:11" x14ac:dyDescent="0.25">
      <c r="A1805">
        <v>1416</v>
      </c>
      <c r="B1805" t="s">
        <v>183</v>
      </c>
      <c r="C1805" t="s">
        <v>1412</v>
      </c>
      <c r="D1805" t="s">
        <v>13</v>
      </c>
      <c r="E1805" t="s">
        <v>10</v>
      </c>
      <c r="F1805" t="str">
        <f>VLOOKUP(Ramen_Ratings[[#This Row],[Country]],Country_Region[#All],2,FALSE)</f>
        <v>Asia</v>
      </c>
      <c r="G1805">
        <v>2</v>
      </c>
      <c r="H1805" t="str" cm="1">
        <f t="array" ref="H1805">_xlfn.IFS(Ramen_Ratings[[#This Row],[Stars]] = "Unrated", "NA",Ramen_Ratings[[#This Row],[Stars]]&gt;=4, "Good", Ramen_Ratings[[#This Row],[Stars]]&gt;2.5, "Fair", Ramen_Ratings[[#This Row],[Stars]] &gt;= 0, "Bad")</f>
        <v>Bad</v>
      </c>
      <c r="J1805" t="str">
        <f>LEFT(Ramen_Ratings[[#This Row],[Top Ten]],4)</f>
        <v/>
      </c>
      <c r="K1805" t="str">
        <f>IF(Ramen_Ratings[[#This Row],[Top Ten]]="", "",RIGHT(Ramen_Ratings[[#This Row],[Top Ten]],LEN(Ramen_Ratings[[#This Row],[Top Ten]])-6))</f>
        <v/>
      </c>
    </row>
    <row r="1806" spans="1:11" x14ac:dyDescent="0.25">
      <c r="A1806">
        <v>1401</v>
      </c>
      <c r="B1806" t="s">
        <v>183</v>
      </c>
      <c r="C1806" t="s">
        <v>1433</v>
      </c>
      <c r="D1806" t="s">
        <v>30</v>
      </c>
      <c r="E1806" t="s">
        <v>10</v>
      </c>
      <c r="F1806" t="str">
        <f>VLOOKUP(Ramen_Ratings[[#This Row],[Country]],Country_Region[#All],2,FALSE)</f>
        <v>Asia</v>
      </c>
      <c r="G1806">
        <v>3.75</v>
      </c>
      <c r="H1806" t="str" cm="1">
        <f t="array" ref="H1806">_xlfn.IFS(Ramen_Ratings[[#This Row],[Stars]] = "Unrated", "NA",Ramen_Ratings[[#This Row],[Stars]]&gt;=4, "Good", Ramen_Ratings[[#This Row],[Stars]]&gt;2.5, "Fair", Ramen_Ratings[[#This Row],[Stars]] &gt;= 0, "Bad")</f>
        <v>Fair</v>
      </c>
      <c r="J1806" t="str">
        <f>LEFT(Ramen_Ratings[[#This Row],[Top Ten]],4)</f>
        <v/>
      </c>
      <c r="K1806" t="str">
        <f>IF(Ramen_Ratings[[#This Row],[Top Ten]]="", "",RIGHT(Ramen_Ratings[[#This Row],[Top Ten]],LEN(Ramen_Ratings[[#This Row],[Top Ten]])-6))</f>
        <v/>
      </c>
    </row>
    <row r="1807" spans="1:11" x14ac:dyDescent="0.25">
      <c r="A1807">
        <v>1396</v>
      </c>
      <c r="B1807" t="s">
        <v>1255</v>
      </c>
      <c r="C1807" t="s">
        <v>1438</v>
      </c>
      <c r="D1807" t="s">
        <v>13</v>
      </c>
      <c r="E1807" t="s">
        <v>10</v>
      </c>
      <c r="F1807" t="str">
        <f>VLOOKUP(Ramen_Ratings[[#This Row],[Country]],Country_Region[#All],2,FALSE)</f>
        <v>Asia</v>
      </c>
      <c r="G1807">
        <v>4.75</v>
      </c>
      <c r="H1807" t="str" cm="1">
        <f t="array" ref="H1807">_xlfn.IFS(Ramen_Ratings[[#This Row],[Stars]] = "Unrated", "NA",Ramen_Ratings[[#This Row],[Stars]]&gt;=4, "Good", Ramen_Ratings[[#This Row],[Stars]]&gt;2.5, "Fair", Ramen_Ratings[[#This Row],[Stars]] &gt;= 0, "Bad")</f>
        <v>Good</v>
      </c>
      <c r="J1807" t="str">
        <f>LEFT(Ramen_Ratings[[#This Row],[Top Ten]],4)</f>
        <v/>
      </c>
      <c r="K1807" t="str">
        <f>IF(Ramen_Ratings[[#This Row],[Top Ten]]="", "",RIGHT(Ramen_Ratings[[#This Row],[Top Ten]],LEN(Ramen_Ratings[[#This Row],[Top Ten]])-6))</f>
        <v/>
      </c>
    </row>
    <row r="1808" spans="1:11" x14ac:dyDescent="0.25">
      <c r="A1808">
        <v>1387</v>
      </c>
      <c r="B1808" t="s">
        <v>1451</v>
      </c>
      <c r="C1808" t="s">
        <v>1452</v>
      </c>
      <c r="D1808" t="s">
        <v>13</v>
      </c>
      <c r="E1808" t="s">
        <v>10</v>
      </c>
      <c r="F1808" t="str">
        <f>VLOOKUP(Ramen_Ratings[[#This Row],[Country]],Country_Region[#All],2,FALSE)</f>
        <v>Asia</v>
      </c>
      <c r="G1808">
        <v>4</v>
      </c>
      <c r="H1808" t="str" cm="1">
        <f t="array" ref="H1808">_xlfn.IFS(Ramen_Ratings[[#This Row],[Stars]] = "Unrated", "NA",Ramen_Ratings[[#This Row],[Stars]]&gt;=4, "Good", Ramen_Ratings[[#This Row],[Stars]]&gt;2.5, "Fair", Ramen_Ratings[[#This Row],[Stars]] &gt;= 0, "Bad")</f>
        <v>Good</v>
      </c>
      <c r="J1808" t="str">
        <f>LEFT(Ramen_Ratings[[#This Row],[Top Ten]],4)</f>
        <v/>
      </c>
      <c r="K1808" t="str">
        <f>IF(Ramen_Ratings[[#This Row],[Top Ten]]="", "",RIGHT(Ramen_Ratings[[#This Row],[Top Ten]],LEN(Ramen_Ratings[[#This Row],[Top Ten]])-6))</f>
        <v/>
      </c>
    </row>
    <row r="1809" spans="1:11" x14ac:dyDescent="0.25">
      <c r="A1809">
        <v>1386</v>
      </c>
      <c r="B1809" t="s">
        <v>1451</v>
      </c>
      <c r="C1809" t="s">
        <v>1453</v>
      </c>
      <c r="D1809" t="s">
        <v>13</v>
      </c>
      <c r="E1809" t="s">
        <v>10</v>
      </c>
      <c r="F1809" t="str">
        <f>VLOOKUP(Ramen_Ratings[[#This Row],[Country]],Country_Region[#All],2,FALSE)</f>
        <v>Asia</v>
      </c>
      <c r="G1809">
        <v>4.5</v>
      </c>
      <c r="H1809" t="str" cm="1">
        <f t="array" ref="H1809">_xlfn.IFS(Ramen_Ratings[[#This Row],[Stars]] = "Unrated", "NA",Ramen_Ratings[[#This Row],[Stars]]&gt;=4, "Good", Ramen_Ratings[[#This Row],[Stars]]&gt;2.5, "Fair", Ramen_Ratings[[#This Row],[Stars]] &gt;= 0, "Bad")</f>
        <v>Good</v>
      </c>
      <c r="J1809" t="str">
        <f>LEFT(Ramen_Ratings[[#This Row],[Top Ten]],4)</f>
        <v/>
      </c>
      <c r="K1809" t="str">
        <f>IF(Ramen_Ratings[[#This Row],[Top Ten]]="", "",RIGHT(Ramen_Ratings[[#This Row],[Top Ten]],LEN(Ramen_Ratings[[#This Row],[Top Ten]])-6))</f>
        <v/>
      </c>
    </row>
    <row r="1810" spans="1:11" x14ac:dyDescent="0.25">
      <c r="A1810">
        <v>1385</v>
      </c>
      <c r="B1810" t="s">
        <v>1451</v>
      </c>
      <c r="C1810" t="s">
        <v>1454</v>
      </c>
      <c r="D1810" t="s">
        <v>13</v>
      </c>
      <c r="E1810" t="s">
        <v>10</v>
      </c>
      <c r="F1810" t="str">
        <f>VLOOKUP(Ramen_Ratings[[#This Row],[Country]],Country_Region[#All],2,FALSE)</f>
        <v>Asia</v>
      </c>
      <c r="G1810">
        <v>3.75</v>
      </c>
      <c r="H1810" t="str" cm="1">
        <f t="array" ref="H1810">_xlfn.IFS(Ramen_Ratings[[#This Row],[Stars]] = "Unrated", "NA",Ramen_Ratings[[#This Row],[Stars]]&gt;=4, "Good", Ramen_Ratings[[#This Row],[Stars]]&gt;2.5, "Fair", Ramen_Ratings[[#This Row],[Stars]] &gt;= 0, "Bad")</f>
        <v>Fair</v>
      </c>
      <c r="J1810" t="str">
        <f>LEFT(Ramen_Ratings[[#This Row],[Top Ten]],4)</f>
        <v/>
      </c>
      <c r="K1810" t="str">
        <f>IF(Ramen_Ratings[[#This Row],[Top Ten]]="", "",RIGHT(Ramen_Ratings[[#This Row],[Top Ten]],LEN(Ramen_Ratings[[#This Row],[Top Ten]])-6))</f>
        <v/>
      </c>
    </row>
    <row r="1811" spans="1:11" x14ac:dyDescent="0.25">
      <c r="A1811">
        <v>1384</v>
      </c>
      <c r="B1811" t="s">
        <v>1451</v>
      </c>
      <c r="C1811" t="s">
        <v>1455</v>
      </c>
      <c r="D1811" t="s">
        <v>13</v>
      </c>
      <c r="E1811" t="s">
        <v>10</v>
      </c>
      <c r="F1811" t="str">
        <f>VLOOKUP(Ramen_Ratings[[#This Row],[Country]],Country_Region[#All],2,FALSE)</f>
        <v>Asia</v>
      </c>
      <c r="G1811">
        <v>3</v>
      </c>
      <c r="H1811" t="str" cm="1">
        <f t="array" ref="H1811">_xlfn.IFS(Ramen_Ratings[[#This Row],[Stars]] = "Unrated", "NA",Ramen_Ratings[[#This Row],[Stars]]&gt;=4, "Good", Ramen_Ratings[[#This Row],[Stars]]&gt;2.5, "Fair", Ramen_Ratings[[#This Row],[Stars]] &gt;= 0, "Bad")</f>
        <v>Fair</v>
      </c>
      <c r="J1811" t="str">
        <f>LEFT(Ramen_Ratings[[#This Row],[Top Ten]],4)</f>
        <v/>
      </c>
      <c r="K1811" t="str">
        <f>IF(Ramen_Ratings[[#This Row],[Top Ten]]="", "",RIGHT(Ramen_Ratings[[#This Row],[Top Ten]],LEN(Ramen_Ratings[[#This Row],[Top Ten]])-6))</f>
        <v/>
      </c>
    </row>
    <row r="1812" spans="1:11" x14ac:dyDescent="0.25">
      <c r="A1812">
        <v>1383</v>
      </c>
      <c r="B1812" t="s">
        <v>1451</v>
      </c>
      <c r="C1812" t="s">
        <v>1456</v>
      </c>
      <c r="D1812" t="s">
        <v>13</v>
      </c>
      <c r="E1812" t="s">
        <v>10</v>
      </c>
      <c r="F1812" t="str">
        <f>VLOOKUP(Ramen_Ratings[[#This Row],[Country]],Country_Region[#All],2,FALSE)</f>
        <v>Asia</v>
      </c>
      <c r="G1812">
        <v>4.75</v>
      </c>
      <c r="H1812" t="str" cm="1">
        <f t="array" ref="H1812">_xlfn.IFS(Ramen_Ratings[[#This Row],[Stars]] = "Unrated", "NA",Ramen_Ratings[[#This Row],[Stars]]&gt;=4, "Good", Ramen_Ratings[[#This Row],[Stars]]&gt;2.5, "Fair", Ramen_Ratings[[#This Row],[Stars]] &gt;= 0, "Bad")</f>
        <v>Good</v>
      </c>
      <c r="J1812" t="str">
        <f>LEFT(Ramen_Ratings[[#This Row],[Top Ten]],4)</f>
        <v/>
      </c>
      <c r="K1812" t="str">
        <f>IF(Ramen_Ratings[[#This Row],[Top Ten]]="", "",RIGHT(Ramen_Ratings[[#This Row],[Top Ten]],LEN(Ramen_Ratings[[#This Row],[Top Ten]])-6))</f>
        <v/>
      </c>
    </row>
    <row r="1813" spans="1:11" x14ac:dyDescent="0.25">
      <c r="A1813">
        <v>1382</v>
      </c>
      <c r="B1813" t="s">
        <v>1451</v>
      </c>
      <c r="C1813" t="s">
        <v>1457</v>
      </c>
      <c r="D1813" t="s">
        <v>13</v>
      </c>
      <c r="E1813" t="s">
        <v>10</v>
      </c>
      <c r="F1813" t="str">
        <f>VLOOKUP(Ramen_Ratings[[#This Row],[Country]],Country_Region[#All],2,FALSE)</f>
        <v>Asia</v>
      </c>
      <c r="G1813">
        <v>4.75</v>
      </c>
      <c r="H1813" t="str" cm="1">
        <f t="array" ref="H1813">_xlfn.IFS(Ramen_Ratings[[#This Row],[Stars]] = "Unrated", "NA",Ramen_Ratings[[#This Row],[Stars]]&gt;=4, "Good", Ramen_Ratings[[#This Row],[Stars]]&gt;2.5, "Fair", Ramen_Ratings[[#This Row],[Stars]] &gt;= 0, "Bad")</f>
        <v>Good</v>
      </c>
      <c r="J1813" t="str">
        <f>LEFT(Ramen_Ratings[[#This Row],[Top Ten]],4)</f>
        <v/>
      </c>
      <c r="K1813" t="str">
        <f>IF(Ramen_Ratings[[#This Row],[Top Ten]]="", "",RIGHT(Ramen_Ratings[[#This Row],[Top Ten]],LEN(Ramen_Ratings[[#This Row],[Top Ten]])-6))</f>
        <v/>
      </c>
    </row>
    <row r="1814" spans="1:11" x14ac:dyDescent="0.25">
      <c r="A1814">
        <v>1381</v>
      </c>
      <c r="B1814" t="s">
        <v>1451</v>
      </c>
      <c r="C1814" t="s">
        <v>109</v>
      </c>
      <c r="D1814" t="s">
        <v>13</v>
      </c>
      <c r="E1814" t="s">
        <v>10</v>
      </c>
      <c r="F1814" t="str">
        <f>VLOOKUP(Ramen_Ratings[[#This Row],[Country]],Country_Region[#All],2,FALSE)</f>
        <v>Asia</v>
      </c>
      <c r="G1814">
        <v>5</v>
      </c>
      <c r="H1814" t="str" cm="1">
        <f t="array" ref="H1814">_xlfn.IFS(Ramen_Ratings[[#This Row],[Stars]] = "Unrated", "NA",Ramen_Ratings[[#This Row],[Stars]]&gt;=4, "Good", Ramen_Ratings[[#This Row],[Stars]]&gt;2.5, "Fair", Ramen_Ratings[[#This Row],[Stars]] &gt;= 0, "Bad")</f>
        <v>Good</v>
      </c>
      <c r="J1814" t="str">
        <f>LEFT(Ramen_Ratings[[#This Row],[Top Ten]],4)</f>
        <v/>
      </c>
      <c r="K1814" t="str">
        <f>IF(Ramen_Ratings[[#This Row],[Top Ten]]="", "",RIGHT(Ramen_Ratings[[#This Row],[Top Ten]],LEN(Ramen_Ratings[[#This Row],[Top Ten]])-6))</f>
        <v/>
      </c>
    </row>
    <row r="1815" spans="1:11" x14ac:dyDescent="0.25">
      <c r="A1815">
        <v>1380</v>
      </c>
      <c r="B1815" t="s">
        <v>1451</v>
      </c>
      <c r="C1815" t="s">
        <v>1458</v>
      </c>
      <c r="D1815" t="s">
        <v>13</v>
      </c>
      <c r="E1815" t="s">
        <v>10</v>
      </c>
      <c r="F1815" t="str">
        <f>VLOOKUP(Ramen_Ratings[[#This Row],[Country]],Country_Region[#All],2,FALSE)</f>
        <v>Asia</v>
      </c>
      <c r="G1815">
        <v>3.75</v>
      </c>
      <c r="H1815" t="str" cm="1">
        <f t="array" ref="H1815">_xlfn.IFS(Ramen_Ratings[[#This Row],[Stars]] = "Unrated", "NA",Ramen_Ratings[[#This Row],[Stars]]&gt;=4, "Good", Ramen_Ratings[[#This Row],[Stars]]&gt;2.5, "Fair", Ramen_Ratings[[#This Row],[Stars]] &gt;= 0, "Bad")</f>
        <v>Fair</v>
      </c>
      <c r="J1815" t="str">
        <f>LEFT(Ramen_Ratings[[#This Row],[Top Ten]],4)</f>
        <v/>
      </c>
      <c r="K1815" t="str">
        <f>IF(Ramen_Ratings[[#This Row],[Top Ten]]="", "",RIGHT(Ramen_Ratings[[#This Row],[Top Ten]],LEN(Ramen_Ratings[[#This Row],[Top Ten]])-6))</f>
        <v/>
      </c>
    </row>
    <row r="1816" spans="1:11" x14ac:dyDescent="0.25">
      <c r="A1816">
        <v>1379</v>
      </c>
      <c r="B1816" t="s">
        <v>1451</v>
      </c>
      <c r="C1816" t="s">
        <v>1459</v>
      </c>
      <c r="D1816" t="s">
        <v>13</v>
      </c>
      <c r="E1816" t="s">
        <v>10</v>
      </c>
      <c r="F1816" t="str">
        <f>VLOOKUP(Ramen_Ratings[[#This Row],[Country]],Country_Region[#All],2,FALSE)</f>
        <v>Asia</v>
      </c>
      <c r="G1816">
        <v>4</v>
      </c>
      <c r="H1816" t="str" cm="1">
        <f t="array" ref="H1816">_xlfn.IFS(Ramen_Ratings[[#This Row],[Stars]] = "Unrated", "NA",Ramen_Ratings[[#This Row],[Stars]]&gt;=4, "Good", Ramen_Ratings[[#This Row],[Stars]]&gt;2.5, "Fair", Ramen_Ratings[[#This Row],[Stars]] &gt;= 0, "Bad")</f>
        <v>Good</v>
      </c>
      <c r="J1816" t="str">
        <f>LEFT(Ramen_Ratings[[#This Row],[Top Ten]],4)</f>
        <v/>
      </c>
      <c r="K1816" t="str">
        <f>IF(Ramen_Ratings[[#This Row],[Top Ten]]="", "",RIGHT(Ramen_Ratings[[#This Row],[Top Ten]],LEN(Ramen_Ratings[[#This Row],[Top Ten]])-6))</f>
        <v/>
      </c>
    </row>
    <row r="1817" spans="1:11" x14ac:dyDescent="0.25">
      <c r="A1817">
        <v>1378</v>
      </c>
      <c r="B1817" t="s">
        <v>1451</v>
      </c>
      <c r="C1817" t="s">
        <v>397</v>
      </c>
      <c r="D1817" t="s">
        <v>13</v>
      </c>
      <c r="E1817" t="s">
        <v>10</v>
      </c>
      <c r="F1817" t="str">
        <f>VLOOKUP(Ramen_Ratings[[#This Row],[Country]],Country_Region[#All],2,FALSE)</f>
        <v>Asia</v>
      </c>
      <c r="G1817">
        <v>5</v>
      </c>
      <c r="H1817" t="str" cm="1">
        <f t="array" ref="H1817">_xlfn.IFS(Ramen_Ratings[[#This Row],[Stars]] = "Unrated", "NA",Ramen_Ratings[[#This Row],[Stars]]&gt;=4, "Good", Ramen_Ratings[[#This Row],[Stars]]&gt;2.5, "Fair", Ramen_Ratings[[#This Row],[Stars]] &gt;= 0, "Bad")</f>
        <v>Good</v>
      </c>
      <c r="J1817" t="str">
        <f>LEFT(Ramen_Ratings[[#This Row],[Top Ten]],4)</f>
        <v/>
      </c>
      <c r="K1817" t="str">
        <f>IF(Ramen_Ratings[[#This Row],[Top Ten]]="", "",RIGHT(Ramen_Ratings[[#This Row],[Top Ten]],LEN(Ramen_Ratings[[#This Row],[Top Ten]])-6))</f>
        <v/>
      </c>
    </row>
    <row r="1818" spans="1:11" x14ac:dyDescent="0.25">
      <c r="A1818">
        <v>1377</v>
      </c>
      <c r="B1818" t="s">
        <v>1451</v>
      </c>
      <c r="C1818" t="s">
        <v>1460</v>
      </c>
      <c r="D1818" t="s">
        <v>13</v>
      </c>
      <c r="E1818" t="s">
        <v>10</v>
      </c>
      <c r="F1818" t="str">
        <f>VLOOKUP(Ramen_Ratings[[#This Row],[Country]],Country_Region[#All],2,FALSE)</f>
        <v>Asia</v>
      </c>
      <c r="G1818">
        <v>4.25</v>
      </c>
      <c r="H1818" t="str" cm="1">
        <f t="array" ref="H1818">_xlfn.IFS(Ramen_Ratings[[#This Row],[Stars]] = "Unrated", "NA",Ramen_Ratings[[#This Row],[Stars]]&gt;=4, "Good", Ramen_Ratings[[#This Row],[Stars]]&gt;2.5, "Fair", Ramen_Ratings[[#This Row],[Stars]] &gt;= 0, "Bad")</f>
        <v>Good</v>
      </c>
      <c r="J1818" t="str">
        <f>LEFT(Ramen_Ratings[[#This Row],[Top Ten]],4)</f>
        <v/>
      </c>
      <c r="K1818" t="str">
        <f>IF(Ramen_Ratings[[#This Row],[Top Ten]]="", "",RIGHT(Ramen_Ratings[[#This Row],[Top Ten]],LEN(Ramen_Ratings[[#This Row],[Top Ten]])-6))</f>
        <v/>
      </c>
    </row>
    <row r="1819" spans="1:11" x14ac:dyDescent="0.25">
      <c r="A1819">
        <v>1376</v>
      </c>
      <c r="B1819" t="s">
        <v>1451</v>
      </c>
      <c r="C1819" t="s">
        <v>1461</v>
      </c>
      <c r="D1819" t="s">
        <v>13</v>
      </c>
      <c r="E1819" t="s">
        <v>10</v>
      </c>
      <c r="F1819" t="str">
        <f>VLOOKUP(Ramen_Ratings[[#This Row],[Country]],Country_Region[#All],2,FALSE)</f>
        <v>Asia</v>
      </c>
      <c r="G1819">
        <v>3.75</v>
      </c>
      <c r="H1819" t="str" cm="1">
        <f t="array" ref="H1819">_xlfn.IFS(Ramen_Ratings[[#This Row],[Stars]] = "Unrated", "NA",Ramen_Ratings[[#This Row],[Stars]]&gt;=4, "Good", Ramen_Ratings[[#This Row],[Stars]]&gt;2.5, "Fair", Ramen_Ratings[[#This Row],[Stars]] &gt;= 0, "Bad")</f>
        <v>Fair</v>
      </c>
      <c r="J1819" t="str">
        <f>LEFT(Ramen_Ratings[[#This Row],[Top Ten]],4)</f>
        <v/>
      </c>
      <c r="K1819" t="str">
        <f>IF(Ramen_Ratings[[#This Row],[Top Ten]]="", "",RIGHT(Ramen_Ratings[[#This Row],[Top Ten]],LEN(Ramen_Ratings[[#This Row],[Top Ten]])-6))</f>
        <v/>
      </c>
    </row>
    <row r="1820" spans="1:11" x14ac:dyDescent="0.25">
      <c r="A1820">
        <v>1375</v>
      </c>
      <c r="B1820" t="s">
        <v>1451</v>
      </c>
      <c r="C1820" t="s">
        <v>1462</v>
      </c>
      <c r="D1820" t="s">
        <v>13</v>
      </c>
      <c r="E1820" t="s">
        <v>10</v>
      </c>
      <c r="F1820" t="str">
        <f>VLOOKUP(Ramen_Ratings[[#This Row],[Country]],Country_Region[#All],2,FALSE)</f>
        <v>Asia</v>
      </c>
      <c r="G1820">
        <v>4</v>
      </c>
      <c r="H1820" t="str" cm="1">
        <f t="array" ref="H1820">_xlfn.IFS(Ramen_Ratings[[#This Row],[Stars]] = "Unrated", "NA",Ramen_Ratings[[#This Row],[Stars]]&gt;=4, "Good", Ramen_Ratings[[#This Row],[Stars]]&gt;2.5, "Fair", Ramen_Ratings[[#This Row],[Stars]] &gt;= 0, "Bad")</f>
        <v>Good</v>
      </c>
      <c r="J1820" t="str">
        <f>LEFT(Ramen_Ratings[[#This Row],[Top Ten]],4)</f>
        <v/>
      </c>
      <c r="K1820" t="str">
        <f>IF(Ramen_Ratings[[#This Row],[Top Ten]]="", "",RIGHT(Ramen_Ratings[[#This Row],[Top Ten]],LEN(Ramen_Ratings[[#This Row],[Top Ten]])-6))</f>
        <v/>
      </c>
    </row>
    <row r="1821" spans="1:11" x14ac:dyDescent="0.25">
      <c r="A1821">
        <v>1374</v>
      </c>
      <c r="B1821" t="s">
        <v>178</v>
      </c>
      <c r="C1821" t="s">
        <v>1463</v>
      </c>
      <c r="D1821" t="s">
        <v>13</v>
      </c>
      <c r="E1821" t="s">
        <v>10</v>
      </c>
      <c r="F1821" t="str">
        <f>VLOOKUP(Ramen_Ratings[[#This Row],[Country]],Country_Region[#All],2,FALSE)</f>
        <v>Asia</v>
      </c>
      <c r="G1821">
        <v>3.25</v>
      </c>
      <c r="H1821" t="str" cm="1">
        <f t="array" ref="H1821">_xlfn.IFS(Ramen_Ratings[[#This Row],[Stars]] = "Unrated", "NA",Ramen_Ratings[[#This Row],[Stars]]&gt;=4, "Good", Ramen_Ratings[[#This Row],[Stars]]&gt;2.5, "Fair", Ramen_Ratings[[#This Row],[Stars]] &gt;= 0, "Bad")</f>
        <v>Fair</v>
      </c>
      <c r="J1821" t="str">
        <f>LEFT(Ramen_Ratings[[#This Row],[Top Ten]],4)</f>
        <v/>
      </c>
      <c r="K1821" t="str">
        <f>IF(Ramen_Ratings[[#This Row],[Top Ten]]="", "",RIGHT(Ramen_Ratings[[#This Row],[Top Ten]],LEN(Ramen_Ratings[[#This Row],[Top Ten]])-6))</f>
        <v/>
      </c>
    </row>
    <row r="1822" spans="1:11" x14ac:dyDescent="0.25">
      <c r="A1822">
        <v>1346</v>
      </c>
      <c r="B1822" t="s">
        <v>1255</v>
      </c>
      <c r="C1822" t="s">
        <v>1493</v>
      </c>
      <c r="D1822" t="s">
        <v>13</v>
      </c>
      <c r="E1822" t="s">
        <v>10</v>
      </c>
      <c r="F1822" t="str">
        <f>VLOOKUP(Ramen_Ratings[[#This Row],[Country]],Country_Region[#All],2,FALSE)</f>
        <v>Asia</v>
      </c>
      <c r="G1822">
        <v>3.75</v>
      </c>
      <c r="H1822" t="str" cm="1">
        <f t="array" ref="H1822">_xlfn.IFS(Ramen_Ratings[[#This Row],[Stars]] = "Unrated", "NA",Ramen_Ratings[[#This Row],[Stars]]&gt;=4, "Good", Ramen_Ratings[[#This Row],[Stars]]&gt;2.5, "Fair", Ramen_Ratings[[#This Row],[Stars]] &gt;= 0, "Bad")</f>
        <v>Fair</v>
      </c>
      <c r="J1822" t="str">
        <f>LEFT(Ramen_Ratings[[#This Row],[Top Ten]],4)</f>
        <v/>
      </c>
      <c r="K1822" t="str">
        <f>IF(Ramen_Ratings[[#This Row],[Top Ten]]="", "",RIGHT(Ramen_Ratings[[#This Row],[Top Ten]],LEN(Ramen_Ratings[[#This Row],[Top Ten]])-6))</f>
        <v/>
      </c>
    </row>
    <row r="1823" spans="1:11" x14ac:dyDescent="0.25">
      <c r="A1823">
        <v>1321</v>
      </c>
      <c r="B1823" t="s">
        <v>1451</v>
      </c>
      <c r="C1823" t="s">
        <v>1506</v>
      </c>
      <c r="D1823" t="s">
        <v>13</v>
      </c>
      <c r="E1823" t="s">
        <v>10</v>
      </c>
      <c r="F1823" t="str">
        <f>VLOOKUP(Ramen_Ratings[[#This Row],[Country]],Country_Region[#All],2,FALSE)</f>
        <v>Asia</v>
      </c>
      <c r="G1823">
        <v>3.75</v>
      </c>
      <c r="H1823" t="str" cm="1">
        <f t="array" ref="H1823">_xlfn.IFS(Ramen_Ratings[[#This Row],[Stars]] = "Unrated", "NA",Ramen_Ratings[[#This Row],[Stars]]&gt;=4, "Good", Ramen_Ratings[[#This Row],[Stars]]&gt;2.5, "Fair", Ramen_Ratings[[#This Row],[Stars]] &gt;= 0, "Bad")</f>
        <v>Fair</v>
      </c>
      <c r="J1823" t="str">
        <f>LEFT(Ramen_Ratings[[#This Row],[Top Ten]],4)</f>
        <v/>
      </c>
      <c r="K1823" t="str">
        <f>IF(Ramen_Ratings[[#This Row],[Top Ten]]="", "",RIGHT(Ramen_Ratings[[#This Row],[Top Ten]],LEN(Ramen_Ratings[[#This Row],[Top Ten]])-6))</f>
        <v/>
      </c>
    </row>
    <row r="1824" spans="1:11" x14ac:dyDescent="0.25">
      <c r="A1824">
        <v>1318</v>
      </c>
      <c r="B1824" t="s">
        <v>15</v>
      </c>
      <c r="C1824" t="s">
        <v>1525</v>
      </c>
      <c r="D1824" t="s">
        <v>44</v>
      </c>
      <c r="E1824" t="s">
        <v>10</v>
      </c>
      <c r="F1824" t="str">
        <f>VLOOKUP(Ramen_Ratings[[#This Row],[Country]],Country_Region[#All],2,FALSE)</f>
        <v>Asia</v>
      </c>
      <c r="G1824">
        <v>4</v>
      </c>
      <c r="H1824" t="str" cm="1">
        <f t="array" ref="H1824">_xlfn.IFS(Ramen_Ratings[[#This Row],[Stars]] = "Unrated", "NA",Ramen_Ratings[[#This Row],[Stars]]&gt;=4, "Good", Ramen_Ratings[[#This Row],[Stars]]&gt;2.5, "Fair", Ramen_Ratings[[#This Row],[Stars]] &gt;= 0, "Bad")</f>
        <v>Good</v>
      </c>
      <c r="J1824" t="str">
        <f>LEFT(Ramen_Ratings[[#This Row],[Top Ten]],4)</f>
        <v/>
      </c>
      <c r="K1824" t="str">
        <f>IF(Ramen_Ratings[[#This Row],[Top Ten]]="", "",RIGHT(Ramen_Ratings[[#This Row],[Top Ten]],LEN(Ramen_Ratings[[#This Row],[Top Ten]])-6))</f>
        <v/>
      </c>
    </row>
    <row r="1825" spans="1:11" x14ac:dyDescent="0.25">
      <c r="A1825">
        <v>1312</v>
      </c>
      <c r="B1825" t="s">
        <v>102</v>
      </c>
      <c r="C1825" t="s">
        <v>1531</v>
      </c>
      <c r="D1825" t="s">
        <v>13</v>
      </c>
      <c r="E1825" t="s">
        <v>10</v>
      </c>
      <c r="F1825" t="str">
        <f>VLOOKUP(Ramen_Ratings[[#This Row],[Country]],Country_Region[#All],2,FALSE)</f>
        <v>Asia</v>
      </c>
      <c r="G1825">
        <v>3.75</v>
      </c>
      <c r="H1825" t="str" cm="1">
        <f t="array" ref="H1825">_xlfn.IFS(Ramen_Ratings[[#This Row],[Stars]] = "Unrated", "NA",Ramen_Ratings[[#This Row],[Stars]]&gt;=4, "Good", Ramen_Ratings[[#This Row],[Stars]]&gt;2.5, "Fair", Ramen_Ratings[[#This Row],[Stars]] &gt;= 0, "Bad")</f>
        <v>Fair</v>
      </c>
      <c r="J1825" t="str">
        <f>LEFT(Ramen_Ratings[[#This Row],[Top Ten]],4)</f>
        <v/>
      </c>
      <c r="K1825" t="str">
        <f>IF(Ramen_Ratings[[#This Row],[Top Ten]]="", "",RIGHT(Ramen_Ratings[[#This Row],[Top Ten]],LEN(Ramen_Ratings[[#This Row],[Top Ten]])-6))</f>
        <v/>
      </c>
    </row>
    <row r="1826" spans="1:11" x14ac:dyDescent="0.25">
      <c r="A1826">
        <v>1307</v>
      </c>
      <c r="B1826" t="s">
        <v>15</v>
      </c>
      <c r="C1826" t="s">
        <v>1537</v>
      </c>
      <c r="D1826" t="s">
        <v>9</v>
      </c>
      <c r="E1826" t="s">
        <v>10</v>
      </c>
      <c r="F1826" t="str">
        <f>VLOOKUP(Ramen_Ratings[[#This Row],[Country]],Country_Region[#All],2,FALSE)</f>
        <v>Asia</v>
      </c>
      <c r="G1826">
        <v>3.75</v>
      </c>
      <c r="H1826" t="str" cm="1">
        <f t="array" ref="H1826">_xlfn.IFS(Ramen_Ratings[[#This Row],[Stars]] = "Unrated", "NA",Ramen_Ratings[[#This Row],[Stars]]&gt;=4, "Good", Ramen_Ratings[[#This Row],[Stars]]&gt;2.5, "Fair", Ramen_Ratings[[#This Row],[Stars]] &gt;= 0, "Bad")</f>
        <v>Fair</v>
      </c>
      <c r="J1826" t="str">
        <f>LEFT(Ramen_Ratings[[#This Row],[Top Ten]],4)</f>
        <v/>
      </c>
      <c r="K1826" t="str">
        <f>IF(Ramen_Ratings[[#This Row],[Top Ten]]="", "",RIGHT(Ramen_Ratings[[#This Row],[Top Ten]],LEN(Ramen_Ratings[[#This Row],[Top Ten]])-6))</f>
        <v/>
      </c>
    </row>
    <row r="1827" spans="1:11" x14ac:dyDescent="0.25">
      <c r="A1827">
        <v>1287</v>
      </c>
      <c r="B1827" t="s">
        <v>1560</v>
      </c>
      <c r="C1827" t="s">
        <v>1561</v>
      </c>
      <c r="D1827" t="s">
        <v>13</v>
      </c>
      <c r="E1827" t="s">
        <v>10</v>
      </c>
      <c r="F1827" t="str">
        <f>VLOOKUP(Ramen_Ratings[[#This Row],[Country]],Country_Region[#All],2,FALSE)</f>
        <v>Asia</v>
      </c>
      <c r="G1827">
        <v>5</v>
      </c>
      <c r="H1827" t="str" cm="1">
        <f t="array" ref="H1827">_xlfn.IFS(Ramen_Ratings[[#This Row],[Stars]] = "Unrated", "NA",Ramen_Ratings[[#This Row],[Stars]]&gt;=4, "Good", Ramen_Ratings[[#This Row],[Stars]]&gt;2.5, "Fair", Ramen_Ratings[[#This Row],[Stars]] &gt;= 0, "Bad")</f>
        <v>Good</v>
      </c>
      <c r="J1827" t="str">
        <f>LEFT(Ramen_Ratings[[#This Row],[Top Ten]],4)</f>
        <v/>
      </c>
      <c r="K1827" t="str">
        <f>IF(Ramen_Ratings[[#This Row],[Top Ten]]="", "",RIGHT(Ramen_Ratings[[#This Row],[Top Ten]],LEN(Ramen_Ratings[[#This Row],[Top Ten]])-6))</f>
        <v/>
      </c>
    </row>
    <row r="1828" spans="1:11" x14ac:dyDescent="0.25">
      <c r="A1828">
        <v>1281</v>
      </c>
      <c r="B1828" t="s">
        <v>1567</v>
      </c>
      <c r="C1828" t="s">
        <v>1568</v>
      </c>
      <c r="D1828" t="s">
        <v>44</v>
      </c>
      <c r="E1828" t="s">
        <v>10</v>
      </c>
      <c r="F1828" t="str">
        <f>VLOOKUP(Ramen_Ratings[[#This Row],[Country]],Country_Region[#All],2,FALSE)</f>
        <v>Asia</v>
      </c>
      <c r="G1828">
        <v>2.25</v>
      </c>
      <c r="H1828" t="str" cm="1">
        <f t="array" ref="H1828">_xlfn.IFS(Ramen_Ratings[[#This Row],[Stars]] = "Unrated", "NA",Ramen_Ratings[[#This Row],[Stars]]&gt;=4, "Good", Ramen_Ratings[[#This Row],[Stars]]&gt;2.5, "Fair", Ramen_Ratings[[#This Row],[Stars]] &gt;= 0, "Bad")</f>
        <v>Bad</v>
      </c>
      <c r="J1828" t="str">
        <f>LEFT(Ramen_Ratings[[#This Row],[Top Ten]],4)</f>
        <v/>
      </c>
      <c r="K1828" t="str">
        <f>IF(Ramen_Ratings[[#This Row],[Top Ten]]="", "",RIGHT(Ramen_Ratings[[#This Row],[Top Ten]],LEN(Ramen_Ratings[[#This Row],[Top Ten]])-6))</f>
        <v/>
      </c>
    </row>
    <row r="1829" spans="1:11" x14ac:dyDescent="0.25">
      <c r="A1829">
        <v>1263</v>
      </c>
      <c r="B1829" t="s">
        <v>15</v>
      </c>
      <c r="C1829" t="s">
        <v>1588</v>
      </c>
      <c r="D1829" t="s">
        <v>9</v>
      </c>
      <c r="E1829" t="s">
        <v>10</v>
      </c>
      <c r="F1829" t="str">
        <f>VLOOKUP(Ramen_Ratings[[#This Row],[Country]],Country_Region[#All],2,FALSE)</f>
        <v>Asia</v>
      </c>
      <c r="G1829">
        <v>4.25</v>
      </c>
      <c r="H1829" t="str" cm="1">
        <f t="array" ref="H1829">_xlfn.IFS(Ramen_Ratings[[#This Row],[Stars]] = "Unrated", "NA",Ramen_Ratings[[#This Row],[Stars]]&gt;=4, "Good", Ramen_Ratings[[#This Row],[Stars]]&gt;2.5, "Fair", Ramen_Ratings[[#This Row],[Stars]] &gt;= 0, "Bad")</f>
        <v>Good</v>
      </c>
      <c r="J1829" t="str">
        <f>LEFT(Ramen_Ratings[[#This Row],[Top Ten]],4)</f>
        <v/>
      </c>
      <c r="K1829" t="str">
        <f>IF(Ramen_Ratings[[#This Row],[Top Ten]]="", "",RIGHT(Ramen_Ratings[[#This Row],[Top Ten]],LEN(Ramen_Ratings[[#This Row],[Top Ten]])-6))</f>
        <v/>
      </c>
    </row>
    <row r="1830" spans="1:11" x14ac:dyDescent="0.25">
      <c r="A1830">
        <v>1247</v>
      </c>
      <c r="B1830" t="s">
        <v>102</v>
      </c>
      <c r="C1830" t="s">
        <v>1605</v>
      </c>
      <c r="D1830" t="s">
        <v>13</v>
      </c>
      <c r="E1830" t="s">
        <v>10</v>
      </c>
      <c r="F1830" t="str">
        <f>VLOOKUP(Ramen_Ratings[[#This Row],[Country]],Country_Region[#All],2,FALSE)</f>
        <v>Asia</v>
      </c>
      <c r="G1830">
        <v>4</v>
      </c>
      <c r="H1830" t="str" cm="1">
        <f t="array" ref="H1830">_xlfn.IFS(Ramen_Ratings[[#This Row],[Stars]] = "Unrated", "NA",Ramen_Ratings[[#This Row],[Stars]]&gt;=4, "Good", Ramen_Ratings[[#This Row],[Stars]]&gt;2.5, "Fair", Ramen_Ratings[[#This Row],[Stars]] &gt;= 0, "Bad")</f>
        <v>Good</v>
      </c>
      <c r="J1830" t="str">
        <f>LEFT(Ramen_Ratings[[#This Row],[Top Ten]],4)</f>
        <v/>
      </c>
      <c r="K1830" t="str">
        <f>IF(Ramen_Ratings[[#This Row],[Top Ten]]="", "",RIGHT(Ramen_Ratings[[#This Row],[Top Ten]],LEN(Ramen_Ratings[[#This Row],[Top Ten]])-6))</f>
        <v/>
      </c>
    </row>
    <row r="1831" spans="1:11" x14ac:dyDescent="0.25">
      <c r="A1831">
        <v>1241</v>
      </c>
      <c r="B1831" t="s">
        <v>15</v>
      </c>
      <c r="C1831" t="s">
        <v>1611</v>
      </c>
      <c r="D1831" t="s">
        <v>13</v>
      </c>
      <c r="E1831" t="s">
        <v>10</v>
      </c>
      <c r="F1831" t="str">
        <f>VLOOKUP(Ramen_Ratings[[#This Row],[Country]],Country_Region[#All],2,FALSE)</f>
        <v>Asia</v>
      </c>
      <c r="G1831">
        <v>3.75</v>
      </c>
      <c r="H1831" t="str" cm="1">
        <f t="array" ref="H1831">_xlfn.IFS(Ramen_Ratings[[#This Row],[Stars]] = "Unrated", "NA",Ramen_Ratings[[#This Row],[Stars]]&gt;=4, "Good", Ramen_Ratings[[#This Row],[Stars]]&gt;2.5, "Fair", Ramen_Ratings[[#This Row],[Stars]] &gt;= 0, "Bad")</f>
        <v>Fair</v>
      </c>
      <c r="J1831" t="str">
        <f>LEFT(Ramen_Ratings[[#This Row],[Top Ten]],4)</f>
        <v/>
      </c>
      <c r="K1831" t="str">
        <f>IF(Ramen_Ratings[[#This Row],[Top Ten]]="", "",RIGHT(Ramen_Ratings[[#This Row],[Top Ten]],LEN(Ramen_Ratings[[#This Row],[Top Ten]])-6))</f>
        <v/>
      </c>
    </row>
    <row r="1832" spans="1:11" x14ac:dyDescent="0.25">
      <c r="A1832">
        <v>1238</v>
      </c>
      <c r="B1832" t="s">
        <v>374</v>
      </c>
      <c r="C1832" t="s">
        <v>1615</v>
      </c>
      <c r="D1832" t="s">
        <v>13</v>
      </c>
      <c r="E1832" t="s">
        <v>10</v>
      </c>
      <c r="F1832" t="str">
        <f>VLOOKUP(Ramen_Ratings[[#This Row],[Country]],Country_Region[#All],2,FALSE)</f>
        <v>Asia</v>
      </c>
      <c r="G1832">
        <v>5</v>
      </c>
      <c r="H1832" t="str" cm="1">
        <f t="array" ref="H1832">_xlfn.IFS(Ramen_Ratings[[#This Row],[Stars]] = "Unrated", "NA",Ramen_Ratings[[#This Row],[Stars]]&gt;=4, "Good", Ramen_Ratings[[#This Row],[Stars]]&gt;2.5, "Fair", Ramen_Ratings[[#This Row],[Stars]] &gt;= 0, "Bad")</f>
        <v>Good</v>
      </c>
      <c r="J1832" t="str">
        <f>LEFT(Ramen_Ratings[[#This Row],[Top Ten]],4)</f>
        <v/>
      </c>
      <c r="K1832" t="str">
        <f>IF(Ramen_Ratings[[#This Row],[Top Ten]]="", "",RIGHT(Ramen_Ratings[[#This Row],[Top Ten]],LEN(Ramen_Ratings[[#This Row],[Top Ten]])-6))</f>
        <v/>
      </c>
    </row>
    <row r="1833" spans="1:11" x14ac:dyDescent="0.25">
      <c r="A1833">
        <v>1229</v>
      </c>
      <c r="B1833" t="s">
        <v>1624</v>
      </c>
      <c r="C1833" t="s">
        <v>1625</v>
      </c>
      <c r="D1833" t="s">
        <v>13</v>
      </c>
      <c r="E1833" t="s">
        <v>10</v>
      </c>
      <c r="F1833" t="str">
        <f>VLOOKUP(Ramen_Ratings[[#This Row],[Country]],Country_Region[#All],2,FALSE)</f>
        <v>Asia</v>
      </c>
      <c r="G1833">
        <v>2.5</v>
      </c>
      <c r="H1833" t="str" cm="1">
        <f t="array" ref="H1833">_xlfn.IFS(Ramen_Ratings[[#This Row],[Stars]] = "Unrated", "NA",Ramen_Ratings[[#This Row],[Stars]]&gt;=4, "Good", Ramen_Ratings[[#This Row],[Stars]]&gt;2.5, "Fair", Ramen_Ratings[[#This Row],[Stars]] &gt;= 0, "Bad")</f>
        <v>Bad</v>
      </c>
      <c r="J1833" t="str">
        <f>LEFT(Ramen_Ratings[[#This Row],[Top Ten]],4)</f>
        <v/>
      </c>
      <c r="K1833" t="str">
        <f>IF(Ramen_Ratings[[#This Row],[Top Ten]]="", "",RIGHT(Ramen_Ratings[[#This Row],[Top Ten]],LEN(Ramen_Ratings[[#This Row],[Top Ten]])-6))</f>
        <v/>
      </c>
    </row>
    <row r="1834" spans="1:11" x14ac:dyDescent="0.25">
      <c r="A1834">
        <v>1228</v>
      </c>
      <c r="B1834" t="s">
        <v>102</v>
      </c>
      <c r="C1834" t="s">
        <v>1626</v>
      </c>
      <c r="D1834" t="s">
        <v>13</v>
      </c>
      <c r="E1834" t="s">
        <v>10</v>
      </c>
      <c r="F1834" t="str">
        <f>VLOOKUP(Ramen_Ratings[[#This Row],[Country]],Country_Region[#All],2,FALSE)</f>
        <v>Asia</v>
      </c>
      <c r="G1834">
        <v>3.75</v>
      </c>
      <c r="H1834" t="str" cm="1">
        <f t="array" ref="H1834">_xlfn.IFS(Ramen_Ratings[[#This Row],[Stars]] = "Unrated", "NA",Ramen_Ratings[[#This Row],[Stars]]&gt;=4, "Good", Ramen_Ratings[[#This Row],[Stars]]&gt;2.5, "Fair", Ramen_Ratings[[#This Row],[Stars]] &gt;= 0, "Bad")</f>
        <v>Fair</v>
      </c>
      <c r="J1834" t="str">
        <f>LEFT(Ramen_Ratings[[#This Row],[Top Ten]],4)</f>
        <v/>
      </c>
      <c r="K1834" t="str">
        <f>IF(Ramen_Ratings[[#This Row],[Top Ten]]="", "",RIGHT(Ramen_Ratings[[#This Row],[Top Ten]],LEN(Ramen_Ratings[[#This Row],[Top Ten]])-6))</f>
        <v/>
      </c>
    </row>
    <row r="1835" spans="1:11" x14ac:dyDescent="0.25">
      <c r="A1835">
        <v>1220</v>
      </c>
      <c r="B1835" t="s">
        <v>15</v>
      </c>
      <c r="C1835" t="s">
        <v>1635</v>
      </c>
      <c r="D1835" t="s">
        <v>9</v>
      </c>
      <c r="E1835" t="s">
        <v>10</v>
      </c>
      <c r="F1835" t="str">
        <f>VLOOKUP(Ramen_Ratings[[#This Row],[Country]],Country_Region[#All],2,FALSE)</f>
        <v>Asia</v>
      </c>
      <c r="G1835">
        <v>3</v>
      </c>
      <c r="H1835" t="str" cm="1">
        <f t="array" ref="H1835">_xlfn.IFS(Ramen_Ratings[[#This Row],[Stars]] = "Unrated", "NA",Ramen_Ratings[[#This Row],[Stars]]&gt;=4, "Good", Ramen_Ratings[[#This Row],[Stars]]&gt;2.5, "Fair", Ramen_Ratings[[#This Row],[Stars]] &gt;= 0, "Bad")</f>
        <v>Fair</v>
      </c>
      <c r="J1835" t="str">
        <f>LEFT(Ramen_Ratings[[#This Row],[Top Ten]],4)</f>
        <v/>
      </c>
      <c r="K1835" t="str">
        <f>IF(Ramen_Ratings[[#This Row],[Top Ten]]="", "",RIGHT(Ramen_Ratings[[#This Row],[Top Ten]],LEN(Ramen_Ratings[[#This Row],[Top Ten]])-6))</f>
        <v/>
      </c>
    </row>
    <row r="1836" spans="1:11" x14ac:dyDescent="0.25">
      <c r="A1836">
        <v>1219</v>
      </c>
      <c r="B1836" t="s">
        <v>178</v>
      </c>
      <c r="C1836" t="s">
        <v>1636</v>
      </c>
      <c r="D1836" t="s">
        <v>13</v>
      </c>
      <c r="E1836" t="s">
        <v>10</v>
      </c>
      <c r="F1836" t="str">
        <f>VLOOKUP(Ramen_Ratings[[#This Row],[Country]],Country_Region[#All],2,FALSE)</f>
        <v>Asia</v>
      </c>
      <c r="G1836">
        <v>3.5</v>
      </c>
      <c r="H1836" t="str" cm="1">
        <f t="array" ref="H1836">_xlfn.IFS(Ramen_Ratings[[#This Row],[Stars]] = "Unrated", "NA",Ramen_Ratings[[#This Row],[Stars]]&gt;=4, "Good", Ramen_Ratings[[#This Row],[Stars]]&gt;2.5, "Fair", Ramen_Ratings[[#This Row],[Stars]] &gt;= 0, "Bad")</f>
        <v>Fair</v>
      </c>
      <c r="J1836" t="str">
        <f>LEFT(Ramen_Ratings[[#This Row],[Top Ten]],4)</f>
        <v/>
      </c>
      <c r="K1836" t="str">
        <f>IF(Ramen_Ratings[[#This Row],[Top Ten]]="", "",RIGHT(Ramen_Ratings[[#This Row],[Top Ten]],LEN(Ramen_Ratings[[#This Row],[Top Ten]])-6))</f>
        <v/>
      </c>
    </row>
    <row r="1837" spans="1:11" x14ac:dyDescent="0.25">
      <c r="A1837">
        <v>1207</v>
      </c>
      <c r="B1837" t="s">
        <v>15</v>
      </c>
      <c r="C1837" t="s">
        <v>1649</v>
      </c>
      <c r="D1837" t="s">
        <v>44</v>
      </c>
      <c r="E1837" t="s">
        <v>10</v>
      </c>
      <c r="F1837" t="str">
        <f>VLOOKUP(Ramen_Ratings[[#This Row],[Country]],Country_Region[#All],2,FALSE)</f>
        <v>Asia</v>
      </c>
      <c r="G1837">
        <v>5</v>
      </c>
      <c r="H1837" t="str" cm="1">
        <f t="array" ref="H1837">_xlfn.IFS(Ramen_Ratings[[#This Row],[Stars]] = "Unrated", "NA",Ramen_Ratings[[#This Row],[Stars]]&gt;=4, "Good", Ramen_Ratings[[#This Row],[Stars]]&gt;2.5, "Fair", Ramen_Ratings[[#This Row],[Stars]] &gt;= 0, "Bad")</f>
        <v>Good</v>
      </c>
      <c r="J1837" t="str">
        <f>LEFT(Ramen_Ratings[[#This Row],[Top Ten]],4)</f>
        <v/>
      </c>
      <c r="K1837" t="str">
        <f>IF(Ramen_Ratings[[#This Row],[Top Ten]]="", "",RIGHT(Ramen_Ratings[[#This Row],[Top Ten]],LEN(Ramen_Ratings[[#This Row],[Top Ten]])-6))</f>
        <v/>
      </c>
    </row>
    <row r="1838" spans="1:11" x14ac:dyDescent="0.25">
      <c r="A1838">
        <v>1202</v>
      </c>
      <c r="B1838" t="s">
        <v>953</v>
      </c>
      <c r="C1838" t="s">
        <v>1655</v>
      </c>
      <c r="D1838" t="s">
        <v>13</v>
      </c>
      <c r="E1838" t="s">
        <v>10</v>
      </c>
      <c r="F1838" t="str">
        <f>VLOOKUP(Ramen_Ratings[[#This Row],[Country]],Country_Region[#All],2,FALSE)</f>
        <v>Asia</v>
      </c>
      <c r="G1838">
        <v>3.25</v>
      </c>
      <c r="H1838" t="str" cm="1">
        <f t="array" ref="H1838">_xlfn.IFS(Ramen_Ratings[[#This Row],[Stars]] = "Unrated", "NA",Ramen_Ratings[[#This Row],[Stars]]&gt;=4, "Good", Ramen_Ratings[[#This Row],[Stars]]&gt;2.5, "Fair", Ramen_Ratings[[#This Row],[Stars]] &gt;= 0, "Bad")</f>
        <v>Fair</v>
      </c>
      <c r="J1838" t="str">
        <f>LEFT(Ramen_Ratings[[#This Row],[Top Ten]],4)</f>
        <v/>
      </c>
      <c r="K1838" t="str">
        <f>IF(Ramen_Ratings[[#This Row],[Top Ten]]="", "",RIGHT(Ramen_Ratings[[#This Row],[Top Ten]],LEN(Ramen_Ratings[[#This Row],[Top Ten]])-6))</f>
        <v/>
      </c>
    </row>
    <row r="1839" spans="1:11" x14ac:dyDescent="0.25">
      <c r="A1839">
        <v>1200</v>
      </c>
      <c r="B1839" t="s">
        <v>1312</v>
      </c>
      <c r="C1839" t="s">
        <v>860</v>
      </c>
      <c r="D1839" t="s">
        <v>13</v>
      </c>
      <c r="E1839" t="s">
        <v>10</v>
      </c>
      <c r="F1839" t="str">
        <f>VLOOKUP(Ramen_Ratings[[#This Row],[Country]],Country_Region[#All],2,FALSE)</f>
        <v>Asia</v>
      </c>
      <c r="G1839">
        <v>3.75</v>
      </c>
      <c r="H1839" t="str" cm="1">
        <f t="array" ref="H1839">_xlfn.IFS(Ramen_Ratings[[#This Row],[Stars]] = "Unrated", "NA",Ramen_Ratings[[#This Row],[Stars]]&gt;=4, "Good", Ramen_Ratings[[#This Row],[Stars]]&gt;2.5, "Fair", Ramen_Ratings[[#This Row],[Stars]] &gt;= 0, "Bad")</f>
        <v>Fair</v>
      </c>
      <c r="J1839" t="str">
        <f>LEFT(Ramen_Ratings[[#This Row],[Top Ten]],4)</f>
        <v/>
      </c>
      <c r="K1839" t="str">
        <f>IF(Ramen_Ratings[[#This Row],[Top Ten]]="", "",RIGHT(Ramen_Ratings[[#This Row],[Top Ten]],LEN(Ramen_Ratings[[#This Row],[Top Ten]])-6))</f>
        <v/>
      </c>
    </row>
    <row r="1840" spans="1:11" x14ac:dyDescent="0.25">
      <c r="A1840">
        <v>1197</v>
      </c>
      <c r="B1840" t="s">
        <v>15</v>
      </c>
      <c r="C1840" t="s">
        <v>1660</v>
      </c>
      <c r="D1840" t="s">
        <v>9</v>
      </c>
      <c r="E1840" t="s">
        <v>10</v>
      </c>
      <c r="F1840" t="str">
        <f>VLOOKUP(Ramen_Ratings[[#This Row],[Country]],Country_Region[#All],2,FALSE)</f>
        <v>Asia</v>
      </c>
      <c r="G1840">
        <v>4.5</v>
      </c>
      <c r="H1840" t="str" cm="1">
        <f t="array" ref="H1840">_xlfn.IFS(Ramen_Ratings[[#This Row],[Stars]] = "Unrated", "NA",Ramen_Ratings[[#This Row],[Stars]]&gt;=4, "Good", Ramen_Ratings[[#This Row],[Stars]]&gt;2.5, "Fair", Ramen_Ratings[[#This Row],[Stars]] &gt;= 0, "Bad")</f>
        <v>Good</v>
      </c>
      <c r="J1840" t="str">
        <f>LEFT(Ramen_Ratings[[#This Row],[Top Ten]],4)</f>
        <v/>
      </c>
      <c r="K1840" t="str">
        <f>IF(Ramen_Ratings[[#This Row],[Top Ten]]="", "",RIGHT(Ramen_Ratings[[#This Row],[Top Ten]],LEN(Ramen_Ratings[[#This Row],[Top Ten]])-6))</f>
        <v/>
      </c>
    </row>
    <row r="1841" spans="1:11" x14ac:dyDescent="0.25">
      <c r="A1841">
        <v>1190</v>
      </c>
      <c r="B1841" t="s">
        <v>1667</v>
      </c>
      <c r="C1841" t="s">
        <v>1668</v>
      </c>
      <c r="D1841" t="s">
        <v>44</v>
      </c>
      <c r="E1841" t="s">
        <v>10</v>
      </c>
      <c r="F1841" t="str">
        <f>VLOOKUP(Ramen_Ratings[[#This Row],[Country]],Country_Region[#All],2,FALSE)</f>
        <v>Asia</v>
      </c>
      <c r="G1841">
        <v>3.75</v>
      </c>
      <c r="H1841" t="str" cm="1">
        <f t="array" ref="H1841">_xlfn.IFS(Ramen_Ratings[[#This Row],[Stars]] = "Unrated", "NA",Ramen_Ratings[[#This Row],[Stars]]&gt;=4, "Good", Ramen_Ratings[[#This Row],[Stars]]&gt;2.5, "Fair", Ramen_Ratings[[#This Row],[Stars]] &gt;= 0, "Bad")</f>
        <v>Fair</v>
      </c>
      <c r="J1841" t="str">
        <f>LEFT(Ramen_Ratings[[#This Row],[Top Ten]],4)</f>
        <v/>
      </c>
      <c r="K1841" t="str">
        <f>IF(Ramen_Ratings[[#This Row],[Top Ten]]="", "",RIGHT(Ramen_Ratings[[#This Row],[Top Ten]],LEN(Ramen_Ratings[[#This Row],[Top Ten]])-6))</f>
        <v/>
      </c>
    </row>
    <row r="1842" spans="1:11" x14ac:dyDescent="0.25">
      <c r="A1842">
        <v>1189</v>
      </c>
      <c r="B1842" t="s">
        <v>26</v>
      </c>
      <c r="C1842" t="s">
        <v>1669</v>
      </c>
      <c r="D1842" t="s">
        <v>44</v>
      </c>
      <c r="E1842" t="s">
        <v>10</v>
      </c>
      <c r="F1842" t="str">
        <f>VLOOKUP(Ramen_Ratings[[#This Row],[Country]],Country_Region[#All],2,FALSE)</f>
        <v>Asia</v>
      </c>
      <c r="G1842">
        <v>5</v>
      </c>
      <c r="H1842" t="str" cm="1">
        <f t="array" ref="H1842">_xlfn.IFS(Ramen_Ratings[[#This Row],[Stars]] = "Unrated", "NA",Ramen_Ratings[[#This Row],[Stars]]&gt;=4, "Good", Ramen_Ratings[[#This Row],[Stars]]&gt;2.5, "Fair", Ramen_Ratings[[#This Row],[Stars]] &gt;= 0, "Bad")</f>
        <v>Good</v>
      </c>
      <c r="J1842" t="str">
        <f>LEFT(Ramen_Ratings[[#This Row],[Top Ten]],4)</f>
        <v/>
      </c>
      <c r="K1842" t="str">
        <f>IF(Ramen_Ratings[[#This Row],[Top Ten]]="", "",RIGHT(Ramen_Ratings[[#This Row],[Top Ten]],LEN(Ramen_Ratings[[#This Row],[Top Ten]])-6))</f>
        <v/>
      </c>
    </row>
    <row r="1843" spans="1:11" x14ac:dyDescent="0.25">
      <c r="A1843">
        <v>1184</v>
      </c>
      <c r="B1843" t="s">
        <v>374</v>
      </c>
      <c r="C1843" t="s">
        <v>1674</v>
      </c>
      <c r="D1843" t="s">
        <v>9</v>
      </c>
      <c r="E1843" t="s">
        <v>10</v>
      </c>
      <c r="F1843" t="str">
        <f>VLOOKUP(Ramen_Ratings[[#This Row],[Country]],Country_Region[#All],2,FALSE)</f>
        <v>Asia</v>
      </c>
      <c r="G1843">
        <v>3.5</v>
      </c>
      <c r="H1843" t="str" cm="1">
        <f t="array" ref="H1843">_xlfn.IFS(Ramen_Ratings[[#This Row],[Stars]] = "Unrated", "NA",Ramen_Ratings[[#This Row],[Stars]]&gt;=4, "Good", Ramen_Ratings[[#This Row],[Stars]]&gt;2.5, "Fair", Ramen_Ratings[[#This Row],[Stars]] &gt;= 0, "Bad")</f>
        <v>Fair</v>
      </c>
      <c r="J1843" t="str">
        <f>LEFT(Ramen_Ratings[[#This Row],[Top Ten]],4)</f>
        <v/>
      </c>
      <c r="K1843" t="str">
        <f>IF(Ramen_Ratings[[#This Row],[Top Ten]]="", "",RIGHT(Ramen_Ratings[[#This Row],[Top Ten]],LEN(Ramen_Ratings[[#This Row],[Top Ten]])-6))</f>
        <v/>
      </c>
    </row>
    <row r="1844" spans="1:11" x14ac:dyDescent="0.25">
      <c r="A1844">
        <v>1179</v>
      </c>
      <c r="B1844" t="s">
        <v>183</v>
      </c>
      <c r="C1844" t="s">
        <v>1680</v>
      </c>
      <c r="D1844" t="s">
        <v>13</v>
      </c>
      <c r="E1844" t="s">
        <v>10</v>
      </c>
      <c r="F1844" t="str">
        <f>VLOOKUP(Ramen_Ratings[[#This Row],[Country]],Country_Region[#All],2,FALSE)</f>
        <v>Asia</v>
      </c>
      <c r="G1844">
        <v>4.25</v>
      </c>
      <c r="H1844" t="str" cm="1">
        <f t="array" ref="H1844">_xlfn.IFS(Ramen_Ratings[[#This Row],[Stars]] = "Unrated", "NA",Ramen_Ratings[[#This Row],[Stars]]&gt;=4, "Good", Ramen_Ratings[[#This Row],[Stars]]&gt;2.5, "Fair", Ramen_Ratings[[#This Row],[Stars]] &gt;= 0, "Bad")</f>
        <v>Good</v>
      </c>
      <c r="J1844" t="str">
        <f>LEFT(Ramen_Ratings[[#This Row],[Top Ten]],4)</f>
        <v/>
      </c>
      <c r="K1844" t="str">
        <f>IF(Ramen_Ratings[[#This Row],[Top Ten]]="", "",RIGHT(Ramen_Ratings[[#This Row],[Top Ten]],LEN(Ramen_Ratings[[#This Row],[Top Ten]])-6))</f>
        <v/>
      </c>
    </row>
    <row r="1845" spans="1:11" x14ac:dyDescent="0.25">
      <c r="A1845">
        <v>1176</v>
      </c>
      <c r="B1845" t="s">
        <v>102</v>
      </c>
      <c r="C1845" t="s">
        <v>1683</v>
      </c>
      <c r="D1845" t="s">
        <v>13</v>
      </c>
      <c r="E1845" t="s">
        <v>10</v>
      </c>
      <c r="F1845" t="str">
        <f>VLOOKUP(Ramen_Ratings[[#This Row],[Country]],Country_Region[#All],2,FALSE)</f>
        <v>Asia</v>
      </c>
      <c r="G1845">
        <v>3.5</v>
      </c>
      <c r="H1845" t="str" cm="1">
        <f t="array" ref="H1845">_xlfn.IFS(Ramen_Ratings[[#This Row],[Stars]] = "Unrated", "NA",Ramen_Ratings[[#This Row],[Stars]]&gt;=4, "Good", Ramen_Ratings[[#This Row],[Stars]]&gt;2.5, "Fair", Ramen_Ratings[[#This Row],[Stars]] &gt;= 0, "Bad")</f>
        <v>Fair</v>
      </c>
      <c r="J1845" t="str">
        <f>LEFT(Ramen_Ratings[[#This Row],[Top Ten]],4)</f>
        <v/>
      </c>
      <c r="K1845" t="str">
        <f>IF(Ramen_Ratings[[#This Row],[Top Ten]]="", "",RIGHT(Ramen_Ratings[[#This Row],[Top Ten]],LEN(Ramen_Ratings[[#This Row],[Top Ten]])-6))</f>
        <v/>
      </c>
    </row>
    <row r="1846" spans="1:11" x14ac:dyDescent="0.25">
      <c r="A1846">
        <v>1174</v>
      </c>
      <c r="B1846" t="s">
        <v>621</v>
      </c>
      <c r="C1846" t="s">
        <v>1685</v>
      </c>
      <c r="D1846" t="s">
        <v>13</v>
      </c>
      <c r="E1846" t="s">
        <v>10</v>
      </c>
      <c r="F1846" t="str">
        <f>VLOOKUP(Ramen_Ratings[[#This Row],[Country]],Country_Region[#All],2,FALSE)</f>
        <v>Asia</v>
      </c>
      <c r="G1846">
        <v>4</v>
      </c>
      <c r="H1846" t="str" cm="1">
        <f t="array" ref="H1846">_xlfn.IFS(Ramen_Ratings[[#This Row],[Stars]] = "Unrated", "NA",Ramen_Ratings[[#This Row],[Stars]]&gt;=4, "Good", Ramen_Ratings[[#This Row],[Stars]]&gt;2.5, "Fair", Ramen_Ratings[[#This Row],[Stars]] &gt;= 0, "Bad")</f>
        <v>Good</v>
      </c>
      <c r="J1846" t="str">
        <f>LEFT(Ramen_Ratings[[#This Row],[Top Ten]],4)</f>
        <v/>
      </c>
      <c r="K1846" t="str">
        <f>IF(Ramen_Ratings[[#This Row],[Top Ten]]="", "",RIGHT(Ramen_Ratings[[#This Row],[Top Ten]],LEN(Ramen_Ratings[[#This Row],[Top Ten]])-6))</f>
        <v/>
      </c>
    </row>
    <row r="1847" spans="1:11" x14ac:dyDescent="0.25">
      <c r="A1847">
        <v>1170</v>
      </c>
      <c r="B1847" t="s">
        <v>26</v>
      </c>
      <c r="C1847" t="s">
        <v>1689</v>
      </c>
      <c r="D1847" t="s">
        <v>9</v>
      </c>
      <c r="E1847" t="s">
        <v>10</v>
      </c>
      <c r="F1847" t="str">
        <f>VLOOKUP(Ramen_Ratings[[#This Row],[Country]],Country_Region[#All],2,FALSE)</f>
        <v>Asia</v>
      </c>
      <c r="G1847">
        <v>3.75</v>
      </c>
      <c r="H1847" t="str" cm="1">
        <f t="array" ref="H1847">_xlfn.IFS(Ramen_Ratings[[#This Row],[Stars]] = "Unrated", "NA",Ramen_Ratings[[#This Row],[Stars]]&gt;=4, "Good", Ramen_Ratings[[#This Row],[Stars]]&gt;2.5, "Fair", Ramen_Ratings[[#This Row],[Stars]] &gt;= 0, "Bad")</f>
        <v>Fair</v>
      </c>
      <c r="J1847" t="str">
        <f>LEFT(Ramen_Ratings[[#This Row],[Top Ten]],4)</f>
        <v/>
      </c>
      <c r="K1847" t="str">
        <f>IF(Ramen_Ratings[[#This Row],[Top Ten]]="", "",RIGHT(Ramen_Ratings[[#This Row],[Top Ten]],LEN(Ramen_Ratings[[#This Row],[Top Ten]])-6))</f>
        <v/>
      </c>
    </row>
    <row r="1848" spans="1:11" x14ac:dyDescent="0.25">
      <c r="A1848">
        <v>1168</v>
      </c>
      <c r="B1848" t="s">
        <v>15</v>
      </c>
      <c r="C1848" t="s">
        <v>1691</v>
      </c>
      <c r="D1848" t="s">
        <v>44</v>
      </c>
      <c r="E1848" t="s">
        <v>10</v>
      </c>
      <c r="F1848" t="str">
        <f>VLOOKUP(Ramen_Ratings[[#This Row],[Country]],Country_Region[#All],2,FALSE)</f>
        <v>Asia</v>
      </c>
      <c r="G1848">
        <v>3.25</v>
      </c>
      <c r="H1848" t="str" cm="1">
        <f t="array" ref="H1848">_xlfn.IFS(Ramen_Ratings[[#This Row],[Stars]] = "Unrated", "NA",Ramen_Ratings[[#This Row],[Stars]]&gt;=4, "Good", Ramen_Ratings[[#This Row],[Stars]]&gt;2.5, "Fair", Ramen_Ratings[[#This Row],[Stars]] &gt;= 0, "Bad")</f>
        <v>Fair</v>
      </c>
      <c r="J1848" t="str">
        <f>LEFT(Ramen_Ratings[[#This Row],[Top Ten]],4)</f>
        <v/>
      </c>
      <c r="K1848" t="str">
        <f>IF(Ramen_Ratings[[#This Row],[Top Ten]]="", "",RIGHT(Ramen_Ratings[[#This Row],[Top Ten]],LEN(Ramen_Ratings[[#This Row],[Top Ten]])-6))</f>
        <v/>
      </c>
    </row>
    <row r="1849" spans="1:11" x14ac:dyDescent="0.25">
      <c r="A1849">
        <v>1162</v>
      </c>
      <c r="B1849" t="s">
        <v>15</v>
      </c>
      <c r="C1849" t="s">
        <v>1696</v>
      </c>
      <c r="D1849" t="s">
        <v>13</v>
      </c>
      <c r="E1849" t="s">
        <v>10</v>
      </c>
      <c r="F1849" t="str">
        <f>VLOOKUP(Ramen_Ratings[[#This Row],[Country]],Country_Region[#All],2,FALSE)</f>
        <v>Asia</v>
      </c>
      <c r="G1849">
        <v>4.75</v>
      </c>
      <c r="H1849" t="str" cm="1">
        <f t="array" ref="H1849">_xlfn.IFS(Ramen_Ratings[[#This Row],[Stars]] = "Unrated", "NA",Ramen_Ratings[[#This Row],[Stars]]&gt;=4, "Good", Ramen_Ratings[[#This Row],[Stars]]&gt;2.5, "Fair", Ramen_Ratings[[#This Row],[Stars]] &gt;= 0, "Bad")</f>
        <v>Good</v>
      </c>
      <c r="J1849" t="str">
        <f>LEFT(Ramen_Ratings[[#This Row],[Top Ten]],4)</f>
        <v/>
      </c>
      <c r="K1849" t="str">
        <f>IF(Ramen_Ratings[[#This Row],[Top Ten]]="", "",RIGHT(Ramen_Ratings[[#This Row],[Top Ten]],LEN(Ramen_Ratings[[#This Row],[Top Ten]])-6))</f>
        <v/>
      </c>
    </row>
    <row r="1850" spans="1:11" x14ac:dyDescent="0.25">
      <c r="A1850">
        <v>1159</v>
      </c>
      <c r="B1850" t="s">
        <v>1699</v>
      </c>
      <c r="C1850" t="s">
        <v>397</v>
      </c>
      <c r="D1850" t="s">
        <v>30</v>
      </c>
      <c r="E1850" t="s">
        <v>10</v>
      </c>
      <c r="F1850" t="str">
        <f>VLOOKUP(Ramen_Ratings[[#This Row],[Country]],Country_Region[#All],2,FALSE)</f>
        <v>Asia</v>
      </c>
      <c r="G1850">
        <v>5</v>
      </c>
      <c r="H1850" t="str" cm="1">
        <f t="array" ref="H1850">_xlfn.IFS(Ramen_Ratings[[#This Row],[Stars]] = "Unrated", "NA",Ramen_Ratings[[#This Row],[Stars]]&gt;=4, "Good", Ramen_Ratings[[#This Row],[Stars]]&gt;2.5, "Fair", Ramen_Ratings[[#This Row],[Stars]] &gt;= 0, "Bad")</f>
        <v>Good</v>
      </c>
      <c r="J1850" t="str">
        <f>LEFT(Ramen_Ratings[[#This Row],[Top Ten]],4)</f>
        <v/>
      </c>
      <c r="K1850" t="str">
        <f>IF(Ramen_Ratings[[#This Row],[Top Ten]]="", "",RIGHT(Ramen_Ratings[[#This Row],[Top Ten]],LEN(Ramen_Ratings[[#This Row],[Top Ten]])-6))</f>
        <v/>
      </c>
    </row>
    <row r="1851" spans="1:11" x14ac:dyDescent="0.25">
      <c r="A1851">
        <v>1152</v>
      </c>
      <c r="B1851" t="s">
        <v>374</v>
      </c>
      <c r="C1851" t="s">
        <v>1709</v>
      </c>
      <c r="D1851" t="s">
        <v>13</v>
      </c>
      <c r="E1851" t="s">
        <v>10</v>
      </c>
      <c r="F1851" t="str">
        <f>VLOOKUP(Ramen_Ratings[[#This Row],[Country]],Country_Region[#All],2,FALSE)</f>
        <v>Asia</v>
      </c>
      <c r="G1851">
        <v>4</v>
      </c>
      <c r="H1851" t="str" cm="1">
        <f t="array" ref="H1851">_xlfn.IFS(Ramen_Ratings[[#This Row],[Stars]] = "Unrated", "NA",Ramen_Ratings[[#This Row],[Stars]]&gt;=4, "Good", Ramen_Ratings[[#This Row],[Stars]]&gt;2.5, "Fair", Ramen_Ratings[[#This Row],[Stars]] &gt;= 0, "Bad")</f>
        <v>Good</v>
      </c>
      <c r="J1851" t="str">
        <f>LEFT(Ramen_Ratings[[#This Row],[Top Ten]],4)</f>
        <v/>
      </c>
      <c r="K1851" t="str">
        <f>IF(Ramen_Ratings[[#This Row],[Top Ten]]="", "",RIGHT(Ramen_Ratings[[#This Row],[Top Ten]],LEN(Ramen_Ratings[[#This Row],[Top Ten]])-6))</f>
        <v/>
      </c>
    </row>
    <row r="1852" spans="1:11" x14ac:dyDescent="0.25">
      <c r="A1852">
        <v>1138</v>
      </c>
      <c r="B1852" t="s">
        <v>439</v>
      </c>
      <c r="C1852" t="s">
        <v>1723</v>
      </c>
      <c r="D1852" t="s">
        <v>13</v>
      </c>
      <c r="E1852" t="s">
        <v>10</v>
      </c>
      <c r="F1852" t="str">
        <f>VLOOKUP(Ramen_Ratings[[#This Row],[Country]],Country_Region[#All],2,FALSE)</f>
        <v>Asia</v>
      </c>
      <c r="G1852">
        <v>4.75</v>
      </c>
      <c r="H1852" t="str" cm="1">
        <f t="array" ref="H1852">_xlfn.IFS(Ramen_Ratings[[#This Row],[Stars]] = "Unrated", "NA",Ramen_Ratings[[#This Row],[Stars]]&gt;=4, "Good", Ramen_Ratings[[#This Row],[Stars]]&gt;2.5, "Fair", Ramen_Ratings[[#This Row],[Stars]] &gt;= 0, "Bad")</f>
        <v>Good</v>
      </c>
      <c r="J1852" t="str">
        <f>LEFT(Ramen_Ratings[[#This Row],[Top Ten]],4)</f>
        <v/>
      </c>
      <c r="K1852" t="str">
        <f>IF(Ramen_Ratings[[#This Row],[Top Ten]]="", "",RIGHT(Ramen_Ratings[[#This Row],[Top Ten]],LEN(Ramen_Ratings[[#This Row],[Top Ten]])-6))</f>
        <v/>
      </c>
    </row>
    <row r="1853" spans="1:11" x14ac:dyDescent="0.25">
      <c r="A1853">
        <v>1136</v>
      </c>
      <c r="B1853" t="s">
        <v>15</v>
      </c>
      <c r="C1853" t="s">
        <v>397</v>
      </c>
      <c r="D1853" t="s">
        <v>13</v>
      </c>
      <c r="E1853" t="s">
        <v>10</v>
      </c>
      <c r="F1853" t="str">
        <f>VLOOKUP(Ramen_Ratings[[#This Row],[Country]],Country_Region[#All],2,FALSE)</f>
        <v>Asia</v>
      </c>
      <c r="G1853">
        <v>5</v>
      </c>
      <c r="H1853" t="str" cm="1">
        <f t="array" ref="H1853">_xlfn.IFS(Ramen_Ratings[[#This Row],[Stars]] = "Unrated", "NA",Ramen_Ratings[[#This Row],[Stars]]&gt;=4, "Good", Ramen_Ratings[[#This Row],[Stars]]&gt;2.5, "Fair", Ramen_Ratings[[#This Row],[Stars]] &gt;= 0, "Bad")</f>
        <v>Good</v>
      </c>
      <c r="J1853" t="str">
        <f>LEFT(Ramen_Ratings[[#This Row],[Top Ten]],4)</f>
        <v/>
      </c>
      <c r="K1853" t="str">
        <f>IF(Ramen_Ratings[[#This Row],[Top Ten]]="", "",RIGHT(Ramen_Ratings[[#This Row],[Top Ten]],LEN(Ramen_Ratings[[#This Row],[Top Ten]])-6))</f>
        <v/>
      </c>
    </row>
    <row r="1854" spans="1:11" x14ac:dyDescent="0.25">
      <c r="A1854">
        <v>1129</v>
      </c>
      <c r="B1854" t="s">
        <v>1255</v>
      </c>
      <c r="C1854" t="s">
        <v>1731</v>
      </c>
      <c r="D1854" t="s">
        <v>13</v>
      </c>
      <c r="E1854" t="s">
        <v>10</v>
      </c>
      <c r="F1854" t="str">
        <f>VLOOKUP(Ramen_Ratings[[#This Row],[Country]],Country_Region[#All],2,FALSE)</f>
        <v>Asia</v>
      </c>
      <c r="G1854">
        <v>3.5</v>
      </c>
      <c r="H1854" t="str" cm="1">
        <f t="array" ref="H1854">_xlfn.IFS(Ramen_Ratings[[#This Row],[Stars]] = "Unrated", "NA",Ramen_Ratings[[#This Row],[Stars]]&gt;=4, "Good", Ramen_Ratings[[#This Row],[Stars]]&gt;2.5, "Fair", Ramen_Ratings[[#This Row],[Stars]] &gt;= 0, "Bad")</f>
        <v>Fair</v>
      </c>
      <c r="J1854" t="str">
        <f>LEFT(Ramen_Ratings[[#This Row],[Top Ten]],4)</f>
        <v/>
      </c>
      <c r="K1854" t="str">
        <f>IF(Ramen_Ratings[[#This Row],[Top Ten]]="", "",RIGHT(Ramen_Ratings[[#This Row],[Top Ten]],LEN(Ramen_Ratings[[#This Row],[Top Ten]])-6))</f>
        <v/>
      </c>
    </row>
    <row r="1855" spans="1:11" x14ac:dyDescent="0.25">
      <c r="A1855">
        <v>1123</v>
      </c>
      <c r="B1855" t="s">
        <v>102</v>
      </c>
      <c r="C1855" t="s">
        <v>1737</v>
      </c>
      <c r="D1855" t="s">
        <v>13</v>
      </c>
      <c r="E1855" t="s">
        <v>10</v>
      </c>
      <c r="F1855" t="str">
        <f>VLOOKUP(Ramen_Ratings[[#This Row],[Country]],Country_Region[#All],2,FALSE)</f>
        <v>Asia</v>
      </c>
      <c r="G1855">
        <v>4.25</v>
      </c>
      <c r="H1855" t="str" cm="1">
        <f t="array" ref="H1855">_xlfn.IFS(Ramen_Ratings[[#This Row],[Stars]] = "Unrated", "NA",Ramen_Ratings[[#This Row],[Stars]]&gt;=4, "Good", Ramen_Ratings[[#This Row],[Stars]]&gt;2.5, "Fair", Ramen_Ratings[[#This Row],[Stars]] &gt;= 0, "Bad")</f>
        <v>Good</v>
      </c>
      <c r="J1855" t="str">
        <f>LEFT(Ramen_Ratings[[#This Row],[Top Ten]],4)</f>
        <v/>
      </c>
      <c r="K1855" t="str">
        <f>IF(Ramen_Ratings[[#This Row],[Top Ten]]="", "",RIGHT(Ramen_Ratings[[#This Row],[Top Ten]],LEN(Ramen_Ratings[[#This Row],[Top Ten]])-6))</f>
        <v/>
      </c>
    </row>
    <row r="1856" spans="1:11" x14ac:dyDescent="0.25">
      <c r="A1856">
        <v>1122</v>
      </c>
      <c r="B1856" t="s">
        <v>1738</v>
      </c>
      <c r="C1856" t="s">
        <v>1739</v>
      </c>
      <c r="D1856" t="s">
        <v>13</v>
      </c>
      <c r="E1856" t="s">
        <v>10</v>
      </c>
      <c r="F1856" t="str">
        <f>VLOOKUP(Ramen_Ratings[[#This Row],[Country]],Country_Region[#All],2,FALSE)</f>
        <v>Asia</v>
      </c>
      <c r="G1856">
        <v>4.25</v>
      </c>
      <c r="H1856" t="str" cm="1">
        <f t="array" ref="H1856">_xlfn.IFS(Ramen_Ratings[[#This Row],[Stars]] = "Unrated", "NA",Ramen_Ratings[[#This Row],[Stars]]&gt;=4, "Good", Ramen_Ratings[[#This Row],[Stars]]&gt;2.5, "Fair", Ramen_Ratings[[#This Row],[Stars]] &gt;= 0, "Bad")</f>
        <v>Good</v>
      </c>
      <c r="J1856" t="str">
        <f>LEFT(Ramen_Ratings[[#This Row],[Top Ten]],4)</f>
        <v/>
      </c>
      <c r="K1856" t="str">
        <f>IF(Ramen_Ratings[[#This Row],[Top Ten]]="", "",RIGHT(Ramen_Ratings[[#This Row],[Top Ten]],LEN(Ramen_Ratings[[#This Row],[Top Ten]])-6))</f>
        <v/>
      </c>
    </row>
    <row r="1857" spans="1:11" x14ac:dyDescent="0.25">
      <c r="A1857">
        <v>1116</v>
      </c>
      <c r="B1857" t="s">
        <v>178</v>
      </c>
      <c r="C1857" t="s">
        <v>1745</v>
      </c>
      <c r="D1857" t="s">
        <v>13</v>
      </c>
      <c r="E1857" t="s">
        <v>10</v>
      </c>
      <c r="F1857" t="str">
        <f>VLOOKUP(Ramen_Ratings[[#This Row],[Country]],Country_Region[#All],2,FALSE)</f>
        <v>Asia</v>
      </c>
      <c r="G1857">
        <v>5</v>
      </c>
      <c r="H1857" t="str" cm="1">
        <f t="array" ref="H1857">_xlfn.IFS(Ramen_Ratings[[#This Row],[Stars]] = "Unrated", "NA",Ramen_Ratings[[#This Row],[Stars]]&gt;=4, "Good", Ramen_Ratings[[#This Row],[Stars]]&gt;2.5, "Fair", Ramen_Ratings[[#This Row],[Stars]] &gt;= 0, "Bad")</f>
        <v>Good</v>
      </c>
      <c r="J1857" t="str">
        <f>LEFT(Ramen_Ratings[[#This Row],[Top Ten]],4)</f>
        <v/>
      </c>
      <c r="K1857" t="str">
        <f>IF(Ramen_Ratings[[#This Row],[Top Ten]]="", "",RIGHT(Ramen_Ratings[[#This Row],[Top Ten]],LEN(Ramen_Ratings[[#This Row],[Top Ten]])-6))</f>
        <v/>
      </c>
    </row>
    <row r="1858" spans="1:11" x14ac:dyDescent="0.25">
      <c r="A1858">
        <v>1106</v>
      </c>
      <c r="B1858" t="s">
        <v>15</v>
      </c>
      <c r="C1858" t="s">
        <v>1757</v>
      </c>
      <c r="D1858" t="s">
        <v>44</v>
      </c>
      <c r="E1858" t="s">
        <v>10</v>
      </c>
      <c r="F1858" t="str">
        <f>VLOOKUP(Ramen_Ratings[[#This Row],[Country]],Country_Region[#All],2,FALSE)</f>
        <v>Asia</v>
      </c>
      <c r="G1858">
        <v>4.5</v>
      </c>
      <c r="H1858" t="str" cm="1">
        <f t="array" ref="H1858">_xlfn.IFS(Ramen_Ratings[[#This Row],[Stars]] = "Unrated", "NA",Ramen_Ratings[[#This Row],[Stars]]&gt;=4, "Good", Ramen_Ratings[[#This Row],[Stars]]&gt;2.5, "Fair", Ramen_Ratings[[#This Row],[Stars]] &gt;= 0, "Bad")</f>
        <v>Good</v>
      </c>
      <c r="J1858" t="str">
        <f>LEFT(Ramen_Ratings[[#This Row],[Top Ten]],4)</f>
        <v/>
      </c>
      <c r="K1858" t="str">
        <f>IF(Ramen_Ratings[[#This Row],[Top Ten]]="", "",RIGHT(Ramen_Ratings[[#This Row],[Top Ten]],LEN(Ramen_Ratings[[#This Row],[Top Ten]])-6))</f>
        <v/>
      </c>
    </row>
    <row r="1859" spans="1:11" x14ac:dyDescent="0.25">
      <c r="A1859">
        <v>1103</v>
      </c>
      <c r="B1859" t="s">
        <v>183</v>
      </c>
      <c r="C1859" t="s">
        <v>1759</v>
      </c>
      <c r="D1859" t="s">
        <v>30</v>
      </c>
      <c r="E1859" t="s">
        <v>10</v>
      </c>
      <c r="F1859" t="str">
        <f>VLOOKUP(Ramen_Ratings[[#This Row],[Country]],Country_Region[#All],2,FALSE)</f>
        <v>Asia</v>
      </c>
      <c r="G1859">
        <v>5</v>
      </c>
      <c r="H1859" t="str" cm="1">
        <f t="array" ref="H1859">_xlfn.IFS(Ramen_Ratings[[#This Row],[Stars]] = "Unrated", "NA",Ramen_Ratings[[#This Row],[Stars]]&gt;=4, "Good", Ramen_Ratings[[#This Row],[Stars]]&gt;2.5, "Fair", Ramen_Ratings[[#This Row],[Stars]] &gt;= 0, "Bad")</f>
        <v>Good</v>
      </c>
      <c r="J1859" t="str">
        <f>LEFT(Ramen_Ratings[[#This Row],[Top Ten]],4)</f>
        <v/>
      </c>
      <c r="K1859" t="str">
        <f>IF(Ramen_Ratings[[#This Row],[Top Ten]]="", "",RIGHT(Ramen_Ratings[[#This Row],[Top Ten]],LEN(Ramen_Ratings[[#This Row],[Top Ten]])-6))</f>
        <v/>
      </c>
    </row>
    <row r="1860" spans="1:11" x14ac:dyDescent="0.25">
      <c r="A1860">
        <v>1083</v>
      </c>
      <c r="B1860" t="s">
        <v>15</v>
      </c>
      <c r="C1860" t="s">
        <v>1782</v>
      </c>
      <c r="D1860" t="s">
        <v>9</v>
      </c>
      <c r="E1860" t="s">
        <v>10</v>
      </c>
      <c r="F1860" t="str">
        <f>VLOOKUP(Ramen_Ratings[[#This Row],[Country]],Country_Region[#All],2,FALSE)</f>
        <v>Asia</v>
      </c>
      <c r="G1860">
        <v>4.75</v>
      </c>
      <c r="H1860" t="str" cm="1">
        <f t="array" ref="H1860">_xlfn.IFS(Ramen_Ratings[[#This Row],[Stars]] = "Unrated", "NA",Ramen_Ratings[[#This Row],[Stars]]&gt;=4, "Good", Ramen_Ratings[[#This Row],[Stars]]&gt;2.5, "Fair", Ramen_Ratings[[#This Row],[Stars]] &gt;= 0, "Bad")</f>
        <v>Good</v>
      </c>
      <c r="J1860" t="str">
        <f>LEFT(Ramen_Ratings[[#This Row],[Top Ten]],4)</f>
        <v/>
      </c>
      <c r="K1860" t="str">
        <f>IF(Ramen_Ratings[[#This Row],[Top Ten]]="", "",RIGHT(Ramen_Ratings[[#This Row],[Top Ten]],LEN(Ramen_Ratings[[#This Row],[Top Ten]])-6))</f>
        <v/>
      </c>
    </row>
    <row r="1861" spans="1:11" x14ac:dyDescent="0.25">
      <c r="A1861">
        <v>1071</v>
      </c>
      <c r="B1861" t="s">
        <v>15</v>
      </c>
      <c r="C1861" t="s">
        <v>1794</v>
      </c>
      <c r="D1861" t="s">
        <v>13</v>
      </c>
      <c r="E1861" t="s">
        <v>10</v>
      </c>
      <c r="F1861" t="str">
        <f>VLOOKUP(Ramen_Ratings[[#This Row],[Country]],Country_Region[#All],2,FALSE)</f>
        <v>Asia</v>
      </c>
      <c r="G1861">
        <v>4</v>
      </c>
      <c r="H1861" t="str" cm="1">
        <f t="array" ref="H1861">_xlfn.IFS(Ramen_Ratings[[#This Row],[Stars]] = "Unrated", "NA",Ramen_Ratings[[#This Row],[Stars]]&gt;=4, "Good", Ramen_Ratings[[#This Row],[Stars]]&gt;2.5, "Fair", Ramen_Ratings[[#This Row],[Stars]] &gt;= 0, "Bad")</f>
        <v>Good</v>
      </c>
      <c r="J1861" t="str">
        <f>LEFT(Ramen_Ratings[[#This Row],[Top Ten]],4)</f>
        <v/>
      </c>
      <c r="K1861" t="str">
        <f>IF(Ramen_Ratings[[#This Row],[Top Ten]]="", "",RIGHT(Ramen_Ratings[[#This Row],[Top Ten]],LEN(Ramen_Ratings[[#This Row],[Top Ten]])-6))</f>
        <v/>
      </c>
    </row>
    <row r="1862" spans="1:11" x14ac:dyDescent="0.25">
      <c r="A1862">
        <v>1069</v>
      </c>
      <c r="B1862" t="s">
        <v>15</v>
      </c>
      <c r="C1862" t="s">
        <v>740</v>
      </c>
      <c r="D1862" t="s">
        <v>44</v>
      </c>
      <c r="E1862" t="s">
        <v>10</v>
      </c>
      <c r="F1862" t="str">
        <f>VLOOKUP(Ramen_Ratings[[#This Row],[Country]],Country_Region[#All],2,FALSE)</f>
        <v>Asia</v>
      </c>
      <c r="G1862">
        <v>5</v>
      </c>
      <c r="H1862" t="str" cm="1">
        <f t="array" ref="H1862">_xlfn.IFS(Ramen_Ratings[[#This Row],[Stars]] = "Unrated", "NA",Ramen_Ratings[[#This Row],[Stars]]&gt;=4, "Good", Ramen_Ratings[[#This Row],[Stars]]&gt;2.5, "Fair", Ramen_Ratings[[#This Row],[Stars]] &gt;= 0, "Bad")</f>
        <v>Good</v>
      </c>
      <c r="J1862" t="str">
        <f>LEFT(Ramen_Ratings[[#This Row],[Top Ten]],4)</f>
        <v/>
      </c>
      <c r="K1862" t="str">
        <f>IF(Ramen_Ratings[[#This Row],[Top Ten]]="", "",RIGHT(Ramen_Ratings[[#This Row],[Top Ten]],LEN(Ramen_Ratings[[#This Row],[Top Ten]])-6))</f>
        <v/>
      </c>
    </row>
    <row r="1863" spans="1:11" x14ac:dyDescent="0.25">
      <c r="A1863">
        <v>1067</v>
      </c>
      <c r="B1863" t="s">
        <v>15</v>
      </c>
      <c r="C1863" t="s">
        <v>1797</v>
      </c>
      <c r="D1863" t="s">
        <v>9</v>
      </c>
      <c r="E1863" t="s">
        <v>10</v>
      </c>
      <c r="F1863" t="str">
        <f>VLOOKUP(Ramen_Ratings[[#This Row],[Country]],Country_Region[#All],2,FALSE)</f>
        <v>Asia</v>
      </c>
      <c r="G1863">
        <v>3.75</v>
      </c>
      <c r="H1863" t="str" cm="1">
        <f t="array" ref="H1863">_xlfn.IFS(Ramen_Ratings[[#This Row],[Stars]] = "Unrated", "NA",Ramen_Ratings[[#This Row],[Stars]]&gt;=4, "Good", Ramen_Ratings[[#This Row],[Stars]]&gt;2.5, "Fair", Ramen_Ratings[[#This Row],[Stars]] &gt;= 0, "Bad")</f>
        <v>Fair</v>
      </c>
      <c r="J1863" t="str">
        <f>LEFT(Ramen_Ratings[[#This Row],[Top Ten]],4)</f>
        <v/>
      </c>
      <c r="K1863" t="str">
        <f>IF(Ramen_Ratings[[#This Row],[Top Ten]]="", "",RIGHT(Ramen_Ratings[[#This Row],[Top Ten]],LEN(Ramen_Ratings[[#This Row],[Top Ten]])-6))</f>
        <v/>
      </c>
    </row>
    <row r="1864" spans="1:11" x14ac:dyDescent="0.25">
      <c r="A1864">
        <v>1051</v>
      </c>
      <c r="B1864" t="s">
        <v>102</v>
      </c>
      <c r="C1864" t="s">
        <v>1815</v>
      </c>
      <c r="D1864" t="s">
        <v>13</v>
      </c>
      <c r="E1864" t="s">
        <v>10</v>
      </c>
      <c r="F1864" t="str">
        <f>VLOOKUP(Ramen_Ratings[[#This Row],[Country]],Country_Region[#All],2,FALSE)</f>
        <v>Asia</v>
      </c>
      <c r="G1864">
        <v>3.75</v>
      </c>
      <c r="H1864" t="str" cm="1">
        <f t="array" ref="H1864">_xlfn.IFS(Ramen_Ratings[[#This Row],[Stars]] = "Unrated", "NA",Ramen_Ratings[[#This Row],[Stars]]&gt;=4, "Good", Ramen_Ratings[[#This Row],[Stars]]&gt;2.5, "Fair", Ramen_Ratings[[#This Row],[Stars]] &gt;= 0, "Bad")</f>
        <v>Fair</v>
      </c>
      <c r="J1864" t="str">
        <f>LEFT(Ramen_Ratings[[#This Row],[Top Ten]],4)</f>
        <v/>
      </c>
      <c r="K1864" t="str">
        <f>IF(Ramen_Ratings[[#This Row],[Top Ten]]="", "",RIGHT(Ramen_Ratings[[#This Row],[Top Ten]],LEN(Ramen_Ratings[[#This Row],[Top Ten]])-6))</f>
        <v/>
      </c>
    </row>
    <row r="1865" spans="1:11" x14ac:dyDescent="0.25">
      <c r="A1865">
        <v>1047</v>
      </c>
      <c r="B1865" t="s">
        <v>7</v>
      </c>
      <c r="C1865" t="s">
        <v>1818</v>
      </c>
      <c r="D1865" t="s">
        <v>30</v>
      </c>
      <c r="E1865" t="s">
        <v>10</v>
      </c>
      <c r="F1865" t="str">
        <f>VLOOKUP(Ramen_Ratings[[#This Row],[Country]],Country_Region[#All],2,FALSE)</f>
        <v>Asia</v>
      </c>
      <c r="G1865">
        <v>4</v>
      </c>
      <c r="H1865" t="str" cm="1">
        <f t="array" ref="H1865">_xlfn.IFS(Ramen_Ratings[[#This Row],[Stars]] = "Unrated", "NA",Ramen_Ratings[[#This Row],[Stars]]&gt;=4, "Good", Ramen_Ratings[[#This Row],[Stars]]&gt;2.5, "Fair", Ramen_Ratings[[#This Row],[Stars]] &gt;= 0, "Bad")</f>
        <v>Good</v>
      </c>
      <c r="J1865" t="str">
        <f>LEFT(Ramen_Ratings[[#This Row],[Top Ten]],4)</f>
        <v/>
      </c>
      <c r="K1865" t="str">
        <f>IF(Ramen_Ratings[[#This Row],[Top Ten]]="", "",RIGHT(Ramen_Ratings[[#This Row],[Top Ten]],LEN(Ramen_Ratings[[#This Row],[Top Ten]])-6))</f>
        <v/>
      </c>
    </row>
    <row r="1866" spans="1:11" x14ac:dyDescent="0.25">
      <c r="A1866">
        <v>1038</v>
      </c>
      <c r="B1866" t="s">
        <v>621</v>
      </c>
      <c r="C1866" t="s">
        <v>1826</v>
      </c>
      <c r="D1866" t="s">
        <v>13</v>
      </c>
      <c r="E1866" t="s">
        <v>10</v>
      </c>
      <c r="F1866" t="str">
        <f>VLOOKUP(Ramen_Ratings[[#This Row],[Country]],Country_Region[#All],2,FALSE)</f>
        <v>Asia</v>
      </c>
      <c r="G1866">
        <v>4.25</v>
      </c>
      <c r="H1866" t="str" cm="1">
        <f t="array" ref="H1866">_xlfn.IFS(Ramen_Ratings[[#This Row],[Stars]] = "Unrated", "NA",Ramen_Ratings[[#This Row],[Stars]]&gt;=4, "Good", Ramen_Ratings[[#This Row],[Stars]]&gt;2.5, "Fair", Ramen_Ratings[[#This Row],[Stars]] &gt;= 0, "Bad")</f>
        <v>Good</v>
      </c>
      <c r="J1866" t="str">
        <f>LEFT(Ramen_Ratings[[#This Row],[Top Ten]],4)</f>
        <v/>
      </c>
      <c r="K1866" t="str">
        <f>IF(Ramen_Ratings[[#This Row],[Top Ten]]="", "",RIGHT(Ramen_Ratings[[#This Row],[Top Ten]],LEN(Ramen_Ratings[[#This Row],[Top Ten]])-6))</f>
        <v/>
      </c>
    </row>
    <row r="1867" spans="1:11" x14ac:dyDescent="0.25">
      <c r="A1867">
        <v>1033</v>
      </c>
      <c r="B1867" t="s">
        <v>15</v>
      </c>
      <c r="C1867" t="s">
        <v>1831</v>
      </c>
      <c r="D1867" t="s">
        <v>9</v>
      </c>
      <c r="E1867" t="s">
        <v>10</v>
      </c>
      <c r="F1867" t="str">
        <f>VLOOKUP(Ramen_Ratings[[#This Row],[Country]],Country_Region[#All],2,FALSE)</f>
        <v>Asia</v>
      </c>
      <c r="G1867">
        <v>3.75</v>
      </c>
      <c r="H1867" t="str" cm="1">
        <f t="array" ref="H1867">_xlfn.IFS(Ramen_Ratings[[#This Row],[Stars]] = "Unrated", "NA",Ramen_Ratings[[#This Row],[Stars]]&gt;=4, "Good", Ramen_Ratings[[#This Row],[Stars]]&gt;2.5, "Fair", Ramen_Ratings[[#This Row],[Stars]] &gt;= 0, "Bad")</f>
        <v>Fair</v>
      </c>
      <c r="J1867" t="str">
        <f>LEFT(Ramen_Ratings[[#This Row],[Top Ten]],4)</f>
        <v/>
      </c>
      <c r="K1867" t="str">
        <f>IF(Ramen_Ratings[[#This Row],[Top Ten]]="", "",RIGHT(Ramen_Ratings[[#This Row],[Top Ten]],LEN(Ramen_Ratings[[#This Row],[Top Ten]])-6))</f>
        <v/>
      </c>
    </row>
    <row r="1868" spans="1:11" x14ac:dyDescent="0.25">
      <c r="A1868">
        <v>1014</v>
      </c>
      <c r="B1868" t="s">
        <v>15</v>
      </c>
      <c r="C1868" t="s">
        <v>1850</v>
      </c>
      <c r="D1868" t="s">
        <v>44</v>
      </c>
      <c r="E1868" t="s">
        <v>10</v>
      </c>
      <c r="F1868" t="str">
        <f>VLOOKUP(Ramen_Ratings[[#This Row],[Country]],Country_Region[#All],2,FALSE)</f>
        <v>Asia</v>
      </c>
      <c r="G1868">
        <v>4.25</v>
      </c>
      <c r="H1868" t="str" cm="1">
        <f t="array" ref="H1868">_xlfn.IFS(Ramen_Ratings[[#This Row],[Stars]] = "Unrated", "NA",Ramen_Ratings[[#This Row],[Stars]]&gt;=4, "Good", Ramen_Ratings[[#This Row],[Stars]]&gt;2.5, "Fair", Ramen_Ratings[[#This Row],[Stars]] &gt;= 0, "Bad")</f>
        <v>Good</v>
      </c>
      <c r="J1868" t="str">
        <f>LEFT(Ramen_Ratings[[#This Row],[Top Ten]],4)</f>
        <v/>
      </c>
      <c r="K1868" t="str">
        <f>IF(Ramen_Ratings[[#This Row],[Top Ten]]="", "",RIGHT(Ramen_Ratings[[#This Row],[Top Ten]],LEN(Ramen_Ratings[[#This Row],[Top Ten]])-6))</f>
        <v/>
      </c>
    </row>
    <row r="1869" spans="1:11" x14ac:dyDescent="0.25">
      <c r="A1869">
        <v>997</v>
      </c>
      <c r="B1869" t="s">
        <v>1073</v>
      </c>
      <c r="C1869" t="s">
        <v>1869</v>
      </c>
      <c r="D1869" t="s">
        <v>13</v>
      </c>
      <c r="E1869" t="s">
        <v>10</v>
      </c>
      <c r="F1869" t="str">
        <f>VLOOKUP(Ramen_Ratings[[#This Row],[Country]],Country_Region[#All],2,FALSE)</f>
        <v>Asia</v>
      </c>
      <c r="G1869">
        <v>4.25</v>
      </c>
      <c r="H1869" t="str" cm="1">
        <f t="array" ref="H1869">_xlfn.IFS(Ramen_Ratings[[#This Row],[Stars]] = "Unrated", "NA",Ramen_Ratings[[#This Row],[Stars]]&gt;=4, "Good", Ramen_Ratings[[#This Row],[Stars]]&gt;2.5, "Fair", Ramen_Ratings[[#This Row],[Stars]] &gt;= 0, "Bad")</f>
        <v>Good</v>
      </c>
      <c r="J1869" t="str">
        <f>LEFT(Ramen_Ratings[[#This Row],[Top Ten]],4)</f>
        <v/>
      </c>
      <c r="K1869" t="str">
        <f>IF(Ramen_Ratings[[#This Row],[Top Ten]]="", "",RIGHT(Ramen_Ratings[[#This Row],[Top Ten]],LEN(Ramen_Ratings[[#This Row],[Top Ten]])-6))</f>
        <v/>
      </c>
    </row>
    <row r="1870" spans="1:11" x14ac:dyDescent="0.25">
      <c r="A1870">
        <v>976</v>
      </c>
      <c r="B1870" t="s">
        <v>15</v>
      </c>
      <c r="C1870" t="s">
        <v>1892</v>
      </c>
      <c r="D1870" t="s">
        <v>44</v>
      </c>
      <c r="E1870" t="s">
        <v>10</v>
      </c>
      <c r="F1870" t="str">
        <f>VLOOKUP(Ramen_Ratings[[#This Row],[Country]],Country_Region[#All],2,FALSE)</f>
        <v>Asia</v>
      </c>
      <c r="G1870">
        <v>4</v>
      </c>
      <c r="H1870" t="str" cm="1">
        <f t="array" ref="H1870">_xlfn.IFS(Ramen_Ratings[[#This Row],[Stars]] = "Unrated", "NA",Ramen_Ratings[[#This Row],[Stars]]&gt;=4, "Good", Ramen_Ratings[[#This Row],[Stars]]&gt;2.5, "Fair", Ramen_Ratings[[#This Row],[Stars]] &gt;= 0, "Bad")</f>
        <v>Good</v>
      </c>
      <c r="J1870" t="str">
        <f>LEFT(Ramen_Ratings[[#This Row],[Top Ten]],4)</f>
        <v/>
      </c>
      <c r="K1870" t="str">
        <f>IF(Ramen_Ratings[[#This Row],[Top Ten]]="", "",RIGHT(Ramen_Ratings[[#This Row],[Top Ten]],LEN(Ramen_Ratings[[#This Row],[Top Ten]])-6))</f>
        <v/>
      </c>
    </row>
    <row r="1871" spans="1:11" x14ac:dyDescent="0.25">
      <c r="A1871">
        <v>964</v>
      </c>
      <c r="B1871" t="s">
        <v>15</v>
      </c>
      <c r="C1871" t="s">
        <v>1905</v>
      </c>
      <c r="D1871" t="s">
        <v>44</v>
      </c>
      <c r="E1871" t="s">
        <v>10</v>
      </c>
      <c r="F1871" t="str">
        <f>VLOOKUP(Ramen_Ratings[[#This Row],[Country]],Country_Region[#All],2,FALSE)</f>
        <v>Asia</v>
      </c>
      <c r="G1871">
        <v>5</v>
      </c>
      <c r="H1871" t="str" cm="1">
        <f t="array" ref="H1871">_xlfn.IFS(Ramen_Ratings[[#This Row],[Stars]] = "Unrated", "NA",Ramen_Ratings[[#This Row],[Stars]]&gt;=4, "Good", Ramen_Ratings[[#This Row],[Stars]]&gt;2.5, "Fair", Ramen_Ratings[[#This Row],[Stars]] &gt;= 0, "Bad")</f>
        <v>Good</v>
      </c>
      <c r="J1871" t="str">
        <f>LEFT(Ramen_Ratings[[#This Row],[Top Ten]],4)</f>
        <v/>
      </c>
      <c r="K1871" t="str">
        <f>IF(Ramen_Ratings[[#This Row],[Top Ten]]="", "",RIGHT(Ramen_Ratings[[#This Row],[Top Ten]],LEN(Ramen_Ratings[[#This Row],[Top Ten]])-6))</f>
        <v/>
      </c>
    </row>
    <row r="1872" spans="1:11" x14ac:dyDescent="0.25">
      <c r="A1872">
        <v>959</v>
      </c>
      <c r="B1872" t="s">
        <v>1073</v>
      </c>
      <c r="C1872" t="s">
        <v>1910</v>
      </c>
      <c r="D1872" t="s">
        <v>13</v>
      </c>
      <c r="E1872" t="s">
        <v>10</v>
      </c>
      <c r="F1872" t="str">
        <f>VLOOKUP(Ramen_Ratings[[#This Row],[Country]],Country_Region[#All],2,FALSE)</f>
        <v>Asia</v>
      </c>
      <c r="G1872">
        <v>3.25</v>
      </c>
      <c r="H1872" t="str" cm="1">
        <f t="array" ref="H1872">_xlfn.IFS(Ramen_Ratings[[#This Row],[Stars]] = "Unrated", "NA",Ramen_Ratings[[#This Row],[Stars]]&gt;=4, "Good", Ramen_Ratings[[#This Row],[Stars]]&gt;2.5, "Fair", Ramen_Ratings[[#This Row],[Stars]] &gt;= 0, "Bad")</f>
        <v>Fair</v>
      </c>
      <c r="J1872" t="str">
        <f>LEFT(Ramen_Ratings[[#This Row],[Top Ten]],4)</f>
        <v/>
      </c>
      <c r="K1872" t="str">
        <f>IF(Ramen_Ratings[[#This Row],[Top Ten]]="", "",RIGHT(Ramen_Ratings[[#This Row],[Top Ten]],LEN(Ramen_Ratings[[#This Row],[Top Ten]])-6))</f>
        <v/>
      </c>
    </row>
    <row r="1873" spans="1:11" x14ac:dyDescent="0.25">
      <c r="A1873">
        <v>958</v>
      </c>
      <c r="B1873" t="s">
        <v>1073</v>
      </c>
      <c r="C1873" t="s">
        <v>1911</v>
      </c>
      <c r="D1873" t="s">
        <v>44</v>
      </c>
      <c r="E1873" t="s">
        <v>10</v>
      </c>
      <c r="F1873" t="str">
        <f>VLOOKUP(Ramen_Ratings[[#This Row],[Country]],Country_Region[#All],2,FALSE)</f>
        <v>Asia</v>
      </c>
      <c r="G1873">
        <v>4.25</v>
      </c>
      <c r="H1873" t="str" cm="1">
        <f t="array" ref="H1873">_xlfn.IFS(Ramen_Ratings[[#This Row],[Stars]] = "Unrated", "NA",Ramen_Ratings[[#This Row],[Stars]]&gt;=4, "Good", Ramen_Ratings[[#This Row],[Stars]]&gt;2.5, "Fair", Ramen_Ratings[[#This Row],[Stars]] &gt;= 0, "Bad")</f>
        <v>Good</v>
      </c>
      <c r="J1873" t="str">
        <f>LEFT(Ramen_Ratings[[#This Row],[Top Ten]],4)</f>
        <v/>
      </c>
      <c r="K1873" t="str">
        <f>IF(Ramen_Ratings[[#This Row],[Top Ten]]="", "",RIGHT(Ramen_Ratings[[#This Row],[Top Ten]],LEN(Ramen_Ratings[[#This Row],[Top Ten]])-6))</f>
        <v/>
      </c>
    </row>
    <row r="1874" spans="1:11" x14ac:dyDescent="0.25">
      <c r="A1874">
        <v>957</v>
      </c>
      <c r="B1874" t="s">
        <v>1073</v>
      </c>
      <c r="C1874" t="s">
        <v>1912</v>
      </c>
      <c r="D1874" t="s">
        <v>13</v>
      </c>
      <c r="E1874" t="s">
        <v>10</v>
      </c>
      <c r="F1874" t="str">
        <f>VLOOKUP(Ramen_Ratings[[#This Row],[Country]],Country_Region[#All],2,FALSE)</f>
        <v>Asia</v>
      </c>
      <c r="G1874">
        <v>4.25</v>
      </c>
      <c r="H1874" t="str" cm="1">
        <f t="array" ref="H1874">_xlfn.IFS(Ramen_Ratings[[#This Row],[Stars]] = "Unrated", "NA",Ramen_Ratings[[#This Row],[Stars]]&gt;=4, "Good", Ramen_Ratings[[#This Row],[Stars]]&gt;2.5, "Fair", Ramen_Ratings[[#This Row],[Stars]] &gt;= 0, "Bad")</f>
        <v>Good</v>
      </c>
      <c r="J1874" t="str">
        <f>LEFT(Ramen_Ratings[[#This Row],[Top Ten]],4)</f>
        <v/>
      </c>
      <c r="K1874" t="str">
        <f>IF(Ramen_Ratings[[#This Row],[Top Ten]]="", "",RIGHT(Ramen_Ratings[[#This Row],[Top Ten]],LEN(Ramen_Ratings[[#This Row],[Top Ten]])-6))</f>
        <v/>
      </c>
    </row>
    <row r="1875" spans="1:11" x14ac:dyDescent="0.25">
      <c r="A1875">
        <v>956</v>
      </c>
      <c r="B1875" t="s">
        <v>1073</v>
      </c>
      <c r="C1875" t="s">
        <v>1913</v>
      </c>
      <c r="D1875" t="s">
        <v>13</v>
      </c>
      <c r="E1875" t="s">
        <v>10</v>
      </c>
      <c r="F1875" t="str">
        <f>VLOOKUP(Ramen_Ratings[[#This Row],[Country]],Country_Region[#All],2,FALSE)</f>
        <v>Asia</v>
      </c>
      <c r="G1875">
        <v>5</v>
      </c>
      <c r="H1875" t="str" cm="1">
        <f t="array" ref="H1875">_xlfn.IFS(Ramen_Ratings[[#This Row],[Stars]] = "Unrated", "NA",Ramen_Ratings[[#This Row],[Stars]]&gt;=4, "Good", Ramen_Ratings[[#This Row],[Stars]]&gt;2.5, "Fair", Ramen_Ratings[[#This Row],[Stars]] &gt;= 0, "Bad")</f>
        <v>Good</v>
      </c>
      <c r="J1875" t="str">
        <f>LEFT(Ramen_Ratings[[#This Row],[Top Ten]],4)</f>
        <v/>
      </c>
      <c r="K1875" t="str">
        <f>IF(Ramen_Ratings[[#This Row],[Top Ten]]="", "",RIGHT(Ramen_Ratings[[#This Row],[Top Ten]],LEN(Ramen_Ratings[[#This Row],[Top Ten]])-6))</f>
        <v/>
      </c>
    </row>
    <row r="1876" spans="1:11" x14ac:dyDescent="0.25">
      <c r="A1876">
        <v>955</v>
      </c>
      <c r="B1876" t="s">
        <v>1073</v>
      </c>
      <c r="C1876" t="s">
        <v>1313</v>
      </c>
      <c r="D1876" t="s">
        <v>44</v>
      </c>
      <c r="E1876" t="s">
        <v>10</v>
      </c>
      <c r="F1876" t="str">
        <f>VLOOKUP(Ramen_Ratings[[#This Row],[Country]],Country_Region[#All],2,FALSE)</f>
        <v>Asia</v>
      </c>
      <c r="G1876">
        <v>4</v>
      </c>
      <c r="H1876" t="str" cm="1">
        <f t="array" ref="H1876">_xlfn.IFS(Ramen_Ratings[[#This Row],[Stars]] = "Unrated", "NA",Ramen_Ratings[[#This Row],[Stars]]&gt;=4, "Good", Ramen_Ratings[[#This Row],[Stars]]&gt;2.5, "Fair", Ramen_Ratings[[#This Row],[Stars]] &gt;= 0, "Bad")</f>
        <v>Good</v>
      </c>
      <c r="J1876" t="str">
        <f>LEFT(Ramen_Ratings[[#This Row],[Top Ten]],4)</f>
        <v/>
      </c>
      <c r="K1876" t="str">
        <f>IF(Ramen_Ratings[[#This Row],[Top Ten]]="", "",RIGHT(Ramen_Ratings[[#This Row],[Top Ten]],LEN(Ramen_Ratings[[#This Row],[Top Ten]])-6))</f>
        <v/>
      </c>
    </row>
    <row r="1877" spans="1:11" x14ac:dyDescent="0.25">
      <c r="A1877">
        <v>954</v>
      </c>
      <c r="B1877" t="s">
        <v>1073</v>
      </c>
      <c r="C1877" t="s">
        <v>1914</v>
      </c>
      <c r="D1877" t="s">
        <v>13</v>
      </c>
      <c r="E1877" t="s">
        <v>10</v>
      </c>
      <c r="F1877" t="str">
        <f>VLOOKUP(Ramen_Ratings[[#This Row],[Country]],Country_Region[#All],2,FALSE)</f>
        <v>Asia</v>
      </c>
      <c r="G1877">
        <v>3.25</v>
      </c>
      <c r="H1877" t="str" cm="1">
        <f t="array" ref="H1877">_xlfn.IFS(Ramen_Ratings[[#This Row],[Stars]] = "Unrated", "NA",Ramen_Ratings[[#This Row],[Stars]]&gt;=4, "Good", Ramen_Ratings[[#This Row],[Stars]]&gt;2.5, "Fair", Ramen_Ratings[[#This Row],[Stars]] &gt;= 0, "Bad")</f>
        <v>Fair</v>
      </c>
      <c r="J1877" t="str">
        <f>LEFT(Ramen_Ratings[[#This Row],[Top Ten]],4)</f>
        <v/>
      </c>
      <c r="K1877" t="str">
        <f>IF(Ramen_Ratings[[#This Row],[Top Ten]]="", "",RIGHT(Ramen_Ratings[[#This Row],[Top Ten]],LEN(Ramen_Ratings[[#This Row],[Top Ten]])-6))</f>
        <v/>
      </c>
    </row>
    <row r="1878" spans="1:11" x14ac:dyDescent="0.25">
      <c r="A1878">
        <v>953</v>
      </c>
      <c r="B1878" t="s">
        <v>1073</v>
      </c>
      <c r="C1878" t="s">
        <v>1911</v>
      </c>
      <c r="D1878" t="s">
        <v>13</v>
      </c>
      <c r="E1878" t="s">
        <v>10</v>
      </c>
      <c r="F1878" t="str">
        <f>VLOOKUP(Ramen_Ratings[[#This Row],[Country]],Country_Region[#All],2,FALSE)</f>
        <v>Asia</v>
      </c>
      <c r="G1878">
        <v>4.75</v>
      </c>
      <c r="H1878" t="str" cm="1">
        <f t="array" ref="H1878">_xlfn.IFS(Ramen_Ratings[[#This Row],[Stars]] = "Unrated", "NA",Ramen_Ratings[[#This Row],[Stars]]&gt;=4, "Good", Ramen_Ratings[[#This Row],[Stars]]&gt;2.5, "Fair", Ramen_Ratings[[#This Row],[Stars]] &gt;= 0, "Bad")</f>
        <v>Good</v>
      </c>
      <c r="J1878" t="str">
        <f>LEFT(Ramen_Ratings[[#This Row],[Top Ten]],4)</f>
        <v/>
      </c>
      <c r="K1878" t="str">
        <f>IF(Ramen_Ratings[[#This Row],[Top Ten]]="", "",RIGHT(Ramen_Ratings[[#This Row],[Top Ten]],LEN(Ramen_Ratings[[#This Row],[Top Ten]])-6))</f>
        <v/>
      </c>
    </row>
    <row r="1879" spans="1:11" x14ac:dyDescent="0.25">
      <c r="A1879">
        <v>916</v>
      </c>
      <c r="B1879" t="s">
        <v>1952</v>
      </c>
      <c r="C1879" t="s">
        <v>1953</v>
      </c>
      <c r="D1879" t="s">
        <v>44</v>
      </c>
      <c r="E1879" t="s">
        <v>10</v>
      </c>
      <c r="F1879" t="str">
        <f>VLOOKUP(Ramen_Ratings[[#This Row],[Country]],Country_Region[#All],2,FALSE)</f>
        <v>Asia</v>
      </c>
      <c r="G1879">
        <v>4.25</v>
      </c>
      <c r="H1879" t="str" cm="1">
        <f t="array" ref="H1879">_xlfn.IFS(Ramen_Ratings[[#This Row],[Stars]] = "Unrated", "NA",Ramen_Ratings[[#This Row],[Stars]]&gt;=4, "Good", Ramen_Ratings[[#This Row],[Stars]]&gt;2.5, "Fair", Ramen_Ratings[[#This Row],[Stars]] &gt;= 0, "Bad")</f>
        <v>Good</v>
      </c>
      <c r="J1879" t="str">
        <f>LEFT(Ramen_Ratings[[#This Row],[Top Ten]],4)</f>
        <v/>
      </c>
      <c r="K1879" t="str">
        <f>IF(Ramen_Ratings[[#This Row],[Top Ten]]="", "",RIGHT(Ramen_Ratings[[#This Row],[Top Ten]],LEN(Ramen_Ratings[[#This Row],[Top Ten]])-6))</f>
        <v/>
      </c>
    </row>
    <row r="1880" spans="1:11" x14ac:dyDescent="0.25">
      <c r="A1880">
        <v>914</v>
      </c>
      <c r="B1880" t="s">
        <v>15</v>
      </c>
      <c r="C1880" t="s">
        <v>1955</v>
      </c>
      <c r="D1880" t="s">
        <v>13</v>
      </c>
      <c r="E1880" t="s">
        <v>10</v>
      </c>
      <c r="F1880" t="str">
        <f>VLOOKUP(Ramen_Ratings[[#This Row],[Country]],Country_Region[#All],2,FALSE)</f>
        <v>Asia</v>
      </c>
      <c r="G1880">
        <v>4</v>
      </c>
      <c r="H1880" t="str" cm="1">
        <f t="array" ref="H1880">_xlfn.IFS(Ramen_Ratings[[#This Row],[Stars]] = "Unrated", "NA",Ramen_Ratings[[#This Row],[Stars]]&gt;=4, "Good", Ramen_Ratings[[#This Row],[Stars]]&gt;2.5, "Fair", Ramen_Ratings[[#This Row],[Stars]] &gt;= 0, "Bad")</f>
        <v>Good</v>
      </c>
      <c r="J1880" t="str">
        <f>LEFT(Ramen_Ratings[[#This Row],[Top Ten]],4)</f>
        <v/>
      </c>
      <c r="K1880" t="str">
        <f>IF(Ramen_Ratings[[#This Row],[Top Ten]]="", "",RIGHT(Ramen_Ratings[[#This Row],[Top Ten]],LEN(Ramen_Ratings[[#This Row],[Top Ten]])-6))</f>
        <v/>
      </c>
    </row>
    <row r="1881" spans="1:11" x14ac:dyDescent="0.25">
      <c r="A1881">
        <v>904</v>
      </c>
      <c r="B1881" t="s">
        <v>183</v>
      </c>
      <c r="C1881" t="s">
        <v>1967</v>
      </c>
      <c r="D1881" t="s">
        <v>30</v>
      </c>
      <c r="E1881" t="s">
        <v>10</v>
      </c>
      <c r="F1881" t="str">
        <f>VLOOKUP(Ramen_Ratings[[#This Row],[Country]],Country_Region[#All],2,FALSE)</f>
        <v>Asia</v>
      </c>
      <c r="G1881">
        <v>4.75</v>
      </c>
      <c r="H1881" t="str" cm="1">
        <f t="array" ref="H1881">_xlfn.IFS(Ramen_Ratings[[#This Row],[Stars]] = "Unrated", "NA",Ramen_Ratings[[#This Row],[Stars]]&gt;=4, "Good", Ramen_Ratings[[#This Row],[Stars]]&gt;2.5, "Fair", Ramen_Ratings[[#This Row],[Stars]] &gt;= 0, "Bad")</f>
        <v>Good</v>
      </c>
      <c r="J1881" t="str">
        <f>LEFT(Ramen_Ratings[[#This Row],[Top Ten]],4)</f>
        <v/>
      </c>
      <c r="K1881" t="str">
        <f>IF(Ramen_Ratings[[#This Row],[Top Ten]]="", "",RIGHT(Ramen_Ratings[[#This Row],[Top Ten]],LEN(Ramen_Ratings[[#This Row],[Top Ten]])-6))</f>
        <v/>
      </c>
    </row>
    <row r="1882" spans="1:11" x14ac:dyDescent="0.25">
      <c r="A1882">
        <v>874</v>
      </c>
      <c r="B1882" t="s">
        <v>2003</v>
      </c>
      <c r="C1882" t="s">
        <v>2004</v>
      </c>
      <c r="D1882" t="s">
        <v>44</v>
      </c>
      <c r="E1882" t="s">
        <v>10</v>
      </c>
      <c r="F1882" t="str">
        <f>VLOOKUP(Ramen_Ratings[[#This Row],[Country]],Country_Region[#All],2,FALSE)</f>
        <v>Asia</v>
      </c>
      <c r="G1882">
        <v>3.5</v>
      </c>
      <c r="H1882" t="str" cm="1">
        <f t="array" ref="H1882">_xlfn.IFS(Ramen_Ratings[[#This Row],[Stars]] = "Unrated", "NA",Ramen_Ratings[[#This Row],[Stars]]&gt;=4, "Good", Ramen_Ratings[[#This Row],[Stars]]&gt;2.5, "Fair", Ramen_Ratings[[#This Row],[Stars]] &gt;= 0, "Bad")</f>
        <v>Fair</v>
      </c>
      <c r="J1882" t="str">
        <f>LEFT(Ramen_Ratings[[#This Row],[Top Ten]],4)</f>
        <v/>
      </c>
      <c r="K1882" t="str">
        <f>IF(Ramen_Ratings[[#This Row],[Top Ten]]="", "",RIGHT(Ramen_Ratings[[#This Row],[Top Ten]],LEN(Ramen_Ratings[[#This Row],[Top Ten]])-6))</f>
        <v/>
      </c>
    </row>
    <row r="1883" spans="1:11" x14ac:dyDescent="0.25">
      <c r="A1883">
        <v>847</v>
      </c>
      <c r="B1883" t="s">
        <v>621</v>
      </c>
      <c r="C1883" t="s">
        <v>2034</v>
      </c>
      <c r="D1883" t="s">
        <v>44</v>
      </c>
      <c r="E1883" t="s">
        <v>10</v>
      </c>
      <c r="F1883" t="str">
        <f>VLOOKUP(Ramen_Ratings[[#This Row],[Country]],Country_Region[#All],2,FALSE)</f>
        <v>Asia</v>
      </c>
      <c r="G1883">
        <v>3.25</v>
      </c>
      <c r="H1883" t="str" cm="1">
        <f t="array" ref="H1883">_xlfn.IFS(Ramen_Ratings[[#This Row],[Stars]] = "Unrated", "NA",Ramen_Ratings[[#This Row],[Stars]]&gt;=4, "Good", Ramen_Ratings[[#This Row],[Stars]]&gt;2.5, "Fair", Ramen_Ratings[[#This Row],[Stars]] &gt;= 0, "Bad")</f>
        <v>Fair</v>
      </c>
      <c r="J1883" t="str">
        <f>LEFT(Ramen_Ratings[[#This Row],[Top Ten]],4)</f>
        <v/>
      </c>
      <c r="K1883" t="str">
        <f>IF(Ramen_Ratings[[#This Row],[Top Ten]]="", "",RIGHT(Ramen_Ratings[[#This Row],[Top Ten]],LEN(Ramen_Ratings[[#This Row],[Top Ten]])-6))</f>
        <v/>
      </c>
    </row>
    <row r="1884" spans="1:11" x14ac:dyDescent="0.25">
      <c r="A1884">
        <v>830</v>
      </c>
      <c r="B1884" t="s">
        <v>2051</v>
      </c>
      <c r="C1884" t="s">
        <v>2052</v>
      </c>
      <c r="D1884" t="s">
        <v>9</v>
      </c>
      <c r="E1884" t="s">
        <v>10</v>
      </c>
      <c r="F1884" t="str">
        <f>VLOOKUP(Ramen_Ratings[[#This Row],[Country]],Country_Region[#All],2,FALSE)</f>
        <v>Asia</v>
      </c>
      <c r="G1884">
        <v>4.5</v>
      </c>
      <c r="H1884" t="str" cm="1">
        <f t="array" ref="H1884">_xlfn.IFS(Ramen_Ratings[[#This Row],[Stars]] = "Unrated", "NA",Ramen_Ratings[[#This Row],[Stars]]&gt;=4, "Good", Ramen_Ratings[[#This Row],[Stars]]&gt;2.5, "Fair", Ramen_Ratings[[#This Row],[Stars]] &gt;= 0, "Bad")</f>
        <v>Good</v>
      </c>
      <c r="J1884" t="str">
        <f>LEFT(Ramen_Ratings[[#This Row],[Top Ten]],4)</f>
        <v/>
      </c>
      <c r="K1884" t="str">
        <f>IF(Ramen_Ratings[[#This Row],[Top Ten]]="", "",RIGHT(Ramen_Ratings[[#This Row],[Top Ten]],LEN(Ramen_Ratings[[#This Row],[Top Ten]])-6))</f>
        <v/>
      </c>
    </row>
    <row r="1885" spans="1:11" x14ac:dyDescent="0.25">
      <c r="A1885">
        <v>825</v>
      </c>
      <c r="B1885" t="s">
        <v>54</v>
      </c>
      <c r="C1885" t="s">
        <v>2057</v>
      </c>
      <c r="D1885" t="s">
        <v>9</v>
      </c>
      <c r="E1885" t="s">
        <v>10</v>
      </c>
      <c r="F1885" t="str">
        <f>VLOOKUP(Ramen_Ratings[[#This Row],[Country]],Country_Region[#All],2,FALSE)</f>
        <v>Asia</v>
      </c>
      <c r="G1885">
        <v>3.25</v>
      </c>
      <c r="H1885" t="str" cm="1">
        <f t="array" ref="H1885">_xlfn.IFS(Ramen_Ratings[[#This Row],[Stars]] = "Unrated", "NA",Ramen_Ratings[[#This Row],[Stars]]&gt;=4, "Good", Ramen_Ratings[[#This Row],[Stars]]&gt;2.5, "Fair", Ramen_Ratings[[#This Row],[Stars]] &gt;= 0, "Bad")</f>
        <v>Fair</v>
      </c>
      <c r="J1885" t="str">
        <f>LEFT(Ramen_Ratings[[#This Row],[Top Ten]],4)</f>
        <v/>
      </c>
      <c r="K1885" t="str">
        <f>IF(Ramen_Ratings[[#This Row],[Top Ten]]="", "",RIGHT(Ramen_Ratings[[#This Row],[Top Ten]],LEN(Ramen_Ratings[[#This Row],[Top Ten]])-6))</f>
        <v/>
      </c>
    </row>
    <row r="1886" spans="1:11" x14ac:dyDescent="0.25">
      <c r="A1886">
        <v>819</v>
      </c>
      <c r="B1886" t="s">
        <v>102</v>
      </c>
      <c r="C1886" t="s">
        <v>2063</v>
      </c>
      <c r="D1886" t="s">
        <v>13</v>
      </c>
      <c r="E1886" t="s">
        <v>10</v>
      </c>
      <c r="F1886" t="str">
        <f>VLOOKUP(Ramen_Ratings[[#This Row],[Country]],Country_Region[#All],2,FALSE)</f>
        <v>Asia</v>
      </c>
      <c r="G1886">
        <v>4</v>
      </c>
      <c r="H1886" t="str" cm="1">
        <f t="array" ref="H1886">_xlfn.IFS(Ramen_Ratings[[#This Row],[Stars]] = "Unrated", "NA",Ramen_Ratings[[#This Row],[Stars]]&gt;=4, "Good", Ramen_Ratings[[#This Row],[Stars]]&gt;2.5, "Fair", Ramen_Ratings[[#This Row],[Stars]] &gt;= 0, "Bad")</f>
        <v>Good</v>
      </c>
      <c r="J1886" t="str">
        <f>LEFT(Ramen_Ratings[[#This Row],[Top Ten]],4)</f>
        <v/>
      </c>
      <c r="K1886" t="str">
        <f>IF(Ramen_Ratings[[#This Row],[Top Ten]]="", "",RIGHT(Ramen_Ratings[[#This Row],[Top Ten]],LEN(Ramen_Ratings[[#This Row],[Top Ten]])-6))</f>
        <v/>
      </c>
    </row>
    <row r="1887" spans="1:11" x14ac:dyDescent="0.25">
      <c r="A1887">
        <v>805</v>
      </c>
      <c r="B1887" t="s">
        <v>26</v>
      </c>
      <c r="C1887" t="s">
        <v>2078</v>
      </c>
      <c r="D1887" t="s">
        <v>44</v>
      </c>
      <c r="E1887" t="s">
        <v>10</v>
      </c>
      <c r="F1887" t="str">
        <f>VLOOKUP(Ramen_Ratings[[#This Row],[Country]],Country_Region[#All],2,FALSE)</f>
        <v>Asia</v>
      </c>
      <c r="G1887">
        <v>1.25</v>
      </c>
      <c r="H1887" t="str" cm="1">
        <f t="array" ref="H1887">_xlfn.IFS(Ramen_Ratings[[#This Row],[Stars]] = "Unrated", "NA",Ramen_Ratings[[#This Row],[Stars]]&gt;=4, "Good", Ramen_Ratings[[#This Row],[Stars]]&gt;2.5, "Fair", Ramen_Ratings[[#This Row],[Stars]] &gt;= 0, "Bad")</f>
        <v>Bad</v>
      </c>
      <c r="J1887" t="str">
        <f>LEFT(Ramen_Ratings[[#This Row],[Top Ten]],4)</f>
        <v/>
      </c>
      <c r="K1887" t="str">
        <f>IF(Ramen_Ratings[[#This Row],[Top Ten]]="", "",RIGHT(Ramen_Ratings[[#This Row],[Top Ten]],LEN(Ramen_Ratings[[#This Row],[Top Ten]])-6))</f>
        <v/>
      </c>
    </row>
    <row r="1888" spans="1:11" x14ac:dyDescent="0.25">
      <c r="A1888">
        <v>791</v>
      </c>
      <c r="B1888" t="s">
        <v>26</v>
      </c>
      <c r="C1888" t="s">
        <v>2093</v>
      </c>
      <c r="D1888" t="s">
        <v>44</v>
      </c>
      <c r="E1888" t="s">
        <v>10</v>
      </c>
      <c r="F1888" t="str">
        <f>VLOOKUP(Ramen_Ratings[[#This Row],[Country]],Country_Region[#All],2,FALSE)</f>
        <v>Asia</v>
      </c>
      <c r="G1888">
        <v>1</v>
      </c>
      <c r="H1888" t="str" cm="1">
        <f t="array" ref="H1888">_xlfn.IFS(Ramen_Ratings[[#This Row],[Stars]] = "Unrated", "NA",Ramen_Ratings[[#This Row],[Stars]]&gt;=4, "Good", Ramen_Ratings[[#This Row],[Stars]]&gt;2.5, "Fair", Ramen_Ratings[[#This Row],[Stars]] &gt;= 0, "Bad")</f>
        <v>Bad</v>
      </c>
      <c r="J1888" t="str">
        <f>LEFT(Ramen_Ratings[[#This Row],[Top Ten]],4)</f>
        <v/>
      </c>
      <c r="K1888" t="str">
        <f>IF(Ramen_Ratings[[#This Row],[Top Ten]]="", "",RIGHT(Ramen_Ratings[[#This Row],[Top Ten]],LEN(Ramen_Ratings[[#This Row],[Top Ten]])-6))</f>
        <v/>
      </c>
    </row>
    <row r="1889" spans="1:11" x14ac:dyDescent="0.25">
      <c r="A1889">
        <v>756</v>
      </c>
      <c r="B1889" t="s">
        <v>309</v>
      </c>
      <c r="C1889" t="s">
        <v>2127</v>
      </c>
      <c r="D1889" t="s">
        <v>44</v>
      </c>
      <c r="E1889" t="s">
        <v>10</v>
      </c>
      <c r="F1889" t="str">
        <f>VLOOKUP(Ramen_Ratings[[#This Row],[Country]],Country_Region[#All],2,FALSE)</f>
        <v>Asia</v>
      </c>
      <c r="G1889">
        <v>3.75</v>
      </c>
      <c r="H1889" t="str" cm="1">
        <f t="array" ref="H1889">_xlfn.IFS(Ramen_Ratings[[#This Row],[Stars]] = "Unrated", "NA",Ramen_Ratings[[#This Row],[Stars]]&gt;=4, "Good", Ramen_Ratings[[#This Row],[Stars]]&gt;2.5, "Fair", Ramen_Ratings[[#This Row],[Stars]] &gt;= 0, "Bad")</f>
        <v>Fair</v>
      </c>
      <c r="J1889" t="str">
        <f>LEFT(Ramen_Ratings[[#This Row],[Top Ten]],4)</f>
        <v/>
      </c>
      <c r="K1889" t="str">
        <f>IF(Ramen_Ratings[[#This Row],[Top Ten]]="", "",RIGHT(Ramen_Ratings[[#This Row],[Top Ten]],LEN(Ramen_Ratings[[#This Row],[Top Ten]])-6))</f>
        <v/>
      </c>
    </row>
    <row r="1890" spans="1:11" x14ac:dyDescent="0.25">
      <c r="A1890">
        <v>738</v>
      </c>
      <c r="B1890" t="s">
        <v>15</v>
      </c>
      <c r="C1890" t="s">
        <v>2147</v>
      </c>
      <c r="D1890" t="s">
        <v>44</v>
      </c>
      <c r="E1890" t="s">
        <v>10</v>
      </c>
      <c r="F1890" t="str">
        <f>VLOOKUP(Ramen_Ratings[[#This Row],[Country]],Country_Region[#All],2,FALSE)</f>
        <v>Asia</v>
      </c>
      <c r="G1890">
        <v>3.75</v>
      </c>
      <c r="H1890" t="str" cm="1">
        <f t="array" ref="H1890">_xlfn.IFS(Ramen_Ratings[[#This Row],[Stars]] = "Unrated", "NA",Ramen_Ratings[[#This Row],[Stars]]&gt;=4, "Good", Ramen_Ratings[[#This Row],[Stars]]&gt;2.5, "Fair", Ramen_Ratings[[#This Row],[Stars]] &gt;= 0, "Bad")</f>
        <v>Fair</v>
      </c>
      <c r="J1890" t="str">
        <f>LEFT(Ramen_Ratings[[#This Row],[Top Ten]],4)</f>
        <v/>
      </c>
      <c r="K1890" t="str">
        <f>IF(Ramen_Ratings[[#This Row],[Top Ten]]="", "",RIGHT(Ramen_Ratings[[#This Row],[Top Ten]],LEN(Ramen_Ratings[[#This Row],[Top Ten]])-6))</f>
        <v/>
      </c>
    </row>
    <row r="1891" spans="1:11" x14ac:dyDescent="0.25">
      <c r="A1891">
        <v>722</v>
      </c>
      <c r="B1891" t="s">
        <v>2163</v>
      </c>
      <c r="C1891" t="s">
        <v>2164</v>
      </c>
      <c r="D1891" t="s">
        <v>44</v>
      </c>
      <c r="E1891" t="s">
        <v>10</v>
      </c>
      <c r="F1891" t="str">
        <f>VLOOKUP(Ramen_Ratings[[#This Row],[Country]],Country_Region[#All],2,FALSE)</f>
        <v>Asia</v>
      </c>
      <c r="G1891">
        <v>3.5</v>
      </c>
      <c r="H1891" t="str" cm="1">
        <f t="array" ref="H1891">_xlfn.IFS(Ramen_Ratings[[#This Row],[Stars]] = "Unrated", "NA",Ramen_Ratings[[#This Row],[Stars]]&gt;=4, "Good", Ramen_Ratings[[#This Row],[Stars]]&gt;2.5, "Fair", Ramen_Ratings[[#This Row],[Stars]] &gt;= 0, "Bad")</f>
        <v>Fair</v>
      </c>
      <c r="J1891" t="str">
        <f>LEFT(Ramen_Ratings[[#This Row],[Top Ten]],4)</f>
        <v/>
      </c>
      <c r="K1891" t="str">
        <f>IF(Ramen_Ratings[[#This Row],[Top Ten]]="", "",RIGHT(Ramen_Ratings[[#This Row],[Top Ten]],LEN(Ramen_Ratings[[#This Row],[Top Ten]])-6))</f>
        <v/>
      </c>
    </row>
    <row r="1892" spans="1:11" x14ac:dyDescent="0.25">
      <c r="A1892">
        <v>702</v>
      </c>
      <c r="B1892" t="s">
        <v>15</v>
      </c>
      <c r="C1892" t="s">
        <v>2187</v>
      </c>
      <c r="D1892" t="s">
        <v>13</v>
      </c>
      <c r="E1892" t="s">
        <v>10</v>
      </c>
      <c r="F1892" t="str">
        <f>VLOOKUP(Ramen_Ratings[[#This Row],[Country]],Country_Region[#All],2,FALSE)</f>
        <v>Asia</v>
      </c>
      <c r="G1892">
        <v>4.5</v>
      </c>
      <c r="H1892" t="str" cm="1">
        <f t="array" ref="H1892">_xlfn.IFS(Ramen_Ratings[[#This Row],[Stars]] = "Unrated", "NA",Ramen_Ratings[[#This Row],[Stars]]&gt;=4, "Good", Ramen_Ratings[[#This Row],[Stars]]&gt;2.5, "Fair", Ramen_Ratings[[#This Row],[Stars]] &gt;= 0, "Bad")</f>
        <v>Good</v>
      </c>
      <c r="J1892" t="str">
        <f>LEFT(Ramen_Ratings[[#This Row],[Top Ten]],4)</f>
        <v/>
      </c>
      <c r="K1892" t="str">
        <f>IF(Ramen_Ratings[[#This Row],[Top Ten]]="", "",RIGHT(Ramen_Ratings[[#This Row],[Top Ten]],LEN(Ramen_Ratings[[#This Row],[Top Ten]])-6))</f>
        <v/>
      </c>
    </row>
    <row r="1893" spans="1:11" x14ac:dyDescent="0.25">
      <c r="A1893">
        <v>700</v>
      </c>
      <c r="B1893" t="s">
        <v>15</v>
      </c>
      <c r="C1893" t="s">
        <v>2189</v>
      </c>
      <c r="D1893" t="s">
        <v>13</v>
      </c>
      <c r="E1893" t="s">
        <v>10</v>
      </c>
      <c r="F1893" t="str">
        <f>VLOOKUP(Ramen_Ratings[[#This Row],[Country]],Country_Region[#All],2,FALSE)</f>
        <v>Asia</v>
      </c>
      <c r="G1893">
        <v>5</v>
      </c>
      <c r="H1893" t="str" cm="1">
        <f t="array" ref="H1893">_xlfn.IFS(Ramen_Ratings[[#This Row],[Stars]] = "Unrated", "NA",Ramen_Ratings[[#This Row],[Stars]]&gt;=4, "Good", Ramen_Ratings[[#This Row],[Stars]]&gt;2.5, "Fair", Ramen_Ratings[[#This Row],[Stars]] &gt;= 0, "Bad")</f>
        <v>Good</v>
      </c>
      <c r="J1893" t="str">
        <f>LEFT(Ramen_Ratings[[#This Row],[Top Ten]],4)</f>
        <v/>
      </c>
      <c r="K1893" t="str">
        <f>IF(Ramen_Ratings[[#This Row],[Top Ten]]="", "",RIGHT(Ramen_Ratings[[#This Row],[Top Ten]],LEN(Ramen_Ratings[[#This Row],[Top Ten]])-6))</f>
        <v/>
      </c>
    </row>
    <row r="1894" spans="1:11" x14ac:dyDescent="0.25">
      <c r="A1894">
        <v>695</v>
      </c>
      <c r="B1894" t="s">
        <v>2194</v>
      </c>
      <c r="C1894" t="s">
        <v>2195</v>
      </c>
      <c r="D1894" t="s">
        <v>44</v>
      </c>
      <c r="E1894" t="s">
        <v>10</v>
      </c>
      <c r="F1894" t="str">
        <f>VLOOKUP(Ramen_Ratings[[#This Row],[Country]],Country_Region[#All],2,FALSE)</f>
        <v>Asia</v>
      </c>
      <c r="G1894">
        <v>4.5</v>
      </c>
      <c r="H1894" t="str" cm="1">
        <f t="array" ref="H1894">_xlfn.IFS(Ramen_Ratings[[#This Row],[Stars]] = "Unrated", "NA",Ramen_Ratings[[#This Row],[Stars]]&gt;=4, "Good", Ramen_Ratings[[#This Row],[Stars]]&gt;2.5, "Fair", Ramen_Ratings[[#This Row],[Stars]] &gt;= 0, "Bad")</f>
        <v>Good</v>
      </c>
      <c r="J1894" t="str">
        <f>LEFT(Ramen_Ratings[[#This Row],[Top Ten]],4)</f>
        <v/>
      </c>
      <c r="K1894" t="str">
        <f>IF(Ramen_Ratings[[#This Row],[Top Ten]]="", "",RIGHT(Ramen_Ratings[[#This Row],[Top Ten]],LEN(Ramen_Ratings[[#This Row],[Top Ten]])-6))</f>
        <v/>
      </c>
    </row>
    <row r="1895" spans="1:11" x14ac:dyDescent="0.25">
      <c r="A1895">
        <v>669</v>
      </c>
      <c r="B1895" t="s">
        <v>15</v>
      </c>
      <c r="C1895" t="s">
        <v>2220</v>
      </c>
      <c r="D1895" t="s">
        <v>44</v>
      </c>
      <c r="E1895" t="s">
        <v>10</v>
      </c>
      <c r="F1895" t="str">
        <f>VLOOKUP(Ramen_Ratings[[#This Row],[Country]],Country_Region[#All],2,FALSE)</f>
        <v>Asia</v>
      </c>
      <c r="G1895">
        <v>4</v>
      </c>
      <c r="H1895" t="str" cm="1">
        <f t="array" ref="H1895">_xlfn.IFS(Ramen_Ratings[[#This Row],[Stars]] = "Unrated", "NA",Ramen_Ratings[[#This Row],[Stars]]&gt;=4, "Good", Ramen_Ratings[[#This Row],[Stars]]&gt;2.5, "Fair", Ramen_Ratings[[#This Row],[Stars]] &gt;= 0, "Bad")</f>
        <v>Good</v>
      </c>
      <c r="J1895" t="str">
        <f>LEFT(Ramen_Ratings[[#This Row],[Top Ten]],4)</f>
        <v/>
      </c>
      <c r="K1895" t="str">
        <f>IF(Ramen_Ratings[[#This Row],[Top Ten]]="", "",RIGHT(Ramen_Ratings[[#This Row],[Top Ten]],LEN(Ramen_Ratings[[#This Row],[Top Ten]])-6))</f>
        <v/>
      </c>
    </row>
    <row r="1896" spans="1:11" x14ac:dyDescent="0.25">
      <c r="A1896">
        <v>662</v>
      </c>
      <c r="B1896" t="s">
        <v>309</v>
      </c>
      <c r="C1896" t="s">
        <v>2228</v>
      </c>
      <c r="D1896" t="s">
        <v>44</v>
      </c>
      <c r="E1896" t="s">
        <v>10</v>
      </c>
      <c r="F1896" t="str">
        <f>VLOOKUP(Ramen_Ratings[[#This Row],[Country]],Country_Region[#All],2,FALSE)</f>
        <v>Asia</v>
      </c>
      <c r="G1896">
        <v>4.25</v>
      </c>
      <c r="H1896" t="str" cm="1">
        <f t="array" ref="H1896">_xlfn.IFS(Ramen_Ratings[[#This Row],[Stars]] = "Unrated", "NA",Ramen_Ratings[[#This Row],[Stars]]&gt;=4, "Good", Ramen_Ratings[[#This Row],[Stars]]&gt;2.5, "Fair", Ramen_Ratings[[#This Row],[Stars]] &gt;= 0, "Bad")</f>
        <v>Good</v>
      </c>
      <c r="J1896" t="str">
        <f>LEFT(Ramen_Ratings[[#This Row],[Top Ten]],4)</f>
        <v/>
      </c>
      <c r="K1896" t="str">
        <f>IF(Ramen_Ratings[[#This Row],[Top Ten]]="", "",RIGHT(Ramen_Ratings[[#This Row],[Top Ten]],LEN(Ramen_Ratings[[#This Row],[Top Ten]])-6))</f>
        <v/>
      </c>
    </row>
    <row r="1897" spans="1:11" x14ac:dyDescent="0.25">
      <c r="A1897">
        <v>661</v>
      </c>
      <c r="B1897" t="s">
        <v>2163</v>
      </c>
      <c r="C1897" t="s">
        <v>2229</v>
      </c>
      <c r="D1897" t="s">
        <v>44</v>
      </c>
      <c r="E1897" t="s">
        <v>10</v>
      </c>
      <c r="F1897" t="str">
        <f>VLOOKUP(Ramen_Ratings[[#This Row],[Country]],Country_Region[#All],2,FALSE)</f>
        <v>Asia</v>
      </c>
      <c r="G1897">
        <v>4.25</v>
      </c>
      <c r="H1897" t="str" cm="1">
        <f t="array" ref="H1897">_xlfn.IFS(Ramen_Ratings[[#This Row],[Stars]] = "Unrated", "NA",Ramen_Ratings[[#This Row],[Stars]]&gt;=4, "Good", Ramen_Ratings[[#This Row],[Stars]]&gt;2.5, "Fair", Ramen_Ratings[[#This Row],[Stars]] &gt;= 0, "Bad")</f>
        <v>Good</v>
      </c>
      <c r="J1897" t="str">
        <f>LEFT(Ramen_Ratings[[#This Row],[Top Ten]],4)</f>
        <v/>
      </c>
      <c r="K1897" t="str">
        <f>IF(Ramen_Ratings[[#This Row],[Top Ten]]="", "",RIGHT(Ramen_Ratings[[#This Row],[Top Ten]],LEN(Ramen_Ratings[[#This Row],[Top Ten]])-6))</f>
        <v/>
      </c>
    </row>
    <row r="1898" spans="1:11" x14ac:dyDescent="0.25">
      <c r="A1898">
        <v>652</v>
      </c>
      <c r="B1898" t="s">
        <v>374</v>
      </c>
      <c r="C1898" t="s">
        <v>2238</v>
      </c>
      <c r="D1898" t="s">
        <v>13</v>
      </c>
      <c r="E1898" t="s">
        <v>10</v>
      </c>
      <c r="F1898" t="str">
        <f>VLOOKUP(Ramen_Ratings[[#This Row],[Country]],Country_Region[#All],2,FALSE)</f>
        <v>Asia</v>
      </c>
      <c r="G1898">
        <v>5</v>
      </c>
      <c r="H1898" t="str" cm="1">
        <f t="array" ref="H1898">_xlfn.IFS(Ramen_Ratings[[#This Row],[Stars]] = "Unrated", "NA",Ramen_Ratings[[#This Row],[Stars]]&gt;=4, "Good", Ramen_Ratings[[#This Row],[Stars]]&gt;2.5, "Fair", Ramen_Ratings[[#This Row],[Stars]] &gt;= 0, "Bad")</f>
        <v>Good</v>
      </c>
      <c r="J1898" t="str">
        <f>LEFT(Ramen_Ratings[[#This Row],[Top Ten]],4)</f>
        <v/>
      </c>
      <c r="K1898" t="str">
        <f>IF(Ramen_Ratings[[#This Row],[Top Ten]]="", "",RIGHT(Ramen_Ratings[[#This Row],[Top Ten]],LEN(Ramen_Ratings[[#This Row],[Top Ten]])-6))</f>
        <v/>
      </c>
    </row>
    <row r="1899" spans="1:11" x14ac:dyDescent="0.25">
      <c r="A1899">
        <v>646</v>
      </c>
      <c r="B1899" t="s">
        <v>2163</v>
      </c>
      <c r="C1899" t="s">
        <v>2057</v>
      </c>
      <c r="D1899" t="s">
        <v>44</v>
      </c>
      <c r="E1899" t="s">
        <v>10</v>
      </c>
      <c r="F1899" t="str">
        <f>VLOOKUP(Ramen_Ratings[[#This Row],[Country]],Country_Region[#All],2,FALSE)</f>
        <v>Asia</v>
      </c>
      <c r="G1899">
        <v>4.25</v>
      </c>
      <c r="H1899" t="str" cm="1">
        <f t="array" ref="H1899">_xlfn.IFS(Ramen_Ratings[[#This Row],[Stars]] = "Unrated", "NA",Ramen_Ratings[[#This Row],[Stars]]&gt;=4, "Good", Ramen_Ratings[[#This Row],[Stars]]&gt;2.5, "Fair", Ramen_Ratings[[#This Row],[Stars]] &gt;= 0, "Bad")</f>
        <v>Good</v>
      </c>
      <c r="J1899" t="str">
        <f>LEFT(Ramen_Ratings[[#This Row],[Top Ten]],4)</f>
        <v/>
      </c>
      <c r="K1899" t="str">
        <f>IF(Ramen_Ratings[[#This Row],[Top Ten]]="", "",RIGHT(Ramen_Ratings[[#This Row],[Top Ten]],LEN(Ramen_Ratings[[#This Row],[Top Ten]])-6))</f>
        <v/>
      </c>
    </row>
    <row r="1900" spans="1:11" x14ac:dyDescent="0.25">
      <c r="A1900">
        <v>639</v>
      </c>
      <c r="B1900" t="s">
        <v>15</v>
      </c>
      <c r="C1900" t="s">
        <v>2250</v>
      </c>
      <c r="D1900" t="s">
        <v>44</v>
      </c>
      <c r="E1900" t="s">
        <v>10</v>
      </c>
      <c r="F1900" t="str">
        <f>VLOOKUP(Ramen_Ratings[[#This Row],[Country]],Country_Region[#All],2,FALSE)</f>
        <v>Asia</v>
      </c>
      <c r="G1900">
        <v>5</v>
      </c>
      <c r="H1900" t="str" cm="1">
        <f t="array" ref="H1900">_xlfn.IFS(Ramen_Ratings[[#This Row],[Stars]] = "Unrated", "NA",Ramen_Ratings[[#This Row],[Stars]]&gt;=4, "Good", Ramen_Ratings[[#This Row],[Stars]]&gt;2.5, "Fair", Ramen_Ratings[[#This Row],[Stars]] &gt;= 0, "Bad")</f>
        <v>Good</v>
      </c>
      <c r="J1900" t="str">
        <f>LEFT(Ramen_Ratings[[#This Row],[Top Ten]],4)</f>
        <v/>
      </c>
      <c r="K1900" t="str">
        <f>IF(Ramen_Ratings[[#This Row],[Top Ten]]="", "",RIGHT(Ramen_Ratings[[#This Row],[Top Ten]],LEN(Ramen_Ratings[[#This Row],[Top Ten]])-6))</f>
        <v/>
      </c>
    </row>
    <row r="1901" spans="1:11" x14ac:dyDescent="0.25">
      <c r="A1901">
        <v>636</v>
      </c>
      <c r="B1901" t="s">
        <v>2252</v>
      </c>
      <c r="C1901" t="s">
        <v>2253</v>
      </c>
      <c r="D1901" t="s">
        <v>13</v>
      </c>
      <c r="E1901" t="s">
        <v>10</v>
      </c>
      <c r="F1901" t="str">
        <f>VLOOKUP(Ramen_Ratings[[#This Row],[Country]],Country_Region[#All],2,FALSE)</f>
        <v>Asia</v>
      </c>
      <c r="G1901">
        <v>4.75</v>
      </c>
      <c r="H1901" t="str" cm="1">
        <f t="array" ref="H1901">_xlfn.IFS(Ramen_Ratings[[#This Row],[Stars]] = "Unrated", "NA",Ramen_Ratings[[#This Row],[Stars]]&gt;=4, "Good", Ramen_Ratings[[#This Row],[Stars]]&gt;2.5, "Fair", Ramen_Ratings[[#This Row],[Stars]] &gt;= 0, "Bad")</f>
        <v>Good</v>
      </c>
      <c r="J1901" t="str">
        <f>LEFT(Ramen_Ratings[[#This Row],[Top Ten]],4)</f>
        <v/>
      </c>
      <c r="K1901" t="str">
        <f>IF(Ramen_Ratings[[#This Row],[Top Ten]]="", "",RIGHT(Ramen_Ratings[[#This Row],[Top Ten]],LEN(Ramen_Ratings[[#This Row],[Top Ten]])-6))</f>
        <v/>
      </c>
    </row>
    <row r="1902" spans="1:11" x14ac:dyDescent="0.25">
      <c r="A1902">
        <v>622</v>
      </c>
      <c r="B1902" t="s">
        <v>309</v>
      </c>
      <c r="C1902" t="s">
        <v>2270</v>
      </c>
      <c r="D1902" t="s">
        <v>44</v>
      </c>
      <c r="E1902" t="s">
        <v>10</v>
      </c>
      <c r="F1902" t="str">
        <f>VLOOKUP(Ramen_Ratings[[#This Row],[Country]],Country_Region[#All],2,FALSE)</f>
        <v>Asia</v>
      </c>
      <c r="G1902">
        <v>4.75</v>
      </c>
      <c r="H1902" t="str" cm="1">
        <f t="array" ref="H1902">_xlfn.IFS(Ramen_Ratings[[#This Row],[Stars]] = "Unrated", "NA",Ramen_Ratings[[#This Row],[Stars]]&gt;=4, "Good", Ramen_Ratings[[#This Row],[Stars]]&gt;2.5, "Fair", Ramen_Ratings[[#This Row],[Stars]] &gt;= 0, "Bad")</f>
        <v>Good</v>
      </c>
      <c r="J1902" t="str">
        <f>LEFT(Ramen_Ratings[[#This Row],[Top Ten]],4)</f>
        <v/>
      </c>
      <c r="K1902" t="str">
        <f>IF(Ramen_Ratings[[#This Row],[Top Ten]]="", "",RIGHT(Ramen_Ratings[[#This Row],[Top Ten]],LEN(Ramen_Ratings[[#This Row],[Top Ten]])-6))</f>
        <v/>
      </c>
    </row>
    <row r="1903" spans="1:11" x14ac:dyDescent="0.25">
      <c r="A1903">
        <v>619</v>
      </c>
      <c r="B1903" t="s">
        <v>2163</v>
      </c>
      <c r="C1903" t="s">
        <v>2273</v>
      </c>
      <c r="D1903" t="s">
        <v>44</v>
      </c>
      <c r="E1903" t="s">
        <v>10</v>
      </c>
      <c r="F1903" t="str">
        <f>VLOOKUP(Ramen_Ratings[[#This Row],[Country]],Country_Region[#All],2,FALSE)</f>
        <v>Asia</v>
      </c>
      <c r="G1903">
        <v>4.75</v>
      </c>
      <c r="H1903" t="str" cm="1">
        <f t="array" ref="H1903">_xlfn.IFS(Ramen_Ratings[[#This Row],[Stars]] = "Unrated", "NA",Ramen_Ratings[[#This Row],[Stars]]&gt;=4, "Good", Ramen_Ratings[[#This Row],[Stars]]&gt;2.5, "Fair", Ramen_Ratings[[#This Row],[Stars]] &gt;= 0, "Bad")</f>
        <v>Good</v>
      </c>
      <c r="J1903" t="str">
        <f>LEFT(Ramen_Ratings[[#This Row],[Top Ten]],4)</f>
        <v/>
      </c>
      <c r="K1903" t="str">
        <f>IF(Ramen_Ratings[[#This Row],[Top Ten]]="", "",RIGHT(Ramen_Ratings[[#This Row],[Top Ten]],LEN(Ramen_Ratings[[#This Row],[Top Ten]])-6))</f>
        <v/>
      </c>
    </row>
    <row r="1904" spans="1:11" x14ac:dyDescent="0.25">
      <c r="A1904">
        <v>617</v>
      </c>
      <c r="B1904" t="s">
        <v>15</v>
      </c>
      <c r="C1904" t="s">
        <v>2275</v>
      </c>
      <c r="D1904" t="s">
        <v>13</v>
      </c>
      <c r="E1904" t="s">
        <v>10</v>
      </c>
      <c r="F1904" t="str">
        <f>VLOOKUP(Ramen_Ratings[[#This Row],[Country]],Country_Region[#All],2,FALSE)</f>
        <v>Asia</v>
      </c>
      <c r="G1904">
        <v>3.75</v>
      </c>
      <c r="H1904" t="str" cm="1">
        <f t="array" ref="H1904">_xlfn.IFS(Ramen_Ratings[[#This Row],[Stars]] = "Unrated", "NA",Ramen_Ratings[[#This Row],[Stars]]&gt;=4, "Good", Ramen_Ratings[[#This Row],[Stars]]&gt;2.5, "Fair", Ramen_Ratings[[#This Row],[Stars]] &gt;= 0, "Bad")</f>
        <v>Fair</v>
      </c>
      <c r="J1904" t="str">
        <f>LEFT(Ramen_Ratings[[#This Row],[Top Ten]],4)</f>
        <v/>
      </c>
      <c r="K1904" t="str">
        <f>IF(Ramen_Ratings[[#This Row],[Top Ten]]="", "",RIGHT(Ramen_Ratings[[#This Row],[Top Ten]],LEN(Ramen_Ratings[[#This Row],[Top Ten]])-6))</f>
        <v/>
      </c>
    </row>
    <row r="1905" spans="1:11" x14ac:dyDescent="0.25">
      <c r="A1905">
        <v>615</v>
      </c>
      <c r="B1905" t="s">
        <v>2252</v>
      </c>
      <c r="C1905" t="s">
        <v>2277</v>
      </c>
      <c r="D1905" t="s">
        <v>13</v>
      </c>
      <c r="E1905" t="s">
        <v>10</v>
      </c>
      <c r="F1905" t="str">
        <f>VLOOKUP(Ramen_Ratings[[#This Row],[Country]],Country_Region[#All],2,FALSE)</f>
        <v>Asia</v>
      </c>
      <c r="G1905">
        <v>4.5</v>
      </c>
      <c r="H1905" t="str" cm="1">
        <f t="array" ref="H1905">_xlfn.IFS(Ramen_Ratings[[#This Row],[Stars]] = "Unrated", "NA",Ramen_Ratings[[#This Row],[Stars]]&gt;=4, "Good", Ramen_Ratings[[#This Row],[Stars]]&gt;2.5, "Fair", Ramen_Ratings[[#This Row],[Stars]] &gt;= 0, "Bad")</f>
        <v>Good</v>
      </c>
      <c r="J1905" t="str">
        <f>LEFT(Ramen_Ratings[[#This Row],[Top Ten]],4)</f>
        <v/>
      </c>
      <c r="K1905" t="str">
        <f>IF(Ramen_Ratings[[#This Row],[Top Ten]]="", "",RIGHT(Ramen_Ratings[[#This Row],[Top Ten]],LEN(Ramen_Ratings[[#This Row],[Top Ten]])-6))</f>
        <v/>
      </c>
    </row>
    <row r="1906" spans="1:11" x14ac:dyDescent="0.25">
      <c r="A1906">
        <v>576</v>
      </c>
      <c r="B1906" t="s">
        <v>559</v>
      </c>
      <c r="C1906" t="s">
        <v>2063</v>
      </c>
      <c r="D1906" t="s">
        <v>44</v>
      </c>
      <c r="E1906" t="s">
        <v>10</v>
      </c>
      <c r="F1906" t="str">
        <f>VLOOKUP(Ramen_Ratings[[#This Row],[Country]],Country_Region[#All],2,FALSE)</f>
        <v>Asia</v>
      </c>
      <c r="G1906">
        <v>3.75</v>
      </c>
      <c r="H1906" t="str" cm="1">
        <f t="array" ref="H1906">_xlfn.IFS(Ramen_Ratings[[#This Row],[Stars]] = "Unrated", "NA",Ramen_Ratings[[#This Row],[Stars]]&gt;=4, "Good", Ramen_Ratings[[#This Row],[Stars]]&gt;2.5, "Fair", Ramen_Ratings[[#This Row],[Stars]] &gt;= 0, "Bad")</f>
        <v>Fair</v>
      </c>
      <c r="J1906" t="str">
        <f>LEFT(Ramen_Ratings[[#This Row],[Top Ten]],4)</f>
        <v/>
      </c>
      <c r="K1906" t="str">
        <f>IF(Ramen_Ratings[[#This Row],[Top Ten]]="", "",RIGHT(Ramen_Ratings[[#This Row],[Top Ten]],LEN(Ramen_Ratings[[#This Row],[Top Ten]])-6))</f>
        <v/>
      </c>
    </row>
    <row r="1907" spans="1:11" x14ac:dyDescent="0.25">
      <c r="A1907">
        <v>571</v>
      </c>
      <c r="B1907" t="s">
        <v>258</v>
      </c>
      <c r="C1907" t="s">
        <v>2323</v>
      </c>
      <c r="D1907" t="s">
        <v>13</v>
      </c>
      <c r="E1907" t="s">
        <v>10</v>
      </c>
      <c r="F1907" t="str">
        <f>VLOOKUP(Ramen_Ratings[[#This Row],[Country]],Country_Region[#All],2,FALSE)</f>
        <v>Asia</v>
      </c>
      <c r="G1907">
        <v>3.25</v>
      </c>
      <c r="H1907" t="str" cm="1">
        <f t="array" ref="H1907">_xlfn.IFS(Ramen_Ratings[[#This Row],[Stars]] = "Unrated", "NA",Ramen_Ratings[[#This Row],[Stars]]&gt;=4, "Good", Ramen_Ratings[[#This Row],[Stars]]&gt;2.5, "Fair", Ramen_Ratings[[#This Row],[Stars]] &gt;= 0, "Bad")</f>
        <v>Fair</v>
      </c>
      <c r="J1907" t="str">
        <f>LEFT(Ramen_Ratings[[#This Row],[Top Ten]],4)</f>
        <v/>
      </c>
      <c r="K1907" t="str">
        <f>IF(Ramen_Ratings[[#This Row],[Top Ten]]="", "",RIGHT(Ramen_Ratings[[#This Row],[Top Ten]],LEN(Ramen_Ratings[[#This Row],[Top Ten]])-6))</f>
        <v/>
      </c>
    </row>
    <row r="1908" spans="1:11" x14ac:dyDescent="0.25">
      <c r="A1908">
        <v>567</v>
      </c>
      <c r="B1908" t="s">
        <v>1952</v>
      </c>
      <c r="C1908" t="s">
        <v>459</v>
      </c>
      <c r="D1908" t="s">
        <v>44</v>
      </c>
      <c r="E1908" t="s">
        <v>10</v>
      </c>
      <c r="F1908" t="str">
        <f>VLOOKUP(Ramen_Ratings[[#This Row],[Country]],Country_Region[#All],2,FALSE)</f>
        <v>Asia</v>
      </c>
      <c r="G1908">
        <v>3.5</v>
      </c>
      <c r="H1908" t="str" cm="1">
        <f t="array" ref="H1908">_xlfn.IFS(Ramen_Ratings[[#This Row],[Stars]] = "Unrated", "NA",Ramen_Ratings[[#This Row],[Stars]]&gt;=4, "Good", Ramen_Ratings[[#This Row],[Stars]]&gt;2.5, "Fair", Ramen_Ratings[[#This Row],[Stars]] &gt;= 0, "Bad")</f>
        <v>Fair</v>
      </c>
      <c r="J1908" t="str">
        <f>LEFT(Ramen_Ratings[[#This Row],[Top Ten]],4)</f>
        <v/>
      </c>
      <c r="K1908" t="str">
        <f>IF(Ramen_Ratings[[#This Row],[Top Ten]]="", "",RIGHT(Ramen_Ratings[[#This Row],[Top Ten]],LEN(Ramen_Ratings[[#This Row],[Top Ten]])-6))</f>
        <v/>
      </c>
    </row>
    <row r="1909" spans="1:11" x14ac:dyDescent="0.25">
      <c r="A1909">
        <v>560</v>
      </c>
      <c r="B1909" t="s">
        <v>183</v>
      </c>
      <c r="C1909" t="s">
        <v>2335</v>
      </c>
      <c r="D1909" t="s">
        <v>44</v>
      </c>
      <c r="E1909" t="s">
        <v>10</v>
      </c>
      <c r="F1909" t="str">
        <f>VLOOKUP(Ramen_Ratings[[#This Row],[Country]],Country_Region[#All],2,FALSE)</f>
        <v>Asia</v>
      </c>
      <c r="G1909">
        <v>4</v>
      </c>
      <c r="H1909" t="str" cm="1">
        <f t="array" ref="H1909">_xlfn.IFS(Ramen_Ratings[[#This Row],[Stars]] = "Unrated", "NA",Ramen_Ratings[[#This Row],[Stars]]&gt;=4, "Good", Ramen_Ratings[[#This Row],[Stars]]&gt;2.5, "Fair", Ramen_Ratings[[#This Row],[Stars]] &gt;= 0, "Bad")</f>
        <v>Good</v>
      </c>
      <c r="J1909" t="str">
        <f>LEFT(Ramen_Ratings[[#This Row],[Top Ten]],4)</f>
        <v/>
      </c>
      <c r="K1909" t="str">
        <f>IF(Ramen_Ratings[[#This Row],[Top Ten]]="", "",RIGHT(Ramen_Ratings[[#This Row],[Top Ten]],LEN(Ramen_Ratings[[#This Row],[Top Ten]])-6))</f>
        <v/>
      </c>
    </row>
    <row r="1910" spans="1:11" x14ac:dyDescent="0.25">
      <c r="A1910">
        <v>550</v>
      </c>
      <c r="B1910" t="s">
        <v>15</v>
      </c>
      <c r="C1910" t="s">
        <v>2345</v>
      </c>
      <c r="D1910" t="s">
        <v>13</v>
      </c>
      <c r="E1910" t="s">
        <v>10</v>
      </c>
      <c r="F1910" t="str">
        <f>VLOOKUP(Ramen_Ratings[[#This Row],[Country]],Country_Region[#All],2,FALSE)</f>
        <v>Asia</v>
      </c>
      <c r="G1910">
        <v>4.25</v>
      </c>
      <c r="H1910" t="str" cm="1">
        <f t="array" ref="H1910">_xlfn.IFS(Ramen_Ratings[[#This Row],[Stars]] = "Unrated", "NA",Ramen_Ratings[[#This Row],[Stars]]&gt;=4, "Good", Ramen_Ratings[[#This Row],[Stars]]&gt;2.5, "Fair", Ramen_Ratings[[#This Row],[Stars]] &gt;= 0, "Bad")</f>
        <v>Good</v>
      </c>
      <c r="J1910" t="str">
        <f>LEFT(Ramen_Ratings[[#This Row],[Top Ten]],4)</f>
        <v/>
      </c>
      <c r="K1910" t="str">
        <f>IF(Ramen_Ratings[[#This Row],[Top Ten]]="", "",RIGHT(Ramen_Ratings[[#This Row],[Top Ten]],LEN(Ramen_Ratings[[#This Row],[Top Ten]])-6))</f>
        <v/>
      </c>
    </row>
    <row r="1911" spans="1:11" x14ac:dyDescent="0.25">
      <c r="A1911">
        <v>543</v>
      </c>
      <c r="B1911" t="s">
        <v>559</v>
      </c>
      <c r="C1911" t="s">
        <v>109</v>
      </c>
      <c r="D1911" t="s">
        <v>44</v>
      </c>
      <c r="E1911" t="s">
        <v>10</v>
      </c>
      <c r="F1911" t="str">
        <f>VLOOKUP(Ramen_Ratings[[#This Row],[Country]],Country_Region[#All],2,FALSE)</f>
        <v>Asia</v>
      </c>
      <c r="G1911">
        <v>4.75</v>
      </c>
      <c r="H1911" t="str" cm="1">
        <f t="array" ref="H1911">_xlfn.IFS(Ramen_Ratings[[#This Row],[Stars]] = "Unrated", "NA",Ramen_Ratings[[#This Row],[Stars]]&gt;=4, "Good", Ramen_Ratings[[#This Row],[Stars]]&gt;2.5, "Fair", Ramen_Ratings[[#This Row],[Stars]] &gt;= 0, "Bad")</f>
        <v>Good</v>
      </c>
      <c r="J1911" t="str">
        <f>LEFT(Ramen_Ratings[[#This Row],[Top Ten]],4)</f>
        <v/>
      </c>
      <c r="K1911" t="str">
        <f>IF(Ramen_Ratings[[#This Row],[Top Ten]]="", "",RIGHT(Ramen_Ratings[[#This Row],[Top Ten]],LEN(Ramen_Ratings[[#This Row],[Top Ten]])-6))</f>
        <v/>
      </c>
    </row>
    <row r="1912" spans="1:11" x14ac:dyDescent="0.25">
      <c r="A1912">
        <v>539</v>
      </c>
      <c r="B1912" t="s">
        <v>15</v>
      </c>
      <c r="C1912" t="s">
        <v>2353</v>
      </c>
      <c r="D1912" t="s">
        <v>13</v>
      </c>
      <c r="E1912" t="s">
        <v>10</v>
      </c>
      <c r="F1912" t="str">
        <f>VLOOKUP(Ramen_Ratings[[#This Row],[Country]],Country_Region[#All],2,FALSE)</f>
        <v>Asia</v>
      </c>
      <c r="G1912">
        <v>3</v>
      </c>
      <c r="H1912" t="str" cm="1">
        <f t="array" ref="H1912">_xlfn.IFS(Ramen_Ratings[[#This Row],[Stars]] = "Unrated", "NA",Ramen_Ratings[[#This Row],[Stars]]&gt;=4, "Good", Ramen_Ratings[[#This Row],[Stars]]&gt;2.5, "Fair", Ramen_Ratings[[#This Row],[Stars]] &gt;= 0, "Bad")</f>
        <v>Fair</v>
      </c>
      <c r="J1912" t="str">
        <f>LEFT(Ramen_Ratings[[#This Row],[Top Ten]],4)</f>
        <v/>
      </c>
      <c r="K1912" t="str">
        <f>IF(Ramen_Ratings[[#This Row],[Top Ten]]="", "",RIGHT(Ramen_Ratings[[#This Row],[Top Ten]],LEN(Ramen_Ratings[[#This Row],[Top Ten]])-6))</f>
        <v/>
      </c>
    </row>
    <row r="1913" spans="1:11" x14ac:dyDescent="0.25">
      <c r="A1913">
        <v>521</v>
      </c>
      <c r="B1913" t="s">
        <v>559</v>
      </c>
      <c r="C1913" t="s">
        <v>459</v>
      </c>
      <c r="D1913" t="s">
        <v>44</v>
      </c>
      <c r="E1913" t="s">
        <v>10</v>
      </c>
      <c r="F1913" t="str">
        <f>VLOOKUP(Ramen_Ratings[[#This Row],[Country]],Country_Region[#All],2,FALSE)</f>
        <v>Asia</v>
      </c>
      <c r="G1913">
        <v>4.25</v>
      </c>
      <c r="H1913" t="str" cm="1">
        <f t="array" ref="H1913">_xlfn.IFS(Ramen_Ratings[[#This Row],[Stars]] = "Unrated", "NA",Ramen_Ratings[[#This Row],[Stars]]&gt;=4, "Good", Ramen_Ratings[[#This Row],[Stars]]&gt;2.5, "Fair", Ramen_Ratings[[#This Row],[Stars]] &gt;= 0, "Bad")</f>
        <v>Good</v>
      </c>
      <c r="J1913" t="str">
        <f>LEFT(Ramen_Ratings[[#This Row],[Top Ten]],4)</f>
        <v/>
      </c>
      <c r="K1913" t="str">
        <f>IF(Ramen_Ratings[[#This Row],[Top Ten]]="", "",RIGHT(Ramen_Ratings[[#This Row],[Top Ten]],LEN(Ramen_Ratings[[#This Row],[Top Ten]])-6))</f>
        <v/>
      </c>
    </row>
    <row r="1914" spans="1:11" x14ac:dyDescent="0.25">
      <c r="A1914">
        <v>514</v>
      </c>
      <c r="B1914" t="s">
        <v>258</v>
      </c>
      <c r="C1914" t="s">
        <v>2374</v>
      </c>
      <c r="D1914" t="s">
        <v>44</v>
      </c>
      <c r="E1914" t="s">
        <v>10</v>
      </c>
      <c r="F1914" t="str">
        <f>VLOOKUP(Ramen_Ratings[[#This Row],[Country]],Country_Region[#All],2,FALSE)</f>
        <v>Asia</v>
      </c>
      <c r="G1914">
        <v>3</v>
      </c>
      <c r="H1914" t="str" cm="1">
        <f t="array" ref="H1914">_xlfn.IFS(Ramen_Ratings[[#This Row],[Stars]] = "Unrated", "NA",Ramen_Ratings[[#This Row],[Stars]]&gt;=4, "Good", Ramen_Ratings[[#This Row],[Stars]]&gt;2.5, "Fair", Ramen_Ratings[[#This Row],[Stars]] &gt;= 0, "Bad")</f>
        <v>Fair</v>
      </c>
      <c r="J1914" t="str">
        <f>LEFT(Ramen_Ratings[[#This Row],[Top Ten]],4)</f>
        <v/>
      </c>
      <c r="K1914" t="str">
        <f>IF(Ramen_Ratings[[#This Row],[Top Ten]]="", "",RIGHT(Ramen_Ratings[[#This Row],[Top Ten]],LEN(Ramen_Ratings[[#This Row],[Top Ten]])-6))</f>
        <v/>
      </c>
    </row>
    <row r="1915" spans="1:11" x14ac:dyDescent="0.25">
      <c r="A1915">
        <v>511</v>
      </c>
      <c r="B1915" t="s">
        <v>559</v>
      </c>
      <c r="C1915" t="s">
        <v>2376</v>
      </c>
      <c r="D1915" t="s">
        <v>44</v>
      </c>
      <c r="E1915" t="s">
        <v>10</v>
      </c>
      <c r="F1915" t="str">
        <f>VLOOKUP(Ramen_Ratings[[#This Row],[Country]],Country_Region[#All],2,FALSE)</f>
        <v>Asia</v>
      </c>
      <c r="G1915">
        <v>2.75</v>
      </c>
      <c r="H1915" t="str" cm="1">
        <f t="array" ref="H1915">_xlfn.IFS(Ramen_Ratings[[#This Row],[Stars]] = "Unrated", "NA",Ramen_Ratings[[#This Row],[Stars]]&gt;=4, "Good", Ramen_Ratings[[#This Row],[Stars]]&gt;2.5, "Fair", Ramen_Ratings[[#This Row],[Stars]] &gt;= 0, "Bad")</f>
        <v>Fair</v>
      </c>
      <c r="J1915" t="str">
        <f>LEFT(Ramen_Ratings[[#This Row],[Top Ten]],4)</f>
        <v/>
      </c>
      <c r="K1915" t="str">
        <f>IF(Ramen_Ratings[[#This Row],[Top Ten]]="", "",RIGHT(Ramen_Ratings[[#This Row],[Top Ten]],LEN(Ramen_Ratings[[#This Row],[Top Ten]])-6))</f>
        <v/>
      </c>
    </row>
    <row r="1916" spans="1:11" x14ac:dyDescent="0.25">
      <c r="A1916">
        <v>497</v>
      </c>
      <c r="B1916" t="s">
        <v>15</v>
      </c>
      <c r="C1916" t="s">
        <v>2388</v>
      </c>
      <c r="D1916" t="s">
        <v>13</v>
      </c>
      <c r="E1916" t="s">
        <v>10</v>
      </c>
      <c r="F1916" t="str">
        <f>VLOOKUP(Ramen_Ratings[[#This Row],[Country]],Country_Region[#All],2,FALSE)</f>
        <v>Asia</v>
      </c>
      <c r="G1916">
        <v>4</v>
      </c>
      <c r="H1916" t="str" cm="1">
        <f t="array" ref="H1916">_xlfn.IFS(Ramen_Ratings[[#This Row],[Stars]] = "Unrated", "NA",Ramen_Ratings[[#This Row],[Stars]]&gt;=4, "Good", Ramen_Ratings[[#This Row],[Stars]]&gt;2.5, "Fair", Ramen_Ratings[[#This Row],[Stars]] &gt;= 0, "Bad")</f>
        <v>Good</v>
      </c>
      <c r="J1916" t="str">
        <f>LEFT(Ramen_Ratings[[#This Row],[Top Ten]],4)</f>
        <v/>
      </c>
      <c r="K1916" t="str">
        <f>IF(Ramen_Ratings[[#This Row],[Top Ten]]="", "",RIGHT(Ramen_Ratings[[#This Row],[Top Ten]],LEN(Ramen_Ratings[[#This Row],[Top Ten]])-6))</f>
        <v/>
      </c>
    </row>
    <row r="1917" spans="1:11" x14ac:dyDescent="0.25">
      <c r="A1917">
        <v>483</v>
      </c>
      <c r="B1917" t="s">
        <v>621</v>
      </c>
      <c r="C1917" t="s">
        <v>2401</v>
      </c>
      <c r="D1917" t="s">
        <v>44</v>
      </c>
      <c r="E1917" t="s">
        <v>10</v>
      </c>
      <c r="F1917" t="str">
        <f>VLOOKUP(Ramen_Ratings[[#This Row],[Country]],Country_Region[#All],2,FALSE)</f>
        <v>Asia</v>
      </c>
      <c r="G1917">
        <v>4.5</v>
      </c>
      <c r="H1917" t="str" cm="1">
        <f t="array" ref="H1917">_xlfn.IFS(Ramen_Ratings[[#This Row],[Stars]] = "Unrated", "NA",Ramen_Ratings[[#This Row],[Stars]]&gt;=4, "Good", Ramen_Ratings[[#This Row],[Stars]]&gt;2.5, "Fair", Ramen_Ratings[[#This Row],[Stars]] &gt;= 0, "Bad")</f>
        <v>Good</v>
      </c>
      <c r="J1917" t="str">
        <f>LEFT(Ramen_Ratings[[#This Row],[Top Ten]],4)</f>
        <v/>
      </c>
      <c r="K1917" t="str">
        <f>IF(Ramen_Ratings[[#This Row],[Top Ten]]="", "",RIGHT(Ramen_Ratings[[#This Row],[Top Ten]],LEN(Ramen_Ratings[[#This Row],[Top Ten]])-6))</f>
        <v/>
      </c>
    </row>
    <row r="1918" spans="1:11" x14ac:dyDescent="0.25">
      <c r="A1918">
        <v>482</v>
      </c>
      <c r="B1918" t="s">
        <v>559</v>
      </c>
      <c r="C1918" t="s">
        <v>2238</v>
      </c>
      <c r="D1918" t="s">
        <v>44</v>
      </c>
      <c r="E1918" t="s">
        <v>10</v>
      </c>
      <c r="F1918" t="str">
        <f>VLOOKUP(Ramen_Ratings[[#This Row],[Country]],Country_Region[#All],2,FALSE)</f>
        <v>Asia</v>
      </c>
      <c r="G1918">
        <v>4.5</v>
      </c>
      <c r="H1918" t="str" cm="1">
        <f t="array" ref="H1918">_xlfn.IFS(Ramen_Ratings[[#This Row],[Stars]] = "Unrated", "NA",Ramen_Ratings[[#This Row],[Stars]]&gt;=4, "Good", Ramen_Ratings[[#This Row],[Stars]]&gt;2.5, "Fair", Ramen_Ratings[[#This Row],[Stars]] &gt;= 0, "Bad")</f>
        <v>Good</v>
      </c>
      <c r="J1918" t="str">
        <f>LEFT(Ramen_Ratings[[#This Row],[Top Ten]],4)</f>
        <v/>
      </c>
      <c r="K1918" t="str">
        <f>IF(Ramen_Ratings[[#This Row],[Top Ten]]="", "",RIGHT(Ramen_Ratings[[#This Row],[Top Ten]],LEN(Ramen_Ratings[[#This Row],[Top Ten]])-6))</f>
        <v/>
      </c>
    </row>
    <row r="1919" spans="1:11" x14ac:dyDescent="0.25">
      <c r="A1919">
        <v>473</v>
      </c>
      <c r="B1919" t="s">
        <v>183</v>
      </c>
      <c r="C1919" t="s">
        <v>2409</v>
      </c>
      <c r="D1919" t="s">
        <v>44</v>
      </c>
      <c r="E1919" t="s">
        <v>10</v>
      </c>
      <c r="F1919" t="str">
        <f>VLOOKUP(Ramen_Ratings[[#This Row],[Country]],Country_Region[#All],2,FALSE)</f>
        <v>Asia</v>
      </c>
      <c r="G1919">
        <v>4.5</v>
      </c>
      <c r="H1919" t="str" cm="1">
        <f t="array" ref="H1919">_xlfn.IFS(Ramen_Ratings[[#This Row],[Stars]] = "Unrated", "NA",Ramen_Ratings[[#This Row],[Stars]]&gt;=4, "Good", Ramen_Ratings[[#This Row],[Stars]]&gt;2.5, "Fair", Ramen_Ratings[[#This Row],[Stars]] &gt;= 0, "Bad")</f>
        <v>Good</v>
      </c>
      <c r="J1919" t="str">
        <f>LEFT(Ramen_Ratings[[#This Row],[Top Ten]],4)</f>
        <v/>
      </c>
      <c r="K1919" t="str">
        <f>IF(Ramen_Ratings[[#This Row],[Top Ten]]="", "",RIGHT(Ramen_Ratings[[#This Row],[Top Ten]],LEN(Ramen_Ratings[[#This Row],[Top Ten]])-6))</f>
        <v/>
      </c>
    </row>
    <row r="1920" spans="1:11" x14ac:dyDescent="0.25">
      <c r="A1920">
        <v>460</v>
      </c>
      <c r="B1920" t="s">
        <v>559</v>
      </c>
      <c r="C1920" t="s">
        <v>2419</v>
      </c>
      <c r="D1920" t="s">
        <v>44</v>
      </c>
      <c r="E1920" t="s">
        <v>10</v>
      </c>
      <c r="F1920" t="str">
        <f>VLOOKUP(Ramen_Ratings[[#This Row],[Country]],Country_Region[#All],2,FALSE)</f>
        <v>Asia</v>
      </c>
      <c r="G1920">
        <v>5</v>
      </c>
      <c r="H1920" t="str" cm="1">
        <f t="array" ref="H1920">_xlfn.IFS(Ramen_Ratings[[#This Row],[Stars]] = "Unrated", "NA",Ramen_Ratings[[#This Row],[Stars]]&gt;=4, "Good", Ramen_Ratings[[#This Row],[Stars]]&gt;2.5, "Fair", Ramen_Ratings[[#This Row],[Stars]] &gt;= 0, "Bad")</f>
        <v>Good</v>
      </c>
      <c r="J1920" t="str">
        <f>LEFT(Ramen_Ratings[[#This Row],[Top Ten]],4)</f>
        <v/>
      </c>
      <c r="K1920" t="str">
        <f>IF(Ramen_Ratings[[#This Row],[Top Ten]]="", "",RIGHT(Ramen_Ratings[[#This Row],[Top Ten]],LEN(Ramen_Ratings[[#This Row],[Top Ten]])-6))</f>
        <v/>
      </c>
    </row>
    <row r="1921" spans="1:11" x14ac:dyDescent="0.25">
      <c r="A1921">
        <v>452</v>
      </c>
      <c r="B1921" t="s">
        <v>183</v>
      </c>
      <c r="C1921" t="s">
        <v>2426</v>
      </c>
      <c r="D1921" t="s">
        <v>13</v>
      </c>
      <c r="E1921" t="s">
        <v>10</v>
      </c>
      <c r="F1921" t="str">
        <f>VLOOKUP(Ramen_Ratings[[#This Row],[Country]],Country_Region[#All],2,FALSE)</f>
        <v>Asia</v>
      </c>
      <c r="G1921">
        <v>4</v>
      </c>
      <c r="H1921" t="str" cm="1">
        <f t="array" ref="H1921">_xlfn.IFS(Ramen_Ratings[[#This Row],[Stars]] = "Unrated", "NA",Ramen_Ratings[[#This Row],[Stars]]&gt;=4, "Good", Ramen_Ratings[[#This Row],[Stars]]&gt;2.5, "Fair", Ramen_Ratings[[#This Row],[Stars]] &gt;= 0, "Bad")</f>
        <v>Good</v>
      </c>
      <c r="J1921" t="str">
        <f>LEFT(Ramen_Ratings[[#This Row],[Top Ten]],4)</f>
        <v/>
      </c>
      <c r="K1921" t="str">
        <f>IF(Ramen_Ratings[[#This Row],[Top Ten]]="", "",RIGHT(Ramen_Ratings[[#This Row],[Top Ten]],LEN(Ramen_Ratings[[#This Row],[Top Ten]])-6))</f>
        <v/>
      </c>
    </row>
    <row r="1922" spans="1:11" x14ac:dyDescent="0.25">
      <c r="A1922">
        <v>451</v>
      </c>
      <c r="B1922" t="s">
        <v>183</v>
      </c>
      <c r="C1922" t="s">
        <v>2427</v>
      </c>
      <c r="D1922" t="s">
        <v>44</v>
      </c>
      <c r="E1922" t="s">
        <v>10</v>
      </c>
      <c r="F1922" t="str">
        <f>VLOOKUP(Ramen_Ratings[[#This Row],[Country]],Country_Region[#All],2,FALSE)</f>
        <v>Asia</v>
      </c>
      <c r="G1922">
        <v>4</v>
      </c>
      <c r="H1922" t="str" cm="1">
        <f t="array" ref="H1922">_xlfn.IFS(Ramen_Ratings[[#This Row],[Stars]] = "Unrated", "NA",Ramen_Ratings[[#This Row],[Stars]]&gt;=4, "Good", Ramen_Ratings[[#This Row],[Stars]]&gt;2.5, "Fair", Ramen_Ratings[[#This Row],[Stars]] &gt;= 0, "Bad")</f>
        <v>Good</v>
      </c>
      <c r="J1922" t="str">
        <f>LEFT(Ramen_Ratings[[#This Row],[Top Ten]],4)</f>
        <v/>
      </c>
      <c r="K1922" t="str">
        <f>IF(Ramen_Ratings[[#This Row],[Top Ten]]="", "",RIGHT(Ramen_Ratings[[#This Row],[Top Ten]],LEN(Ramen_Ratings[[#This Row],[Top Ten]])-6))</f>
        <v/>
      </c>
    </row>
    <row r="1923" spans="1:11" x14ac:dyDescent="0.25">
      <c r="A1923">
        <v>421</v>
      </c>
      <c r="B1923" t="s">
        <v>183</v>
      </c>
      <c r="C1923" t="s">
        <v>2462</v>
      </c>
      <c r="D1923" t="s">
        <v>44</v>
      </c>
      <c r="E1923" t="s">
        <v>10</v>
      </c>
      <c r="F1923" t="str">
        <f>VLOOKUP(Ramen_Ratings[[#This Row],[Country]],Country_Region[#All],2,FALSE)</f>
        <v>Asia</v>
      </c>
      <c r="G1923">
        <v>2.75</v>
      </c>
      <c r="H1923" t="str" cm="1">
        <f t="array" ref="H1923">_xlfn.IFS(Ramen_Ratings[[#This Row],[Stars]] = "Unrated", "NA",Ramen_Ratings[[#This Row],[Stars]]&gt;=4, "Good", Ramen_Ratings[[#This Row],[Stars]]&gt;2.5, "Fair", Ramen_Ratings[[#This Row],[Stars]] &gt;= 0, "Bad")</f>
        <v>Fair</v>
      </c>
      <c r="J1923" t="str">
        <f>LEFT(Ramen_Ratings[[#This Row],[Top Ten]],4)</f>
        <v/>
      </c>
      <c r="K1923" t="str">
        <f>IF(Ramen_Ratings[[#This Row],[Top Ten]]="", "",RIGHT(Ramen_Ratings[[#This Row],[Top Ten]],LEN(Ramen_Ratings[[#This Row],[Top Ten]])-6))</f>
        <v/>
      </c>
    </row>
    <row r="1924" spans="1:11" x14ac:dyDescent="0.25">
      <c r="A1924">
        <v>419</v>
      </c>
      <c r="B1924" t="s">
        <v>183</v>
      </c>
      <c r="C1924" t="s">
        <v>2464</v>
      </c>
      <c r="D1924" t="s">
        <v>44</v>
      </c>
      <c r="E1924" t="s">
        <v>10</v>
      </c>
      <c r="F1924" t="str">
        <f>VLOOKUP(Ramen_Ratings[[#This Row],[Country]],Country_Region[#All],2,FALSE)</f>
        <v>Asia</v>
      </c>
      <c r="G1924">
        <v>4.25</v>
      </c>
      <c r="H1924" t="str" cm="1">
        <f t="array" ref="H1924">_xlfn.IFS(Ramen_Ratings[[#This Row],[Stars]] = "Unrated", "NA",Ramen_Ratings[[#This Row],[Stars]]&gt;=4, "Good", Ramen_Ratings[[#This Row],[Stars]]&gt;2.5, "Fair", Ramen_Ratings[[#This Row],[Stars]] &gt;= 0, "Bad")</f>
        <v>Good</v>
      </c>
      <c r="J1924" t="str">
        <f>LEFT(Ramen_Ratings[[#This Row],[Top Ten]],4)</f>
        <v/>
      </c>
      <c r="K1924" t="str">
        <f>IF(Ramen_Ratings[[#This Row],[Top Ten]]="", "",RIGHT(Ramen_Ratings[[#This Row],[Top Ten]],LEN(Ramen_Ratings[[#This Row],[Top Ten]])-6))</f>
        <v/>
      </c>
    </row>
    <row r="1925" spans="1:11" x14ac:dyDescent="0.25">
      <c r="A1925">
        <v>412</v>
      </c>
      <c r="B1925" t="s">
        <v>102</v>
      </c>
      <c r="C1925" t="s">
        <v>2470</v>
      </c>
      <c r="D1925" t="s">
        <v>44</v>
      </c>
      <c r="E1925" t="s">
        <v>10</v>
      </c>
      <c r="F1925" t="str">
        <f>VLOOKUP(Ramen_Ratings[[#This Row],[Country]],Country_Region[#All],2,FALSE)</f>
        <v>Asia</v>
      </c>
      <c r="G1925">
        <v>4.125</v>
      </c>
      <c r="H1925" t="str" cm="1">
        <f t="array" ref="H1925">_xlfn.IFS(Ramen_Ratings[[#This Row],[Stars]] = "Unrated", "NA",Ramen_Ratings[[#This Row],[Stars]]&gt;=4, "Good", Ramen_Ratings[[#This Row],[Stars]]&gt;2.5, "Fair", Ramen_Ratings[[#This Row],[Stars]] &gt;= 0, "Bad")</f>
        <v>Good</v>
      </c>
      <c r="J1925" t="str">
        <f>LEFT(Ramen_Ratings[[#This Row],[Top Ten]],4)</f>
        <v/>
      </c>
      <c r="K1925" t="str">
        <f>IF(Ramen_Ratings[[#This Row],[Top Ten]]="", "",RIGHT(Ramen_Ratings[[#This Row],[Top Ten]],LEN(Ramen_Ratings[[#This Row],[Top Ten]])-6))</f>
        <v/>
      </c>
    </row>
    <row r="1926" spans="1:11" x14ac:dyDescent="0.25">
      <c r="A1926">
        <v>401</v>
      </c>
      <c r="B1926" t="s">
        <v>183</v>
      </c>
      <c r="C1926" t="s">
        <v>2482</v>
      </c>
      <c r="D1926" t="s">
        <v>44</v>
      </c>
      <c r="E1926" t="s">
        <v>10</v>
      </c>
      <c r="F1926" t="str">
        <f>VLOOKUP(Ramen_Ratings[[#This Row],[Country]],Country_Region[#All],2,FALSE)</f>
        <v>Asia</v>
      </c>
      <c r="G1926">
        <v>4.25</v>
      </c>
      <c r="H1926" t="str" cm="1">
        <f t="array" ref="H1926">_xlfn.IFS(Ramen_Ratings[[#This Row],[Stars]] = "Unrated", "NA",Ramen_Ratings[[#This Row],[Stars]]&gt;=4, "Good", Ramen_Ratings[[#This Row],[Stars]]&gt;2.5, "Fair", Ramen_Ratings[[#This Row],[Stars]] &gt;= 0, "Bad")</f>
        <v>Good</v>
      </c>
      <c r="J1926" t="str">
        <f>LEFT(Ramen_Ratings[[#This Row],[Top Ten]],4)</f>
        <v/>
      </c>
      <c r="K1926" t="str">
        <f>IF(Ramen_Ratings[[#This Row],[Top Ten]]="", "",RIGHT(Ramen_Ratings[[#This Row],[Top Ten]],LEN(Ramen_Ratings[[#This Row],[Top Ten]])-6))</f>
        <v/>
      </c>
    </row>
    <row r="1927" spans="1:11" x14ac:dyDescent="0.25">
      <c r="A1927">
        <v>390</v>
      </c>
      <c r="B1927" t="s">
        <v>559</v>
      </c>
      <c r="C1927" t="s">
        <v>2494</v>
      </c>
      <c r="D1927" t="s">
        <v>44</v>
      </c>
      <c r="E1927" t="s">
        <v>10</v>
      </c>
      <c r="F1927" t="str">
        <f>VLOOKUP(Ramen_Ratings[[#This Row],[Country]],Country_Region[#All],2,FALSE)</f>
        <v>Asia</v>
      </c>
      <c r="G1927">
        <v>4</v>
      </c>
      <c r="H1927" t="str" cm="1">
        <f t="array" ref="H1927">_xlfn.IFS(Ramen_Ratings[[#This Row],[Stars]] = "Unrated", "NA",Ramen_Ratings[[#This Row],[Stars]]&gt;=4, "Good", Ramen_Ratings[[#This Row],[Stars]]&gt;2.5, "Fair", Ramen_Ratings[[#This Row],[Stars]] &gt;= 0, "Bad")</f>
        <v>Good</v>
      </c>
      <c r="J1927" t="str">
        <f>LEFT(Ramen_Ratings[[#This Row],[Top Ten]],4)</f>
        <v/>
      </c>
      <c r="K1927" t="str">
        <f>IF(Ramen_Ratings[[#This Row],[Top Ten]]="", "",RIGHT(Ramen_Ratings[[#This Row],[Top Ten]],LEN(Ramen_Ratings[[#This Row],[Top Ten]])-6))</f>
        <v/>
      </c>
    </row>
    <row r="1928" spans="1:11" x14ac:dyDescent="0.25">
      <c r="A1928">
        <v>384</v>
      </c>
      <c r="B1928" t="s">
        <v>15</v>
      </c>
      <c r="C1928" t="s">
        <v>2500</v>
      </c>
      <c r="D1928" t="s">
        <v>13</v>
      </c>
      <c r="E1928" t="s">
        <v>10</v>
      </c>
      <c r="F1928" t="str">
        <f>VLOOKUP(Ramen_Ratings[[#This Row],[Country]],Country_Region[#All],2,FALSE)</f>
        <v>Asia</v>
      </c>
      <c r="G1928">
        <v>4</v>
      </c>
      <c r="H1928" t="str" cm="1">
        <f t="array" ref="H1928">_xlfn.IFS(Ramen_Ratings[[#This Row],[Stars]] = "Unrated", "NA",Ramen_Ratings[[#This Row],[Stars]]&gt;=4, "Good", Ramen_Ratings[[#This Row],[Stars]]&gt;2.5, "Fair", Ramen_Ratings[[#This Row],[Stars]] &gt;= 0, "Bad")</f>
        <v>Good</v>
      </c>
      <c r="J1928" t="str">
        <f>LEFT(Ramen_Ratings[[#This Row],[Top Ten]],4)</f>
        <v/>
      </c>
      <c r="K1928" t="str">
        <f>IF(Ramen_Ratings[[#This Row],[Top Ten]]="", "",RIGHT(Ramen_Ratings[[#This Row],[Top Ten]],LEN(Ramen_Ratings[[#This Row],[Top Ten]])-6))</f>
        <v/>
      </c>
    </row>
    <row r="1929" spans="1:11" x14ac:dyDescent="0.25">
      <c r="A1929">
        <v>363</v>
      </c>
      <c r="B1929" t="s">
        <v>15</v>
      </c>
      <c r="C1929" t="s">
        <v>2521</v>
      </c>
      <c r="D1929" t="s">
        <v>13</v>
      </c>
      <c r="E1929" t="s">
        <v>10</v>
      </c>
      <c r="F1929" t="str">
        <f>VLOOKUP(Ramen_Ratings[[#This Row],[Country]],Country_Region[#All],2,FALSE)</f>
        <v>Asia</v>
      </c>
      <c r="G1929">
        <v>3.5</v>
      </c>
      <c r="H1929" t="str" cm="1">
        <f t="array" ref="H1929">_xlfn.IFS(Ramen_Ratings[[#This Row],[Stars]] = "Unrated", "NA",Ramen_Ratings[[#This Row],[Stars]]&gt;=4, "Good", Ramen_Ratings[[#This Row],[Stars]]&gt;2.5, "Fair", Ramen_Ratings[[#This Row],[Stars]] &gt;= 0, "Bad")</f>
        <v>Fair</v>
      </c>
      <c r="J1929" t="str">
        <f>LEFT(Ramen_Ratings[[#This Row],[Top Ten]],4)</f>
        <v/>
      </c>
      <c r="K1929" t="str">
        <f>IF(Ramen_Ratings[[#This Row],[Top Ten]]="", "",RIGHT(Ramen_Ratings[[#This Row],[Top Ten]],LEN(Ramen_Ratings[[#This Row],[Top Ten]])-6))</f>
        <v/>
      </c>
    </row>
    <row r="1930" spans="1:11" x14ac:dyDescent="0.25">
      <c r="A1930">
        <v>345</v>
      </c>
      <c r="B1930" t="s">
        <v>183</v>
      </c>
      <c r="C1930" t="s">
        <v>2540</v>
      </c>
      <c r="D1930" t="s">
        <v>13</v>
      </c>
      <c r="E1930" t="s">
        <v>10</v>
      </c>
      <c r="F1930" t="str">
        <f>VLOOKUP(Ramen_Ratings[[#This Row],[Country]],Country_Region[#All],2,FALSE)</f>
        <v>Asia</v>
      </c>
      <c r="G1930">
        <v>3.5</v>
      </c>
      <c r="H1930" t="str" cm="1">
        <f t="array" ref="H1930">_xlfn.IFS(Ramen_Ratings[[#This Row],[Stars]] = "Unrated", "NA",Ramen_Ratings[[#This Row],[Stars]]&gt;=4, "Good", Ramen_Ratings[[#This Row],[Stars]]&gt;2.5, "Fair", Ramen_Ratings[[#This Row],[Stars]] &gt;= 0, "Bad")</f>
        <v>Fair</v>
      </c>
      <c r="J1930" t="str">
        <f>LEFT(Ramen_Ratings[[#This Row],[Top Ten]],4)</f>
        <v/>
      </c>
      <c r="K1930" t="str">
        <f>IF(Ramen_Ratings[[#This Row],[Top Ten]]="", "",RIGHT(Ramen_Ratings[[#This Row],[Top Ten]],LEN(Ramen_Ratings[[#This Row],[Top Ten]])-6))</f>
        <v/>
      </c>
    </row>
    <row r="1931" spans="1:11" x14ac:dyDescent="0.25">
      <c r="A1931">
        <v>340</v>
      </c>
      <c r="B1931" t="s">
        <v>258</v>
      </c>
      <c r="C1931" t="s">
        <v>2545</v>
      </c>
      <c r="D1931" t="s">
        <v>13</v>
      </c>
      <c r="E1931" t="s">
        <v>10</v>
      </c>
      <c r="F1931" t="str">
        <f>VLOOKUP(Ramen_Ratings[[#This Row],[Country]],Country_Region[#All],2,FALSE)</f>
        <v>Asia</v>
      </c>
      <c r="G1931">
        <v>4</v>
      </c>
      <c r="H1931" t="str" cm="1">
        <f t="array" ref="H1931">_xlfn.IFS(Ramen_Ratings[[#This Row],[Stars]] = "Unrated", "NA",Ramen_Ratings[[#This Row],[Stars]]&gt;=4, "Good", Ramen_Ratings[[#This Row],[Stars]]&gt;2.5, "Fair", Ramen_Ratings[[#This Row],[Stars]] &gt;= 0, "Bad")</f>
        <v>Good</v>
      </c>
      <c r="J1931" t="str">
        <f>LEFT(Ramen_Ratings[[#This Row],[Top Ten]],4)</f>
        <v/>
      </c>
      <c r="K1931" t="str">
        <f>IF(Ramen_Ratings[[#This Row],[Top Ten]]="", "",RIGHT(Ramen_Ratings[[#This Row],[Top Ten]],LEN(Ramen_Ratings[[#This Row],[Top Ten]])-6))</f>
        <v/>
      </c>
    </row>
    <row r="1932" spans="1:11" x14ac:dyDescent="0.25">
      <c r="A1932">
        <v>335</v>
      </c>
      <c r="B1932" t="s">
        <v>1952</v>
      </c>
      <c r="C1932" t="s">
        <v>2550</v>
      </c>
      <c r="D1932" t="s">
        <v>44</v>
      </c>
      <c r="E1932" t="s">
        <v>10</v>
      </c>
      <c r="F1932" t="str">
        <f>VLOOKUP(Ramen_Ratings[[#This Row],[Country]],Country_Region[#All],2,FALSE)</f>
        <v>Asia</v>
      </c>
      <c r="G1932">
        <v>3.5</v>
      </c>
      <c r="H1932" t="str" cm="1">
        <f t="array" ref="H1932">_xlfn.IFS(Ramen_Ratings[[#This Row],[Stars]] = "Unrated", "NA",Ramen_Ratings[[#This Row],[Stars]]&gt;=4, "Good", Ramen_Ratings[[#This Row],[Stars]]&gt;2.5, "Fair", Ramen_Ratings[[#This Row],[Stars]] &gt;= 0, "Bad")</f>
        <v>Fair</v>
      </c>
      <c r="J1932" t="str">
        <f>LEFT(Ramen_Ratings[[#This Row],[Top Ten]],4)</f>
        <v/>
      </c>
      <c r="K1932" t="str">
        <f>IF(Ramen_Ratings[[#This Row],[Top Ten]]="", "",RIGHT(Ramen_Ratings[[#This Row],[Top Ten]],LEN(Ramen_Ratings[[#This Row],[Top Ten]])-6))</f>
        <v/>
      </c>
    </row>
    <row r="1933" spans="1:11" x14ac:dyDescent="0.25">
      <c r="A1933">
        <v>295</v>
      </c>
      <c r="B1933" t="s">
        <v>439</v>
      </c>
      <c r="C1933" t="s">
        <v>2586</v>
      </c>
      <c r="D1933" t="s">
        <v>44</v>
      </c>
      <c r="E1933" t="s">
        <v>10</v>
      </c>
      <c r="F1933" t="str">
        <f>VLOOKUP(Ramen_Ratings[[#This Row],[Country]],Country_Region[#All],2,FALSE)</f>
        <v>Asia</v>
      </c>
      <c r="G1933">
        <v>4.5</v>
      </c>
      <c r="H1933" t="str" cm="1">
        <f t="array" ref="H1933">_xlfn.IFS(Ramen_Ratings[[#This Row],[Stars]] = "Unrated", "NA",Ramen_Ratings[[#This Row],[Stars]]&gt;=4, "Good", Ramen_Ratings[[#This Row],[Stars]]&gt;2.5, "Fair", Ramen_Ratings[[#This Row],[Stars]] &gt;= 0, "Bad")</f>
        <v>Good</v>
      </c>
      <c r="J1933" t="str">
        <f>LEFT(Ramen_Ratings[[#This Row],[Top Ten]],4)</f>
        <v/>
      </c>
      <c r="K1933" t="str">
        <f>IF(Ramen_Ratings[[#This Row],[Top Ten]]="", "",RIGHT(Ramen_Ratings[[#This Row],[Top Ten]],LEN(Ramen_Ratings[[#This Row],[Top Ten]])-6))</f>
        <v/>
      </c>
    </row>
    <row r="1934" spans="1:11" x14ac:dyDescent="0.25">
      <c r="A1934">
        <v>286</v>
      </c>
      <c r="B1934" t="s">
        <v>183</v>
      </c>
      <c r="C1934" t="s">
        <v>2595</v>
      </c>
      <c r="D1934" t="s">
        <v>30</v>
      </c>
      <c r="E1934" t="s">
        <v>10</v>
      </c>
      <c r="F1934" t="str">
        <f>VLOOKUP(Ramen_Ratings[[#This Row],[Country]],Country_Region[#All],2,FALSE)</f>
        <v>Asia</v>
      </c>
      <c r="G1934">
        <v>4</v>
      </c>
      <c r="H1934" t="str" cm="1">
        <f t="array" ref="H1934">_xlfn.IFS(Ramen_Ratings[[#This Row],[Stars]] = "Unrated", "NA",Ramen_Ratings[[#This Row],[Stars]]&gt;=4, "Good", Ramen_Ratings[[#This Row],[Stars]]&gt;2.5, "Fair", Ramen_Ratings[[#This Row],[Stars]] &gt;= 0, "Bad")</f>
        <v>Good</v>
      </c>
      <c r="J1934" t="str">
        <f>LEFT(Ramen_Ratings[[#This Row],[Top Ten]],4)</f>
        <v/>
      </c>
      <c r="K1934" t="str">
        <f>IF(Ramen_Ratings[[#This Row],[Top Ten]]="", "",RIGHT(Ramen_Ratings[[#This Row],[Top Ten]],LEN(Ramen_Ratings[[#This Row],[Top Ten]])-6))</f>
        <v/>
      </c>
    </row>
    <row r="1935" spans="1:11" x14ac:dyDescent="0.25">
      <c r="A1935">
        <v>247</v>
      </c>
      <c r="B1935" t="s">
        <v>183</v>
      </c>
      <c r="C1935" t="s">
        <v>2602</v>
      </c>
      <c r="D1935" t="s">
        <v>13</v>
      </c>
      <c r="E1935" t="s">
        <v>10</v>
      </c>
      <c r="F1935" t="str">
        <f>VLOOKUP(Ramen_Ratings[[#This Row],[Country]],Country_Region[#All],2,FALSE)</f>
        <v>Asia</v>
      </c>
      <c r="G1935">
        <v>3</v>
      </c>
      <c r="H1935" t="str" cm="1">
        <f t="array" ref="H1935">_xlfn.IFS(Ramen_Ratings[[#This Row],[Stars]] = "Unrated", "NA",Ramen_Ratings[[#This Row],[Stars]]&gt;=4, "Good", Ramen_Ratings[[#This Row],[Stars]]&gt;2.5, "Fair", Ramen_Ratings[[#This Row],[Stars]] &gt;= 0, "Bad")</f>
        <v>Fair</v>
      </c>
      <c r="J1935" t="str">
        <f>LEFT(Ramen_Ratings[[#This Row],[Top Ten]],4)</f>
        <v/>
      </c>
      <c r="K1935" t="str">
        <f>IF(Ramen_Ratings[[#This Row],[Top Ten]]="", "",RIGHT(Ramen_Ratings[[#This Row],[Top Ten]],LEN(Ramen_Ratings[[#This Row],[Top Ten]])-6))</f>
        <v/>
      </c>
    </row>
    <row r="1936" spans="1:11" x14ac:dyDescent="0.25">
      <c r="A1936">
        <v>244</v>
      </c>
      <c r="B1936" t="s">
        <v>15</v>
      </c>
      <c r="C1936" t="s">
        <v>2635</v>
      </c>
      <c r="D1936" t="s">
        <v>30</v>
      </c>
      <c r="E1936" t="s">
        <v>10</v>
      </c>
      <c r="F1936" t="str">
        <f>VLOOKUP(Ramen_Ratings[[#This Row],[Country]],Country_Region[#All],2,FALSE)</f>
        <v>Asia</v>
      </c>
      <c r="G1936">
        <v>4.75</v>
      </c>
      <c r="H1936" t="str" cm="1">
        <f t="array" ref="H1936">_xlfn.IFS(Ramen_Ratings[[#This Row],[Stars]] = "Unrated", "NA",Ramen_Ratings[[#This Row],[Stars]]&gt;=4, "Good", Ramen_Ratings[[#This Row],[Stars]]&gt;2.5, "Fair", Ramen_Ratings[[#This Row],[Stars]] &gt;= 0, "Bad")</f>
        <v>Good</v>
      </c>
      <c r="J1936" t="str">
        <f>LEFT(Ramen_Ratings[[#This Row],[Top Ten]],4)</f>
        <v/>
      </c>
      <c r="K1936" t="str">
        <f>IF(Ramen_Ratings[[#This Row],[Top Ten]]="", "",RIGHT(Ramen_Ratings[[#This Row],[Top Ten]],LEN(Ramen_Ratings[[#This Row],[Top Ten]])-6))</f>
        <v/>
      </c>
    </row>
    <row r="1937" spans="1:11" x14ac:dyDescent="0.25">
      <c r="A1937">
        <v>243</v>
      </c>
      <c r="B1937" t="s">
        <v>183</v>
      </c>
      <c r="C1937" t="s">
        <v>2636</v>
      </c>
      <c r="D1937" t="s">
        <v>13</v>
      </c>
      <c r="E1937" t="s">
        <v>10</v>
      </c>
      <c r="F1937" t="str">
        <f>VLOOKUP(Ramen_Ratings[[#This Row],[Country]],Country_Region[#All],2,FALSE)</f>
        <v>Asia</v>
      </c>
      <c r="G1937">
        <v>4.5</v>
      </c>
      <c r="H1937" t="str" cm="1">
        <f t="array" ref="H1937">_xlfn.IFS(Ramen_Ratings[[#This Row],[Stars]] = "Unrated", "NA",Ramen_Ratings[[#This Row],[Stars]]&gt;=4, "Good", Ramen_Ratings[[#This Row],[Stars]]&gt;2.5, "Fair", Ramen_Ratings[[#This Row],[Stars]] &gt;= 0, "Bad")</f>
        <v>Good</v>
      </c>
      <c r="J1937" t="str">
        <f>LEFT(Ramen_Ratings[[#This Row],[Top Ten]],4)</f>
        <v/>
      </c>
      <c r="K1937" t="str">
        <f>IF(Ramen_Ratings[[#This Row],[Top Ten]]="", "",RIGHT(Ramen_Ratings[[#This Row],[Top Ten]],LEN(Ramen_Ratings[[#This Row],[Top Ten]])-6))</f>
        <v/>
      </c>
    </row>
    <row r="1938" spans="1:11" x14ac:dyDescent="0.25">
      <c r="A1938">
        <v>240</v>
      </c>
      <c r="B1938" t="s">
        <v>2639</v>
      </c>
      <c r="C1938" t="s">
        <v>2640</v>
      </c>
      <c r="D1938" t="s">
        <v>44</v>
      </c>
      <c r="E1938" t="s">
        <v>10</v>
      </c>
      <c r="F1938" t="str">
        <f>VLOOKUP(Ramen_Ratings[[#This Row],[Country]],Country_Region[#All],2,FALSE)</f>
        <v>Asia</v>
      </c>
      <c r="G1938">
        <v>4.5</v>
      </c>
      <c r="H1938" t="str" cm="1">
        <f t="array" ref="H1938">_xlfn.IFS(Ramen_Ratings[[#This Row],[Stars]] = "Unrated", "NA",Ramen_Ratings[[#This Row],[Stars]]&gt;=4, "Good", Ramen_Ratings[[#This Row],[Stars]]&gt;2.5, "Fair", Ramen_Ratings[[#This Row],[Stars]] &gt;= 0, "Bad")</f>
        <v>Good</v>
      </c>
      <c r="J1938" t="str">
        <f>LEFT(Ramen_Ratings[[#This Row],[Top Ten]],4)</f>
        <v/>
      </c>
      <c r="K1938" t="str">
        <f>IF(Ramen_Ratings[[#This Row],[Top Ten]]="", "",RIGHT(Ramen_Ratings[[#This Row],[Top Ten]],LEN(Ramen_Ratings[[#This Row],[Top Ten]])-6))</f>
        <v/>
      </c>
    </row>
    <row r="1939" spans="1:11" x14ac:dyDescent="0.25">
      <c r="A1939">
        <v>234</v>
      </c>
      <c r="B1939" t="s">
        <v>183</v>
      </c>
      <c r="C1939" t="s">
        <v>2646</v>
      </c>
      <c r="D1939" t="s">
        <v>13</v>
      </c>
      <c r="E1939" t="s">
        <v>10</v>
      </c>
      <c r="F1939" t="str">
        <f>VLOOKUP(Ramen_Ratings[[#This Row],[Country]],Country_Region[#All],2,FALSE)</f>
        <v>Asia</v>
      </c>
      <c r="G1939">
        <v>3.75</v>
      </c>
      <c r="H1939" t="str" cm="1">
        <f t="array" ref="H1939">_xlfn.IFS(Ramen_Ratings[[#This Row],[Stars]] = "Unrated", "NA",Ramen_Ratings[[#This Row],[Stars]]&gt;=4, "Good", Ramen_Ratings[[#This Row],[Stars]]&gt;2.5, "Fair", Ramen_Ratings[[#This Row],[Stars]] &gt;= 0, "Bad")</f>
        <v>Fair</v>
      </c>
      <c r="J1939" t="str">
        <f>LEFT(Ramen_Ratings[[#This Row],[Top Ten]],4)</f>
        <v/>
      </c>
      <c r="K1939" t="str">
        <f>IF(Ramen_Ratings[[#This Row],[Top Ten]]="", "",RIGHT(Ramen_Ratings[[#This Row],[Top Ten]],LEN(Ramen_Ratings[[#This Row],[Top Ten]])-6))</f>
        <v/>
      </c>
    </row>
    <row r="1940" spans="1:11" x14ac:dyDescent="0.25">
      <c r="A1940">
        <v>229</v>
      </c>
      <c r="B1940" t="s">
        <v>183</v>
      </c>
      <c r="C1940" t="s">
        <v>2628</v>
      </c>
      <c r="D1940" t="s">
        <v>13</v>
      </c>
      <c r="E1940" t="s">
        <v>10</v>
      </c>
      <c r="F1940" t="str">
        <f>VLOOKUP(Ramen_Ratings[[#This Row],[Country]],Country_Region[#All],2,FALSE)</f>
        <v>Asia</v>
      </c>
      <c r="G1940">
        <v>3.75</v>
      </c>
      <c r="H1940" t="str" cm="1">
        <f t="array" ref="H1940">_xlfn.IFS(Ramen_Ratings[[#This Row],[Stars]] = "Unrated", "NA",Ramen_Ratings[[#This Row],[Stars]]&gt;=4, "Good", Ramen_Ratings[[#This Row],[Stars]]&gt;2.5, "Fair", Ramen_Ratings[[#This Row],[Stars]] &gt;= 0, "Bad")</f>
        <v>Fair</v>
      </c>
      <c r="J1940" t="str">
        <f>LEFT(Ramen_Ratings[[#This Row],[Top Ten]],4)</f>
        <v/>
      </c>
      <c r="K1940" t="str">
        <f>IF(Ramen_Ratings[[#This Row],[Top Ten]]="", "",RIGHT(Ramen_Ratings[[#This Row],[Top Ten]],LEN(Ramen_Ratings[[#This Row],[Top Ten]])-6))</f>
        <v/>
      </c>
    </row>
    <row r="1941" spans="1:11" x14ac:dyDescent="0.25">
      <c r="A1941">
        <v>222</v>
      </c>
      <c r="B1941" t="s">
        <v>183</v>
      </c>
      <c r="C1941" t="s">
        <v>2654</v>
      </c>
      <c r="D1941" t="s">
        <v>13</v>
      </c>
      <c r="E1941" t="s">
        <v>10</v>
      </c>
      <c r="F1941" t="str">
        <f>VLOOKUP(Ramen_Ratings[[#This Row],[Country]],Country_Region[#All],2,FALSE)</f>
        <v>Asia</v>
      </c>
      <c r="G1941">
        <v>3</v>
      </c>
      <c r="H1941" t="str" cm="1">
        <f t="array" ref="H1941">_xlfn.IFS(Ramen_Ratings[[#This Row],[Stars]] = "Unrated", "NA",Ramen_Ratings[[#This Row],[Stars]]&gt;=4, "Good", Ramen_Ratings[[#This Row],[Stars]]&gt;2.5, "Fair", Ramen_Ratings[[#This Row],[Stars]] &gt;= 0, "Bad")</f>
        <v>Fair</v>
      </c>
      <c r="J1941" t="str">
        <f>LEFT(Ramen_Ratings[[#This Row],[Top Ten]],4)</f>
        <v/>
      </c>
      <c r="K1941" t="str">
        <f>IF(Ramen_Ratings[[#This Row],[Top Ten]]="", "",RIGHT(Ramen_Ratings[[#This Row],[Top Ten]],LEN(Ramen_Ratings[[#This Row],[Top Ten]])-6))</f>
        <v/>
      </c>
    </row>
    <row r="1942" spans="1:11" x14ac:dyDescent="0.25">
      <c r="A1942">
        <v>198</v>
      </c>
      <c r="B1942" t="s">
        <v>258</v>
      </c>
      <c r="C1942" t="s">
        <v>2677</v>
      </c>
      <c r="D1942" t="s">
        <v>44</v>
      </c>
      <c r="E1942" t="s">
        <v>10</v>
      </c>
      <c r="F1942" t="str">
        <f>VLOOKUP(Ramen_Ratings[[#This Row],[Country]],Country_Region[#All],2,FALSE)</f>
        <v>Asia</v>
      </c>
      <c r="G1942">
        <v>4.25</v>
      </c>
      <c r="H1942" t="str" cm="1">
        <f t="array" ref="H1942">_xlfn.IFS(Ramen_Ratings[[#This Row],[Stars]] = "Unrated", "NA",Ramen_Ratings[[#This Row],[Stars]]&gt;=4, "Good", Ramen_Ratings[[#This Row],[Stars]]&gt;2.5, "Fair", Ramen_Ratings[[#This Row],[Stars]] &gt;= 0, "Bad")</f>
        <v>Good</v>
      </c>
      <c r="J1942" t="str">
        <f>LEFT(Ramen_Ratings[[#This Row],[Top Ten]],4)</f>
        <v/>
      </c>
      <c r="K1942" t="str">
        <f>IF(Ramen_Ratings[[#This Row],[Top Ten]]="", "",RIGHT(Ramen_Ratings[[#This Row],[Top Ten]],LEN(Ramen_Ratings[[#This Row],[Top Ten]])-6))</f>
        <v/>
      </c>
    </row>
    <row r="1943" spans="1:11" x14ac:dyDescent="0.25">
      <c r="A1943">
        <v>195</v>
      </c>
      <c r="B1943" t="s">
        <v>183</v>
      </c>
      <c r="C1943" t="s">
        <v>2680</v>
      </c>
      <c r="D1943" t="s">
        <v>13</v>
      </c>
      <c r="E1943" t="s">
        <v>10</v>
      </c>
      <c r="F1943" t="str">
        <f>VLOOKUP(Ramen_Ratings[[#This Row],[Country]],Country_Region[#All],2,FALSE)</f>
        <v>Asia</v>
      </c>
      <c r="G1943">
        <v>3</v>
      </c>
      <c r="H1943" t="str" cm="1">
        <f t="array" ref="H1943">_xlfn.IFS(Ramen_Ratings[[#This Row],[Stars]] = "Unrated", "NA",Ramen_Ratings[[#This Row],[Stars]]&gt;=4, "Good", Ramen_Ratings[[#This Row],[Stars]]&gt;2.5, "Fair", Ramen_Ratings[[#This Row],[Stars]] &gt;= 0, "Bad")</f>
        <v>Fair</v>
      </c>
      <c r="J1943" t="str">
        <f>LEFT(Ramen_Ratings[[#This Row],[Top Ten]],4)</f>
        <v/>
      </c>
      <c r="K1943" t="str">
        <f>IF(Ramen_Ratings[[#This Row],[Top Ten]]="", "",RIGHT(Ramen_Ratings[[#This Row],[Top Ten]],LEN(Ramen_Ratings[[#This Row],[Top Ten]])-6))</f>
        <v/>
      </c>
    </row>
    <row r="1944" spans="1:11" x14ac:dyDescent="0.25">
      <c r="A1944">
        <v>185</v>
      </c>
      <c r="B1944" t="s">
        <v>258</v>
      </c>
      <c r="C1944" t="s">
        <v>2690</v>
      </c>
      <c r="D1944" t="s">
        <v>44</v>
      </c>
      <c r="E1944" t="s">
        <v>10</v>
      </c>
      <c r="F1944" t="str">
        <f>VLOOKUP(Ramen_Ratings[[#This Row],[Country]],Country_Region[#All],2,FALSE)</f>
        <v>Asia</v>
      </c>
      <c r="G1944">
        <v>3.75</v>
      </c>
      <c r="H1944" t="str" cm="1">
        <f t="array" ref="H1944">_xlfn.IFS(Ramen_Ratings[[#This Row],[Stars]] = "Unrated", "NA",Ramen_Ratings[[#This Row],[Stars]]&gt;=4, "Good", Ramen_Ratings[[#This Row],[Stars]]&gt;2.5, "Fair", Ramen_Ratings[[#This Row],[Stars]] &gt;= 0, "Bad")</f>
        <v>Fair</v>
      </c>
      <c r="J1944" t="str">
        <f>LEFT(Ramen_Ratings[[#This Row],[Top Ten]],4)</f>
        <v/>
      </c>
      <c r="K1944" t="str">
        <f>IF(Ramen_Ratings[[#This Row],[Top Ten]]="", "",RIGHT(Ramen_Ratings[[#This Row],[Top Ten]],LEN(Ramen_Ratings[[#This Row],[Top Ten]])-6))</f>
        <v/>
      </c>
    </row>
    <row r="1945" spans="1:11" x14ac:dyDescent="0.25">
      <c r="A1945">
        <v>184</v>
      </c>
      <c r="B1945" t="s">
        <v>183</v>
      </c>
      <c r="C1945" t="s">
        <v>2691</v>
      </c>
      <c r="D1945" t="s">
        <v>13</v>
      </c>
      <c r="E1945" t="s">
        <v>10</v>
      </c>
      <c r="F1945" t="str">
        <f>VLOOKUP(Ramen_Ratings[[#This Row],[Country]],Country_Region[#All],2,FALSE)</f>
        <v>Asia</v>
      </c>
      <c r="G1945">
        <v>3.75</v>
      </c>
      <c r="H1945" t="str" cm="1">
        <f t="array" ref="H1945">_xlfn.IFS(Ramen_Ratings[[#This Row],[Stars]] = "Unrated", "NA",Ramen_Ratings[[#This Row],[Stars]]&gt;=4, "Good", Ramen_Ratings[[#This Row],[Stars]]&gt;2.5, "Fair", Ramen_Ratings[[#This Row],[Stars]] &gt;= 0, "Bad")</f>
        <v>Fair</v>
      </c>
      <c r="J1945" t="str">
        <f>LEFT(Ramen_Ratings[[#This Row],[Top Ten]],4)</f>
        <v/>
      </c>
      <c r="K1945" t="str">
        <f>IF(Ramen_Ratings[[#This Row],[Top Ten]]="", "",RIGHT(Ramen_Ratings[[#This Row],[Top Ten]],LEN(Ramen_Ratings[[#This Row],[Top Ten]])-6))</f>
        <v/>
      </c>
    </row>
    <row r="1946" spans="1:11" x14ac:dyDescent="0.25">
      <c r="A1946">
        <v>182</v>
      </c>
      <c r="B1946" t="s">
        <v>183</v>
      </c>
      <c r="C1946" t="s">
        <v>2693</v>
      </c>
      <c r="D1946" t="s">
        <v>13</v>
      </c>
      <c r="E1946" t="s">
        <v>10</v>
      </c>
      <c r="F1946" t="str">
        <f>VLOOKUP(Ramen_Ratings[[#This Row],[Country]],Country_Region[#All],2,FALSE)</f>
        <v>Asia</v>
      </c>
      <c r="G1946">
        <v>3.25</v>
      </c>
      <c r="H1946" t="str" cm="1">
        <f t="array" ref="H1946">_xlfn.IFS(Ramen_Ratings[[#This Row],[Stars]] = "Unrated", "NA",Ramen_Ratings[[#This Row],[Stars]]&gt;=4, "Good", Ramen_Ratings[[#This Row],[Stars]]&gt;2.5, "Fair", Ramen_Ratings[[#This Row],[Stars]] &gt;= 0, "Bad")</f>
        <v>Fair</v>
      </c>
      <c r="J1946" t="str">
        <f>LEFT(Ramen_Ratings[[#This Row],[Top Ten]],4)</f>
        <v/>
      </c>
      <c r="K1946" t="str">
        <f>IF(Ramen_Ratings[[#This Row],[Top Ten]]="", "",RIGHT(Ramen_Ratings[[#This Row],[Top Ten]],LEN(Ramen_Ratings[[#This Row],[Top Ten]])-6))</f>
        <v/>
      </c>
    </row>
    <row r="1947" spans="1:11" x14ac:dyDescent="0.25">
      <c r="A1947">
        <v>180</v>
      </c>
      <c r="B1947" t="s">
        <v>183</v>
      </c>
      <c r="C1947" t="s">
        <v>2695</v>
      </c>
      <c r="D1947" t="s">
        <v>30</v>
      </c>
      <c r="E1947" t="s">
        <v>10</v>
      </c>
      <c r="F1947" t="str">
        <f>VLOOKUP(Ramen_Ratings[[#This Row],[Country]],Country_Region[#All],2,FALSE)</f>
        <v>Asia</v>
      </c>
      <c r="G1947">
        <v>4.75</v>
      </c>
      <c r="H1947" t="str" cm="1">
        <f t="array" ref="H1947">_xlfn.IFS(Ramen_Ratings[[#This Row],[Stars]] = "Unrated", "NA",Ramen_Ratings[[#This Row],[Stars]]&gt;=4, "Good", Ramen_Ratings[[#This Row],[Stars]]&gt;2.5, "Fair", Ramen_Ratings[[#This Row],[Stars]] &gt;= 0, "Bad")</f>
        <v>Good</v>
      </c>
      <c r="J1947" t="str">
        <f>LEFT(Ramen_Ratings[[#This Row],[Top Ten]],4)</f>
        <v/>
      </c>
      <c r="K1947" t="str">
        <f>IF(Ramen_Ratings[[#This Row],[Top Ten]]="", "",RIGHT(Ramen_Ratings[[#This Row],[Top Ten]],LEN(Ramen_Ratings[[#This Row],[Top Ten]])-6))</f>
        <v/>
      </c>
    </row>
    <row r="1948" spans="1:11" x14ac:dyDescent="0.25">
      <c r="A1948">
        <v>170</v>
      </c>
      <c r="B1948" t="s">
        <v>183</v>
      </c>
      <c r="C1948" t="s">
        <v>2704</v>
      </c>
      <c r="D1948" t="s">
        <v>13</v>
      </c>
      <c r="E1948" t="s">
        <v>10</v>
      </c>
      <c r="F1948" t="str">
        <f>VLOOKUP(Ramen_Ratings[[#This Row],[Country]],Country_Region[#All],2,FALSE)</f>
        <v>Asia</v>
      </c>
      <c r="G1948">
        <v>3.5</v>
      </c>
      <c r="H1948" t="str" cm="1">
        <f t="array" ref="H1948">_xlfn.IFS(Ramen_Ratings[[#This Row],[Stars]] = "Unrated", "NA",Ramen_Ratings[[#This Row],[Stars]]&gt;=4, "Good", Ramen_Ratings[[#This Row],[Stars]]&gt;2.5, "Fair", Ramen_Ratings[[#This Row],[Stars]] &gt;= 0, "Bad")</f>
        <v>Fair</v>
      </c>
      <c r="J1948" t="str">
        <f>LEFT(Ramen_Ratings[[#This Row],[Top Ten]],4)</f>
        <v/>
      </c>
      <c r="K1948" t="str">
        <f>IF(Ramen_Ratings[[#This Row],[Top Ten]]="", "",RIGHT(Ramen_Ratings[[#This Row],[Top Ten]],LEN(Ramen_Ratings[[#This Row],[Top Ten]])-6))</f>
        <v/>
      </c>
    </row>
    <row r="1949" spans="1:11" x14ac:dyDescent="0.25">
      <c r="A1949">
        <v>168</v>
      </c>
      <c r="B1949" t="s">
        <v>2194</v>
      </c>
      <c r="C1949" t="s">
        <v>2706</v>
      </c>
      <c r="D1949" t="s">
        <v>44</v>
      </c>
      <c r="E1949" t="s">
        <v>10</v>
      </c>
      <c r="F1949" t="str">
        <f>VLOOKUP(Ramen_Ratings[[#This Row],[Country]],Country_Region[#All],2,FALSE)</f>
        <v>Asia</v>
      </c>
      <c r="G1949">
        <v>3.75</v>
      </c>
      <c r="H1949" t="str" cm="1">
        <f t="array" ref="H1949">_xlfn.IFS(Ramen_Ratings[[#This Row],[Stars]] = "Unrated", "NA",Ramen_Ratings[[#This Row],[Stars]]&gt;=4, "Good", Ramen_Ratings[[#This Row],[Stars]]&gt;2.5, "Fair", Ramen_Ratings[[#This Row],[Stars]] &gt;= 0, "Bad")</f>
        <v>Fair</v>
      </c>
      <c r="J1949" t="str">
        <f>LEFT(Ramen_Ratings[[#This Row],[Top Ten]],4)</f>
        <v/>
      </c>
      <c r="K1949" t="str">
        <f>IF(Ramen_Ratings[[#This Row],[Top Ten]]="", "",RIGHT(Ramen_Ratings[[#This Row],[Top Ten]],LEN(Ramen_Ratings[[#This Row],[Top Ten]])-6))</f>
        <v/>
      </c>
    </row>
    <row r="1950" spans="1:11" x14ac:dyDescent="0.25">
      <c r="A1950">
        <v>162</v>
      </c>
      <c r="B1950" t="s">
        <v>183</v>
      </c>
      <c r="C1950" t="s">
        <v>2711</v>
      </c>
      <c r="D1950" t="s">
        <v>13</v>
      </c>
      <c r="E1950" t="s">
        <v>10</v>
      </c>
      <c r="F1950" t="str">
        <f>VLOOKUP(Ramen_Ratings[[#This Row],[Country]],Country_Region[#All],2,FALSE)</f>
        <v>Asia</v>
      </c>
      <c r="G1950">
        <v>3.75</v>
      </c>
      <c r="H1950" t="str" cm="1">
        <f t="array" ref="H1950">_xlfn.IFS(Ramen_Ratings[[#This Row],[Stars]] = "Unrated", "NA",Ramen_Ratings[[#This Row],[Stars]]&gt;=4, "Good", Ramen_Ratings[[#This Row],[Stars]]&gt;2.5, "Fair", Ramen_Ratings[[#This Row],[Stars]] &gt;= 0, "Bad")</f>
        <v>Fair</v>
      </c>
      <c r="J1950" t="str">
        <f>LEFT(Ramen_Ratings[[#This Row],[Top Ten]],4)</f>
        <v/>
      </c>
      <c r="K1950" t="str">
        <f>IF(Ramen_Ratings[[#This Row],[Top Ten]]="", "",RIGHT(Ramen_Ratings[[#This Row],[Top Ten]],LEN(Ramen_Ratings[[#This Row],[Top Ten]])-6))</f>
        <v/>
      </c>
    </row>
    <row r="1951" spans="1:11" x14ac:dyDescent="0.25">
      <c r="A1951">
        <v>160</v>
      </c>
      <c r="B1951" t="s">
        <v>183</v>
      </c>
      <c r="C1951" t="s">
        <v>2713</v>
      </c>
      <c r="D1951" t="s">
        <v>44</v>
      </c>
      <c r="E1951" t="s">
        <v>10</v>
      </c>
      <c r="F1951" t="str">
        <f>VLOOKUP(Ramen_Ratings[[#This Row],[Country]],Country_Region[#All],2,FALSE)</f>
        <v>Asia</v>
      </c>
      <c r="G1951">
        <v>1.5</v>
      </c>
      <c r="H1951" t="str" cm="1">
        <f t="array" ref="H1951">_xlfn.IFS(Ramen_Ratings[[#This Row],[Stars]] = "Unrated", "NA",Ramen_Ratings[[#This Row],[Stars]]&gt;=4, "Good", Ramen_Ratings[[#This Row],[Stars]]&gt;2.5, "Fair", Ramen_Ratings[[#This Row],[Stars]] &gt;= 0, "Bad")</f>
        <v>Bad</v>
      </c>
      <c r="J1951" t="str">
        <f>LEFT(Ramen_Ratings[[#This Row],[Top Ten]],4)</f>
        <v/>
      </c>
      <c r="K1951" t="str">
        <f>IF(Ramen_Ratings[[#This Row],[Top Ten]]="", "",RIGHT(Ramen_Ratings[[#This Row],[Top Ten]],LEN(Ramen_Ratings[[#This Row],[Top Ten]])-6))</f>
        <v/>
      </c>
    </row>
    <row r="1952" spans="1:11" x14ac:dyDescent="0.25">
      <c r="A1952">
        <v>151</v>
      </c>
      <c r="B1952" t="s">
        <v>258</v>
      </c>
      <c r="C1952" t="s">
        <v>2722</v>
      </c>
      <c r="D1952" t="s">
        <v>13</v>
      </c>
      <c r="E1952" t="s">
        <v>10</v>
      </c>
      <c r="F1952" t="str">
        <f>VLOOKUP(Ramen_Ratings[[#This Row],[Country]],Country_Region[#All],2,FALSE)</f>
        <v>Asia</v>
      </c>
      <c r="G1952">
        <v>3</v>
      </c>
      <c r="H1952" t="str" cm="1">
        <f t="array" ref="H1952">_xlfn.IFS(Ramen_Ratings[[#This Row],[Stars]] = "Unrated", "NA",Ramen_Ratings[[#This Row],[Stars]]&gt;=4, "Good", Ramen_Ratings[[#This Row],[Stars]]&gt;2.5, "Fair", Ramen_Ratings[[#This Row],[Stars]] &gt;= 0, "Bad")</f>
        <v>Fair</v>
      </c>
      <c r="J1952" t="str">
        <f>LEFT(Ramen_Ratings[[#This Row],[Top Ten]],4)</f>
        <v/>
      </c>
      <c r="K1952" t="str">
        <f>IF(Ramen_Ratings[[#This Row],[Top Ten]]="", "",RIGHT(Ramen_Ratings[[#This Row],[Top Ten]],LEN(Ramen_Ratings[[#This Row],[Top Ten]])-6))</f>
        <v/>
      </c>
    </row>
    <row r="1953" spans="1:11" x14ac:dyDescent="0.25">
      <c r="A1953">
        <v>149</v>
      </c>
      <c r="B1953" t="s">
        <v>102</v>
      </c>
      <c r="C1953" t="s">
        <v>2725</v>
      </c>
      <c r="D1953" t="s">
        <v>44</v>
      </c>
      <c r="E1953" t="s">
        <v>10</v>
      </c>
      <c r="F1953" t="str">
        <f>VLOOKUP(Ramen_Ratings[[#This Row],[Country]],Country_Region[#All],2,FALSE)</f>
        <v>Asia</v>
      </c>
      <c r="G1953">
        <v>4</v>
      </c>
      <c r="H1953" t="str" cm="1">
        <f t="array" ref="H1953">_xlfn.IFS(Ramen_Ratings[[#This Row],[Stars]] = "Unrated", "NA",Ramen_Ratings[[#This Row],[Stars]]&gt;=4, "Good", Ramen_Ratings[[#This Row],[Stars]]&gt;2.5, "Fair", Ramen_Ratings[[#This Row],[Stars]] &gt;= 0, "Bad")</f>
        <v>Good</v>
      </c>
      <c r="J1953" t="str">
        <f>LEFT(Ramen_Ratings[[#This Row],[Top Ten]],4)</f>
        <v/>
      </c>
      <c r="K1953" t="str">
        <f>IF(Ramen_Ratings[[#This Row],[Top Ten]]="", "",RIGHT(Ramen_Ratings[[#This Row],[Top Ten]],LEN(Ramen_Ratings[[#This Row],[Top Ten]])-6))</f>
        <v/>
      </c>
    </row>
    <row r="1954" spans="1:11" x14ac:dyDescent="0.25">
      <c r="A1954">
        <v>148</v>
      </c>
      <c r="B1954" t="s">
        <v>183</v>
      </c>
      <c r="C1954" t="s">
        <v>2726</v>
      </c>
      <c r="D1954" t="s">
        <v>13</v>
      </c>
      <c r="E1954" t="s">
        <v>10</v>
      </c>
      <c r="F1954" t="str">
        <f>VLOOKUP(Ramen_Ratings[[#This Row],[Country]],Country_Region[#All],2,FALSE)</f>
        <v>Asia</v>
      </c>
      <c r="G1954">
        <v>3.75</v>
      </c>
      <c r="H1954" t="str" cm="1">
        <f t="array" ref="H1954">_xlfn.IFS(Ramen_Ratings[[#This Row],[Stars]] = "Unrated", "NA",Ramen_Ratings[[#This Row],[Stars]]&gt;=4, "Good", Ramen_Ratings[[#This Row],[Stars]]&gt;2.5, "Fair", Ramen_Ratings[[#This Row],[Stars]] &gt;= 0, "Bad")</f>
        <v>Fair</v>
      </c>
      <c r="J1954" t="str">
        <f>LEFT(Ramen_Ratings[[#This Row],[Top Ten]],4)</f>
        <v/>
      </c>
      <c r="K1954" t="str">
        <f>IF(Ramen_Ratings[[#This Row],[Top Ten]]="", "",RIGHT(Ramen_Ratings[[#This Row],[Top Ten]],LEN(Ramen_Ratings[[#This Row],[Top Ten]])-6))</f>
        <v/>
      </c>
    </row>
    <row r="1955" spans="1:11" x14ac:dyDescent="0.25">
      <c r="A1955">
        <v>147</v>
      </c>
      <c r="B1955" t="s">
        <v>2727</v>
      </c>
      <c r="C1955" t="s">
        <v>2728</v>
      </c>
      <c r="D1955" t="s">
        <v>13</v>
      </c>
      <c r="E1955" t="s">
        <v>10</v>
      </c>
      <c r="F1955" t="str">
        <f>VLOOKUP(Ramen_Ratings[[#This Row],[Country]],Country_Region[#All],2,FALSE)</f>
        <v>Asia</v>
      </c>
      <c r="G1955">
        <v>5</v>
      </c>
      <c r="H1955" t="str" cm="1">
        <f t="array" ref="H1955">_xlfn.IFS(Ramen_Ratings[[#This Row],[Stars]] = "Unrated", "NA",Ramen_Ratings[[#This Row],[Stars]]&gt;=4, "Good", Ramen_Ratings[[#This Row],[Stars]]&gt;2.5, "Fair", Ramen_Ratings[[#This Row],[Stars]] &gt;= 0, "Bad")</f>
        <v>Good</v>
      </c>
      <c r="J1955" t="str">
        <f>LEFT(Ramen_Ratings[[#This Row],[Top Ten]],4)</f>
        <v/>
      </c>
      <c r="K1955" t="str">
        <f>IF(Ramen_Ratings[[#This Row],[Top Ten]]="", "",RIGHT(Ramen_Ratings[[#This Row],[Top Ten]],LEN(Ramen_Ratings[[#This Row],[Top Ten]])-6))</f>
        <v/>
      </c>
    </row>
    <row r="1956" spans="1:11" x14ac:dyDescent="0.25">
      <c r="A1956">
        <v>145</v>
      </c>
      <c r="B1956" t="s">
        <v>2730</v>
      </c>
      <c r="C1956" t="s">
        <v>2731</v>
      </c>
      <c r="D1956" t="s">
        <v>13</v>
      </c>
      <c r="E1956" t="s">
        <v>10</v>
      </c>
      <c r="F1956" t="str">
        <f>VLOOKUP(Ramen_Ratings[[#This Row],[Country]],Country_Region[#All],2,FALSE)</f>
        <v>Asia</v>
      </c>
      <c r="G1956">
        <v>3.5</v>
      </c>
      <c r="H1956" t="str" cm="1">
        <f t="array" ref="H1956">_xlfn.IFS(Ramen_Ratings[[#This Row],[Stars]] = "Unrated", "NA",Ramen_Ratings[[#This Row],[Stars]]&gt;=4, "Good", Ramen_Ratings[[#This Row],[Stars]]&gt;2.5, "Fair", Ramen_Ratings[[#This Row],[Stars]] &gt;= 0, "Bad")</f>
        <v>Fair</v>
      </c>
      <c r="J1956" t="str">
        <f>LEFT(Ramen_Ratings[[#This Row],[Top Ten]],4)</f>
        <v/>
      </c>
      <c r="K1956" t="str">
        <f>IF(Ramen_Ratings[[#This Row],[Top Ten]]="", "",RIGHT(Ramen_Ratings[[#This Row],[Top Ten]],LEN(Ramen_Ratings[[#This Row],[Top Ten]])-6))</f>
        <v/>
      </c>
    </row>
    <row r="1957" spans="1:11" x14ac:dyDescent="0.25">
      <c r="A1957">
        <v>130</v>
      </c>
      <c r="B1957" t="s">
        <v>374</v>
      </c>
      <c r="C1957" t="s">
        <v>2747</v>
      </c>
      <c r="D1957" t="s">
        <v>13</v>
      </c>
      <c r="E1957" t="s">
        <v>10</v>
      </c>
      <c r="F1957" t="str">
        <f>VLOOKUP(Ramen_Ratings[[#This Row],[Country]],Country_Region[#All],2,FALSE)</f>
        <v>Asia</v>
      </c>
      <c r="G1957">
        <v>3.5</v>
      </c>
      <c r="H1957" t="str" cm="1">
        <f t="array" ref="H1957">_xlfn.IFS(Ramen_Ratings[[#This Row],[Stars]] = "Unrated", "NA",Ramen_Ratings[[#This Row],[Stars]]&gt;=4, "Good", Ramen_Ratings[[#This Row],[Stars]]&gt;2.5, "Fair", Ramen_Ratings[[#This Row],[Stars]] &gt;= 0, "Bad")</f>
        <v>Fair</v>
      </c>
      <c r="J1957" t="str">
        <f>LEFT(Ramen_Ratings[[#This Row],[Top Ten]],4)</f>
        <v/>
      </c>
      <c r="K1957" t="str">
        <f>IF(Ramen_Ratings[[#This Row],[Top Ten]]="", "",RIGHT(Ramen_Ratings[[#This Row],[Top Ten]],LEN(Ramen_Ratings[[#This Row],[Top Ten]])-6))</f>
        <v/>
      </c>
    </row>
    <row r="1958" spans="1:11" x14ac:dyDescent="0.25">
      <c r="A1958">
        <v>125</v>
      </c>
      <c r="B1958" t="s">
        <v>258</v>
      </c>
      <c r="C1958" t="s">
        <v>2751</v>
      </c>
      <c r="D1958" t="s">
        <v>13</v>
      </c>
      <c r="E1958" t="s">
        <v>10</v>
      </c>
      <c r="F1958" t="str">
        <f>VLOOKUP(Ramen_Ratings[[#This Row],[Country]],Country_Region[#All],2,FALSE)</f>
        <v>Asia</v>
      </c>
      <c r="G1958">
        <v>3</v>
      </c>
      <c r="H1958" t="str" cm="1">
        <f t="array" ref="H1958">_xlfn.IFS(Ramen_Ratings[[#This Row],[Stars]] = "Unrated", "NA",Ramen_Ratings[[#This Row],[Stars]]&gt;=4, "Good", Ramen_Ratings[[#This Row],[Stars]]&gt;2.5, "Fair", Ramen_Ratings[[#This Row],[Stars]] &gt;= 0, "Bad")</f>
        <v>Fair</v>
      </c>
      <c r="J1958" t="str">
        <f>LEFT(Ramen_Ratings[[#This Row],[Top Ten]],4)</f>
        <v/>
      </c>
      <c r="K1958" t="str">
        <f>IF(Ramen_Ratings[[#This Row],[Top Ten]]="", "",RIGHT(Ramen_Ratings[[#This Row],[Top Ten]],LEN(Ramen_Ratings[[#This Row],[Top Ten]])-6))</f>
        <v/>
      </c>
    </row>
    <row r="1959" spans="1:11" x14ac:dyDescent="0.25">
      <c r="A1959">
        <v>124</v>
      </c>
      <c r="B1959" t="s">
        <v>15</v>
      </c>
      <c r="C1959" t="s">
        <v>2752</v>
      </c>
      <c r="D1959" t="s">
        <v>30</v>
      </c>
      <c r="E1959" t="s">
        <v>10</v>
      </c>
      <c r="F1959" t="str">
        <f>VLOOKUP(Ramen_Ratings[[#This Row],[Country]],Country_Region[#All],2,FALSE)</f>
        <v>Asia</v>
      </c>
      <c r="G1959">
        <v>5</v>
      </c>
      <c r="H1959" t="str" cm="1">
        <f t="array" ref="H1959">_xlfn.IFS(Ramen_Ratings[[#This Row],[Stars]] = "Unrated", "NA",Ramen_Ratings[[#This Row],[Stars]]&gt;=4, "Good", Ramen_Ratings[[#This Row],[Stars]]&gt;2.5, "Fair", Ramen_Ratings[[#This Row],[Stars]] &gt;= 0, "Bad")</f>
        <v>Good</v>
      </c>
      <c r="J1959" t="str">
        <f>LEFT(Ramen_Ratings[[#This Row],[Top Ten]],4)</f>
        <v/>
      </c>
      <c r="K1959" t="str">
        <f>IF(Ramen_Ratings[[#This Row],[Top Ten]]="", "",RIGHT(Ramen_Ratings[[#This Row],[Top Ten]],LEN(Ramen_Ratings[[#This Row],[Top Ten]])-6))</f>
        <v/>
      </c>
    </row>
    <row r="1960" spans="1:11" x14ac:dyDescent="0.25">
      <c r="A1960">
        <v>85</v>
      </c>
      <c r="B1960" t="s">
        <v>15</v>
      </c>
      <c r="C1960" t="s">
        <v>2784</v>
      </c>
      <c r="D1960" t="s">
        <v>13</v>
      </c>
      <c r="E1960" t="s">
        <v>10</v>
      </c>
      <c r="F1960" t="str">
        <f>VLOOKUP(Ramen_Ratings[[#This Row],[Country]],Country_Region[#All],2,FALSE)</f>
        <v>Asia</v>
      </c>
      <c r="G1960">
        <v>3.75</v>
      </c>
      <c r="H1960" t="str" cm="1">
        <f t="array" ref="H1960">_xlfn.IFS(Ramen_Ratings[[#This Row],[Stars]] = "Unrated", "NA",Ramen_Ratings[[#This Row],[Stars]]&gt;=4, "Good", Ramen_Ratings[[#This Row],[Stars]]&gt;2.5, "Fair", Ramen_Ratings[[#This Row],[Stars]] &gt;= 0, "Bad")</f>
        <v>Fair</v>
      </c>
      <c r="J1960" t="str">
        <f>LEFT(Ramen_Ratings[[#This Row],[Top Ten]],4)</f>
        <v/>
      </c>
      <c r="K1960" t="str">
        <f>IF(Ramen_Ratings[[#This Row],[Top Ten]]="", "",RIGHT(Ramen_Ratings[[#This Row],[Top Ten]],LEN(Ramen_Ratings[[#This Row],[Top Ten]])-6))</f>
        <v/>
      </c>
    </row>
    <row r="1961" spans="1:11" x14ac:dyDescent="0.25">
      <c r="A1961">
        <v>83</v>
      </c>
      <c r="B1961" t="s">
        <v>15</v>
      </c>
      <c r="C1961" t="s">
        <v>2786</v>
      </c>
      <c r="D1961" t="s">
        <v>13</v>
      </c>
      <c r="E1961" t="s">
        <v>10</v>
      </c>
      <c r="F1961" t="str">
        <f>VLOOKUP(Ramen_Ratings[[#This Row],[Country]],Country_Region[#All],2,FALSE)</f>
        <v>Asia</v>
      </c>
      <c r="G1961">
        <v>2</v>
      </c>
      <c r="H1961" t="str" cm="1">
        <f t="array" ref="H1961">_xlfn.IFS(Ramen_Ratings[[#This Row],[Stars]] = "Unrated", "NA",Ramen_Ratings[[#This Row],[Stars]]&gt;=4, "Good", Ramen_Ratings[[#This Row],[Stars]]&gt;2.5, "Fair", Ramen_Ratings[[#This Row],[Stars]] &gt;= 0, "Bad")</f>
        <v>Bad</v>
      </c>
      <c r="J1961" t="str">
        <f>LEFT(Ramen_Ratings[[#This Row],[Top Ten]],4)</f>
        <v/>
      </c>
      <c r="K1961" t="str">
        <f>IF(Ramen_Ratings[[#This Row],[Top Ten]]="", "",RIGHT(Ramen_Ratings[[#This Row],[Top Ten]],LEN(Ramen_Ratings[[#This Row],[Top Ten]])-6))</f>
        <v/>
      </c>
    </row>
    <row r="1962" spans="1:11" x14ac:dyDescent="0.25">
      <c r="A1962">
        <v>82</v>
      </c>
      <c r="B1962" t="s">
        <v>15</v>
      </c>
      <c r="C1962" t="s">
        <v>2787</v>
      </c>
      <c r="D1962" t="s">
        <v>13</v>
      </c>
      <c r="E1962" t="s">
        <v>10</v>
      </c>
      <c r="F1962" t="str">
        <f>VLOOKUP(Ramen_Ratings[[#This Row],[Country]],Country_Region[#All],2,FALSE)</f>
        <v>Asia</v>
      </c>
      <c r="G1962">
        <v>2.75</v>
      </c>
      <c r="H1962" t="str" cm="1">
        <f t="array" ref="H1962">_xlfn.IFS(Ramen_Ratings[[#This Row],[Stars]] = "Unrated", "NA",Ramen_Ratings[[#This Row],[Stars]]&gt;=4, "Good", Ramen_Ratings[[#This Row],[Stars]]&gt;2.5, "Fair", Ramen_Ratings[[#This Row],[Stars]] &gt;= 0, "Bad")</f>
        <v>Fair</v>
      </c>
      <c r="J1962" t="str">
        <f>LEFT(Ramen_Ratings[[#This Row],[Top Ten]],4)</f>
        <v/>
      </c>
      <c r="K1962" t="str">
        <f>IF(Ramen_Ratings[[#This Row],[Top Ten]]="", "",RIGHT(Ramen_Ratings[[#This Row],[Top Ten]],LEN(Ramen_Ratings[[#This Row],[Top Ten]])-6))</f>
        <v/>
      </c>
    </row>
    <row r="1963" spans="1:11" x14ac:dyDescent="0.25">
      <c r="A1963">
        <v>79</v>
      </c>
      <c r="B1963" t="s">
        <v>374</v>
      </c>
      <c r="C1963" t="s">
        <v>324</v>
      </c>
      <c r="D1963" t="s">
        <v>13</v>
      </c>
      <c r="E1963" t="s">
        <v>10</v>
      </c>
      <c r="F1963" t="str">
        <f>VLOOKUP(Ramen_Ratings[[#This Row],[Country]],Country_Region[#All],2,FALSE)</f>
        <v>Asia</v>
      </c>
      <c r="G1963">
        <v>3.25</v>
      </c>
      <c r="H1963" t="str" cm="1">
        <f t="array" ref="H1963">_xlfn.IFS(Ramen_Ratings[[#This Row],[Stars]] = "Unrated", "NA",Ramen_Ratings[[#This Row],[Stars]]&gt;=4, "Good", Ramen_Ratings[[#This Row],[Stars]]&gt;2.5, "Fair", Ramen_Ratings[[#This Row],[Stars]] &gt;= 0, "Bad")</f>
        <v>Fair</v>
      </c>
      <c r="J1963" t="str">
        <f>LEFT(Ramen_Ratings[[#This Row],[Top Ten]],4)</f>
        <v/>
      </c>
      <c r="K1963" t="str">
        <f>IF(Ramen_Ratings[[#This Row],[Top Ten]]="", "",RIGHT(Ramen_Ratings[[#This Row],[Top Ten]],LEN(Ramen_Ratings[[#This Row],[Top Ten]])-6))</f>
        <v/>
      </c>
    </row>
    <row r="1964" spans="1:11" x14ac:dyDescent="0.25">
      <c r="A1964">
        <v>78</v>
      </c>
      <c r="B1964" t="s">
        <v>15</v>
      </c>
      <c r="C1964" t="s">
        <v>2788</v>
      </c>
      <c r="D1964" t="s">
        <v>13</v>
      </c>
      <c r="E1964" t="s">
        <v>10</v>
      </c>
      <c r="F1964" t="str">
        <f>VLOOKUP(Ramen_Ratings[[#This Row],[Country]],Country_Region[#All],2,FALSE)</f>
        <v>Asia</v>
      </c>
      <c r="G1964">
        <v>2.5</v>
      </c>
      <c r="H1964" t="str" cm="1">
        <f t="array" ref="H1964">_xlfn.IFS(Ramen_Ratings[[#This Row],[Stars]] = "Unrated", "NA",Ramen_Ratings[[#This Row],[Stars]]&gt;=4, "Good", Ramen_Ratings[[#This Row],[Stars]]&gt;2.5, "Fair", Ramen_Ratings[[#This Row],[Stars]] &gt;= 0, "Bad")</f>
        <v>Bad</v>
      </c>
      <c r="J1964" t="str">
        <f>LEFT(Ramen_Ratings[[#This Row],[Top Ten]],4)</f>
        <v/>
      </c>
      <c r="K1964" t="str">
        <f>IF(Ramen_Ratings[[#This Row],[Top Ten]]="", "",RIGHT(Ramen_Ratings[[#This Row],[Top Ten]],LEN(Ramen_Ratings[[#This Row],[Top Ten]])-6))</f>
        <v/>
      </c>
    </row>
    <row r="1965" spans="1:11" x14ac:dyDescent="0.25">
      <c r="A1965">
        <v>77</v>
      </c>
      <c r="B1965" t="s">
        <v>15</v>
      </c>
      <c r="C1965" t="s">
        <v>2789</v>
      </c>
      <c r="D1965" t="s">
        <v>13</v>
      </c>
      <c r="E1965" t="s">
        <v>10</v>
      </c>
      <c r="F1965" t="str">
        <f>VLOOKUP(Ramen_Ratings[[#This Row],[Country]],Country_Region[#All],2,FALSE)</f>
        <v>Asia</v>
      </c>
      <c r="G1965">
        <v>3.25</v>
      </c>
      <c r="H1965" t="str" cm="1">
        <f t="array" ref="H1965">_xlfn.IFS(Ramen_Ratings[[#This Row],[Stars]] = "Unrated", "NA",Ramen_Ratings[[#This Row],[Stars]]&gt;=4, "Good", Ramen_Ratings[[#This Row],[Stars]]&gt;2.5, "Fair", Ramen_Ratings[[#This Row],[Stars]] &gt;= 0, "Bad")</f>
        <v>Fair</v>
      </c>
      <c r="J1965" t="str">
        <f>LEFT(Ramen_Ratings[[#This Row],[Top Ten]],4)</f>
        <v/>
      </c>
      <c r="K1965" t="str">
        <f>IF(Ramen_Ratings[[#This Row],[Top Ten]]="", "",RIGHT(Ramen_Ratings[[#This Row],[Top Ten]],LEN(Ramen_Ratings[[#This Row],[Top Ten]])-6))</f>
        <v/>
      </c>
    </row>
    <row r="1966" spans="1:11" x14ac:dyDescent="0.25">
      <c r="A1966">
        <v>74</v>
      </c>
      <c r="B1966" t="s">
        <v>15</v>
      </c>
      <c r="C1966" t="s">
        <v>2792</v>
      </c>
      <c r="D1966" t="s">
        <v>13</v>
      </c>
      <c r="E1966" t="s">
        <v>10</v>
      </c>
      <c r="F1966" t="str">
        <f>VLOOKUP(Ramen_Ratings[[#This Row],[Country]],Country_Region[#All],2,FALSE)</f>
        <v>Asia</v>
      </c>
      <c r="G1966">
        <v>4</v>
      </c>
      <c r="H1966" t="str" cm="1">
        <f t="array" ref="H1966">_xlfn.IFS(Ramen_Ratings[[#This Row],[Stars]] = "Unrated", "NA",Ramen_Ratings[[#This Row],[Stars]]&gt;=4, "Good", Ramen_Ratings[[#This Row],[Stars]]&gt;2.5, "Fair", Ramen_Ratings[[#This Row],[Stars]] &gt;= 0, "Bad")</f>
        <v>Good</v>
      </c>
      <c r="J1966" t="str">
        <f>LEFT(Ramen_Ratings[[#This Row],[Top Ten]],4)</f>
        <v/>
      </c>
      <c r="K1966" t="str">
        <f>IF(Ramen_Ratings[[#This Row],[Top Ten]]="", "",RIGHT(Ramen_Ratings[[#This Row],[Top Ten]],LEN(Ramen_Ratings[[#This Row],[Top Ten]])-6))</f>
        <v/>
      </c>
    </row>
    <row r="1967" spans="1:11" x14ac:dyDescent="0.25">
      <c r="A1967">
        <v>73</v>
      </c>
      <c r="B1967" t="s">
        <v>15</v>
      </c>
      <c r="C1967" t="s">
        <v>2793</v>
      </c>
      <c r="D1967" t="s">
        <v>13</v>
      </c>
      <c r="E1967" t="s">
        <v>10</v>
      </c>
      <c r="F1967" t="str">
        <f>VLOOKUP(Ramen_Ratings[[#This Row],[Country]],Country_Region[#All],2,FALSE)</f>
        <v>Asia</v>
      </c>
      <c r="G1967">
        <v>3.5</v>
      </c>
      <c r="H1967" t="str" cm="1">
        <f t="array" ref="H1967">_xlfn.IFS(Ramen_Ratings[[#This Row],[Stars]] = "Unrated", "NA",Ramen_Ratings[[#This Row],[Stars]]&gt;=4, "Good", Ramen_Ratings[[#This Row],[Stars]]&gt;2.5, "Fair", Ramen_Ratings[[#This Row],[Stars]] &gt;= 0, "Bad")</f>
        <v>Fair</v>
      </c>
      <c r="J1967" t="str">
        <f>LEFT(Ramen_Ratings[[#This Row],[Top Ten]],4)</f>
        <v/>
      </c>
      <c r="K1967" t="str">
        <f>IF(Ramen_Ratings[[#This Row],[Top Ten]]="", "",RIGHT(Ramen_Ratings[[#This Row],[Top Ten]],LEN(Ramen_Ratings[[#This Row],[Top Ten]])-6))</f>
        <v/>
      </c>
    </row>
    <row r="1968" spans="1:11" x14ac:dyDescent="0.25">
      <c r="A1968">
        <v>72</v>
      </c>
      <c r="B1968" t="s">
        <v>15</v>
      </c>
      <c r="C1968" t="s">
        <v>2794</v>
      </c>
      <c r="D1968" t="s">
        <v>13</v>
      </c>
      <c r="E1968" t="s">
        <v>10</v>
      </c>
      <c r="F1968" t="str">
        <f>VLOOKUP(Ramen_Ratings[[#This Row],[Country]],Country_Region[#All],2,FALSE)</f>
        <v>Asia</v>
      </c>
      <c r="G1968">
        <v>3.5</v>
      </c>
      <c r="H1968" t="str" cm="1">
        <f t="array" ref="H1968">_xlfn.IFS(Ramen_Ratings[[#This Row],[Stars]] = "Unrated", "NA",Ramen_Ratings[[#This Row],[Stars]]&gt;=4, "Good", Ramen_Ratings[[#This Row],[Stars]]&gt;2.5, "Fair", Ramen_Ratings[[#This Row],[Stars]] &gt;= 0, "Bad")</f>
        <v>Fair</v>
      </c>
      <c r="J1968" t="str">
        <f>LEFT(Ramen_Ratings[[#This Row],[Top Ten]],4)</f>
        <v/>
      </c>
      <c r="K1968" t="str">
        <f>IF(Ramen_Ratings[[#This Row],[Top Ten]]="", "",RIGHT(Ramen_Ratings[[#This Row],[Top Ten]],LEN(Ramen_Ratings[[#This Row],[Top Ten]])-6))</f>
        <v/>
      </c>
    </row>
    <row r="1969" spans="1:11" x14ac:dyDescent="0.25">
      <c r="A1969">
        <v>71</v>
      </c>
      <c r="B1969" t="s">
        <v>15</v>
      </c>
      <c r="C1969" t="s">
        <v>2795</v>
      </c>
      <c r="D1969" t="s">
        <v>13</v>
      </c>
      <c r="E1969" t="s">
        <v>10</v>
      </c>
      <c r="F1969" t="str">
        <f>VLOOKUP(Ramen_Ratings[[#This Row],[Country]],Country_Region[#All],2,FALSE)</f>
        <v>Asia</v>
      </c>
      <c r="G1969">
        <v>2.5</v>
      </c>
      <c r="H1969" t="str" cm="1">
        <f t="array" ref="H1969">_xlfn.IFS(Ramen_Ratings[[#This Row],[Stars]] = "Unrated", "NA",Ramen_Ratings[[#This Row],[Stars]]&gt;=4, "Good", Ramen_Ratings[[#This Row],[Stars]]&gt;2.5, "Fair", Ramen_Ratings[[#This Row],[Stars]] &gt;= 0, "Bad")</f>
        <v>Bad</v>
      </c>
      <c r="J1969" t="str">
        <f>LEFT(Ramen_Ratings[[#This Row],[Top Ten]],4)</f>
        <v/>
      </c>
      <c r="K1969" t="str">
        <f>IF(Ramen_Ratings[[#This Row],[Top Ten]]="", "",RIGHT(Ramen_Ratings[[#This Row],[Top Ten]],LEN(Ramen_Ratings[[#This Row],[Top Ten]])-6))</f>
        <v/>
      </c>
    </row>
    <row r="1970" spans="1:11" x14ac:dyDescent="0.25">
      <c r="A1970">
        <v>70</v>
      </c>
      <c r="B1970" t="s">
        <v>15</v>
      </c>
      <c r="C1970" t="s">
        <v>2796</v>
      </c>
      <c r="D1970" t="s">
        <v>13</v>
      </c>
      <c r="E1970" t="s">
        <v>10</v>
      </c>
      <c r="F1970" t="str">
        <f>VLOOKUP(Ramen_Ratings[[#This Row],[Country]],Country_Region[#All],2,FALSE)</f>
        <v>Asia</v>
      </c>
      <c r="G1970">
        <v>4</v>
      </c>
      <c r="H1970" t="str" cm="1">
        <f t="array" ref="H1970">_xlfn.IFS(Ramen_Ratings[[#This Row],[Stars]] = "Unrated", "NA",Ramen_Ratings[[#This Row],[Stars]]&gt;=4, "Good", Ramen_Ratings[[#This Row],[Stars]]&gt;2.5, "Fair", Ramen_Ratings[[#This Row],[Stars]] &gt;= 0, "Bad")</f>
        <v>Good</v>
      </c>
      <c r="J1970" t="str">
        <f>LEFT(Ramen_Ratings[[#This Row],[Top Ten]],4)</f>
        <v/>
      </c>
      <c r="K1970" t="str">
        <f>IF(Ramen_Ratings[[#This Row],[Top Ten]]="", "",RIGHT(Ramen_Ratings[[#This Row],[Top Ten]],LEN(Ramen_Ratings[[#This Row],[Top Ten]])-6))</f>
        <v/>
      </c>
    </row>
    <row r="1971" spans="1:11" x14ac:dyDescent="0.25">
      <c r="A1971">
        <v>63</v>
      </c>
      <c r="B1971" t="s">
        <v>15</v>
      </c>
      <c r="C1971" t="s">
        <v>2802</v>
      </c>
      <c r="D1971" t="s">
        <v>44</v>
      </c>
      <c r="E1971" t="s">
        <v>10</v>
      </c>
      <c r="F1971" t="str">
        <f>VLOOKUP(Ramen_Ratings[[#This Row],[Country]],Country_Region[#All],2,FALSE)</f>
        <v>Asia</v>
      </c>
      <c r="G1971">
        <v>3</v>
      </c>
      <c r="H1971" t="str" cm="1">
        <f t="array" ref="H1971">_xlfn.IFS(Ramen_Ratings[[#This Row],[Stars]] = "Unrated", "NA",Ramen_Ratings[[#This Row],[Stars]]&gt;=4, "Good", Ramen_Ratings[[#This Row],[Stars]]&gt;2.5, "Fair", Ramen_Ratings[[#This Row],[Stars]] &gt;= 0, "Bad")</f>
        <v>Fair</v>
      </c>
      <c r="J1971" t="str">
        <f>LEFT(Ramen_Ratings[[#This Row],[Top Ten]],4)</f>
        <v/>
      </c>
      <c r="K1971" t="str">
        <f>IF(Ramen_Ratings[[#This Row],[Top Ten]]="", "",RIGHT(Ramen_Ratings[[#This Row],[Top Ten]],LEN(Ramen_Ratings[[#This Row],[Top Ten]])-6))</f>
        <v/>
      </c>
    </row>
    <row r="1972" spans="1:11" x14ac:dyDescent="0.25">
      <c r="A1972">
        <v>30</v>
      </c>
      <c r="B1972" t="s">
        <v>183</v>
      </c>
      <c r="C1972" t="s">
        <v>2833</v>
      </c>
      <c r="D1972" t="s">
        <v>13</v>
      </c>
      <c r="E1972" t="s">
        <v>10</v>
      </c>
      <c r="F1972" t="str">
        <f>VLOOKUP(Ramen_Ratings[[#This Row],[Country]],Country_Region[#All],2,FALSE)</f>
        <v>Asia</v>
      </c>
      <c r="G1972">
        <v>1</v>
      </c>
      <c r="H1972" t="str" cm="1">
        <f t="array" ref="H1972">_xlfn.IFS(Ramen_Ratings[[#This Row],[Stars]] = "Unrated", "NA",Ramen_Ratings[[#This Row],[Stars]]&gt;=4, "Good", Ramen_Ratings[[#This Row],[Stars]]&gt;2.5, "Fair", Ramen_Ratings[[#This Row],[Stars]] &gt;= 0, "Bad")</f>
        <v>Bad</v>
      </c>
      <c r="J1972" t="str">
        <f>LEFT(Ramen_Ratings[[#This Row],[Top Ten]],4)</f>
        <v/>
      </c>
      <c r="K1972" t="str">
        <f>IF(Ramen_Ratings[[#This Row],[Top Ten]]="", "",RIGHT(Ramen_Ratings[[#This Row],[Top Ten]],LEN(Ramen_Ratings[[#This Row],[Top Ten]])-6))</f>
        <v/>
      </c>
    </row>
    <row r="1973" spans="1:11" x14ac:dyDescent="0.25">
      <c r="A1973">
        <v>28</v>
      </c>
      <c r="B1973" t="s">
        <v>15</v>
      </c>
      <c r="C1973" t="s">
        <v>2834</v>
      </c>
      <c r="D1973" t="s">
        <v>13</v>
      </c>
      <c r="E1973" t="s">
        <v>10</v>
      </c>
      <c r="F1973" t="str">
        <f>VLOOKUP(Ramen_Ratings[[#This Row],[Country]],Country_Region[#All],2,FALSE)</f>
        <v>Asia</v>
      </c>
      <c r="G1973">
        <v>5</v>
      </c>
      <c r="H1973" t="str" cm="1">
        <f t="array" ref="H1973">_xlfn.IFS(Ramen_Ratings[[#This Row],[Stars]] = "Unrated", "NA",Ramen_Ratings[[#This Row],[Stars]]&gt;=4, "Good", Ramen_Ratings[[#This Row],[Stars]]&gt;2.5, "Fair", Ramen_Ratings[[#This Row],[Stars]] &gt;= 0, "Bad")</f>
        <v>Good</v>
      </c>
      <c r="J1973" t="str">
        <f>LEFT(Ramen_Ratings[[#This Row],[Top Ten]],4)</f>
        <v/>
      </c>
      <c r="K1973" t="str">
        <f>IF(Ramen_Ratings[[#This Row],[Top Ten]]="", "",RIGHT(Ramen_Ratings[[#This Row],[Top Ten]],LEN(Ramen_Ratings[[#This Row],[Top Ten]])-6))</f>
        <v/>
      </c>
    </row>
    <row r="1974" spans="1:11" x14ac:dyDescent="0.25">
      <c r="A1974">
        <v>27</v>
      </c>
      <c r="B1974" t="s">
        <v>15</v>
      </c>
      <c r="C1974" t="s">
        <v>2835</v>
      </c>
      <c r="D1974" t="s">
        <v>13</v>
      </c>
      <c r="E1974" t="s">
        <v>10</v>
      </c>
      <c r="F1974" t="str">
        <f>VLOOKUP(Ramen_Ratings[[#This Row],[Country]],Country_Region[#All],2,FALSE)</f>
        <v>Asia</v>
      </c>
      <c r="G1974">
        <v>4</v>
      </c>
      <c r="H1974" t="str" cm="1">
        <f t="array" ref="H1974">_xlfn.IFS(Ramen_Ratings[[#This Row],[Stars]] = "Unrated", "NA",Ramen_Ratings[[#This Row],[Stars]]&gt;=4, "Good", Ramen_Ratings[[#This Row],[Stars]]&gt;2.5, "Fair", Ramen_Ratings[[#This Row],[Stars]] &gt;= 0, "Bad")</f>
        <v>Good</v>
      </c>
      <c r="J1974" t="str">
        <f>LEFT(Ramen_Ratings[[#This Row],[Top Ten]],4)</f>
        <v/>
      </c>
      <c r="K1974" t="str">
        <f>IF(Ramen_Ratings[[#This Row],[Top Ten]]="", "",RIGHT(Ramen_Ratings[[#This Row],[Top Ten]],LEN(Ramen_Ratings[[#This Row],[Top Ten]])-6))</f>
        <v/>
      </c>
    </row>
    <row r="1975" spans="1:11" x14ac:dyDescent="0.25">
      <c r="A1975">
        <v>26</v>
      </c>
      <c r="B1975" t="s">
        <v>15</v>
      </c>
      <c r="C1975" t="s">
        <v>2836</v>
      </c>
      <c r="D1975" t="s">
        <v>13</v>
      </c>
      <c r="E1975" t="s">
        <v>10</v>
      </c>
      <c r="F1975" t="str">
        <f>VLOOKUP(Ramen_Ratings[[#This Row],[Country]],Country_Region[#All],2,FALSE)</f>
        <v>Asia</v>
      </c>
      <c r="G1975">
        <v>4</v>
      </c>
      <c r="H1975" t="str" cm="1">
        <f t="array" ref="H1975">_xlfn.IFS(Ramen_Ratings[[#This Row],[Stars]] = "Unrated", "NA",Ramen_Ratings[[#This Row],[Stars]]&gt;=4, "Good", Ramen_Ratings[[#This Row],[Stars]]&gt;2.5, "Fair", Ramen_Ratings[[#This Row],[Stars]] &gt;= 0, "Bad")</f>
        <v>Good</v>
      </c>
      <c r="J1975" t="str">
        <f>LEFT(Ramen_Ratings[[#This Row],[Top Ten]],4)</f>
        <v/>
      </c>
      <c r="K1975" t="str">
        <f>IF(Ramen_Ratings[[#This Row],[Top Ten]]="", "",RIGHT(Ramen_Ratings[[#This Row],[Top Ten]],LEN(Ramen_Ratings[[#This Row],[Top Ten]])-6))</f>
        <v/>
      </c>
    </row>
    <row r="1976" spans="1:11" x14ac:dyDescent="0.25">
      <c r="A1976">
        <v>25</v>
      </c>
      <c r="B1976" t="s">
        <v>15</v>
      </c>
      <c r="C1976" t="s">
        <v>2786</v>
      </c>
      <c r="D1976" t="s">
        <v>13</v>
      </c>
      <c r="E1976" t="s">
        <v>10</v>
      </c>
      <c r="F1976" t="str">
        <f>VLOOKUP(Ramen_Ratings[[#This Row],[Country]],Country_Region[#All],2,FALSE)</f>
        <v>Asia</v>
      </c>
      <c r="G1976">
        <v>3</v>
      </c>
      <c r="H1976" t="str" cm="1">
        <f t="array" ref="H1976">_xlfn.IFS(Ramen_Ratings[[#This Row],[Stars]] = "Unrated", "NA",Ramen_Ratings[[#This Row],[Stars]]&gt;=4, "Good", Ramen_Ratings[[#This Row],[Stars]]&gt;2.5, "Fair", Ramen_Ratings[[#This Row],[Stars]] &gt;= 0, "Bad")</f>
        <v>Fair</v>
      </c>
      <c r="J1976" t="str">
        <f>LEFT(Ramen_Ratings[[#This Row],[Top Ten]],4)</f>
        <v/>
      </c>
      <c r="K1976" t="str">
        <f>IF(Ramen_Ratings[[#This Row],[Top Ten]]="", "",RIGHT(Ramen_Ratings[[#This Row],[Top Ten]],LEN(Ramen_Ratings[[#This Row],[Top Ten]])-6))</f>
        <v/>
      </c>
    </row>
    <row r="1977" spans="1:11" x14ac:dyDescent="0.25">
      <c r="A1977">
        <v>24</v>
      </c>
      <c r="B1977" t="s">
        <v>15</v>
      </c>
      <c r="C1977" t="s">
        <v>2837</v>
      </c>
      <c r="D1977" t="s">
        <v>13</v>
      </c>
      <c r="E1977" t="s">
        <v>10</v>
      </c>
      <c r="F1977" t="str">
        <f>VLOOKUP(Ramen_Ratings[[#This Row],[Country]],Country_Region[#All],2,FALSE)</f>
        <v>Asia</v>
      </c>
      <c r="G1977">
        <v>2</v>
      </c>
      <c r="H1977" t="str" cm="1">
        <f t="array" ref="H1977">_xlfn.IFS(Ramen_Ratings[[#This Row],[Stars]] = "Unrated", "NA",Ramen_Ratings[[#This Row],[Stars]]&gt;=4, "Good", Ramen_Ratings[[#This Row],[Stars]]&gt;2.5, "Fair", Ramen_Ratings[[#This Row],[Stars]] &gt;= 0, "Bad")</f>
        <v>Bad</v>
      </c>
      <c r="J1977" t="str">
        <f>LEFT(Ramen_Ratings[[#This Row],[Top Ten]],4)</f>
        <v/>
      </c>
      <c r="K1977" t="str">
        <f>IF(Ramen_Ratings[[#This Row],[Top Ten]]="", "",RIGHT(Ramen_Ratings[[#This Row],[Top Ten]],LEN(Ramen_Ratings[[#This Row],[Top Ten]])-6))</f>
        <v/>
      </c>
    </row>
    <row r="1978" spans="1:11" x14ac:dyDescent="0.25">
      <c r="A1978">
        <v>12</v>
      </c>
      <c r="B1978" t="s">
        <v>374</v>
      </c>
      <c r="C1978" t="s">
        <v>2720</v>
      </c>
      <c r="D1978" t="s">
        <v>13</v>
      </c>
      <c r="E1978" t="s">
        <v>10</v>
      </c>
      <c r="F1978" t="str">
        <f>VLOOKUP(Ramen_Ratings[[#This Row],[Country]],Country_Region[#All],2,FALSE)</f>
        <v>Asia</v>
      </c>
      <c r="G1978">
        <v>2.5</v>
      </c>
      <c r="H1978" t="str" cm="1">
        <f t="array" ref="H1978">_xlfn.IFS(Ramen_Ratings[[#This Row],[Stars]] = "Unrated", "NA",Ramen_Ratings[[#This Row],[Stars]]&gt;=4, "Good", Ramen_Ratings[[#This Row],[Stars]]&gt;2.5, "Fair", Ramen_Ratings[[#This Row],[Stars]] &gt;= 0, "Bad")</f>
        <v>Bad</v>
      </c>
      <c r="J1978" t="str">
        <f>LEFT(Ramen_Ratings[[#This Row],[Top Ten]],4)</f>
        <v/>
      </c>
      <c r="K1978" t="str">
        <f>IF(Ramen_Ratings[[#This Row],[Top Ten]]="", "",RIGHT(Ramen_Ratings[[#This Row],[Top Ten]],LEN(Ramen_Ratings[[#This Row],[Top Ten]])-6))</f>
        <v/>
      </c>
    </row>
    <row r="1979" spans="1:11" x14ac:dyDescent="0.25">
      <c r="A1979">
        <v>434</v>
      </c>
      <c r="B1979" t="s">
        <v>654</v>
      </c>
      <c r="C1979" t="s">
        <v>2444</v>
      </c>
      <c r="D1979" t="s">
        <v>13</v>
      </c>
      <c r="E1979" t="s">
        <v>73</v>
      </c>
      <c r="F1979" t="str">
        <f>VLOOKUP(Ramen_Ratings[[#This Row],[Country]],Country_Region[#All],2,FALSE)</f>
        <v>Asia</v>
      </c>
      <c r="G1979">
        <v>4.5</v>
      </c>
      <c r="H1979" t="str" cm="1">
        <f t="array" ref="H1979">_xlfn.IFS(Ramen_Ratings[[#This Row],[Stars]] = "Unrated", "NA",Ramen_Ratings[[#This Row],[Stars]]&gt;=4, "Good", Ramen_Ratings[[#This Row],[Stars]]&gt;2.5, "Fair", Ramen_Ratings[[#This Row],[Stars]] &gt;= 0, "Bad")</f>
        <v>Good</v>
      </c>
      <c r="I1979" t="s">
        <v>2445</v>
      </c>
      <c r="J1979" t="str">
        <f>LEFT(Ramen_Ratings[[#This Row],[Top Ten]],4)</f>
        <v>2012</v>
      </c>
      <c r="K1979" t="str">
        <f>IF(Ramen_Ratings[[#This Row],[Top Ten]]="", "",RIGHT(Ramen_Ratings[[#This Row],[Top Ten]],LEN(Ramen_Ratings[[#This Row],[Top Ten]])-6))</f>
        <v>5</v>
      </c>
    </row>
    <row r="1980" spans="1:11" x14ac:dyDescent="0.25">
      <c r="A1980">
        <v>715</v>
      </c>
      <c r="B1980" t="s">
        <v>135</v>
      </c>
      <c r="C1980" t="s">
        <v>2170</v>
      </c>
      <c r="D1980" t="s">
        <v>13</v>
      </c>
      <c r="E1980" t="s">
        <v>73</v>
      </c>
      <c r="F1980" t="str">
        <f>VLOOKUP(Ramen_Ratings[[#This Row],[Country]],Country_Region[#All],2,FALSE)</f>
        <v>Asia</v>
      </c>
      <c r="G1980">
        <v>5</v>
      </c>
      <c r="H1980" t="str" cm="1">
        <f t="array" ref="H1980">_xlfn.IFS(Ramen_Ratings[[#This Row],[Stars]] = "Unrated", "NA",Ramen_Ratings[[#This Row],[Stars]]&gt;=4, "Good", Ramen_Ratings[[#This Row],[Stars]]&gt;2.5, "Fair", Ramen_Ratings[[#This Row],[Stars]] &gt;= 0, "Bad")</f>
        <v>Good</v>
      </c>
      <c r="I1980" t="s">
        <v>2171</v>
      </c>
      <c r="J1980" t="str">
        <f>LEFT(Ramen_Ratings[[#This Row],[Top Ten]],4)</f>
        <v>2013</v>
      </c>
      <c r="K1980" t="str">
        <f>IF(Ramen_Ratings[[#This Row],[Top Ten]]="", "",RIGHT(Ramen_Ratings[[#This Row],[Top Ten]],LEN(Ramen_Ratings[[#This Row],[Top Ten]])-6))</f>
        <v>3</v>
      </c>
    </row>
    <row r="1981" spans="1:11" x14ac:dyDescent="0.25">
      <c r="A1981">
        <v>47</v>
      </c>
      <c r="B1981" t="s">
        <v>135</v>
      </c>
      <c r="C1981" t="s">
        <v>2815</v>
      </c>
      <c r="D1981" t="s">
        <v>13</v>
      </c>
      <c r="E1981" t="s">
        <v>73</v>
      </c>
      <c r="F1981" t="str">
        <f>VLOOKUP(Ramen_Ratings[[#This Row],[Country]],Country_Region[#All],2,FALSE)</f>
        <v>Asia</v>
      </c>
      <c r="G1981">
        <v>5</v>
      </c>
      <c r="H1981" t="str" cm="1">
        <f t="array" ref="H1981">_xlfn.IFS(Ramen_Ratings[[#This Row],[Stars]] = "Unrated", "NA",Ramen_Ratings[[#This Row],[Stars]]&gt;=4, "Good", Ramen_Ratings[[#This Row],[Stars]]&gt;2.5, "Fair", Ramen_Ratings[[#This Row],[Stars]] &gt;= 0, "Bad")</f>
        <v>Good</v>
      </c>
      <c r="I1981" t="s">
        <v>2816</v>
      </c>
      <c r="J1981" t="str">
        <f>LEFT(Ramen_Ratings[[#This Row],[Top Ten]],4)</f>
        <v>2012</v>
      </c>
      <c r="K1981" t="str">
        <f>IF(Ramen_Ratings[[#This Row],[Top Ten]]="", "",RIGHT(Ramen_Ratings[[#This Row],[Top Ten]],LEN(Ramen_Ratings[[#This Row],[Top Ten]])-6))</f>
        <v>2</v>
      </c>
    </row>
    <row r="1982" spans="1:11" x14ac:dyDescent="0.25">
      <c r="A1982">
        <v>105</v>
      </c>
      <c r="B1982" t="s">
        <v>135</v>
      </c>
      <c r="C1982" t="s">
        <v>2768</v>
      </c>
      <c r="D1982" t="s">
        <v>13</v>
      </c>
      <c r="E1982" t="s">
        <v>73</v>
      </c>
      <c r="F1982" t="str">
        <f>VLOOKUP(Ramen_Ratings[[#This Row],[Country]],Country_Region[#All],2,FALSE)</f>
        <v>Asia</v>
      </c>
      <c r="G1982">
        <v>5</v>
      </c>
      <c r="H1982" t="str" cm="1">
        <f t="array" ref="H1982">_xlfn.IFS(Ramen_Ratings[[#This Row],[Stars]] = "Unrated", "NA",Ramen_Ratings[[#This Row],[Stars]]&gt;=4, "Good", Ramen_Ratings[[#This Row],[Stars]]&gt;2.5, "Fair", Ramen_Ratings[[#This Row],[Stars]] &gt;= 0, "Bad")</f>
        <v>Good</v>
      </c>
      <c r="I1982" t="s">
        <v>2769</v>
      </c>
      <c r="J1982" t="str">
        <f>LEFT(Ramen_Ratings[[#This Row],[Top Ten]],4)</f>
        <v>2012</v>
      </c>
      <c r="K1982" t="str">
        <f>IF(Ramen_Ratings[[#This Row],[Top Ten]]="", "",RIGHT(Ramen_Ratings[[#This Row],[Top Ten]],LEN(Ramen_Ratings[[#This Row],[Top Ten]])-6))</f>
        <v>1</v>
      </c>
    </row>
    <row r="1983" spans="1:11" x14ac:dyDescent="0.25">
      <c r="A1983">
        <v>734</v>
      </c>
      <c r="B1983" t="s">
        <v>135</v>
      </c>
      <c r="C1983" t="s">
        <v>2151</v>
      </c>
      <c r="D1983" t="s">
        <v>13</v>
      </c>
      <c r="E1983" t="s">
        <v>73</v>
      </c>
      <c r="F1983" t="str">
        <f>VLOOKUP(Ramen_Ratings[[#This Row],[Country]],Country_Region[#All],2,FALSE)</f>
        <v>Asia</v>
      </c>
      <c r="G1983">
        <v>5</v>
      </c>
      <c r="H1983" t="str" cm="1">
        <f t="array" ref="H1983">_xlfn.IFS(Ramen_Ratings[[#This Row],[Stars]] = "Unrated", "NA",Ramen_Ratings[[#This Row],[Stars]]&gt;=4, "Good", Ramen_Ratings[[#This Row],[Stars]]&gt;2.5, "Fair", Ramen_Ratings[[#This Row],[Stars]] &gt;= 0, "Bad")</f>
        <v>Good</v>
      </c>
      <c r="I1983" s="1"/>
      <c r="J1983" t="str">
        <f>LEFT(Ramen_Ratings[[#This Row],[Top Ten]],4)</f>
        <v/>
      </c>
      <c r="K1983" t="str">
        <f>IF(Ramen_Ratings[[#This Row],[Top Ten]]="", "",RIGHT(Ramen_Ratings[[#This Row],[Top Ten]],LEN(Ramen_Ratings[[#This Row],[Top Ten]])-6))</f>
        <v/>
      </c>
    </row>
    <row r="1984" spans="1:11" x14ac:dyDescent="0.25">
      <c r="A1984">
        <v>45</v>
      </c>
      <c r="B1984" t="s">
        <v>135</v>
      </c>
      <c r="C1984" t="s">
        <v>2818</v>
      </c>
      <c r="D1984" t="s">
        <v>13</v>
      </c>
      <c r="E1984" t="s">
        <v>73</v>
      </c>
      <c r="F1984" t="str">
        <f>VLOOKUP(Ramen_Ratings[[#This Row],[Country]],Country_Region[#All],2,FALSE)</f>
        <v>Asia</v>
      </c>
      <c r="G1984">
        <v>5</v>
      </c>
      <c r="H1984" t="str" cm="1">
        <f t="array" ref="H1984">_xlfn.IFS(Ramen_Ratings[[#This Row],[Stars]] = "Unrated", "NA",Ramen_Ratings[[#This Row],[Stars]]&gt;=4, "Good", Ramen_Ratings[[#This Row],[Stars]]&gt;2.5, "Fair", Ramen_Ratings[[#This Row],[Stars]] &gt;= 0, "Bad")</f>
        <v>Good</v>
      </c>
      <c r="I1984" s="1"/>
      <c r="J1984" t="str">
        <f>LEFT(Ramen_Ratings[[#This Row],[Top Ten]],4)</f>
        <v/>
      </c>
      <c r="K1984" t="str">
        <f>IF(Ramen_Ratings[[#This Row],[Top Ten]]="", "",RIGHT(Ramen_Ratings[[#This Row],[Top Ten]],LEN(Ramen_Ratings[[#This Row],[Top Ten]])-6))</f>
        <v/>
      </c>
    </row>
    <row r="1985" spans="1:11" x14ac:dyDescent="0.25">
      <c r="A1985">
        <v>2549</v>
      </c>
      <c r="B1985" t="s">
        <v>15</v>
      </c>
      <c r="C1985" t="s">
        <v>72</v>
      </c>
      <c r="D1985" t="s">
        <v>13</v>
      </c>
      <c r="E1985" t="s">
        <v>73</v>
      </c>
      <c r="F1985" t="str">
        <f>VLOOKUP(Ramen_Ratings[[#This Row],[Country]],Country_Region[#All],2,FALSE)</f>
        <v>Asia</v>
      </c>
      <c r="G1985">
        <v>4.5</v>
      </c>
      <c r="H1985" t="str" cm="1">
        <f t="array" ref="H1985">_xlfn.IFS(Ramen_Ratings[[#This Row],[Stars]] = "Unrated", "NA",Ramen_Ratings[[#This Row],[Stars]]&gt;=4, "Good", Ramen_Ratings[[#This Row],[Stars]]&gt;2.5, "Fair", Ramen_Ratings[[#This Row],[Stars]] &gt;= 0, "Bad")</f>
        <v>Good</v>
      </c>
      <c r="J1985" t="str">
        <f>LEFT(Ramen_Ratings[[#This Row],[Top Ten]],4)</f>
        <v/>
      </c>
      <c r="K1985" t="str">
        <f>IF(Ramen_Ratings[[#This Row],[Top Ten]]="", "",RIGHT(Ramen_Ratings[[#This Row],[Top Ten]],LEN(Ramen_Ratings[[#This Row],[Top Ten]])-6))</f>
        <v/>
      </c>
    </row>
    <row r="1986" spans="1:11" x14ac:dyDescent="0.25">
      <c r="A1986">
        <v>2507</v>
      </c>
      <c r="B1986" t="s">
        <v>135</v>
      </c>
      <c r="C1986" t="s">
        <v>136</v>
      </c>
      <c r="D1986" t="s">
        <v>13</v>
      </c>
      <c r="E1986" t="s">
        <v>73</v>
      </c>
      <c r="F1986" t="str">
        <f>VLOOKUP(Ramen_Ratings[[#This Row],[Country]],Country_Region[#All],2,FALSE)</f>
        <v>Asia</v>
      </c>
      <c r="G1986">
        <v>4</v>
      </c>
      <c r="H1986" t="str" cm="1">
        <f t="array" ref="H1986">_xlfn.IFS(Ramen_Ratings[[#This Row],[Stars]] = "Unrated", "NA",Ramen_Ratings[[#This Row],[Stars]]&gt;=4, "Good", Ramen_Ratings[[#This Row],[Stars]]&gt;2.5, "Fair", Ramen_Ratings[[#This Row],[Stars]] &gt;= 0, "Bad")</f>
        <v>Good</v>
      </c>
      <c r="J1986" t="str">
        <f>LEFT(Ramen_Ratings[[#This Row],[Top Ten]],4)</f>
        <v/>
      </c>
      <c r="K1986" t="str">
        <f>IF(Ramen_Ratings[[#This Row],[Top Ten]]="", "",RIGHT(Ramen_Ratings[[#This Row],[Top Ten]],LEN(Ramen_Ratings[[#This Row],[Top Ten]])-6))</f>
        <v/>
      </c>
    </row>
    <row r="1987" spans="1:11" x14ac:dyDescent="0.25">
      <c r="A1987">
        <v>2463</v>
      </c>
      <c r="B1987" t="s">
        <v>15</v>
      </c>
      <c r="C1987" t="s">
        <v>193</v>
      </c>
      <c r="D1987" t="s">
        <v>13</v>
      </c>
      <c r="E1987" t="s">
        <v>73</v>
      </c>
      <c r="F1987" t="str">
        <f>VLOOKUP(Ramen_Ratings[[#This Row],[Country]],Country_Region[#All],2,FALSE)</f>
        <v>Asia</v>
      </c>
      <c r="G1987">
        <v>3.25</v>
      </c>
      <c r="H1987" t="str" cm="1">
        <f t="array" ref="H1987">_xlfn.IFS(Ramen_Ratings[[#This Row],[Stars]] = "Unrated", "NA",Ramen_Ratings[[#This Row],[Stars]]&gt;=4, "Good", Ramen_Ratings[[#This Row],[Stars]]&gt;2.5, "Fair", Ramen_Ratings[[#This Row],[Stars]] &gt;= 0, "Bad")</f>
        <v>Fair</v>
      </c>
      <c r="J1987" t="str">
        <f>LEFT(Ramen_Ratings[[#This Row],[Top Ten]],4)</f>
        <v/>
      </c>
      <c r="K1987" t="str">
        <f>IF(Ramen_Ratings[[#This Row],[Top Ten]]="", "",RIGHT(Ramen_Ratings[[#This Row],[Top Ten]],LEN(Ramen_Ratings[[#This Row],[Top Ten]])-6))</f>
        <v/>
      </c>
    </row>
    <row r="1988" spans="1:11" x14ac:dyDescent="0.25">
      <c r="A1988">
        <v>2438</v>
      </c>
      <c r="B1988" t="s">
        <v>221</v>
      </c>
      <c r="C1988" t="s">
        <v>222</v>
      </c>
      <c r="D1988" t="s">
        <v>13</v>
      </c>
      <c r="E1988" t="s">
        <v>73</v>
      </c>
      <c r="F1988" t="str">
        <f>VLOOKUP(Ramen_Ratings[[#This Row],[Country]],Country_Region[#All],2,FALSE)</f>
        <v>Asia</v>
      </c>
      <c r="G1988">
        <v>5</v>
      </c>
      <c r="H1988" t="str" cm="1">
        <f t="array" ref="H1988">_xlfn.IFS(Ramen_Ratings[[#This Row],[Stars]] = "Unrated", "NA",Ramen_Ratings[[#This Row],[Stars]]&gt;=4, "Good", Ramen_Ratings[[#This Row],[Stars]]&gt;2.5, "Fair", Ramen_Ratings[[#This Row],[Stars]] &gt;= 0, "Bad")</f>
        <v>Good</v>
      </c>
      <c r="J1988" t="str">
        <f>LEFT(Ramen_Ratings[[#This Row],[Top Ten]],4)</f>
        <v/>
      </c>
      <c r="K1988" t="str">
        <f>IF(Ramen_Ratings[[#This Row],[Top Ten]]="", "",RIGHT(Ramen_Ratings[[#This Row],[Top Ten]],LEN(Ramen_Ratings[[#This Row],[Top Ten]])-6))</f>
        <v/>
      </c>
    </row>
    <row r="1989" spans="1:11" x14ac:dyDescent="0.25">
      <c r="A1989">
        <v>2417</v>
      </c>
      <c r="B1989" t="s">
        <v>250</v>
      </c>
      <c r="C1989" t="s">
        <v>251</v>
      </c>
      <c r="D1989" t="s">
        <v>13</v>
      </c>
      <c r="E1989" t="s">
        <v>73</v>
      </c>
      <c r="F1989" t="str">
        <f>VLOOKUP(Ramen_Ratings[[#This Row],[Country]],Country_Region[#All],2,FALSE)</f>
        <v>Asia</v>
      </c>
      <c r="G1989">
        <v>3.75</v>
      </c>
      <c r="H1989" t="str" cm="1">
        <f t="array" ref="H1989">_xlfn.IFS(Ramen_Ratings[[#This Row],[Stars]] = "Unrated", "NA",Ramen_Ratings[[#This Row],[Stars]]&gt;=4, "Good", Ramen_Ratings[[#This Row],[Stars]]&gt;2.5, "Fair", Ramen_Ratings[[#This Row],[Stars]] &gt;= 0, "Bad")</f>
        <v>Fair</v>
      </c>
      <c r="J1989" t="str">
        <f>LEFT(Ramen_Ratings[[#This Row],[Top Ten]],4)</f>
        <v/>
      </c>
      <c r="K1989" t="str">
        <f>IF(Ramen_Ratings[[#This Row],[Top Ten]]="", "",RIGHT(Ramen_Ratings[[#This Row],[Top Ten]],LEN(Ramen_Ratings[[#This Row],[Top Ten]])-6))</f>
        <v/>
      </c>
    </row>
    <row r="1990" spans="1:11" x14ac:dyDescent="0.25">
      <c r="A1990">
        <v>2399</v>
      </c>
      <c r="B1990" t="s">
        <v>135</v>
      </c>
      <c r="C1990" t="s">
        <v>275</v>
      </c>
      <c r="D1990" t="s">
        <v>13</v>
      </c>
      <c r="E1990" t="s">
        <v>73</v>
      </c>
      <c r="F1990" t="str">
        <f>VLOOKUP(Ramen_Ratings[[#This Row],[Country]],Country_Region[#All],2,FALSE)</f>
        <v>Asia</v>
      </c>
      <c r="G1990">
        <v>4</v>
      </c>
      <c r="H1990" t="str" cm="1">
        <f t="array" ref="H1990">_xlfn.IFS(Ramen_Ratings[[#This Row],[Stars]] = "Unrated", "NA",Ramen_Ratings[[#This Row],[Stars]]&gt;=4, "Good", Ramen_Ratings[[#This Row],[Stars]]&gt;2.5, "Fair", Ramen_Ratings[[#This Row],[Stars]] &gt;= 0, "Bad")</f>
        <v>Good</v>
      </c>
      <c r="J1990" t="str">
        <f>LEFT(Ramen_Ratings[[#This Row],[Top Ten]],4)</f>
        <v/>
      </c>
      <c r="K1990" t="str">
        <f>IF(Ramen_Ratings[[#This Row],[Top Ten]]="", "",RIGHT(Ramen_Ratings[[#This Row],[Top Ten]],LEN(Ramen_Ratings[[#This Row],[Top Ten]])-6))</f>
        <v/>
      </c>
    </row>
    <row r="1991" spans="1:11" x14ac:dyDescent="0.25">
      <c r="A1991">
        <v>2374</v>
      </c>
      <c r="B1991" t="s">
        <v>221</v>
      </c>
      <c r="C1991" t="s">
        <v>305</v>
      </c>
      <c r="D1991" t="s">
        <v>13</v>
      </c>
      <c r="E1991" t="s">
        <v>73</v>
      </c>
      <c r="F1991" t="str">
        <f>VLOOKUP(Ramen_Ratings[[#This Row],[Country]],Country_Region[#All],2,FALSE)</f>
        <v>Asia</v>
      </c>
      <c r="G1991">
        <v>4.5</v>
      </c>
      <c r="H1991" t="str" cm="1">
        <f t="array" ref="H1991">_xlfn.IFS(Ramen_Ratings[[#This Row],[Stars]] = "Unrated", "NA",Ramen_Ratings[[#This Row],[Stars]]&gt;=4, "Good", Ramen_Ratings[[#This Row],[Stars]]&gt;2.5, "Fair", Ramen_Ratings[[#This Row],[Stars]] &gt;= 0, "Bad")</f>
        <v>Good</v>
      </c>
      <c r="J1991" t="str">
        <f>LEFT(Ramen_Ratings[[#This Row],[Top Ten]],4)</f>
        <v/>
      </c>
      <c r="K1991" t="str">
        <f>IF(Ramen_Ratings[[#This Row],[Top Ten]]="", "",RIGHT(Ramen_Ratings[[#This Row],[Top Ten]],LEN(Ramen_Ratings[[#This Row],[Top Ten]])-6))</f>
        <v/>
      </c>
    </row>
    <row r="1992" spans="1:11" x14ac:dyDescent="0.25">
      <c r="A1992">
        <v>2075</v>
      </c>
      <c r="B1992" t="s">
        <v>654</v>
      </c>
      <c r="C1992" t="s">
        <v>655</v>
      </c>
      <c r="D1992" t="s">
        <v>13</v>
      </c>
      <c r="E1992" t="s">
        <v>73</v>
      </c>
      <c r="F1992" t="str">
        <f>VLOOKUP(Ramen_Ratings[[#This Row],[Country]],Country_Region[#All],2,FALSE)</f>
        <v>Asia</v>
      </c>
      <c r="G1992">
        <v>4.5</v>
      </c>
      <c r="H1992" t="str" cm="1">
        <f t="array" ref="H1992">_xlfn.IFS(Ramen_Ratings[[#This Row],[Stars]] = "Unrated", "NA",Ramen_Ratings[[#This Row],[Stars]]&gt;=4, "Good", Ramen_Ratings[[#This Row],[Stars]]&gt;2.5, "Fair", Ramen_Ratings[[#This Row],[Stars]] &gt;= 0, "Bad")</f>
        <v>Good</v>
      </c>
      <c r="J1992" t="str">
        <f>LEFT(Ramen_Ratings[[#This Row],[Top Ten]],4)</f>
        <v/>
      </c>
      <c r="K1992" t="str">
        <f>IF(Ramen_Ratings[[#This Row],[Top Ten]]="", "",RIGHT(Ramen_Ratings[[#This Row],[Top Ten]],LEN(Ramen_Ratings[[#This Row],[Top Ten]])-6))</f>
        <v/>
      </c>
    </row>
    <row r="1993" spans="1:11" x14ac:dyDescent="0.25">
      <c r="A1993">
        <v>2052</v>
      </c>
      <c r="B1993" t="s">
        <v>135</v>
      </c>
      <c r="C1993" t="s">
        <v>682</v>
      </c>
      <c r="D1993" t="s">
        <v>9</v>
      </c>
      <c r="E1993" t="s">
        <v>73</v>
      </c>
      <c r="F1993" t="str">
        <f>VLOOKUP(Ramen_Ratings[[#This Row],[Country]],Country_Region[#All],2,FALSE)</f>
        <v>Asia</v>
      </c>
      <c r="G1993">
        <v>3.5</v>
      </c>
      <c r="H1993" t="str" cm="1">
        <f t="array" ref="H1993">_xlfn.IFS(Ramen_Ratings[[#This Row],[Stars]] = "Unrated", "NA",Ramen_Ratings[[#This Row],[Stars]]&gt;=4, "Good", Ramen_Ratings[[#This Row],[Stars]]&gt;2.5, "Fair", Ramen_Ratings[[#This Row],[Stars]] &gt;= 0, "Bad")</f>
        <v>Fair</v>
      </c>
      <c r="J1993" t="str">
        <f>LEFT(Ramen_Ratings[[#This Row],[Top Ten]],4)</f>
        <v/>
      </c>
      <c r="K1993" t="str">
        <f>IF(Ramen_Ratings[[#This Row],[Top Ten]]="", "",RIGHT(Ramen_Ratings[[#This Row],[Top Ten]],LEN(Ramen_Ratings[[#This Row],[Top Ten]])-6))</f>
        <v/>
      </c>
    </row>
    <row r="1994" spans="1:11" x14ac:dyDescent="0.25">
      <c r="A1994">
        <v>1922</v>
      </c>
      <c r="B1994" t="s">
        <v>834</v>
      </c>
      <c r="C1994" t="s">
        <v>835</v>
      </c>
      <c r="D1994" t="s">
        <v>9</v>
      </c>
      <c r="E1994" t="s">
        <v>73</v>
      </c>
      <c r="F1994" t="str">
        <f>VLOOKUP(Ramen_Ratings[[#This Row],[Country]],Country_Region[#All],2,FALSE)</f>
        <v>Asia</v>
      </c>
      <c r="G1994">
        <v>1.5</v>
      </c>
      <c r="H1994" t="str" cm="1">
        <f t="array" ref="H1994">_xlfn.IFS(Ramen_Ratings[[#This Row],[Stars]] = "Unrated", "NA",Ramen_Ratings[[#This Row],[Stars]]&gt;=4, "Good", Ramen_Ratings[[#This Row],[Stars]]&gt;2.5, "Fair", Ramen_Ratings[[#This Row],[Stars]] &gt;= 0, "Bad")</f>
        <v>Bad</v>
      </c>
      <c r="J1994" t="str">
        <f>LEFT(Ramen_Ratings[[#This Row],[Top Ten]],4)</f>
        <v/>
      </c>
      <c r="K1994" t="str">
        <f>IF(Ramen_Ratings[[#This Row],[Top Ten]]="", "",RIGHT(Ramen_Ratings[[#This Row],[Top Ten]],LEN(Ramen_Ratings[[#This Row],[Top Ten]])-6))</f>
        <v/>
      </c>
    </row>
    <row r="1995" spans="1:11" x14ac:dyDescent="0.25">
      <c r="A1995">
        <v>1856</v>
      </c>
      <c r="B1995" t="s">
        <v>135</v>
      </c>
      <c r="C1995" t="s">
        <v>908</v>
      </c>
      <c r="D1995" t="s">
        <v>9</v>
      </c>
      <c r="E1995" t="s">
        <v>73</v>
      </c>
      <c r="F1995" t="str">
        <f>VLOOKUP(Ramen_Ratings[[#This Row],[Country]],Country_Region[#All],2,FALSE)</f>
        <v>Asia</v>
      </c>
      <c r="G1995">
        <v>5</v>
      </c>
      <c r="H1995" t="str" cm="1">
        <f t="array" ref="H1995">_xlfn.IFS(Ramen_Ratings[[#This Row],[Stars]] = "Unrated", "NA",Ramen_Ratings[[#This Row],[Stars]]&gt;=4, "Good", Ramen_Ratings[[#This Row],[Stars]]&gt;2.5, "Fair", Ramen_Ratings[[#This Row],[Stars]] &gt;= 0, "Bad")</f>
        <v>Good</v>
      </c>
      <c r="J1995" t="str">
        <f>LEFT(Ramen_Ratings[[#This Row],[Top Ten]],4)</f>
        <v/>
      </c>
      <c r="K1995" t="str">
        <f>IF(Ramen_Ratings[[#This Row],[Top Ten]]="", "",RIGHT(Ramen_Ratings[[#This Row],[Top Ten]],LEN(Ramen_Ratings[[#This Row],[Top Ten]])-6))</f>
        <v/>
      </c>
    </row>
    <row r="1996" spans="1:11" x14ac:dyDescent="0.25">
      <c r="A1996">
        <v>1822</v>
      </c>
      <c r="B1996" t="s">
        <v>654</v>
      </c>
      <c r="C1996" t="s">
        <v>948</v>
      </c>
      <c r="D1996" t="s">
        <v>13</v>
      </c>
      <c r="E1996" t="s">
        <v>73</v>
      </c>
      <c r="F1996" t="str">
        <f>VLOOKUP(Ramen_Ratings[[#This Row],[Country]],Country_Region[#All],2,FALSE)</f>
        <v>Asia</v>
      </c>
      <c r="G1996">
        <v>3.5</v>
      </c>
      <c r="H1996" t="str" cm="1">
        <f t="array" ref="H1996">_xlfn.IFS(Ramen_Ratings[[#This Row],[Stars]] = "Unrated", "NA",Ramen_Ratings[[#This Row],[Stars]]&gt;=4, "Good", Ramen_Ratings[[#This Row],[Stars]]&gt;2.5, "Fair", Ramen_Ratings[[#This Row],[Stars]] &gt;= 0, "Bad")</f>
        <v>Fair</v>
      </c>
      <c r="J1996" t="str">
        <f>LEFT(Ramen_Ratings[[#This Row],[Top Ten]],4)</f>
        <v/>
      </c>
      <c r="K1996" t="str">
        <f>IF(Ramen_Ratings[[#This Row],[Top Ten]]="", "",RIGHT(Ramen_Ratings[[#This Row],[Top Ten]],LEN(Ramen_Ratings[[#This Row],[Top Ten]])-6))</f>
        <v/>
      </c>
    </row>
    <row r="1997" spans="1:11" x14ac:dyDescent="0.25">
      <c r="A1997">
        <v>1750</v>
      </c>
      <c r="B1997" t="s">
        <v>654</v>
      </c>
      <c r="C1997" t="s">
        <v>1030</v>
      </c>
      <c r="D1997" t="s">
        <v>9</v>
      </c>
      <c r="E1997" t="s">
        <v>73</v>
      </c>
      <c r="F1997" t="str">
        <f>VLOOKUP(Ramen_Ratings[[#This Row],[Country]],Country_Region[#All],2,FALSE)</f>
        <v>Asia</v>
      </c>
      <c r="G1997">
        <v>5</v>
      </c>
      <c r="H1997" t="str" cm="1">
        <f t="array" ref="H1997">_xlfn.IFS(Ramen_Ratings[[#This Row],[Stars]] = "Unrated", "NA",Ramen_Ratings[[#This Row],[Stars]]&gt;=4, "Good", Ramen_Ratings[[#This Row],[Stars]]&gt;2.5, "Fair", Ramen_Ratings[[#This Row],[Stars]] &gt;= 0, "Bad")</f>
        <v>Good</v>
      </c>
      <c r="J1997" t="str">
        <f>LEFT(Ramen_Ratings[[#This Row],[Top Ten]],4)</f>
        <v/>
      </c>
      <c r="K1997" t="str">
        <f>IF(Ramen_Ratings[[#This Row],[Top Ten]]="", "",RIGHT(Ramen_Ratings[[#This Row],[Top Ten]],LEN(Ramen_Ratings[[#This Row],[Top Ten]])-6))</f>
        <v/>
      </c>
    </row>
    <row r="1998" spans="1:11" x14ac:dyDescent="0.25">
      <c r="A1998">
        <v>1737</v>
      </c>
      <c r="B1998" t="s">
        <v>654</v>
      </c>
      <c r="C1998" t="s">
        <v>1043</v>
      </c>
      <c r="D1998" t="s">
        <v>9</v>
      </c>
      <c r="E1998" t="s">
        <v>73</v>
      </c>
      <c r="F1998" t="str">
        <f>VLOOKUP(Ramen_Ratings[[#This Row],[Country]],Country_Region[#All],2,FALSE)</f>
        <v>Asia</v>
      </c>
      <c r="G1998">
        <v>3.75</v>
      </c>
      <c r="H1998" t="str" cm="1">
        <f t="array" ref="H1998">_xlfn.IFS(Ramen_Ratings[[#This Row],[Stars]] = "Unrated", "NA",Ramen_Ratings[[#This Row],[Stars]]&gt;=4, "Good", Ramen_Ratings[[#This Row],[Stars]]&gt;2.5, "Fair", Ramen_Ratings[[#This Row],[Stars]] &gt;= 0, "Bad")</f>
        <v>Fair</v>
      </c>
      <c r="J1998" t="str">
        <f>LEFT(Ramen_Ratings[[#This Row],[Top Ten]],4)</f>
        <v/>
      </c>
      <c r="K1998" t="str">
        <f>IF(Ramen_Ratings[[#This Row],[Top Ten]]="", "",RIGHT(Ramen_Ratings[[#This Row],[Top Ten]],LEN(Ramen_Ratings[[#This Row],[Top Ten]])-6))</f>
        <v/>
      </c>
    </row>
    <row r="1999" spans="1:11" x14ac:dyDescent="0.25">
      <c r="A1999">
        <v>1721</v>
      </c>
      <c r="B1999" t="s">
        <v>1062</v>
      </c>
      <c r="C1999" t="s">
        <v>1063</v>
      </c>
      <c r="D1999" t="s">
        <v>13</v>
      </c>
      <c r="E1999" t="s">
        <v>73</v>
      </c>
      <c r="F1999" t="str">
        <f>VLOOKUP(Ramen_Ratings[[#This Row],[Country]],Country_Region[#All],2,FALSE)</f>
        <v>Asia</v>
      </c>
      <c r="G1999">
        <v>4.25</v>
      </c>
      <c r="H1999" t="str" cm="1">
        <f t="array" ref="H1999">_xlfn.IFS(Ramen_Ratings[[#This Row],[Stars]] = "Unrated", "NA",Ramen_Ratings[[#This Row],[Stars]]&gt;=4, "Good", Ramen_Ratings[[#This Row],[Stars]]&gt;2.5, "Fair", Ramen_Ratings[[#This Row],[Stars]] &gt;= 0, "Bad")</f>
        <v>Good</v>
      </c>
      <c r="J1999" t="str">
        <f>LEFT(Ramen_Ratings[[#This Row],[Top Ten]],4)</f>
        <v/>
      </c>
      <c r="K1999" t="str">
        <f>IF(Ramen_Ratings[[#This Row],[Top Ten]]="", "",RIGHT(Ramen_Ratings[[#This Row],[Top Ten]],LEN(Ramen_Ratings[[#This Row],[Top Ten]])-6))</f>
        <v/>
      </c>
    </row>
    <row r="2000" spans="1:11" x14ac:dyDescent="0.25">
      <c r="A2000">
        <v>1670</v>
      </c>
      <c r="B2000" t="s">
        <v>1121</v>
      </c>
      <c r="C2000" t="s">
        <v>1122</v>
      </c>
      <c r="D2000" t="s">
        <v>13</v>
      </c>
      <c r="E2000" t="s">
        <v>73</v>
      </c>
      <c r="F2000" t="str">
        <f>VLOOKUP(Ramen_Ratings[[#This Row],[Country]],Country_Region[#All],2,FALSE)</f>
        <v>Asia</v>
      </c>
      <c r="G2000">
        <v>3.75</v>
      </c>
      <c r="H2000" t="str" cm="1">
        <f t="array" ref="H2000">_xlfn.IFS(Ramen_Ratings[[#This Row],[Stars]] = "Unrated", "NA",Ramen_Ratings[[#This Row],[Stars]]&gt;=4, "Good", Ramen_Ratings[[#This Row],[Stars]]&gt;2.5, "Fair", Ramen_Ratings[[#This Row],[Stars]] &gt;= 0, "Bad")</f>
        <v>Fair</v>
      </c>
      <c r="J2000" t="str">
        <f>LEFT(Ramen_Ratings[[#This Row],[Top Ten]],4)</f>
        <v/>
      </c>
      <c r="K2000" t="str">
        <f>IF(Ramen_Ratings[[#This Row],[Top Ten]]="", "",RIGHT(Ramen_Ratings[[#This Row],[Top Ten]],LEN(Ramen_Ratings[[#This Row],[Top Ten]])-6))</f>
        <v/>
      </c>
    </row>
    <row r="2001" spans="1:11" x14ac:dyDescent="0.25">
      <c r="A2001">
        <v>1603</v>
      </c>
      <c r="B2001" t="s">
        <v>1062</v>
      </c>
      <c r="C2001" t="s">
        <v>1211</v>
      </c>
      <c r="D2001" t="s">
        <v>13</v>
      </c>
      <c r="E2001" t="s">
        <v>73</v>
      </c>
      <c r="F2001" t="str">
        <f>VLOOKUP(Ramen_Ratings[[#This Row],[Country]],Country_Region[#All],2,FALSE)</f>
        <v>Asia</v>
      </c>
      <c r="G2001">
        <v>5</v>
      </c>
      <c r="H2001" t="str" cm="1">
        <f t="array" ref="H2001">_xlfn.IFS(Ramen_Ratings[[#This Row],[Stars]] = "Unrated", "NA",Ramen_Ratings[[#This Row],[Stars]]&gt;=4, "Good", Ramen_Ratings[[#This Row],[Stars]]&gt;2.5, "Fair", Ramen_Ratings[[#This Row],[Stars]] &gt;= 0, "Bad")</f>
        <v>Good</v>
      </c>
      <c r="J2001" t="str">
        <f>LEFT(Ramen_Ratings[[#This Row],[Top Ten]],4)</f>
        <v/>
      </c>
      <c r="K2001" t="str">
        <f>IF(Ramen_Ratings[[#This Row],[Top Ten]]="", "",RIGHT(Ramen_Ratings[[#This Row],[Top Ten]],LEN(Ramen_Ratings[[#This Row],[Top Ten]])-6))</f>
        <v/>
      </c>
    </row>
    <row r="2002" spans="1:11" x14ac:dyDescent="0.25">
      <c r="A2002">
        <v>1494</v>
      </c>
      <c r="B2002" t="s">
        <v>135</v>
      </c>
      <c r="C2002" t="s">
        <v>1337</v>
      </c>
      <c r="D2002" t="s">
        <v>9</v>
      </c>
      <c r="E2002" t="s">
        <v>73</v>
      </c>
      <c r="F2002" t="str">
        <f>VLOOKUP(Ramen_Ratings[[#This Row],[Country]],Country_Region[#All],2,FALSE)</f>
        <v>Asia</v>
      </c>
      <c r="G2002">
        <v>3.5</v>
      </c>
      <c r="H2002" t="str" cm="1">
        <f t="array" ref="H2002">_xlfn.IFS(Ramen_Ratings[[#This Row],[Stars]] = "Unrated", "NA",Ramen_Ratings[[#This Row],[Stars]]&gt;=4, "Good", Ramen_Ratings[[#This Row],[Stars]]&gt;2.5, "Fair", Ramen_Ratings[[#This Row],[Stars]] &gt;= 0, "Bad")</f>
        <v>Fair</v>
      </c>
      <c r="J2002" t="str">
        <f>LEFT(Ramen_Ratings[[#This Row],[Top Ten]],4)</f>
        <v/>
      </c>
      <c r="K2002" t="str">
        <f>IF(Ramen_Ratings[[#This Row],[Top Ten]]="", "",RIGHT(Ramen_Ratings[[#This Row],[Top Ten]],LEN(Ramen_Ratings[[#This Row],[Top Ten]])-6))</f>
        <v/>
      </c>
    </row>
    <row r="2003" spans="1:11" x14ac:dyDescent="0.25">
      <c r="A2003">
        <v>1406</v>
      </c>
      <c r="B2003" t="s">
        <v>1424</v>
      </c>
      <c r="C2003" t="s">
        <v>1425</v>
      </c>
      <c r="D2003" t="s">
        <v>13</v>
      </c>
      <c r="E2003" t="s">
        <v>73</v>
      </c>
      <c r="F2003" t="str">
        <f>VLOOKUP(Ramen_Ratings[[#This Row],[Country]],Country_Region[#All],2,FALSE)</f>
        <v>Asia</v>
      </c>
      <c r="G2003">
        <v>3.75</v>
      </c>
      <c r="H2003" t="str" cm="1">
        <f t="array" ref="H2003">_xlfn.IFS(Ramen_Ratings[[#This Row],[Stars]] = "Unrated", "NA",Ramen_Ratings[[#This Row],[Stars]]&gt;=4, "Good", Ramen_Ratings[[#This Row],[Stars]]&gt;2.5, "Fair", Ramen_Ratings[[#This Row],[Stars]] &gt;= 0, "Bad")</f>
        <v>Fair</v>
      </c>
      <c r="J2003" t="str">
        <f>LEFT(Ramen_Ratings[[#This Row],[Top Ten]],4)</f>
        <v/>
      </c>
      <c r="K2003" t="str">
        <f>IF(Ramen_Ratings[[#This Row],[Top Ten]]="", "",RIGHT(Ramen_Ratings[[#This Row],[Top Ten]],LEN(Ramen_Ratings[[#This Row],[Top Ten]])-6))</f>
        <v/>
      </c>
    </row>
    <row r="2004" spans="1:11" x14ac:dyDescent="0.25">
      <c r="A2004">
        <v>1402</v>
      </c>
      <c r="B2004" t="s">
        <v>1431</v>
      </c>
      <c r="C2004" t="s">
        <v>1432</v>
      </c>
      <c r="D2004" t="s">
        <v>13</v>
      </c>
      <c r="E2004" t="s">
        <v>73</v>
      </c>
      <c r="F2004" t="str">
        <f>VLOOKUP(Ramen_Ratings[[#This Row],[Country]],Country_Region[#All],2,FALSE)</f>
        <v>Asia</v>
      </c>
      <c r="G2004">
        <v>3.75</v>
      </c>
      <c r="H2004" t="str" cm="1">
        <f t="array" ref="H2004">_xlfn.IFS(Ramen_Ratings[[#This Row],[Stars]] = "Unrated", "NA",Ramen_Ratings[[#This Row],[Stars]]&gt;=4, "Good", Ramen_Ratings[[#This Row],[Stars]]&gt;2.5, "Fair", Ramen_Ratings[[#This Row],[Stars]] &gt;= 0, "Bad")</f>
        <v>Fair</v>
      </c>
      <c r="J2004" t="str">
        <f>LEFT(Ramen_Ratings[[#This Row],[Top Ten]],4)</f>
        <v/>
      </c>
      <c r="K2004" t="str">
        <f>IF(Ramen_Ratings[[#This Row],[Top Ten]]="", "",RIGHT(Ramen_Ratings[[#This Row],[Top Ten]],LEN(Ramen_Ratings[[#This Row],[Top Ten]])-6))</f>
        <v/>
      </c>
    </row>
    <row r="2005" spans="1:11" x14ac:dyDescent="0.25">
      <c r="A2005">
        <v>1390</v>
      </c>
      <c r="B2005" t="s">
        <v>135</v>
      </c>
      <c r="C2005" t="s">
        <v>1447</v>
      </c>
      <c r="D2005" t="s">
        <v>13</v>
      </c>
      <c r="E2005" t="s">
        <v>73</v>
      </c>
      <c r="F2005" t="str">
        <f>VLOOKUP(Ramen_Ratings[[#This Row],[Country]],Country_Region[#All],2,FALSE)</f>
        <v>Asia</v>
      </c>
      <c r="G2005">
        <v>4.75</v>
      </c>
      <c r="H2005" t="str" cm="1">
        <f t="array" ref="H2005">_xlfn.IFS(Ramen_Ratings[[#This Row],[Stars]] = "Unrated", "NA",Ramen_Ratings[[#This Row],[Stars]]&gt;=4, "Good", Ramen_Ratings[[#This Row],[Stars]]&gt;2.5, "Fair", Ramen_Ratings[[#This Row],[Stars]] &gt;= 0, "Bad")</f>
        <v>Good</v>
      </c>
      <c r="J2005" t="str">
        <f>LEFT(Ramen_Ratings[[#This Row],[Top Ten]],4)</f>
        <v/>
      </c>
      <c r="K2005" t="str">
        <f>IF(Ramen_Ratings[[#This Row],[Top Ten]]="", "",RIGHT(Ramen_Ratings[[#This Row],[Top Ten]],LEN(Ramen_Ratings[[#This Row],[Top Ten]])-6))</f>
        <v/>
      </c>
    </row>
    <row r="2006" spans="1:11" x14ac:dyDescent="0.25">
      <c r="A2006">
        <v>1340</v>
      </c>
      <c r="B2006" t="s">
        <v>135</v>
      </c>
      <c r="C2006" t="s">
        <v>1500</v>
      </c>
      <c r="D2006" t="s">
        <v>13</v>
      </c>
      <c r="E2006" t="s">
        <v>73</v>
      </c>
      <c r="F2006" t="str">
        <f>VLOOKUP(Ramen_Ratings[[#This Row],[Country]],Country_Region[#All],2,FALSE)</f>
        <v>Asia</v>
      </c>
      <c r="G2006">
        <v>2.75</v>
      </c>
      <c r="H2006" t="str" cm="1">
        <f t="array" ref="H2006">_xlfn.IFS(Ramen_Ratings[[#This Row],[Stars]] = "Unrated", "NA",Ramen_Ratings[[#This Row],[Stars]]&gt;=4, "Good", Ramen_Ratings[[#This Row],[Stars]]&gt;2.5, "Fair", Ramen_Ratings[[#This Row],[Stars]] &gt;= 0, "Bad")</f>
        <v>Fair</v>
      </c>
      <c r="J2006" t="str">
        <f>LEFT(Ramen_Ratings[[#This Row],[Top Ten]],4)</f>
        <v/>
      </c>
      <c r="K2006" t="str">
        <f>IF(Ramen_Ratings[[#This Row],[Top Ten]]="", "",RIGHT(Ramen_Ratings[[#This Row],[Top Ten]],LEN(Ramen_Ratings[[#This Row],[Top Ten]])-6))</f>
        <v/>
      </c>
    </row>
    <row r="2007" spans="1:11" x14ac:dyDescent="0.25">
      <c r="A2007">
        <v>1331</v>
      </c>
      <c r="B2007" t="s">
        <v>135</v>
      </c>
      <c r="C2007" t="s">
        <v>1511</v>
      </c>
      <c r="D2007" t="s">
        <v>13</v>
      </c>
      <c r="E2007" t="s">
        <v>73</v>
      </c>
      <c r="F2007" t="str">
        <f>VLOOKUP(Ramen_Ratings[[#This Row],[Country]],Country_Region[#All],2,FALSE)</f>
        <v>Asia</v>
      </c>
      <c r="G2007">
        <v>3.75</v>
      </c>
      <c r="H2007" t="str" cm="1">
        <f t="array" ref="H2007">_xlfn.IFS(Ramen_Ratings[[#This Row],[Stars]] = "Unrated", "NA",Ramen_Ratings[[#This Row],[Stars]]&gt;=4, "Good", Ramen_Ratings[[#This Row],[Stars]]&gt;2.5, "Fair", Ramen_Ratings[[#This Row],[Stars]] &gt;= 0, "Bad")</f>
        <v>Fair</v>
      </c>
      <c r="J2007" t="str">
        <f>LEFT(Ramen_Ratings[[#This Row],[Top Ten]],4)</f>
        <v/>
      </c>
      <c r="K2007" t="str">
        <f>IF(Ramen_Ratings[[#This Row],[Top Ten]]="", "",RIGHT(Ramen_Ratings[[#This Row],[Top Ten]],LEN(Ramen_Ratings[[#This Row],[Top Ten]])-6))</f>
        <v/>
      </c>
    </row>
    <row r="2008" spans="1:11" x14ac:dyDescent="0.25">
      <c r="A2008">
        <v>1313</v>
      </c>
      <c r="B2008" t="s">
        <v>1529</v>
      </c>
      <c r="C2008" t="s">
        <v>1530</v>
      </c>
      <c r="D2008" t="s">
        <v>13</v>
      </c>
      <c r="E2008" t="s">
        <v>73</v>
      </c>
      <c r="F2008" t="str">
        <f>VLOOKUP(Ramen_Ratings[[#This Row],[Country]],Country_Region[#All],2,FALSE)</f>
        <v>Asia</v>
      </c>
      <c r="G2008">
        <v>3.25</v>
      </c>
      <c r="H2008" t="str" cm="1">
        <f t="array" ref="H2008">_xlfn.IFS(Ramen_Ratings[[#This Row],[Stars]] = "Unrated", "NA",Ramen_Ratings[[#This Row],[Stars]]&gt;=4, "Good", Ramen_Ratings[[#This Row],[Stars]]&gt;2.5, "Fair", Ramen_Ratings[[#This Row],[Stars]] &gt;= 0, "Bad")</f>
        <v>Fair</v>
      </c>
      <c r="J2008" t="str">
        <f>LEFT(Ramen_Ratings[[#This Row],[Top Ten]],4)</f>
        <v/>
      </c>
      <c r="K2008" t="str">
        <f>IF(Ramen_Ratings[[#This Row],[Top Ten]]="", "",RIGHT(Ramen_Ratings[[#This Row],[Top Ten]],LEN(Ramen_Ratings[[#This Row],[Top Ten]])-6))</f>
        <v/>
      </c>
    </row>
    <row r="2009" spans="1:11" x14ac:dyDescent="0.25">
      <c r="A2009">
        <v>1311</v>
      </c>
      <c r="B2009" t="s">
        <v>1431</v>
      </c>
      <c r="C2009" t="s">
        <v>1532</v>
      </c>
      <c r="D2009" t="s">
        <v>13</v>
      </c>
      <c r="E2009" t="s">
        <v>73</v>
      </c>
      <c r="F2009" t="str">
        <f>VLOOKUP(Ramen_Ratings[[#This Row],[Country]],Country_Region[#All],2,FALSE)</f>
        <v>Asia</v>
      </c>
      <c r="G2009">
        <v>4</v>
      </c>
      <c r="H2009" t="str" cm="1">
        <f t="array" ref="H2009">_xlfn.IFS(Ramen_Ratings[[#This Row],[Stars]] = "Unrated", "NA",Ramen_Ratings[[#This Row],[Stars]]&gt;=4, "Good", Ramen_Ratings[[#This Row],[Stars]]&gt;2.5, "Fair", Ramen_Ratings[[#This Row],[Stars]] &gt;= 0, "Bad")</f>
        <v>Good</v>
      </c>
      <c r="J2009" t="str">
        <f>LEFT(Ramen_Ratings[[#This Row],[Top Ten]],4)</f>
        <v/>
      </c>
      <c r="K2009" t="str">
        <f>IF(Ramen_Ratings[[#This Row],[Top Ten]]="", "",RIGHT(Ramen_Ratings[[#This Row],[Top Ten]],LEN(Ramen_Ratings[[#This Row],[Top Ten]])-6))</f>
        <v/>
      </c>
    </row>
    <row r="2010" spans="1:11" x14ac:dyDescent="0.25">
      <c r="A2010">
        <v>1297</v>
      </c>
      <c r="B2010" t="s">
        <v>1550</v>
      </c>
      <c r="C2010" t="s">
        <v>1551</v>
      </c>
      <c r="D2010" t="s">
        <v>13</v>
      </c>
      <c r="E2010" t="s">
        <v>73</v>
      </c>
      <c r="F2010" t="str">
        <f>VLOOKUP(Ramen_Ratings[[#This Row],[Country]],Country_Region[#All],2,FALSE)</f>
        <v>Asia</v>
      </c>
      <c r="G2010">
        <v>3.25</v>
      </c>
      <c r="H2010" t="str" cm="1">
        <f t="array" ref="H2010">_xlfn.IFS(Ramen_Ratings[[#This Row],[Stars]] = "Unrated", "NA",Ramen_Ratings[[#This Row],[Stars]]&gt;=4, "Good", Ramen_Ratings[[#This Row],[Stars]]&gt;2.5, "Fair", Ramen_Ratings[[#This Row],[Stars]] &gt;= 0, "Bad")</f>
        <v>Fair</v>
      </c>
      <c r="J2010" t="str">
        <f>LEFT(Ramen_Ratings[[#This Row],[Top Ten]],4)</f>
        <v/>
      </c>
      <c r="K2010" t="str">
        <f>IF(Ramen_Ratings[[#This Row],[Top Ten]]="", "",RIGHT(Ramen_Ratings[[#This Row],[Top Ten]],LEN(Ramen_Ratings[[#This Row],[Top Ten]])-6))</f>
        <v/>
      </c>
    </row>
    <row r="2011" spans="1:11" x14ac:dyDescent="0.25">
      <c r="A2011">
        <v>1267</v>
      </c>
      <c r="B2011" t="s">
        <v>1583</v>
      </c>
      <c r="C2011" t="s">
        <v>1584</v>
      </c>
      <c r="D2011" t="s">
        <v>9</v>
      </c>
      <c r="E2011" t="s">
        <v>73</v>
      </c>
      <c r="F2011" t="str">
        <f>VLOOKUP(Ramen_Ratings[[#This Row],[Country]],Country_Region[#All],2,FALSE)</f>
        <v>Asia</v>
      </c>
      <c r="G2011">
        <v>3.75</v>
      </c>
      <c r="H2011" t="str" cm="1">
        <f t="array" ref="H2011">_xlfn.IFS(Ramen_Ratings[[#This Row],[Stars]] = "Unrated", "NA",Ramen_Ratings[[#This Row],[Stars]]&gt;=4, "Good", Ramen_Ratings[[#This Row],[Stars]]&gt;2.5, "Fair", Ramen_Ratings[[#This Row],[Stars]] &gt;= 0, "Bad")</f>
        <v>Fair</v>
      </c>
      <c r="J2011" t="str">
        <f>LEFT(Ramen_Ratings[[#This Row],[Top Ten]],4)</f>
        <v/>
      </c>
      <c r="K2011" t="str">
        <f>IF(Ramen_Ratings[[#This Row],[Top Ten]]="", "",RIGHT(Ramen_Ratings[[#This Row],[Top Ten]],LEN(Ramen_Ratings[[#This Row],[Top Ten]])-6))</f>
        <v/>
      </c>
    </row>
    <row r="2012" spans="1:11" x14ac:dyDescent="0.25">
      <c r="A2012">
        <v>1266</v>
      </c>
      <c r="B2012" t="s">
        <v>1583</v>
      </c>
      <c r="C2012" t="s">
        <v>1585</v>
      </c>
      <c r="D2012" t="s">
        <v>9</v>
      </c>
      <c r="E2012" t="s">
        <v>73</v>
      </c>
      <c r="F2012" t="str">
        <f>VLOOKUP(Ramen_Ratings[[#This Row],[Country]],Country_Region[#All],2,FALSE)</f>
        <v>Asia</v>
      </c>
      <c r="G2012">
        <v>4</v>
      </c>
      <c r="H2012" t="str" cm="1">
        <f t="array" ref="H2012">_xlfn.IFS(Ramen_Ratings[[#This Row],[Stars]] = "Unrated", "NA",Ramen_Ratings[[#This Row],[Stars]]&gt;=4, "Good", Ramen_Ratings[[#This Row],[Stars]]&gt;2.5, "Fair", Ramen_Ratings[[#This Row],[Stars]] &gt;= 0, "Bad")</f>
        <v>Good</v>
      </c>
      <c r="J2012" t="str">
        <f>LEFT(Ramen_Ratings[[#This Row],[Top Ten]],4)</f>
        <v/>
      </c>
      <c r="K2012" t="str">
        <f>IF(Ramen_Ratings[[#This Row],[Top Ten]]="", "",RIGHT(Ramen_Ratings[[#This Row],[Top Ten]],LEN(Ramen_Ratings[[#This Row],[Top Ten]])-6))</f>
        <v/>
      </c>
    </row>
    <row r="2013" spans="1:11" x14ac:dyDescent="0.25">
      <c r="A2013">
        <v>1265</v>
      </c>
      <c r="B2013" t="s">
        <v>1583</v>
      </c>
      <c r="C2013" t="s">
        <v>1586</v>
      </c>
      <c r="D2013" t="s">
        <v>9</v>
      </c>
      <c r="E2013" t="s">
        <v>73</v>
      </c>
      <c r="F2013" t="str">
        <f>VLOOKUP(Ramen_Ratings[[#This Row],[Country]],Country_Region[#All],2,FALSE)</f>
        <v>Asia</v>
      </c>
      <c r="G2013">
        <v>3.75</v>
      </c>
      <c r="H2013" t="str" cm="1">
        <f t="array" ref="H2013">_xlfn.IFS(Ramen_Ratings[[#This Row],[Stars]] = "Unrated", "NA",Ramen_Ratings[[#This Row],[Stars]]&gt;=4, "Good", Ramen_Ratings[[#This Row],[Stars]]&gt;2.5, "Fair", Ramen_Ratings[[#This Row],[Stars]] &gt;= 0, "Bad")</f>
        <v>Fair</v>
      </c>
      <c r="J2013" t="str">
        <f>LEFT(Ramen_Ratings[[#This Row],[Top Ten]],4)</f>
        <v/>
      </c>
      <c r="K2013" t="str">
        <f>IF(Ramen_Ratings[[#This Row],[Top Ten]]="", "",RIGHT(Ramen_Ratings[[#This Row],[Top Ten]],LEN(Ramen_Ratings[[#This Row],[Top Ten]])-6))</f>
        <v/>
      </c>
    </row>
    <row r="2014" spans="1:11" x14ac:dyDescent="0.25">
      <c r="A2014">
        <v>1264</v>
      </c>
      <c r="B2014" t="s">
        <v>1583</v>
      </c>
      <c r="C2014" t="s">
        <v>1587</v>
      </c>
      <c r="D2014" t="s">
        <v>9</v>
      </c>
      <c r="E2014" t="s">
        <v>73</v>
      </c>
      <c r="F2014" t="str">
        <f>VLOOKUP(Ramen_Ratings[[#This Row],[Country]],Country_Region[#All],2,FALSE)</f>
        <v>Asia</v>
      </c>
      <c r="G2014">
        <v>4.25</v>
      </c>
      <c r="H2014" t="str" cm="1">
        <f t="array" ref="H2014">_xlfn.IFS(Ramen_Ratings[[#This Row],[Stars]] = "Unrated", "NA",Ramen_Ratings[[#This Row],[Stars]]&gt;=4, "Good", Ramen_Ratings[[#This Row],[Stars]]&gt;2.5, "Fair", Ramen_Ratings[[#This Row],[Stars]] &gt;= 0, "Bad")</f>
        <v>Good</v>
      </c>
      <c r="J2014" t="str">
        <f>LEFT(Ramen_Ratings[[#This Row],[Top Ten]],4)</f>
        <v/>
      </c>
      <c r="K2014" t="str">
        <f>IF(Ramen_Ratings[[#This Row],[Top Ten]]="", "",RIGHT(Ramen_Ratings[[#This Row],[Top Ten]],LEN(Ramen_Ratings[[#This Row],[Top Ten]])-6))</f>
        <v/>
      </c>
    </row>
    <row r="2015" spans="1:11" x14ac:dyDescent="0.25">
      <c r="A2015">
        <v>1262</v>
      </c>
      <c r="B2015" t="s">
        <v>1583</v>
      </c>
      <c r="C2015" t="s">
        <v>1589</v>
      </c>
      <c r="D2015" t="s">
        <v>9</v>
      </c>
      <c r="E2015" t="s">
        <v>73</v>
      </c>
      <c r="F2015" t="str">
        <f>VLOOKUP(Ramen_Ratings[[#This Row],[Country]],Country_Region[#All],2,FALSE)</f>
        <v>Asia</v>
      </c>
      <c r="G2015">
        <v>3.75</v>
      </c>
      <c r="H2015" t="str" cm="1">
        <f t="array" ref="H2015">_xlfn.IFS(Ramen_Ratings[[#This Row],[Stars]] = "Unrated", "NA",Ramen_Ratings[[#This Row],[Stars]]&gt;=4, "Good", Ramen_Ratings[[#This Row],[Stars]]&gt;2.5, "Fair", Ramen_Ratings[[#This Row],[Stars]] &gt;= 0, "Bad")</f>
        <v>Fair</v>
      </c>
      <c r="J2015" t="str">
        <f>LEFT(Ramen_Ratings[[#This Row],[Top Ten]],4)</f>
        <v/>
      </c>
      <c r="K2015" t="str">
        <f>IF(Ramen_Ratings[[#This Row],[Top Ten]]="", "",RIGHT(Ramen_Ratings[[#This Row],[Top Ten]],LEN(Ramen_Ratings[[#This Row],[Top Ten]])-6))</f>
        <v/>
      </c>
    </row>
    <row r="2016" spans="1:11" x14ac:dyDescent="0.25">
      <c r="A2016">
        <v>1261</v>
      </c>
      <c r="B2016" t="s">
        <v>1590</v>
      </c>
      <c r="C2016" t="s">
        <v>1591</v>
      </c>
      <c r="D2016" t="s">
        <v>9</v>
      </c>
      <c r="E2016" t="s">
        <v>73</v>
      </c>
      <c r="F2016" t="str">
        <f>VLOOKUP(Ramen_Ratings[[#This Row],[Country]],Country_Region[#All],2,FALSE)</f>
        <v>Asia</v>
      </c>
      <c r="G2016">
        <v>3.75</v>
      </c>
      <c r="H2016" t="str" cm="1">
        <f t="array" ref="H2016">_xlfn.IFS(Ramen_Ratings[[#This Row],[Stars]] = "Unrated", "NA",Ramen_Ratings[[#This Row],[Stars]]&gt;=4, "Good", Ramen_Ratings[[#This Row],[Stars]]&gt;2.5, "Fair", Ramen_Ratings[[#This Row],[Stars]] &gt;= 0, "Bad")</f>
        <v>Fair</v>
      </c>
      <c r="J2016" t="str">
        <f>LEFT(Ramen_Ratings[[#This Row],[Top Ten]],4)</f>
        <v/>
      </c>
      <c r="K2016" t="str">
        <f>IF(Ramen_Ratings[[#This Row],[Top Ten]]="", "",RIGHT(Ramen_Ratings[[#This Row],[Top Ten]],LEN(Ramen_Ratings[[#This Row],[Top Ten]])-6))</f>
        <v/>
      </c>
    </row>
    <row r="2017" spans="1:11" x14ac:dyDescent="0.25">
      <c r="A2017">
        <v>1260</v>
      </c>
      <c r="B2017" t="s">
        <v>1583</v>
      </c>
      <c r="C2017" t="s">
        <v>1592</v>
      </c>
      <c r="D2017" t="s">
        <v>13</v>
      </c>
      <c r="E2017" t="s">
        <v>73</v>
      </c>
      <c r="F2017" t="str">
        <f>VLOOKUP(Ramen_Ratings[[#This Row],[Country]],Country_Region[#All],2,FALSE)</f>
        <v>Asia</v>
      </c>
      <c r="G2017">
        <v>5</v>
      </c>
      <c r="H2017" t="str" cm="1">
        <f t="array" ref="H2017">_xlfn.IFS(Ramen_Ratings[[#This Row],[Stars]] = "Unrated", "NA",Ramen_Ratings[[#This Row],[Stars]]&gt;=4, "Good", Ramen_Ratings[[#This Row],[Stars]]&gt;2.5, "Fair", Ramen_Ratings[[#This Row],[Stars]] &gt;= 0, "Bad")</f>
        <v>Good</v>
      </c>
      <c r="J2017" t="str">
        <f>LEFT(Ramen_Ratings[[#This Row],[Top Ten]],4)</f>
        <v/>
      </c>
      <c r="K2017" t="str">
        <f>IF(Ramen_Ratings[[#This Row],[Top Ten]]="", "",RIGHT(Ramen_Ratings[[#This Row],[Top Ten]],LEN(Ramen_Ratings[[#This Row],[Top Ten]])-6))</f>
        <v/>
      </c>
    </row>
    <row r="2018" spans="1:11" x14ac:dyDescent="0.25">
      <c r="A2018">
        <v>1259</v>
      </c>
      <c r="B2018" t="s">
        <v>1590</v>
      </c>
      <c r="C2018" t="s">
        <v>1593</v>
      </c>
      <c r="D2018" t="s">
        <v>9</v>
      </c>
      <c r="E2018" t="s">
        <v>73</v>
      </c>
      <c r="F2018" t="str">
        <f>VLOOKUP(Ramen_Ratings[[#This Row],[Country]],Country_Region[#All],2,FALSE)</f>
        <v>Asia</v>
      </c>
      <c r="G2018">
        <v>3.75</v>
      </c>
      <c r="H2018" t="str" cm="1">
        <f t="array" ref="H2018">_xlfn.IFS(Ramen_Ratings[[#This Row],[Stars]] = "Unrated", "NA",Ramen_Ratings[[#This Row],[Stars]]&gt;=4, "Good", Ramen_Ratings[[#This Row],[Stars]]&gt;2.5, "Fair", Ramen_Ratings[[#This Row],[Stars]] &gt;= 0, "Bad")</f>
        <v>Fair</v>
      </c>
      <c r="J2018" t="str">
        <f>LEFT(Ramen_Ratings[[#This Row],[Top Ten]],4)</f>
        <v/>
      </c>
      <c r="K2018" t="str">
        <f>IF(Ramen_Ratings[[#This Row],[Top Ten]]="", "",RIGHT(Ramen_Ratings[[#This Row],[Top Ten]],LEN(Ramen_Ratings[[#This Row],[Top Ten]])-6))</f>
        <v/>
      </c>
    </row>
    <row r="2019" spans="1:11" x14ac:dyDescent="0.25">
      <c r="A2019">
        <v>1258</v>
      </c>
      <c r="B2019" t="s">
        <v>1594</v>
      </c>
      <c r="C2019" t="s">
        <v>1595</v>
      </c>
      <c r="D2019" t="s">
        <v>13</v>
      </c>
      <c r="E2019" t="s">
        <v>73</v>
      </c>
      <c r="F2019" t="str">
        <f>VLOOKUP(Ramen_Ratings[[#This Row],[Country]],Country_Region[#All],2,FALSE)</f>
        <v>Asia</v>
      </c>
      <c r="G2019">
        <v>4.5</v>
      </c>
      <c r="H2019" t="str" cm="1">
        <f t="array" ref="H2019">_xlfn.IFS(Ramen_Ratings[[#This Row],[Stars]] = "Unrated", "NA",Ramen_Ratings[[#This Row],[Stars]]&gt;=4, "Good", Ramen_Ratings[[#This Row],[Stars]]&gt;2.5, "Fair", Ramen_Ratings[[#This Row],[Stars]] &gt;= 0, "Bad")</f>
        <v>Good</v>
      </c>
      <c r="J2019" t="str">
        <f>LEFT(Ramen_Ratings[[#This Row],[Top Ten]],4)</f>
        <v/>
      </c>
      <c r="K2019" t="str">
        <f>IF(Ramen_Ratings[[#This Row],[Top Ten]]="", "",RIGHT(Ramen_Ratings[[#This Row],[Top Ten]],LEN(Ramen_Ratings[[#This Row],[Top Ten]])-6))</f>
        <v/>
      </c>
    </row>
    <row r="2020" spans="1:11" x14ac:dyDescent="0.25">
      <c r="A2020">
        <v>1257</v>
      </c>
      <c r="B2020" t="s">
        <v>1583</v>
      </c>
      <c r="C2020" t="s">
        <v>1596</v>
      </c>
      <c r="D2020" t="s">
        <v>9</v>
      </c>
      <c r="E2020" t="s">
        <v>73</v>
      </c>
      <c r="F2020" t="str">
        <f>VLOOKUP(Ramen_Ratings[[#This Row],[Country]],Country_Region[#All],2,FALSE)</f>
        <v>Asia</v>
      </c>
      <c r="G2020">
        <v>4</v>
      </c>
      <c r="H2020" t="str" cm="1">
        <f t="array" ref="H2020">_xlfn.IFS(Ramen_Ratings[[#This Row],[Stars]] = "Unrated", "NA",Ramen_Ratings[[#This Row],[Stars]]&gt;=4, "Good", Ramen_Ratings[[#This Row],[Stars]]&gt;2.5, "Fair", Ramen_Ratings[[#This Row],[Stars]] &gt;= 0, "Bad")</f>
        <v>Good</v>
      </c>
      <c r="J2020" t="str">
        <f>LEFT(Ramen_Ratings[[#This Row],[Top Ten]],4)</f>
        <v/>
      </c>
      <c r="K2020" t="str">
        <f>IF(Ramen_Ratings[[#This Row],[Top Ten]]="", "",RIGHT(Ramen_Ratings[[#This Row],[Top Ten]],LEN(Ramen_Ratings[[#This Row],[Top Ten]])-6))</f>
        <v/>
      </c>
    </row>
    <row r="2021" spans="1:11" x14ac:dyDescent="0.25">
      <c r="A2021">
        <v>1256</v>
      </c>
      <c r="B2021" t="s">
        <v>1590</v>
      </c>
      <c r="C2021" t="s">
        <v>1597</v>
      </c>
      <c r="D2021" t="s">
        <v>9</v>
      </c>
      <c r="E2021" t="s">
        <v>73</v>
      </c>
      <c r="F2021" t="str">
        <f>VLOOKUP(Ramen_Ratings[[#This Row],[Country]],Country_Region[#All],2,FALSE)</f>
        <v>Asia</v>
      </c>
      <c r="G2021">
        <v>4.25</v>
      </c>
      <c r="H2021" t="str" cm="1">
        <f t="array" ref="H2021">_xlfn.IFS(Ramen_Ratings[[#This Row],[Stars]] = "Unrated", "NA",Ramen_Ratings[[#This Row],[Stars]]&gt;=4, "Good", Ramen_Ratings[[#This Row],[Stars]]&gt;2.5, "Fair", Ramen_Ratings[[#This Row],[Stars]] &gt;= 0, "Bad")</f>
        <v>Good</v>
      </c>
      <c r="J2021" t="str">
        <f>LEFT(Ramen_Ratings[[#This Row],[Top Ten]],4)</f>
        <v/>
      </c>
      <c r="K2021" t="str">
        <f>IF(Ramen_Ratings[[#This Row],[Top Ten]]="", "",RIGHT(Ramen_Ratings[[#This Row],[Top Ten]],LEN(Ramen_Ratings[[#This Row],[Top Ten]])-6))</f>
        <v/>
      </c>
    </row>
    <row r="2022" spans="1:11" x14ac:dyDescent="0.25">
      <c r="A2022">
        <v>1239</v>
      </c>
      <c r="B2022" t="s">
        <v>1613</v>
      </c>
      <c r="C2022" t="s">
        <v>1614</v>
      </c>
      <c r="D2022" t="s">
        <v>13</v>
      </c>
      <c r="E2022" t="s">
        <v>73</v>
      </c>
      <c r="F2022" t="str">
        <f>VLOOKUP(Ramen_Ratings[[#This Row],[Country]],Country_Region[#All],2,FALSE)</f>
        <v>Asia</v>
      </c>
      <c r="G2022">
        <v>4</v>
      </c>
      <c r="H2022" t="str" cm="1">
        <f t="array" ref="H2022">_xlfn.IFS(Ramen_Ratings[[#This Row],[Stars]] = "Unrated", "NA",Ramen_Ratings[[#This Row],[Stars]]&gt;=4, "Good", Ramen_Ratings[[#This Row],[Stars]]&gt;2.5, "Fair", Ramen_Ratings[[#This Row],[Stars]] &gt;= 0, "Bad")</f>
        <v>Good</v>
      </c>
      <c r="J2022" t="str">
        <f>LEFT(Ramen_Ratings[[#This Row],[Top Ten]],4)</f>
        <v/>
      </c>
      <c r="K2022" t="str">
        <f>IF(Ramen_Ratings[[#This Row],[Top Ten]]="", "",RIGHT(Ramen_Ratings[[#This Row],[Top Ten]],LEN(Ramen_Ratings[[#This Row],[Top Ten]])-6))</f>
        <v/>
      </c>
    </row>
    <row r="2023" spans="1:11" x14ac:dyDescent="0.25">
      <c r="A2023">
        <v>1232</v>
      </c>
      <c r="B2023" t="s">
        <v>1550</v>
      </c>
      <c r="C2023" t="s">
        <v>1621</v>
      </c>
      <c r="D2023" t="s">
        <v>13</v>
      </c>
      <c r="E2023" t="s">
        <v>73</v>
      </c>
      <c r="F2023" t="str">
        <f>VLOOKUP(Ramen_Ratings[[#This Row],[Country]],Country_Region[#All],2,FALSE)</f>
        <v>Asia</v>
      </c>
      <c r="G2023">
        <v>3.25</v>
      </c>
      <c r="H2023" t="str" cm="1">
        <f t="array" ref="H2023">_xlfn.IFS(Ramen_Ratings[[#This Row],[Stars]] = "Unrated", "NA",Ramen_Ratings[[#This Row],[Stars]]&gt;=4, "Good", Ramen_Ratings[[#This Row],[Stars]]&gt;2.5, "Fair", Ramen_Ratings[[#This Row],[Stars]] &gt;= 0, "Bad")</f>
        <v>Fair</v>
      </c>
      <c r="J2023" t="str">
        <f>LEFT(Ramen_Ratings[[#This Row],[Top Ten]],4)</f>
        <v/>
      </c>
      <c r="K2023" t="str">
        <f>IF(Ramen_Ratings[[#This Row],[Top Ten]]="", "",RIGHT(Ramen_Ratings[[#This Row],[Top Ten]],LEN(Ramen_Ratings[[#This Row],[Top Ten]])-6))</f>
        <v/>
      </c>
    </row>
    <row r="2024" spans="1:11" x14ac:dyDescent="0.25">
      <c r="A2024">
        <v>1221</v>
      </c>
      <c r="B2024" t="s">
        <v>1583</v>
      </c>
      <c r="C2024" t="s">
        <v>1634</v>
      </c>
      <c r="D2024" t="s">
        <v>13</v>
      </c>
      <c r="E2024" t="s">
        <v>73</v>
      </c>
      <c r="F2024" t="str">
        <f>VLOOKUP(Ramen_Ratings[[#This Row],[Country]],Country_Region[#All],2,FALSE)</f>
        <v>Asia</v>
      </c>
      <c r="G2024">
        <v>4.5</v>
      </c>
      <c r="H2024" t="str" cm="1">
        <f t="array" ref="H2024">_xlfn.IFS(Ramen_Ratings[[#This Row],[Stars]] = "Unrated", "NA",Ramen_Ratings[[#This Row],[Stars]]&gt;=4, "Good", Ramen_Ratings[[#This Row],[Stars]]&gt;2.5, "Fair", Ramen_Ratings[[#This Row],[Stars]] &gt;= 0, "Bad")</f>
        <v>Good</v>
      </c>
      <c r="J2024" t="str">
        <f>LEFT(Ramen_Ratings[[#This Row],[Top Ten]],4)</f>
        <v/>
      </c>
      <c r="K2024" t="str">
        <f>IF(Ramen_Ratings[[#This Row],[Top Ten]]="", "",RIGHT(Ramen_Ratings[[#This Row],[Top Ten]],LEN(Ramen_Ratings[[#This Row],[Top Ten]])-6))</f>
        <v/>
      </c>
    </row>
    <row r="2025" spans="1:11" x14ac:dyDescent="0.25">
      <c r="A2025">
        <v>1215</v>
      </c>
      <c r="B2025" t="s">
        <v>1550</v>
      </c>
      <c r="C2025" t="s">
        <v>1640</v>
      </c>
      <c r="D2025" t="s">
        <v>9</v>
      </c>
      <c r="E2025" t="s">
        <v>73</v>
      </c>
      <c r="F2025" t="str">
        <f>VLOOKUP(Ramen_Ratings[[#This Row],[Country]],Country_Region[#All],2,FALSE)</f>
        <v>Asia</v>
      </c>
      <c r="G2025">
        <v>4.75</v>
      </c>
      <c r="H2025" t="str" cm="1">
        <f t="array" ref="H2025">_xlfn.IFS(Ramen_Ratings[[#This Row],[Stars]] = "Unrated", "NA",Ramen_Ratings[[#This Row],[Stars]]&gt;=4, "Good", Ramen_Ratings[[#This Row],[Stars]]&gt;2.5, "Fair", Ramen_Ratings[[#This Row],[Stars]] &gt;= 0, "Bad")</f>
        <v>Good</v>
      </c>
      <c r="J2025" t="str">
        <f>LEFT(Ramen_Ratings[[#This Row],[Top Ten]],4)</f>
        <v/>
      </c>
      <c r="K2025" t="str">
        <f>IF(Ramen_Ratings[[#This Row],[Top Ten]]="", "",RIGHT(Ramen_Ratings[[#This Row],[Top Ten]],LEN(Ramen_Ratings[[#This Row],[Top Ten]])-6))</f>
        <v/>
      </c>
    </row>
    <row r="2026" spans="1:11" x14ac:dyDescent="0.25">
      <c r="A2026">
        <v>1214</v>
      </c>
      <c r="B2026" t="s">
        <v>1590</v>
      </c>
      <c r="C2026" t="s">
        <v>1641</v>
      </c>
      <c r="D2026" t="s">
        <v>9</v>
      </c>
      <c r="E2026" t="s">
        <v>73</v>
      </c>
      <c r="F2026" t="str">
        <f>VLOOKUP(Ramen_Ratings[[#This Row],[Country]],Country_Region[#All],2,FALSE)</f>
        <v>Asia</v>
      </c>
      <c r="G2026">
        <v>5</v>
      </c>
      <c r="H2026" t="str" cm="1">
        <f t="array" ref="H2026">_xlfn.IFS(Ramen_Ratings[[#This Row],[Stars]] = "Unrated", "NA",Ramen_Ratings[[#This Row],[Stars]]&gt;=4, "Good", Ramen_Ratings[[#This Row],[Stars]]&gt;2.5, "Fair", Ramen_Ratings[[#This Row],[Stars]] &gt;= 0, "Bad")</f>
        <v>Good</v>
      </c>
      <c r="J2026" t="str">
        <f>LEFT(Ramen_Ratings[[#This Row],[Top Ten]],4)</f>
        <v/>
      </c>
      <c r="K2026" t="str">
        <f>IF(Ramen_Ratings[[#This Row],[Top Ten]]="", "",RIGHT(Ramen_Ratings[[#This Row],[Top Ten]],LEN(Ramen_Ratings[[#This Row],[Top Ten]])-6))</f>
        <v/>
      </c>
    </row>
    <row r="2027" spans="1:11" x14ac:dyDescent="0.25">
      <c r="A2027">
        <v>1203</v>
      </c>
      <c r="B2027" t="s">
        <v>1550</v>
      </c>
      <c r="C2027" t="s">
        <v>1654</v>
      </c>
      <c r="D2027" t="s">
        <v>13</v>
      </c>
      <c r="E2027" t="s">
        <v>73</v>
      </c>
      <c r="F2027" t="str">
        <f>VLOOKUP(Ramen_Ratings[[#This Row],[Country]],Country_Region[#All],2,FALSE)</f>
        <v>Asia</v>
      </c>
      <c r="G2027">
        <v>3.5</v>
      </c>
      <c r="H2027" t="str" cm="1">
        <f t="array" ref="H2027">_xlfn.IFS(Ramen_Ratings[[#This Row],[Stars]] = "Unrated", "NA",Ramen_Ratings[[#This Row],[Stars]]&gt;=4, "Good", Ramen_Ratings[[#This Row],[Stars]]&gt;2.5, "Fair", Ramen_Ratings[[#This Row],[Stars]] &gt;= 0, "Bad")</f>
        <v>Fair</v>
      </c>
      <c r="J2027" t="str">
        <f>LEFT(Ramen_Ratings[[#This Row],[Top Ten]],4)</f>
        <v/>
      </c>
      <c r="K2027" t="str">
        <f>IF(Ramen_Ratings[[#This Row],[Top Ten]]="", "",RIGHT(Ramen_Ratings[[#This Row],[Top Ten]],LEN(Ramen_Ratings[[#This Row],[Top Ten]])-6))</f>
        <v/>
      </c>
    </row>
    <row r="2028" spans="1:11" x14ac:dyDescent="0.25">
      <c r="A2028">
        <v>1191</v>
      </c>
      <c r="B2028" t="s">
        <v>1550</v>
      </c>
      <c r="C2028" t="s">
        <v>1666</v>
      </c>
      <c r="D2028" t="s">
        <v>13</v>
      </c>
      <c r="E2028" t="s">
        <v>73</v>
      </c>
      <c r="F2028" t="str">
        <f>VLOOKUP(Ramen_Ratings[[#This Row],[Country]],Country_Region[#All],2,FALSE)</f>
        <v>Asia</v>
      </c>
      <c r="G2028">
        <v>4</v>
      </c>
      <c r="H2028" t="str" cm="1">
        <f t="array" ref="H2028">_xlfn.IFS(Ramen_Ratings[[#This Row],[Stars]] = "Unrated", "NA",Ramen_Ratings[[#This Row],[Stars]]&gt;=4, "Good", Ramen_Ratings[[#This Row],[Stars]]&gt;2.5, "Fair", Ramen_Ratings[[#This Row],[Stars]] &gt;= 0, "Bad")</f>
        <v>Good</v>
      </c>
      <c r="J2028" t="str">
        <f>LEFT(Ramen_Ratings[[#This Row],[Top Ten]],4)</f>
        <v/>
      </c>
      <c r="K2028" t="str">
        <f>IF(Ramen_Ratings[[#This Row],[Top Ten]]="", "",RIGHT(Ramen_Ratings[[#This Row],[Top Ten]],LEN(Ramen_Ratings[[#This Row],[Top Ten]])-6))</f>
        <v/>
      </c>
    </row>
    <row r="2029" spans="1:11" x14ac:dyDescent="0.25">
      <c r="A2029">
        <v>1177</v>
      </c>
      <c r="B2029" t="s">
        <v>1583</v>
      </c>
      <c r="C2029" t="s">
        <v>1682</v>
      </c>
      <c r="D2029" t="s">
        <v>13</v>
      </c>
      <c r="E2029" t="s">
        <v>73</v>
      </c>
      <c r="F2029" t="str">
        <f>VLOOKUP(Ramen_Ratings[[#This Row],[Country]],Country_Region[#All],2,FALSE)</f>
        <v>Asia</v>
      </c>
      <c r="G2029">
        <v>4</v>
      </c>
      <c r="H2029" t="str" cm="1">
        <f t="array" ref="H2029">_xlfn.IFS(Ramen_Ratings[[#This Row],[Stars]] = "Unrated", "NA",Ramen_Ratings[[#This Row],[Stars]]&gt;=4, "Good", Ramen_Ratings[[#This Row],[Stars]]&gt;2.5, "Fair", Ramen_Ratings[[#This Row],[Stars]] &gt;= 0, "Bad")</f>
        <v>Good</v>
      </c>
      <c r="J2029" t="str">
        <f>LEFT(Ramen_Ratings[[#This Row],[Top Ten]],4)</f>
        <v/>
      </c>
      <c r="K2029" t="str">
        <f>IF(Ramen_Ratings[[#This Row],[Top Ten]]="", "",RIGHT(Ramen_Ratings[[#This Row],[Top Ten]],LEN(Ramen_Ratings[[#This Row],[Top Ten]])-6))</f>
        <v/>
      </c>
    </row>
    <row r="2030" spans="1:11" x14ac:dyDescent="0.25">
      <c r="A2030">
        <v>1175</v>
      </c>
      <c r="B2030" t="s">
        <v>1529</v>
      </c>
      <c r="C2030" t="s">
        <v>1684</v>
      </c>
      <c r="D2030" t="s">
        <v>13</v>
      </c>
      <c r="E2030" t="s">
        <v>73</v>
      </c>
      <c r="F2030" t="str">
        <f>VLOOKUP(Ramen_Ratings[[#This Row],[Country]],Country_Region[#All],2,FALSE)</f>
        <v>Asia</v>
      </c>
      <c r="G2030">
        <v>4.25</v>
      </c>
      <c r="H2030" t="str" cm="1">
        <f t="array" ref="H2030">_xlfn.IFS(Ramen_Ratings[[#This Row],[Stars]] = "Unrated", "NA",Ramen_Ratings[[#This Row],[Stars]]&gt;=4, "Good", Ramen_Ratings[[#This Row],[Stars]]&gt;2.5, "Fair", Ramen_Ratings[[#This Row],[Stars]] &gt;= 0, "Bad")</f>
        <v>Good</v>
      </c>
      <c r="J2030" t="str">
        <f>LEFT(Ramen_Ratings[[#This Row],[Top Ten]],4)</f>
        <v/>
      </c>
      <c r="K2030" t="str">
        <f>IF(Ramen_Ratings[[#This Row],[Top Ten]]="", "",RIGHT(Ramen_Ratings[[#This Row],[Top Ten]],LEN(Ramen_Ratings[[#This Row],[Top Ten]])-6))</f>
        <v/>
      </c>
    </row>
    <row r="2031" spans="1:11" x14ac:dyDescent="0.25">
      <c r="A2031">
        <v>1173</v>
      </c>
      <c r="B2031" t="s">
        <v>1431</v>
      </c>
      <c r="C2031" t="s">
        <v>1686</v>
      </c>
      <c r="D2031" t="s">
        <v>13</v>
      </c>
      <c r="E2031" t="s">
        <v>73</v>
      </c>
      <c r="F2031" t="str">
        <f>VLOOKUP(Ramen_Ratings[[#This Row],[Country]],Country_Region[#All],2,FALSE)</f>
        <v>Asia</v>
      </c>
      <c r="G2031">
        <v>3.5</v>
      </c>
      <c r="H2031" t="str" cm="1">
        <f t="array" ref="H2031">_xlfn.IFS(Ramen_Ratings[[#This Row],[Stars]] = "Unrated", "NA",Ramen_Ratings[[#This Row],[Stars]]&gt;=4, "Good", Ramen_Ratings[[#This Row],[Stars]]&gt;2.5, "Fair", Ramen_Ratings[[#This Row],[Stars]] &gt;= 0, "Bad")</f>
        <v>Fair</v>
      </c>
      <c r="J2031" t="str">
        <f>LEFT(Ramen_Ratings[[#This Row],[Top Ten]],4)</f>
        <v/>
      </c>
      <c r="K2031" t="str">
        <f>IF(Ramen_Ratings[[#This Row],[Top Ten]]="", "",RIGHT(Ramen_Ratings[[#This Row],[Top Ten]],LEN(Ramen_Ratings[[#This Row],[Top Ten]])-6))</f>
        <v/>
      </c>
    </row>
    <row r="2032" spans="1:11" x14ac:dyDescent="0.25">
      <c r="A2032">
        <v>1161</v>
      </c>
      <c r="B2032" t="s">
        <v>1550</v>
      </c>
      <c r="C2032" t="s">
        <v>1697</v>
      </c>
      <c r="D2032" t="s">
        <v>13</v>
      </c>
      <c r="E2032" t="s">
        <v>73</v>
      </c>
      <c r="F2032" t="str">
        <f>VLOOKUP(Ramen_Ratings[[#This Row],[Country]],Country_Region[#All],2,FALSE)</f>
        <v>Asia</v>
      </c>
      <c r="G2032">
        <v>3.75</v>
      </c>
      <c r="H2032" t="str" cm="1">
        <f t="array" ref="H2032">_xlfn.IFS(Ramen_Ratings[[#This Row],[Stars]] = "Unrated", "NA",Ramen_Ratings[[#This Row],[Stars]]&gt;=4, "Good", Ramen_Ratings[[#This Row],[Stars]]&gt;2.5, "Fair", Ramen_Ratings[[#This Row],[Stars]] &gt;= 0, "Bad")</f>
        <v>Fair</v>
      </c>
      <c r="J2032" t="str">
        <f>LEFT(Ramen_Ratings[[#This Row],[Top Ten]],4)</f>
        <v/>
      </c>
      <c r="K2032" t="str">
        <f>IF(Ramen_Ratings[[#This Row],[Top Ten]]="", "",RIGHT(Ramen_Ratings[[#This Row],[Top Ten]],LEN(Ramen_Ratings[[#This Row],[Top Ten]])-6))</f>
        <v/>
      </c>
    </row>
    <row r="2033" spans="1:11" x14ac:dyDescent="0.25">
      <c r="A2033">
        <v>1135</v>
      </c>
      <c r="B2033" t="s">
        <v>135</v>
      </c>
      <c r="C2033" t="s">
        <v>1725</v>
      </c>
      <c r="D2033" t="s">
        <v>13</v>
      </c>
      <c r="E2033" t="s">
        <v>73</v>
      </c>
      <c r="F2033" t="str">
        <f>VLOOKUP(Ramen_Ratings[[#This Row],[Country]],Country_Region[#All],2,FALSE)</f>
        <v>Asia</v>
      </c>
      <c r="G2033">
        <v>4.25</v>
      </c>
      <c r="H2033" t="str" cm="1">
        <f t="array" ref="H2033">_xlfn.IFS(Ramen_Ratings[[#This Row],[Stars]] = "Unrated", "NA",Ramen_Ratings[[#This Row],[Stars]]&gt;=4, "Good", Ramen_Ratings[[#This Row],[Stars]]&gt;2.5, "Fair", Ramen_Ratings[[#This Row],[Stars]] &gt;= 0, "Bad")</f>
        <v>Good</v>
      </c>
      <c r="J2033" t="str">
        <f>LEFT(Ramen_Ratings[[#This Row],[Top Ten]],4)</f>
        <v/>
      </c>
      <c r="K2033" t="str">
        <f>IF(Ramen_Ratings[[#This Row],[Top Ten]]="", "",RIGHT(Ramen_Ratings[[#This Row],[Top Ten]],LEN(Ramen_Ratings[[#This Row],[Top Ten]])-6))</f>
        <v/>
      </c>
    </row>
    <row r="2034" spans="1:11" x14ac:dyDescent="0.25">
      <c r="A2034">
        <v>1126</v>
      </c>
      <c r="B2034" t="s">
        <v>1550</v>
      </c>
      <c r="C2034" t="s">
        <v>1734</v>
      </c>
      <c r="D2034" t="s">
        <v>13</v>
      </c>
      <c r="E2034" t="s">
        <v>73</v>
      </c>
      <c r="F2034" t="str">
        <f>VLOOKUP(Ramen_Ratings[[#This Row],[Country]],Country_Region[#All],2,FALSE)</f>
        <v>Asia</v>
      </c>
      <c r="G2034">
        <v>4</v>
      </c>
      <c r="H2034" t="str" cm="1">
        <f t="array" ref="H2034">_xlfn.IFS(Ramen_Ratings[[#This Row],[Stars]] = "Unrated", "NA",Ramen_Ratings[[#This Row],[Stars]]&gt;=4, "Good", Ramen_Ratings[[#This Row],[Stars]]&gt;2.5, "Fair", Ramen_Ratings[[#This Row],[Stars]] &gt;= 0, "Bad")</f>
        <v>Good</v>
      </c>
      <c r="J2034" t="str">
        <f>LEFT(Ramen_Ratings[[#This Row],[Top Ten]],4)</f>
        <v/>
      </c>
      <c r="K2034" t="str">
        <f>IF(Ramen_Ratings[[#This Row],[Top Ten]]="", "",RIGHT(Ramen_Ratings[[#This Row],[Top Ten]],LEN(Ramen_Ratings[[#This Row],[Top Ten]])-6))</f>
        <v/>
      </c>
    </row>
    <row r="2035" spans="1:11" x14ac:dyDescent="0.25">
      <c r="A2035">
        <v>1120</v>
      </c>
      <c r="B2035" t="s">
        <v>1583</v>
      </c>
      <c r="C2035" t="s">
        <v>1741</v>
      </c>
      <c r="D2035" t="s">
        <v>13</v>
      </c>
      <c r="E2035" t="s">
        <v>73</v>
      </c>
      <c r="F2035" t="str">
        <f>VLOOKUP(Ramen_Ratings[[#This Row],[Country]],Country_Region[#All],2,FALSE)</f>
        <v>Asia</v>
      </c>
      <c r="G2035">
        <v>4.75</v>
      </c>
      <c r="H2035" t="str" cm="1">
        <f t="array" ref="H2035">_xlfn.IFS(Ramen_Ratings[[#This Row],[Stars]] = "Unrated", "NA",Ramen_Ratings[[#This Row],[Stars]]&gt;=4, "Good", Ramen_Ratings[[#This Row],[Stars]]&gt;2.5, "Fair", Ramen_Ratings[[#This Row],[Stars]] &gt;= 0, "Bad")</f>
        <v>Good</v>
      </c>
      <c r="J2035" t="str">
        <f>LEFT(Ramen_Ratings[[#This Row],[Top Ten]],4)</f>
        <v/>
      </c>
      <c r="K2035" t="str">
        <f>IF(Ramen_Ratings[[#This Row],[Top Ten]]="", "",RIGHT(Ramen_Ratings[[#This Row],[Top Ten]],LEN(Ramen_Ratings[[#This Row],[Top Ten]])-6))</f>
        <v/>
      </c>
    </row>
    <row r="2036" spans="1:11" x14ac:dyDescent="0.25">
      <c r="A2036">
        <v>1114</v>
      </c>
      <c r="B2036" t="s">
        <v>1747</v>
      </c>
      <c r="C2036" t="s">
        <v>1748</v>
      </c>
      <c r="D2036" t="s">
        <v>13</v>
      </c>
      <c r="E2036" t="s">
        <v>73</v>
      </c>
      <c r="F2036" t="str">
        <f>VLOOKUP(Ramen_Ratings[[#This Row],[Country]],Country_Region[#All],2,FALSE)</f>
        <v>Asia</v>
      </c>
      <c r="G2036">
        <v>4</v>
      </c>
      <c r="H2036" t="str" cm="1">
        <f t="array" ref="H2036">_xlfn.IFS(Ramen_Ratings[[#This Row],[Stars]] = "Unrated", "NA",Ramen_Ratings[[#This Row],[Stars]]&gt;=4, "Good", Ramen_Ratings[[#This Row],[Stars]]&gt;2.5, "Fair", Ramen_Ratings[[#This Row],[Stars]] &gt;= 0, "Bad")</f>
        <v>Good</v>
      </c>
      <c r="J2036" t="str">
        <f>LEFT(Ramen_Ratings[[#This Row],[Top Ten]],4)</f>
        <v/>
      </c>
      <c r="K2036" t="str">
        <f>IF(Ramen_Ratings[[#This Row],[Top Ten]]="", "",RIGHT(Ramen_Ratings[[#This Row],[Top Ten]],LEN(Ramen_Ratings[[#This Row],[Top Ten]])-6))</f>
        <v/>
      </c>
    </row>
    <row r="2037" spans="1:11" x14ac:dyDescent="0.25">
      <c r="A2037">
        <v>1109</v>
      </c>
      <c r="B2037" t="s">
        <v>1424</v>
      </c>
      <c r="C2037" t="s">
        <v>1754</v>
      </c>
      <c r="D2037" t="s">
        <v>84</v>
      </c>
      <c r="E2037" t="s">
        <v>73</v>
      </c>
      <c r="F2037" t="str">
        <f>VLOOKUP(Ramen_Ratings[[#This Row],[Country]],Country_Region[#All],2,FALSE)</f>
        <v>Asia</v>
      </c>
      <c r="G2037">
        <v>4.25</v>
      </c>
      <c r="H2037" t="str" cm="1">
        <f t="array" ref="H2037">_xlfn.IFS(Ramen_Ratings[[#This Row],[Stars]] = "Unrated", "NA",Ramen_Ratings[[#This Row],[Stars]]&gt;=4, "Good", Ramen_Ratings[[#This Row],[Stars]]&gt;2.5, "Fair", Ramen_Ratings[[#This Row],[Stars]] &gt;= 0, "Bad")</f>
        <v>Good</v>
      </c>
      <c r="J2037" t="str">
        <f>LEFT(Ramen_Ratings[[#This Row],[Top Ten]],4)</f>
        <v/>
      </c>
      <c r="K2037" t="str">
        <f>IF(Ramen_Ratings[[#This Row],[Top Ten]]="", "",RIGHT(Ramen_Ratings[[#This Row],[Top Ten]],LEN(Ramen_Ratings[[#This Row],[Top Ten]])-6))</f>
        <v/>
      </c>
    </row>
    <row r="2038" spans="1:11" x14ac:dyDescent="0.25">
      <c r="A2038">
        <v>1101</v>
      </c>
      <c r="B2038" t="s">
        <v>1590</v>
      </c>
      <c r="C2038" t="s">
        <v>1761</v>
      </c>
      <c r="D2038" t="s">
        <v>9</v>
      </c>
      <c r="E2038" t="s">
        <v>73</v>
      </c>
      <c r="F2038" t="str">
        <f>VLOOKUP(Ramen_Ratings[[#This Row],[Country]],Country_Region[#All],2,FALSE)</f>
        <v>Asia</v>
      </c>
      <c r="G2038">
        <v>4.25</v>
      </c>
      <c r="H2038" t="str" cm="1">
        <f t="array" ref="H2038">_xlfn.IFS(Ramen_Ratings[[#This Row],[Stars]] = "Unrated", "NA",Ramen_Ratings[[#This Row],[Stars]]&gt;=4, "Good", Ramen_Ratings[[#This Row],[Stars]]&gt;2.5, "Fair", Ramen_Ratings[[#This Row],[Stars]] &gt;= 0, "Bad")</f>
        <v>Good</v>
      </c>
      <c r="J2038" t="str">
        <f>LEFT(Ramen_Ratings[[#This Row],[Top Ten]],4)</f>
        <v/>
      </c>
      <c r="K2038" t="str">
        <f>IF(Ramen_Ratings[[#This Row],[Top Ten]]="", "",RIGHT(Ramen_Ratings[[#This Row],[Top Ten]],LEN(Ramen_Ratings[[#This Row],[Top Ten]])-6))</f>
        <v/>
      </c>
    </row>
    <row r="2039" spans="1:11" x14ac:dyDescent="0.25">
      <c r="A2039">
        <v>1098</v>
      </c>
      <c r="B2039" t="s">
        <v>1121</v>
      </c>
      <c r="C2039" t="s">
        <v>1766</v>
      </c>
      <c r="D2039" t="s">
        <v>13</v>
      </c>
      <c r="E2039" t="s">
        <v>73</v>
      </c>
      <c r="F2039" t="str">
        <f>VLOOKUP(Ramen_Ratings[[#This Row],[Country]],Country_Region[#All],2,FALSE)</f>
        <v>Asia</v>
      </c>
      <c r="G2039">
        <v>3.75</v>
      </c>
      <c r="H2039" t="str" cm="1">
        <f t="array" ref="H2039">_xlfn.IFS(Ramen_Ratings[[#This Row],[Stars]] = "Unrated", "NA",Ramen_Ratings[[#This Row],[Stars]]&gt;=4, "Good", Ramen_Ratings[[#This Row],[Stars]]&gt;2.5, "Fair", Ramen_Ratings[[#This Row],[Stars]] &gt;= 0, "Bad")</f>
        <v>Fair</v>
      </c>
      <c r="J2039" t="str">
        <f>LEFT(Ramen_Ratings[[#This Row],[Top Ten]],4)</f>
        <v/>
      </c>
      <c r="K2039" t="str">
        <f>IF(Ramen_Ratings[[#This Row],[Top Ten]]="", "",RIGHT(Ramen_Ratings[[#This Row],[Top Ten]],LEN(Ramen_Ratings[[#This Row],[Top Ten]])-6))</f>
        <v/>
      </c>
    </row>
    <row r="2040" spans="1:11" x14ac:dyDescent="0.25">
      <c r="A2040">
        <v>1082</v>
      </c>
      <c r="B2040" t="s">
        <v>135</v>
      </c>
      <c r="C2040" t="s">
        <v>1783</v>
      </c>
      <c r="D2040" t="s">
        <v>13</v>
      </c>
      <c r="E2040" t="s">
        <v>73</v>
      </c>
      <c r="F2040" t="str">
        <f>VLOOKUP(Ramen_Ratings[[#This Row],[Country]],Country_Region[#All],2,FALSE)</f>
        <v>Asia</v>
      </c>
      <c r="G2040">
        <v>4.5</v>
      </c>
      <c r="H2040" t="str" cm="1">
        <f t="array" ref="H2040">_xlfn.IFS(Ramen_Ratings[[#This Row],[Stars]] = "Unrated", "NA",Ramen_Ratings[[#This Row],[Stars]]&gt;=4, "Good", Ramen_Ratings[[#This Row],[Stars]]&gt;2.5, "Fair", Ramen_Ratings[[#This Row],[Stars]] &gt;= 0, "Bad")</f>
        <v>Good</v>
      </c>
      <c r="J2040" t="str">
        <f>LEFT(Ramen_Ratings[[#This Row],[Top Ten]],4)</f>
        <v/>
      </c>
      <c r="K2040" t="str">
        <f>IF(Ramen_Ratings[[#This Row],[Top Ten]]="", "",RIGHT(Ramen_Ratings[[#This Row],[Top Ten]],LEN(Ramen_Ratings[[#This Row],[Top Ten]])-6))</f>
        <v/>
      </c>
    </row>
    <row r="2041" spans="1:11" x14ac:dyDescent="0.25">
      <c r="A2041">
        <v>909</v>
      </c>
      <c r="B2041" t="s">
        <v>135</v>
      </c>
      <c r="C2041" t="s">
        <v>1961</v>
      </c>
      <c r="D2041" t="s">
        <v>13</v>
      </c>
      <c r="E2041" t="s">
        <v>73</v>
      </c>
      <c r="F2041" t="str">
        <f>VLOOKUP(Ramen_Ratings[[#This Row],[Country]],Country_Region[#All],2,FALSE)</f>
        <v>Asia</v>
      </c>
      <c r="G2041">
        <v>4.25</v>
      </c>
      <c r="H2041" t="str" cm="1">
        <f t="array" ref="H2041">_xlfn.IFS(Ramen_Ratings[[#This Row],[Stars]] = "Unrated", "NA",Ramen_Ratings[[#This Row],[Stars]]&gt;=4, "Good", Ramen_Ratings[[#This Row],[Stars]]&gt;2.5, "Fair", Ramen_Ratings[[#This Row],[Stars]] &gt;= 0, "Bad")</f>
        <v>Good</v>
      </c>
      <c r="J2041" t="str">
        <f>LEFT(Ramen_Ratings[[#This Row],[Top Ten]],4)</f>
        <v/>
      </c>
      <c r="K2041" t="str">
        <f>IF(Ramen_Ratings[[#This Row],[Top Ten]]="", "",RIGHT(Ramen_Ratings[[#This Row],[Top Ten]],LEN(Ramen_Ratings[[#This Row],[Top Ten]])-6))</f>
        <v/>
      </c>
    </row>
    <row r="2042" spans="1:11" x14ac:dyDescent="0.25">
      <c r="A2042">
        <v>901</v>
      </c>
      <c r="B2042" t="s">
        <v>1971</v>
      </c>
      <c r="C2042" t="s">
        <v>1972</v>
      </c>
      <c r="D2042" t="s">
        <v>13</v>
      </c>
      <c r="E2042" t="s">
        <v>73</v>
      </c>
      <c r="F2042" t="str">
        <f>VLOOKUP(Ramen_Ratings[[#This Row],[Country]],Country_Region[#All],2,FALSE)</f>
        <v>Asia</v>
      </c>
      <c r="G2042">
        <v>3.5</v>
      </c>
      <c r="H2042" t="str" cm="1">
        <f t="array" ref="H2042">_xlfn.IFS(Ramen_Ratings[[#This Row],[Stars]] = "Unrated", "NA",Ramen_Ratings[[#This Row],[Stars]]&gt;=4, "Good", Ramen_Ratings[[#This Row],[Stars]]&gt;2.5, "Fair", Ramen_Ratings[[#This Row],[Stars]] &gt;= 0, "Bad")</f>
        <v>Fair</v>
      </c>
      <c r="J2042" t="str">
        <f>LEFT(Ramen_Ratings[[#This Row],[Top Ten]],4)</f>
        <v/>
      </c>
      <c r="K2042" t="str">
        <f>IF(Ramen_Ratings[[#This Row],[Top Ten]]="", "",RIGHT(Ramen_Ratings[[#This Row],[Top Ten]],LEN(Ramen_Ratings[[#This Row],[Top Ten]])-6))</f>
        <v/>
      </c>
    </row>
    <row r="2043" spans="1:11" x14ac:dyDescent="0.25">
      <c r="A2043">
        <v>895</v>
      </c>
      <c r="B2043" t="s">
        <v>1613</v>
      </c>
      <c r="C2043" t="s">
        <v>1980</v>
      </c>
      <c r="D2043" t="s">
        <v>13</v>
      </c>
      <c r="E2043" t="s">
        <v>73</v>
      </c>
      <c r="F2043" t="str">
        <f>VLOOKUP(Ramen_Ratings[[#This Row],[Country]],Country_Region[#All],2,FALSE)</f>
        <v>Asia</v>
      </c>
      <c r="G2043">
        <v>5</v>
      </c>
      <c r="H2043" t="str" cm="1">
        <f t="array" ref="H2043">_xlfn.IFS(Ramen_Ratings[[#This Row],[Stars]] = "Unrated", "NA",Ramen_Ratings[[#This Row],[Stars]]&gt;=4, "Good", Ramen_Ratings[[#This Row],[Stars]]&gt;2.5, "Fair", Ramen_Ratings[[#This Row],[Stars]] &gt;= 0, "Bad")</f>
        <v>Good</v>
      </c>
      <c r="J2043" t="str">
        <f>LEFT(Ramen_Ratings[[#This Row],[Top Ten]],4)</f>
        <v/>
      </c>
      <c r="K2043" t="str">
        <f>IF(Ramen_Ratings[[#This Row],[Top Ten]]="", "",RIGHT(Ramen_Ratings[[#This Row],[Top Ten]],LEN(Ramen_Ratings[[#This Row],[Top Ten]])-6))</f>
        <v/>
      </c>
    </row>
    <row r="2044" spans="1:11" x14ac:dyDescent="0.25">
      <c r="A2044">
        <v>892</v>
      </c>
      <c r="B2044" t="s">
        <v>1583</v>
      </c>
      <c r="C2044" t="s">
        <v>1983</v>
      </c>
      <c r="D2044" t="s">
        <v>13</v>
      </c>
      <c r="E2044" t="s">
        <v>73</v>
      </c>
      <c r="F2044" t="str">
        <f>VLOOKUP(Ramen_Ratings[[#This Row],[Country]],Country_Region[#All],2,FALSE)</f>
        <v>Asia</v>
      </c>
      <c r="G2044">
        <v>4.5</v>
      </c>
      <c r="H2044" t="str" cm="1">
        <f t="array" ref="H2044">_xlfn.IFS(Ramen_Ratings[[#This Row],[Stars]] = "Unrated", "NA",Ramen_Ratings[[#This Row],[Stars]]&gt;=4, "Good", Ramen_Ratings[[#This Row],[Stars]]&gt;2.5, "Fair", Ramen_Ratings[[#This Row],[Stars]] &gt;= 0, "Bad")</f>
        <v>Good</v>
      </c>
      <c r="J2044" t="str">
        <f>LEFT(Ramen_Ratings[[#This Row],[Top Ten]],4)</f>
        <v/>
      </c>
      <c r="K2044" t="str">
        <f>IF(Ramen_Ratings[[#This Row],[Top Ten]]="", "",RIGHT(Ramen_Ratings[[#This Row],[Top Ten]],LEN(Ramen_Ratings[[#This Row],[Top Ten]])-6))</f>
        <v/>
      </c>
    </row>
    <row r="2045" spans="1:11" x14ac:dyDescent="0.25">
      <c r="A2045">
        <v>882</v>
      </c>
      <c r="B2045" t="s">
        <v>1613</v>
      </c>
      <c r="C2045" t="s">
        <v>1994</v>
      </c>
      <c r="D2045" t="s">
        <v>13</v>
      </c>
      <c r="E2045" t="s">
        <v>73</v>
      </c>
      <c r="F2045" t="str">
        <f>VLOOKUP(Ramen_Ratings[[#This Row],[Country]],Country_Region[#All],2,FALSE)</f>
        <v>Asia</v>
      </c>
      <c r="G2045">
        <v>5</v>
      </c>
      <c r="H2045" t="str" cm="1">
        <f t="array" ref="H2045">_xlfn.IFS(Ramen_Ratings[[#This Row],[Stars]] = "Unrated", "NA",Ramen_Ratings[[#This Row],[Stars]]&gt;=4, "Good", Ramen_Ratings[[#This Row],[Stars]]&gt;2.5, "Fair", Ramen_Ratings[[#This Row],[Stars]] &gt;= 0, "Bad")</f>
        <v>Good</v>
      </c>
      <c r="J2045" t="str">
        <f>LEFT(Ramen_Ratings[[#This Row],[Top Ten]],4)</f>
        <v/>
      </c>
      <c r="K2045" t="str">
        <f>IF(Ramen_Ratings[[#This Row],[Top Ten]]="", "",RIGHT(Ramen_Ratings[[#This Row],[Top Ten]],LEN(Ramen_Ratings[[#This Row],[Top Ten]])-6))</f>
        <v/>
      </c>
    </row>
    <row r="2046" spans="1:11" x14ac:dyDescent="0.25">
      <c r="A2046">
        <v>876</v>
      </c>
      <c r="B2046" t="s">
        <v>1971</v>
      </c>
      <c r="C2046" t="s">
        <v>2001</v>
      </c>
      <c r="D2046" t="s">
        <v>13</v>
      </c>
      <c r="E2046" t="s">
        <v>73</v>
      </c>
      <c r="F2046" t="str">
        <f>VLOOKUP(Ramen_Ratings[[#This Row],[Country]],Country_Region[#All],2,FALSE)</f>
        <v>Asia</v>
      </c>
      <c r="G2046">
        <v>3.25</v>
      </c>
      <c r="H2046" t="str" cm="1">
        <f t="array" ref="H2046">_xlfn.IFS(Ramen_Ratings[[#This Row],[Stars]] = "Unrated", "NA",Ramen_Ratings[[#This Row],[Stars]]&gt;=4, "Good", Ramen_Ratings[[#This Row],[Stars]]&gt;2.5, "Fair", Ramen_Ratings[[#This Row],[Stars]] &gt;= 0, "Bad")</f>
        <v>Fair</v>
      </c>
      <c r="J2046" t="str">
        <f>LEFT(Ramen_Ratings[[#This Row],[Top Ten]],4)</f>
        <v/>
      </c>
      <c r="K2046" t="str">
        <f>IF(Ramen_Ratings[[#This Row],[Top Ten]]="", "",RIGHT(Ramen_Ratings[[#This Row],[Top Ten]],LEN(Ramen_Ratings[[#This Row],[Top Ten]])-6))</f>
        <v/>
      </c>
    </row>
    <row r="2047" spans="1:11" x14ac:dyDescent="0.25">
      <c r="A2047">
        <v>870</v>
      </c>
      <c r="B2047" t="s">
        <v>1613</v>
      </c>
      <c r="C2047" t="s">
        <v>2009</v>
      </c>
      <c r="D2047" t="s">
        <v>13</v>
      </c>
      <c r="E2047" t="s">
        <v>73</v>
      </c>
      <c r="F2047" t="str">
        <f>VLOOKUP(Ramen_Ratings[[#This Row],[Country]],Country_Region[#All],2,FALSE)</f>
        <v>Asia</v>
      </c>
      <c r="G2047">
        <v>3.75</v>
      </c>
      <c r="H2047" t="str" cm="1">
        <f t="array" ref="H2047">_xlfn.IFS(Ramen_Ratings[[#This Row],[Stars]] = "Unrated", "NA",Ramen_Ratings[[#This Row],[Stars]]&gt;=4, "Good", Ramen_Ratings[[#This Row],[Stars]]&gt;2.5, "Fair", Ramen_Ratings[[#This Row],[Stars]] &gt;= 0, "Bad")</f>
        <v>Fair</v>
      </c>
      <c r="J2047" t="str">
        <f>LEFT(Ramen_Ratings[[#This Row],[Top Ten]],4)</f>
        <v/>
      </c>
      <c r="K2047" t="str">
        <f>IF(Ramen_Ratings[[#This Row],[Top Ten]]="", "",RIGHT(Ramen_Ratings[[#This Row],[Top Ten]],LEN(Ramen_Ratings[[#This Row],[Top Ten]])-6))</f>
        <v/>
      </c>
    </row>
    <row r="2048" spans="1:11" x14ac:dyDescent="0.25">
      <c r="A2048">
        <v>867</v>
      </c>
      <c r="B2048" t="s">
        <v>135</v>
      </c>
      <c r="C2048" t="s">
        <v>2013</v>
      </c>
      <c r="D2048" t="s">
        <v>13</v>
      </c>
      <c r="E2048" t="s">
        <v>73</v>
      </c>
      <c r="F2048" t="str">
        <f>VLOOKUP(Ramen_Ratings[[#This Row],[Country]],Country_Region[#All],2,FALSE)</f>
        <v>Asia</v>
      </c>
      <c r="G2048">
        <v>4</v>
      </c>
      <c r="H2048" t="str" cm="1">
        <f t="array" ref="H2048">_xlfn.IFS(Ramen_Ratings[[#This Row],[Stars]] = "Unrated", "NA",Ramen_Ratings[[#This Row],[Stars]]&gt;=4, "Good", Ramen_Ratings[[#This Row],[Stars]]&gt;2.5, "Fair", Ramen_Ratings[[#This Row],[Stars]] &gt;= 0, "Bad")</f>
        <v>Good</v>
      </c>
      <c r="J2048" t="str">
        <f>LEFT(Ramen_Ratings[[#This Row],[Top Ten]],4)</f>
        <v/>
      </c>
      <c r="K2048" t="str">
        <f>IF(Ramen_Ratings[[#This Row],[Top Ten]]="", "",RIGHT(Ramen_Ratings[[#This Row],[Top Ten]],LEN(Ramen_Ratings[[#This Row],[Top Ten]])-6))</f>
        <v/>
      </c>
    </row>
    <row r="2049" spans="1:11" x14ac:dyDescent="0.25">
      <c r="A2049">
        <v>863</v>
      </c>
      <c r="B2049" t="s">
        <v>135</v>
      </c>
      <c r="C2049" t="s">
        <v>2017</v>
      </c>
      <c r="D2049" t="s">
        <v>13</v>
      </c>
      <c r="E2049" t="s">
        <v>73</v>
      </c>
      <c r="F2049" t="str">
        <f>VLOOKUP(Ramen_Ratings[[#This Row],[Country]],Country_Region[#All],2,FALSE)</f>
        <v>Asia</v>
      </c>
      <c r="G2049">
        <v>5</v>
      </c>
      <c r="H2049" t="str" cm="1">
        <f t="array" ref="H2049">_xlfn.IFS(Ramen_Ratings[[#This Row],[Stars]] = "Unrated", "NA",Ramen_Ratings[[#This Row],[Stars]]&gt;=4, "Good", Ramen_Ratings[[#This Row],[Stars]]&gt;2.5, "Fair", Ramen_Ratings[[#This Row],[Stars]] &gt;= 0, "Bad")</f>
        <v>Good</v>
      </c>
      <c r="J2049" t="str">
        <f>LEFT(Ramen_Ratings[[#This Row],[Top Ten]],4)</f>
        <v/>
      </c>
      <c r="K2049" t="str">
        <f>IF(Ramen_Ratings[[#This Row],[Top Ten]]="", "",RIGHT(Ramen_Ratings[[#This Row],[Top Ten]],LEN(Ramen_Ratings[[#This Row],[Top Ten]])-6))</f>
        <v/>
      </c>
    </row>
    <row r="2050" spans="1:11" x14ac:dyDescent="0.25">
      <c r="A2050">
        <v>858</v>
      </c>
      <c r="B2050" t="s">
        <v>135</v>
      </c>
      <c r="C2050" t="s">
        <v>2022</v>
      </c>
      <c r="D2050" t="s">
        <v>13</v>
      </c>
      <c r="E2050" t="s">
        <v>73</v>
      </c>
      <c r="F2050" t="str">
        <f>VLOOKUP(Ramen_Ratings[[#This Row],[Country]],Country_Region[#All],2,FALSE)</f>
        <v>Asia</v>
      </c>
      <c r="G2050">
        <v>4.5</v>
      </c>
      <c r="H2050" t="str" cm="1">
        <f t="array" ref="H2050">_xlfn.IFS(Ramen_Ratings[[#This Row],[Stars]] = "Unrated", "NA",Ramen_Ratings[[#This Row],[Stars]]&gt;=4, "Good", Ramen_Ratings[[#This Row],[Stars]]&gt;2.5, "Fair", Ramen_Ratings[[#This Row],[Stars]] &gt;= 0, "Bad")</f>
        <v>Good</v>
      </c>
      <c r="J2050" t="str">
        <f>LEFT(Ramen_Ratings[[#This Row],[Top Ten]],4)</f>
        <v/>
      </c>
      <c r="K2050" t="str">
        <f>IF(Ramen_Ratings[[#This Row],[Top Ten]]="", "",RIGHT(Ramen_Ratings[[#This Row],[Top Ten]],LEN(Ramen_Ratings[[#This Row],[Top Ten]])-6))</f>
        <v/>
      </c>
    </row>
    <row r="2051" spans="1:11" x14ac:dyDescent="0.25">
      <c r="A2051">
        <v>852</v>
      </c>
      <c r="B2051" t="s">
        <v>1613</v>
      </c>
      <c r="C2051" t="s">
        <v>2029</v>
      </c>
      <c r="D2051" t="s">
        <v>13</v>
      </c>
      <c r="E2051" t="s">
        <v>73</v>
      </c>
      <c r="F2051" t="str">
        <f>VLOOKUP(Ramen_Ratings[[#This Row],[Country]],Country_Region[#All],2,FALSE)</f>
        <v>Asia</v>
      </c>
      <c r="G2051">
        <v>4</v>
      </c>
      <c r="H2051" t="str" cm="1">
        <f t="array" ref="H2051">_xlfn.IFS(Ramen_Ratings[[#This Row],[Stars]] = "Unrated", "NA",Ramen_Ratings[[#This Row],[Stars]]&gt;=4, "Good", Ramen_Ratings[[#This Row],[Stars]]&gt;2.5, "Fair", Ramen_Ratings[[#This Row],[Stars]] &gt;= 0, "Bad")</f>
        <v>Good</v>
      </c>
      <c r="J2051" t="str">
        <f>LEFT(Ramen_Ratings[[#This Row],[Top Ten]],4)</f>
        <v/>
      </c>
      <c r="K2051" t="str">
        <f>IF(Ramen_Ratings[[#This Row],[Top Ten]]="", "",RIGHT(Ramen_Ratings[[#This Row],[Top Ten]],LEN(Ramen_Ratings[[#This Row],[Top Ten]])-6))</f>
        <v/>
      </c>
    </row>
    <row r="2052" spans="1:11" x14ac:dyDescent="0.25">
      <c r="A2052">
        <v>838</v>
      </c>
      <c r="B2052" t="s">
        <v>1971</v>
      </c>
      <c r="C2052" t="s">
        <v>2043</v>
      </c>
      <c r="D2052" t="s">
        <v>13</v>
      </c>
      <c r="E2052" t="s">
        <v>73</v>
      </c>
      <c r="F2052" t="str">
        <f>VLOOKUP(Ramen_Ratings[[#This Row],[Country]],Country_Region[#All],2,FALSE)</f>
        <v>Asia</v>
      </c>
      <c r="G2052">
        <v>4</v>
      </c>
      <c r="H2052" t="str" cm="1">
        <f t="array" ref="H2052">_xlfn.IFS(Ramen_Ratings[[#This Row],[Stars]] = "Unrated", "NA",Ramen_Ratings[[#This Row],[Stars]]&gt;=4, "Good", Ramen_Ratings[[#This Row],[Stars]]&gt;2.5, "Fair", Ramen_Ratings[[#This Row],[Stars]] &gt;= 0, "Bad")</f>
        <v>Good</v>
      </c>
      <c r="J2052" t="str">
        <f>LEFT(Ramen_Ratings[[#This Row],[Top Ten]],4)</f>
        <v/>
      </c>
      <c r="K2052" t="str">
        <f>IF(Ramen_Ratings[[#This Row],[Top Ten]]="", "",RIGHT(Ramen_Ratings[[#This Row],[Top Ten]],LEN(Ramen_Ratings[[#This Row],[Top Ten]])-6))</f>
        <v/>
      </c>
    </row>
    <row r="2053" spans="1:11" x14ac:dyDescent="0.25">
      <c r="A2053">
        <v>834</v>
      </c>
      <c r="B2053" t="s">
        <v>135</v>
      </c>
      <c r="C2053" t="s">
        <v>2047</v>
      </c>
      <c r="D2053" t="s">
        <v>13</v>
      </c>
      <c r="E2053" t="s">
        <v>73</v>
      </c>
      <c r="F2053" t="str">
        <f>VLOOKUP(Ramen_Ratings[[#This Row],[Country]],Country_Region[#All],2,FALSE)</f>
        <v>Asia</v>
      </c>
      <c r="G2053">
        <v>3.75</v>
      </c>
      <c r="H2053" t="str" cm="1">
        <f t="array" ref="H2053">_xlfn.IFS(Ramen_Ratings[[#This Row],[Stars]] = "Unrated", "NA",Ramen_Ratings[[#This Row],[Stars]]&gt;=4, "Good", Ramen_Ratings[[#This Row],[Stars]]&gt;2.5, "Fair", Ramen_Ratings[[#This Row],[Stars]] &gt;= 0, "Bad")</f>
        <v>Fair</v>
      </c>
      <c r="J2053" t="str">
        <f>LEFT(Ramen_Ratings[[#This Row],[Top Ten]],4)</f>
        <v/>
      </c>
      <c r="K2053" t="str">
        <f>IF(Ramen_Ratings[[#This Row],[Top Ten]]="", "",RIGHT(Ramen_Ratings[[#This Row],[Top Ten]],LEN(Ramen_Ratings[[#This Row],[Top Ten]])-6))</f>
        <v/>
      </c>
    </row>
    <row r="2054" spans="1:11" x14ac:dyDescent="0.25">
      <c r="A2054">
        <v>818</v>
      </c>
      <c r="B2054" t="s">
        <v>1613</v>
      </c>
      <c r="C2054" t="s">
        <v>2064</v>
      </c>
      <c r="D2054" t="s">
        <v>13</v>
      </c>
      <c r="E2054" t="s">
        <v>73</v>
      </c>
      <c r="F2054" t="str">
        <f>VLOOKUP(Ramen_Ratings[[#This Row],[Country]],Country_Region[#All],2,FALSE)</f>
        <v>Asia</v>
      </c>
      <c r="G2054">
        <v>4</v>
      </c>
      <c r="H2054" t="str" cm="1">
        <f t="array" ref="H2054">_xlfn.IFS(Ramen_Ratings[[#This Row],[Stars]] = "Unrated", "NA",Ramen_Ratings[[#This Row],[Stars]]&gt;=4, "Good", Ramen_Ratings[[#This Row],[Stars]]&gt;2.5, "Fair", Ramen_Ratings[[#This Row],[Stars]] &gt;= 0, "Bad")</f>
        <v>Good</v>
      </c>
      <c r="J2054" t="str">
        <f>LEFT(Ramen_Ratings[[#This Row],[Top Ten]],4)</f>
        <v/>
      </c>
      <c r="K2054" t="str">
        <f>IF(Ramen_Ratings[[#This Row],[Top Ten]]="", "",RIGHT(Ramen_Ratings[[#This Row],[Top Ten]],LEN(Ramen_Ratings[[#This Row],[Top Ten]])-6))</f>
        <v/>
      </c>
    </row>
    <row r="2055" spans="1:11" x14ac:dyDescent="0.25">
      <c r="A2055">
        <v>814</v>
      </c>
      <c r="B2055" t="s">
        <v>135</v>
      </c>
      <c r="C2055" t="s">
        <v>1933</v>
      </c>
      <c r="D2055" t="s">
        <v>13</v>
      </c>
      <c r="E2055" t="s">
        <v>73</v>
      </c>
      <c r="F2055" t="str">
        <f>VLOOKUP(Ramen_Ratings[[#This Row],[Country]],Country_Region[#All],2,FALSE)</f>
        <v>Asia</v>
      </c>
      <c r="G2055">
        <v>3.5</v>
      </c>
      <c r="H2055" t="str" cm="1">
        <f t="array" ref="H2055">_xlfn.IFS(Ramen_Ratings[[#This Row],[Stars]] = "Unrated", "NA",Ramen_Ratings[[#This Row],[Stars]]&gt;=4, "Good", Ramen_Ratings[[#This Row],[Stars]]&gt;2.5, "Fair", Ramen_Ratings[[#This Row],[Stars]] &gt;= 0, "Bad")</f>
        <v>Fair</v>
      </c>
      <c r="J2055" t="str">
        <f>LEFT(Ramen_Ratings[[#This Row],[Top Ten]],4)</f>
        <v/>
      </c>
      <c r="K2055" t="str">
        <f>IF(Ramen_Ratings[[#This Row],[Top Ten]]="", "",RIGHT(Ramen_Ratings[[#This Row],[Top Ten]],LEN(Ramen_Ratings[[#This Row],[Top Ten]])-6))</f>
        <v/>
      </c>
    </row>
    <row r="2056" spans="1:11" x14ac:dyDescent="0.25">
      <c r="A2056">
        <v>810</v>
      </c>
      <c r="B2056" t="s">
        <v>1583</v>
      </c>
      <c r="C2056" t="s">
        <v>2071</v>
      </c>
      <c r="D2056" t="s">
        <v>13</v>
      </c>
      <c r="E2056" t="s">
        <v>73</v>
      </c>
      <c r="F2056" t="str">
        <f>VLOOKUP(Ramen_Ratings[[#This Row],[Country]],Country_Region[#All],2,FALSE)</f>
        <v>Asia</v>
      </c>
      <c r="G2056">
        <v>4.25</v>
      </c>
      <c r="H2056" t="str" cm="1">
        <f t="array" ref="H2056">_xlfn.IFS(Ramen_Ratings[[#This Row],[Stars]] = "Unrated", "NA",Ramen_Ratings[[#This Row],[Stars]]&gt;=4, "Good", Ramen_Ratings[[#This Row],[Stars]]&gt;2.5, "Fair", Ramen_Ratings[[#This Row],[Stars]] &gt;= 0, "Bad")</f>
        <v>Good</v>
      </c>
      <c r="J2056" t="str">
        <f>LEFT(Ramen_Ratings[[#This Row],[Top Ten]],4)</f>
        <v/>
      </c>
      <c r="K2056" t="str">
        <f>IF(Ramen_Ratings[[#This Row],[Top Ten]]="", "",RIGHT(Ramen_Ratings[[#This Row],[Top Ten]],LEN(Ramen_Ratings[[#This Row],[Top Ten]])-6))</f>
        <v/>
      </c>
    </row>
    <row r="2057" spans="1:11" x14ac:dyDescent="0.25">
      <c r="A2057">
        <v>807</v>
      </c>
      <c r="B2057" t="s">
        <v>1613</v>
      </c>
      <c r="C2057" t="s">
        <v>2075</v>
      </c>
      <c r="D2057" t="s">
        <v>13</v>
      </c>
      <c r="E2057" t="s">
        <v>73</v>
      </c>
      <c r="F2057" t="str">
        <f>VLOOKUP(Ramen_Ratings[[#This Row],[Country]],Country_Region[#All],2,FALSE)</f>
        <v>Asia</v>
      </c>
      <c r="G2057">
        <v>4</v>
      </c>
      <c r="H2057" t="str" cm="1">
        <f t="array" ref="H2057">_xlfn.IFS(Ramen_Ratings[[#This Row],[Stars]] = "Unrated", "NA",Ramen_Ratings[[#This Row],[Stars]]&gt;=4, "Good", Ramen_Ratings[[#This Row],[Stars]]&gt;2.5, "Fair", Ramen_Ratings[[#This Row],[Stars]] &gt;= 0, "Bad")</f>
        <v>Good</v>
      </c>
      <c r="J2057" t="str">
        <f>LEFT(Ramen_Ratings[[#This Row],[Top Ten]],4)</f>
        <v/>
      </c>
      <c r="K2057" t="str">
        <f>IF(Ramen_Ratings[[#This Row],[Top Ten]]="", "",RIGHT(Ramen_Ratings[[#This Row],[Top Ten]],LEN(Ramen_Ratings[[#This Row],[Top Ten]])-6))</f>
        <v/>
      </c>
    </row>
    <row r="2058" spans="1:11" x14ac:dyDescent="0.25">
      <c r="A2058">
        <v>802</v>
      </c>
      <c r="B2058" t="s">
        <v>1971</v>
      </c>
      <c r="C2058" t="s">
        <v>2081</v>
      </c>
      <c r="D2058" t="s">
        <v>13</v>
      </c>
      <c r="E2058" t="s">
        <v>73</v>
      </c>
      <c r="F2058" t="str">
        <f>VLOOKUP(Ramen_Ratings[[#This Row],[Country]],Country_Region[#All],2,FALSE)</f>
        <v>Asia</v>
      </c>
      <c r="G2058">
        <v>4.5</v>
      </c>
      <c r="H2058" t="str" cm="1">
        <f t="array" ref="H2058">_xlfn.IFS(Ramen_Ratings[[#This Row],[Stars]] = "Unrated", "NA",Ramen_Ratings[[#This Row],[Stars]]&gt;=4, "Good", Ramen_Ratings[[#This Row],[Stars]]&gt;2.5, "Fair", Ramen_Ratings[[#This Row],[Stars]] &gt;= 0, "Bad")</f>
        <v>Good</v>
      </c>
      <c r="J2058" t="str">
        <f>LEFT(Ramen_Ratings[[#This Row],[Top Ten]],4)</f>
        <v/>
      </c>
      <c r="K2058" t="str">
        <f>IF(Ramen_Ratings[[#This Row],[Top Ten]]="", "",RIGHT(Ramen_Ratings[[#This Row],[Top Ten]],LEN(Ramen_Ratings[[#This Row],[Top Ten]])-6))</f>
        <v/>
      </c>
    </row>
    <row r="2059" spans="1:11" x14ac:dyDescent="0.25">
      <c r="A2059">
        <v>794</v>
      </c>
      <c r="B2059" t="s">
        <v>1971</v>
      </c>
      <c r="C2059" t="s">
        <v>2091</v>
      </c>
      <c r="D2059" t="s">
        <v>13</v>
      </c>
      <c r="E2059" t="s">
        <v>73</v>
      </c>
      <c r="F2059" t="str">
        <f>VLOOKUP(Ramen_Ratings[[#This Row],[Country]],Country_Region[#All],2,FALSE)</f>
        <v>Asia</v>
      </c>
      <c r="G2059">
        <v>4.75</v>
      </c>
      <c r="H2059" t="str" cm="1">
        <f t="array" ref="H2059">_xlfn.IFS(Ramen_Ratings[[#This Row],[Stars]] = "Unrated", "NA",Ramen_Ratings[[#This Row],[Stars]]&gt;=4, "Good", Ramen_Ratings[[#This Row],[Stars]]&gt;2.5, "Fair", Ramen_Ratings[[#This Row],[Stars]] &gt;= 0, "Bad")</f>
        <v>Good</v>
      </c>
      <c r="J2059" t="str">
        <f>LEFT(Ramen_Ratings[[#This Row],[Top Ten]],4)</f>
        <v/>
      </c>
      <c r="K2059" t="str">
        <f>IF(Ramen_Ratings[[#This Row],[Top Ten]]="", "",RIGHT(Ramen_Ratings[[#This Row],[Top Ten]],LEN(Ramen_Ratings[[#This Row],[Top Ten]])-6))</f>
        <v/>
      </c>
    </row>
    <row r="2060" spans="1:11" x14ac:dyDescent="0.25">
      <c r="A2060">
        <v>789</v>
      </c>
      <c r="B2060" t="s">
        <v>1613</v>
      </c>
      <c r="C2060" t="s">
        <v>2096</v>
      </c>
      <c r="D2060" t="s">
        <v>13</v>
      </c>
      <c r="E2060" t="s">
        <v>73</v>
      </c>
      <c r="F2060" t="str">
        <f>VLOOKUP(Ramen_Ratings[[#This Row],[Country]],Country_Region[#All],2,FALSE)</f>
        <v>Asia</v>
      </c>
      <c r="G2060">
        <v>4</v>
      </c>
      <c r="H2060" t="str" cm="1">
        <f t="array" ref="H2060">_xlfn.IFS(Ramen_Ratings[[#This Row],[Stars]] = "Unrated", "NA",Ramen_Ratings[[#This Row],[Stars]]&gt;=4, "Good", Ramen_Ratings[[#This Row],[Stars]]&gt;2.5, "Fair", Ramen_Ratings[[#This Row],[Stars]] &gt;= 0, "Bad")</f>
        <v>Good</v>
      </c>
      <c r="J2060" t="str">
        <f>LEFT(Ramen_Ratings[[#This Row],[Top Ten]],4)</f>
        <v/>
      </c>
      <c r="K2060" t="str">
        <f>IF(Ramen_Ratings[[#This Row],[Top Ten]]="", "",RIGHT(Ramen_Ratings[[#This Row],[Top Ten]],LEN(Ramen_Ratings[[#This Row],[Top Ten]])-6))</f>
        <v/>
      </c>
    </row>
    <row r="2061" spans="1:11" x14ac:dyDescent="0.25">
      <c r="A2061">
        <v>785</v>
      </c>
      <c r="B2061" t="s">
        <v>1971</v>
      </c>
      <c r="C2061" t="s">
        <v>2099</v>
      </c>
      <c r="D2061" t="s">
        <v>13</v>
      </c>
      <c r="E2061" t="s">
        <v>73</v>
      </c>
      <c r="F2061" t="str">
        <f>VLOOKUP(Ramen_Ratings[[#This Row],[Country]],Country_Region[#All],2,FALSE)</f>
        <v>Asia</v>
      </c>
      <c r="G2061">
        <v>3.5</v>
      </c>
      <c r="H2061" t="str" cm="1">
        <f t="array" ref="H2061">_xlfn.IFS(Ramen_Ratings[[#This Row],[Stars]] = "Unrated", "NA",Ramen_Ratings[[#This Row],[Stars]]&gt;=4, "Good", Ramen_Ratings[[#This Row],[Stars]]&gt;2.5, "Fair", Ramen_Ratings[[#This Row],[Stars]] &gt;= 0, "Bad")</f>
        <v>Fair</v>
      </c>
      <c r="J2061" t="str">
        <f>LEFT(Ramen_Ratings[[#This Row],[Top Ten]],4)</f>
        <v/>
      </c>
      <c r="K2061" t="str">
        <f>IF(Ramen_Ratings[[#This Row],[Top Ten]]="", "",RIGHT(Ramen_Ratings[[#This Row],[Top Ten]],LEN(Ramen_Ratings[[#This Row],[Top Ten]])-6))</f>
        <v/>
      </c>
    </row>
    <row r="2062" spans="1:11" x14ac:dyDescent="0.25">
      <c r="A2062">
        <v>779</v>
      </c>
      <c r="B2062" t="s">
        <v>135</v>
      </c>
      <c r="C2062" t="s">
        <v>2105</v>
      </c>
      <c r="D2062" t="s">
        <v>13</v>
      </c>
      <c r="E2062" t="s">
        <v>73</v>
      </c>
      <c r="F2062" t="str">
        <f>VLOOKUP(Ramen_Ratings[[#This Row],[Country]],Country_Region[#All],2,FALSE)</f>
        <v>Asia</v>
      </c>
      <c r="G2062">
        <v>3.75</v>
      </c>
      <c r="H2062" t="str" cm="1">
        <f t="array" ref="H2062">_xlfn.IFS(Ramen_Ratings[[#This Row],[Stars]] = "Unrated", "NA",Ramen_Ratings[[#This Row],[Stars]]&gt;=4, "Good", Ramen_Ratings[[#This Row],[Stars]]&gt;2.5, "Fair", Ramen_Ratings[[#This Row],[Stars]] &gt;= 0, "Bad")</f>
        <v>Fair</v>
      </c>
      <c r="J2062" t="str">
        <f>LEFT(Ramen_Ratings[[#This Row],[Top Ten]],4)</f>
        <v/>
      </c>
      <c r="K2062" t="str">
        <f>IF(Ramen_Ratings[[#This Row],[Top Ten]]="", "",RIGHT(Ramen_Ratings[[#This Row],[Top Ten]],LEN(Ramen_Ratings[[#This Row],[Top Ten]])-6))</f>
        <v/>
      </c>
    </row>
    <row r="2063" spans="1:11" x14ac:dyDescent="0.25">
      <c r="A2063">
        <v>776</v>
      </c>
      <c r="B2063" t="s">
        <v>1971</v>
      </c>
      <c r="C2063" t="s">
        <v>2108</v>
      </c>
      <c r="D2063" t="s">
        <v>13</v>
      </c>
      <c r="E2063" t="s">
        <v>73</v>
      </c>
      <c r="F2063" t="str">
        <f>VLOOKUP(Ramen_Ratings[[#This Row],[Country]],Country_Region[#All],2,FALSE)</f>
        <v>Asia</v>
      </c>
      <c r="G2063">
        <v>3.75</v>
      </c>
      <c r="H2063" t="str" cm="1">
        <f t="array" ref="H2063">_xlfn.IFS(Ramen_Ratings[[#This Row],[Stars]] = "Unrated", "NA",Ramen_Ratings[[#This Row],[Stars]]&gt;=4, "Good", Ramen_Ratings[[#This Row],[Stars]]&gt;2.5, "Fair", Ramen_Ratings[[#This Row],[Stars]] &gt;= 0, "Bad")</f>
        <v>Fair</v>
      </c>
      <c r="J2063" t="str">
        <f>LEFT(Ramen_Ratings[[#This Row],[Top Ten]],4)</f>
        <v/>
      </c>
      <c r="K2063" t="str">
        <f>IF(Ramen_Ratings[[#This Row],[Top Ten]]="", "",RIGHT(Ramen_Ratings[[#This Row],[Top Ten]],LEN(Ramen_Ratings[[#This Row],[Top Ten]])-6))</f>
        <v/>
      </c>
    </row>
    <row r="2064" spans="1:11" x14ac:dyDescent="0.25">
      <c r="A2064">
        <v>774</v>
      </c>
      <c r="B2064" t="s">
        <v>135</v>
      </c>
      <c r="C2064" t="s">
        <v>2110</v>
      </c>
      <c r="D2064" t="s">
        <v>13</v>
      </c>
      <c r="E2064" t="s">
        <v>73</v>
      </c>
      <c r="F2064" t="str">
        <f>VLOOKUP(Ramen_Ratings[[#This Row],[Country]],Country_Region[#All],2,FALSE)</f>
        <v>Asia</v>
      </c>
      <c r="G2064">
        <v>2.25</v>
      </c>
      <c r="H2064" t="str" cm="1">
        <f t="array" ref="H2064">_xlfn.IFS(Ramen_Ratings[[#This Row],[Stars]] = "Unrated", "NA",Ramen_Ratings[[#This Row],[Stars]]&gt;=4, "Good", Ramen_Ratings[[#This Row],[Stars]]&gt;2.5, "Fair", Ramen_Ratings[[#This Row],[Stars]] &gt;= 0, "Bad")</f>
        <v>Bad</v>
      </c>
      <c r="J2064" t="str">
        <f>LEFT(Ramen_Ratings[[#This Row],[Top Ten]],4)</f>
        <v/>
      </c>
      <c r="K2064" t="str">
        <f>IF(Ramen_Ratings[[#This Row],[Top Ten]]="", "",RIGHT(Ramen_Ratings[[#This Row],[Top Ten]],LEN(Ramen_Ratings[[#This Row],[Top Ten]])-6))</f>
        <v/>
      </c>
    </row>
    <row r="2065" spans="1:11" x14ac:dyDescent="0.25">
      <c r="A2065">
        <v>771</v>
      </c>
      <c r="B2065" t="s">
        <v>654</v>
      </c>
      <c r="C2065" t="s">
        <v>2113</v>
      </c>
      <c r="D2065" t="s">
        <v>13</v>
      </c>
      <c r="E2065" t="s">
        <v>73</v>
      </c>
      <c r="F2065" t="str">
        <f>VLOOKUP(Ramen_Ratings[[#This Row],[Country]],Country_Region[#All],2,FALSE)</f>
        <v>Asia</v>
      </c>
      <c r="G2065">
        <v>4</v>
      </c>
      <c r="H2065" t="str" cm="1">
        <f t="array" ref="H2065">_xlfn.IFS(Ramen_Ratings[[#This Row],[Stars]] = "Unrated", "NA",Ramen_Ratings[[#This Row],[Stars]]&gt;=4, "Good", Ramen_Ratings[[#This Row],[Stars]]&gt;2.5, "Fair", Ramen_Ratings[[#This Row],[Stars]] &gt;= 0, "Bad")</f>
        <v>Good</v>
      </c>
      <c r="J2065" t="str">
        <f>LEFT(Ramen_Ratings[[#This Row],[Top Ten]],4)</f>
        <v/>
      </c>
      <c r="K2065" t="str">
        <f>IF(Ramen_Ratings[[#This Row],[Top Ten]]="", "",RIGHT(Ramen_Ratings[[#This Row],[Top Ten]],LEN(Ramen_Ratings[[#This Row],[Top Ten]])-6))</f>
        <v/>
      </c>
    </row>
    <row r="2066" spans="1:11" x14ac:dyDescent="0.25">
      <c r="A2066">
        <v>765</v>
      </c>
      <c r="B2066" t="s">
        <v>250</v>
      </c>
      <c r="C2066" t="s">
        <v>2118</v>
      </c>
      <c r="D2066" t="s">
        <v>13</v>
      </c>
      <c r="E2066" t="s">
        <v>73</v>
      </c>
      <c r="F2066" t="str">
        <f>VLOOKUP(Ramen_Ratings[[#This Row],[Country]],Country_Region[#All],2,FALSE)</f>
        <v>Asia</v>
      </c>
      <c r="G2066">
        <v>4.5</v>
      </c>
      <c r="H2066" t="str" cm="1">
        <f t="array" ref="H2066">_xlfn.IFS(Ramen_Ratings[[#This Row],[Stars]] = "Unrated", "NA",Ramen_Ratings[[#This Row],[Stars]]&gt;=4, "Good", Ramen_Ratings[[#This Row],[Stars]]&gt;2.5, "Fair", Ramen_Ratings[[#This Row],[Stars]] &gt;= 0, "Bad")</f>
        <v>Good</v>
      </c>
      <c r="J2066" t="str">
        <f>LEFT(Ramen_Ratings[[#This Row],[Top Ten]],4)</f>
        <v/>
      </c>
      <c r="K2066" t="str">
        <f>IF(Ramen_Ratings[[#This Row],[Top Ten]]="", "",RIGHT(Ramen_Ratings[[#This Row],[Top Ten]],LEN(Ramen_Ratings[[#This Row],[Top Ten]])-6))</f>
        <v/>
      </c>
    </row>
    <row r="2067" spans="1:11" x14ac:dyDescent="0.25">
      <c r="A2067">
        <v>757</v>
      </c>
      <c r="B2067" t="s">
        <v>135</v>
      </c>
      <c r="C2067" t="s">
        <v>2126</v>
      </c>
      <c r="D2067" t="s">
        <v>13</v>
      </c>
      <c r="E2067" t="s">
        <v>73</v>
      </c>
      <c r="F2067" t="str">
        <f>VLOOKUP(Ramen_Ratings[[#This Row],[Country]],Country_Region[#All],2,FALSE)</f>
        <v>Asia</v>
      </c>
      <c r="G2067">
        <v>4.25</v>
      </c>
      <c r="H2067" t="str" cm="1">
        <f t="array" ref="H2067">_xlfn.IFS(Ramen_Ratings[[#This Row],[Stars]] = "Unrated", "NA",Ramen_Ratings[[#This Row],[Stars]]&gt;=4, "Good", Ramen_Ratings[[#This Row],[Stars]]&gt;2.5, "Fair", Ramen_Ratings[[#This Row],[Stars]] &gt;= 0, "Bad")</f>
        <v>Good</v>
      </c>
      <c r="J2067" t="str">
        <f>LEFT(Ramen_Ratings[[#This Row],[Top Ten]],4)</f>
        <v/>
      </c>
      <c r="K2067" t="str">
        <f>IF(Ramen_Ratings[[#This Row],[Top Ten]]="", "",RIGHT(Ramen_Ratings[[#This Row],[Top Ten]],LEN(Ramen_Ratings[[#This Row],[Top Ten]])-6))</f>
        <v/>
      </c>
    </row>
    <row r="2068" spans="1:11" x14ac:dyDescent="0.25">
      <c r="A2068">
        <v>740</v>
      </c>
      <c r="B2068" t="s">
        <v>135</v>
      </c>
      <c r="C2068" t="s">
        <v>2145</v>
      </c>
      <c r="D2068" t="s">
        <v>13</v>
      </c>
      <c r="E2068" t="s">
        <v>73</v>
      </c>
      <c r="F2068" t="str">
        <f>VLOOKUP(Ramen_Ratings[[#This Row],[Country]],Country_Region[#All],2,FALSE)</f>
        <v>Asia</v>
      </c>
      <c r="G2068">
        <v>5</v>
      </c>
      <c r="H2068" t="str" cm="1">
        <f t="array" ref="H2068">_xlfn.IFS(Ramen_Ratings[[#This Row],[Stars]] = "Unrated", "NA",Ramen_Ratings[[#This Row],[Stars]]&gt;=4, "Good", Ramen_Ratings[[#This Row],[Stars]]&gt;2.5, "Fair", Ramen_Ratings[[#This Row],[Stars]] &gt;= 0, "Bad")</f>
        <v>Good</v>
      </c>
      <c r="J2068" t="str">
        <f>LEFT(Ramen_Ratings[[#This Row],[Top Ten]],4)</f>
        <v/>
      </c>
      <c r="K2068" t="str">
        <f>IF(Ramen_Ratings[[#This Row],[Top Ten]]="", "",RIGHT(Ramen_Ratings[[#This Row],[Top Ten]],LEN(Ramen_Ratings[[#This Row],[Top Ten]])-6))</f>
        <v/>
      </c>
    </row>
    <row r="2069" spans="1:11" x14ac:dyDescent="0.25">
      <c r="A2069">
        <v>733</v>
      </c>
      <c r="B2069" t="s">
        <v>135</v>
      </c>
      <c r="C2069" t="s">
        <v>2152</v>
      </c>
      <c r="D2069" t="s">
        <v>13</v>
      </c>
      <c r="E2069" t="s">
        <v>73</v>
      </c>
      <c r="F2069" t="str">
        <f>VLOOKUP(Ramen_Ratings[[#This Row],[Country]],Country_Region[#All],2,FALSE)</f>
        <v>Asia</v>
      </c>
      <c r="G2069">
        <v>4.5</v>
      </c>
      <c r="H2069" t="str" cm="1">
        <f t="array" ref="H2069">_xlfn.IFS(Ramen_Ratings[[#This Row],[Stars]] = "Unrated", "NA",Ramen_Ratings[[#This Row],[Stars]]&gt;=4, "Good", Ramen_Ratings[[#This Row],[Stars]]&gt;2.5, "Fair", Ramen_Ratings[[#This Row],[Stars]] &gt;= 0, "Bad")</f>
        <v>Good</v>
      </c>
      <c r="J2069" t="str">
        <f>LEFT(Ramen_Ratings[[#This Row],[Top Ten]],4)</f>
        <v/>
      </c>
      <c r="K2069" t="str">
        <f>IF(Ramen_Ratings[[#This Row],[Top Ten]]="", "",RIGHT(Ramen_Ratings[[#This Row],[Top Ten]],LEN(Ramen_Ratings[[#This Row],[Top Ten]])-6))</f>
        <v/>
      </c>
    </row>
    <row r="2070" spans="1:11" x14ac:dyDescent="0.25">
      <c r="A2070">
        <v>732</v>
      </c>
      <c r="B2070" t="s">
        <v>135</v>
      </c>
      <c r="C2070" t="s">
        <v>2153</v>
      </c>
      <c r="D2070" t="s">
        <v>13</v>
      </c>
      <c r="E2070" t="s">
        <v>73</v>
      </c>
      <c r="F2070" t="str">
        <f>VLOOKUP(Ramen_Ratings[[#This Row],[Country]],Country_Region[#All],2,FALSE)</f>
        <v>Asia</v>
      </c>
      <c r="G2070">
        <v>4.25</v>
      </c>
      <c r="H2070" t="str" cm="1">
        <f t="array" ref="H2070">_xlfn.IFS(Ramen_Ratings[[#This Row],[Stars]] = "Unrated", "NA",Ramen_Ratings[[#This Row],[Stars]]&gt;=4, "Good", Ramen_Ratings[[#This Row],[Stars]]&gt;2.5, "Fair", Ramen_Ratings[[#This Row],[Stars]] &gt;= 0, "Bad")</f>
        <v>Good</v>
      </c>
      <c r="J2070" t="str">
        <f>LEFT(Ramen_Ratings[[#This Row],[Top Ten]],4)</f>
        <v/>
      </c>
      <c r="K2070" t="str">
        <f>IF(Ramen_Ratings[[#This Row],[Top Ten]]="", "",RIGHT(Ramen_Ratings[[#This Row],[Top Ten]],LEN(Ramen_Ratings[[#This Row],[Top Ten]])-6))</f>
        <v/>
      </c>
    </row>
    <row r="2071" spans="1:11" x14ac:dyDescent="0.25">
      <c r="A2071">
        <v>731</v>
      </c>
      <c r="B2071" t="s">
        <v>135</v>
      </c>
      <c r="C2071" t="s">
        <v>2154</v>
      </c>
      <c r="D2071" t="s">
        <v>13</v>
      </c>
      <c r="E2071" t="s">
        <v>73</v>
      </c>
      <c r="F2071" t="str">
        <f>VLOOKUP(Ramen_Ratings[[#This Row],[Country]],Country_Region[#All],2,FALSE)</f>
        <v>Asia</v>
      </c>
      <c r="G2071">
        <v>3.25</v>
      </c>
      <c r="H2071" t="str" cm="1">
        <f t="array" ref="H2071">_xlfn.IFS(Ramen_Ratings[[#This Row],[Stars]] = "Unrated", "NA",Ramen_Ratings[[#This Row],[Stars]]&gt;=4, "Good", Ramen_Ratings[[#This Row],[Stars]]&gt;2.5, "Fair", Ramen_Ratings[[#This Row],[Stars]] &gt;= 0, "Bad")</f>
        <v>Fair</v>
      </c>
      <c r="J2071" t="str">
        <f>LEFT(Ramen_Ratings[[#This Row],[Top Ten]],4)</f>
        <v/>
      </c>
      <c r="K2071" t="str">
        <f>IF(Ramen_Ratings[[#This Row],[Top Ten]]="", "",RIGHT(Ramen_Ratings[[#This Row],[Top Ten]],LEN(Ramen_Ratings[[#This Row],[Top Ten]])-6))</f>
        <v/>
      </c>
    </row>
    <row r="2072" spans="1:11" x14ac:dyDescent="0.25">
      <c r="A2072">
        <v>730</v>
      </c>
      <c r="B2072" t="s">
        <v>135</v>
      </c>
      <c r="C2072" t="s">
        <v>2155</v>
      </c>
      <c r="D2072" t="s">
        <v>13</v>
      </c>
      <c r="E2072" t="s">
        <v>73</v>
      </c>
      <c r="F2072" t="str">
        <f>VLOOKUP(Ramen_Ratings[[#This Row],[Country]],Country_Region[#All],2,FALSE)</f>
        <v>Asia</v>
      </c>
      <c r="G2072">
        <v>5</v>
      </c>
      <c r="H2072" t="str" cm="1">
        <f t="array" ref="H2072">_xlfn.IFS(Ramen_Ratings[[#This Row],[Stars]] = "Unrated", "NA",Ramen_Ratings[[#This Row],[Stars]]&gt;=4, "Good", Ramen_Ratings[[#This Row],[Stars]]&gt;2.5, "Fair", Ramen_Ratings[[#This Row],[Stars]] &gt;= 0, "Bad")</f>
        <v>Good</v>
      </c>
      <c r="J2072" t="str">
        <f>LEFT(Ramen_Ratings[[#This Row],[Top Ten]],4)</f>
        <v/>
      </c>
      <c r="K2072" t="str">
        <f>IF(Ramen_Ratings[[#This Row],[Top Ten]]="", "",RIGHT(Ramen_Ratings[[#This Row],[Top Ten]],LEN(Ramen_Ratings[[#This Row],[Top Ten]])-6))</f>
        <v/>
      </c>
    </row>
    <row r="2073" spans="1:11" x14ac:dyDescent="0.25">
      <c r="A2073">
        <v>729</v>
      </c>
      <c r="B2073" t="s">
        <v>135</v>
      </c>
      <c r="C2073" t="s">
        <v>2156</v>
      </c>
      <c r="D2073" t="s">
        <v>13</v>
      </c>
      <c r="E2073" t="s">
        <v>73</v>
      </c>
      <c r="F2073" t="str">
        <f>VLOOKUP(Ramen_Ratings[[#This Row],[Country]],Country_Region[#All],2,FALSE)</f>
        <v>Asia</v>
      </c>
      <c r="G2073">
        <v>5</v>
      </c>
      <c r="H2073" t="str" cm="1">
        <f t="array" ref="H2073">_xlfn.IFS(Ramen_Ratings[[#This Row],[Stars]] = "Unrated", "NA",Ramen_Ratings[[#This Row],[Stars]]&gt;=4, "Good", Ramen_Ratings[[#This Row],[Stars]]&gt;2.5, "Fair", Ramen_Ratings[[#This Row],[Stars]] &gt;= 0, "Bad")</f>
        <v>Good</v>
      </c>
      <c r="J2073" t="str">
        <f>LEFT(Ramen_Ratings[[#This Row],[Top Ten]],4)</f>
        <v/>
      </c>
      <c r="K2073" t="str">
        <f>IF(Ramen_Ratings[[#This Row],[Top Ten]]="", "",RIGHT(Ramen_Ratings[[#This Row],[Top Ten]],LEN(Ramen_Ratings[[#This Row],[Top Ten]])-6))</f>
        <v/>
      </c>
    </row>
    <row r="2074" spans="1:11" x14ac:dyDescent="0.25">
      <c r="A2074">
        <v>728</v>
      </c>
      <c r="B2074" t="s">
        <v>135</v>
      </c>
      <c r="C2074" t="s">
        <v>2157</v>
      </c>
      <c r="D2074" t="s">
        <v>13</v>
      </c>
      <c r="E2074" t="s">
        <v>73</v>
      </c>
      <c r="F2074" t="str">
        <f>VLOOKUP(Ramen_Ratings[[#This Row],[Country]],Country_Region[#All],2,FALSE)</f>
        <v>Asia</v>
      </c>
      <c r="G2074">
        <v>5</v>
      </c>
      <c r="H2074" t="str" cm="1">
        <f t="array" ref="H2074">_xlfn.IFS(Ramen_Ratings[[#This Row],[Stars]] = "Unrated", "NA",Ramen_Ratings[[#This Row],[Stars]]&gt;=4, "Good", Ramen_Ratings[[#This Row],[Stars]]&gt;2.5, "Fair", Ramen_Ratings[[#This Row],[Stars]] &gt;= 0, "Bad")</f>
        <v>Good</v>
      </c>
      <c r="J2074" t="str">
        <f>LEFT(Ramen_Ratings[[#This Row],[Top Ten]],4)</f>
        <v/>
      </c>
      <c r="K2074" t="str">
        <f>IF(Ramen_Ratings[[#This Row],[Top Ten]]="", "",RIGHT(Ramen_Ratings[[#This Row],[Top Ten]],LEN(Ramen_Ratings[[#This Row],[Top Ten]])-6))</f>
        <v/>
      </c>
    </row>
    <row r="2075" spans="1:11" x14ac:dyDescent="0.25">
      <c r="A2075">
        <v>727</v>
      </c>
      <c r="B2075" t="s">
        <v>135</v>
      </c>
      <c r="C2075" t="s">
        <v>2158</v>
      </c>
      <c r="D2075" t="s">
        <v>13</v>
      </c>
      <c r="E2075" t="s">
        <v>73</v>
      </c>
      <c r="F2075" t="str">
        <f>VLOOKUP(Ramen_Ratings[[#This Row],[Country]],Country_Region[#All],2,FALSE)</f>
        <v>Asia</v>
      </c>
      <c r="G2075">
        <v>4</v>
      </c>
      <c r="H2075" t="str" cm="1">
        <f t="array" ref="H2075">_xlfn.IFS(Ramen_Ratings[[#This Row],[Stars]] = "Unrated", "NA",Ramen_Ratings[[#This Row],[Stars]]&gt;=4, "Good", Ramen_Ratings[[#This Row],[Stars]]&gt;2.5, "Fair", Ramen_Ratings[[#This Row],[Stars]] &gt;= 0, "Bad")</f>
        <v>Good</v>
      </c>
      <c r="J2075" t="str">
        <f>LEFT(Ramen_Ratings[[#This Row],[Top Ten]],4)</f>
        <v/>
      </c>
      <c r="K2075" t="str">
        <f>IF(Ramen_Ratings[[#This Row],[Top Ten]]="", "",RIGHT(Ramen_Ratings[[#This Row],[Top Ten]],LEN(Ramen_Ratings[[#This Row],[Top Ten]])-6))</f>
        <v/>
      </c>
    </row>
    <row r="2076" spans="1:11" x14ac:dyDescent="0.25">
      <c r="A2076">
        <v>726</v>
      </c>
      <c r="B2076" t="s">
        <v>135</v>
      </c>
      <c r="C2076" t="s">
        <v>2159</v>
      </c>
      <c r="D2076" t="s">
        <v>13</v>
      </c>
      <c r="E2076" t="s">
        <v>73</v>
      </c>
      <c r="F2076" t="str">
        <f>VLOOKUP(Ramen_Ratings[[#This Row],[Country]],Country_Region[#All],2,FALSE)</f>
        <v>Asia</v>
      </c>
      <c r="G2076">
        <v>4</v>
      </c>
      <c r="H2076" t="str" cm="1">
        <f t="array" ref="H2076">_xlfn.IFS(Ramen_Ratings[[#This Row],[Stars]] = "Unrated", "NA",Ramen_Ratings[[#This Row],[Stars]]&gt;=4, "Good", Ramen_Ratings[[#This Row],[Stars]]&gt;2.5, "Fair", Ramen_Ratings[[#This Row],[Stars]] &gt;= 0, "Bad")</f>
        <v>Good</v>
      </c>
      <c r="J2076" t="str">
        <f>LEFT(Ramen_Ratings[[#This Row],[Top Ten]],4)</f>
        <v/>
      </c>
      <c r="K2076" t="str">
        <f>IF(Ramen_Ratings[[#This Row],[Top Ten]]="", "",RIGHT(Ramen_Ratings[[#This Row],[Top Ten]],LEN(Ramen_Ratings[[#This Row],[Top Ten]])-6))</f>
        <v/>
      </c>
    </row>
    <row r="2077" spans="1:11" x14ac:dyDescent="0.25">
      <c r="A2077">
        <v>725</v>
      </c>
      <c r="B2077" t="s">
        <v>135</v>
      </c>
      <c r="C2077" t="s">
        <v>2160</v>
      </c>
      <c r="D2077" t="s">
        <v>9</v>
      </c>
      <c r="E2077" t="s">
        <v>73</v>
      </c>
      <c r="F2077" t="str">
        <f>VLOOKUP(Ramen_Ratings[[#This Row],[Country]],Country_Region[#All],2,FALSE)</f>
        <v>Asia</v>
      </c>
      <c r="G2077">
        <v>5</v>
      </c>
      <c r="H2077" t="str" cm="1">
        <f t="array" ref="H2077">_xlfn.IFS(Ramen_Ratings[[#This Row],[Stars]] = "Unrated", "NA",Ramen_Ratings[[#This Row],[Stars]]&gt;=4, "Good", Ramen_Ratings[[#This Row],[Stars]]&gt;2.5, "Fair", Ramen_Ratings[[#This Row],[Stars]] &gt;= 0, "Bad")</f>
        <v>Good</v>
      </c>
      <c r="J2077" t="str">
        <f>LEFT(Ramen_Ratings[[#This Row],[Top Ten]],4)</f>
        <v/>
      </c>
      <c r="K2077" t="str">
        <f>IF(Ramen_Ratings[[#This Row],[Top Ten]]="", "",RIGHT(Ramen_Ratings[[#This Row],[Top Ten]],LEN(Ramen_Ratings[[#This Row],[Top Ten]])-6))</f>
        <v/>
      </c>
    </row>
    <row r="2078" spans="1:11" x14ac:dyDescent="0.25">
      <c r="A2078">
        <v>724</v>
      </c>
      <c r="B2078" t="s">
        <v>135</v>
      </c>
      <c r="C2078" t="s">
        <v>2161</v>
      </c>
      <c r="D2078" t="s">
        <v>13</v>
      </c>
      <c r="E2078" t="s">
        <v>73</v>
      </c>
      <c r="F2078" t="str">
        <f>VLOOKUP(Ramen_Ratings[[#This Row],[Country]],Country_Region[#All],2,FALSE)</f>
        <v>Asia</v>
      </c>
      <c r="G2078">
        <v>3.5</v>
      </c>
      <c r="H2078" t="str" cm="1">
        <f t="array" ref="H2078">_xlfn.IFS(Ramen_Ratings[[#This Row],[Stars]] = "Unrated", "NA",Ramen_Ratings[[#This Row],[Stars]]&gt;=4, "Good", Ramen_Ratings[[#This Row],[Stars]]&gt;2.5, "Fair", Ramen_Ratings[[#This Row],[Stars]] &gt;= 0, "Bad")</f>
        <v>Fair</v>
      </c>
      <c r="J2078" t="str">
        <f>LEFT(Ramen_Ratings[[#This Row],[Top Ten]],4)</f>
        <v/>
      </c>
      <c r="K2078" t="str">
        <f>IF(Ramen_Ratings[[#This Row],[Top Ten]]="", "",RIGHT(Ramen_Ratings[[#This Row],[Top Ten]],LEN(Ramen_Ratings[[#This Row],[Top Ten]])-6))</f>
        <v/>
      </c>
    </row>
    <row r="2079" spans="1:11" x14ac:dyDescent="0.25">
      <c r="A2079">
        <v>723</v>
      </c>
      <c r="B2079" t="s">
        <v>135</v>
      </c>
      <c r="C2079" t="s">
        <v>2162</v>
      </c>
      <c r="D2079" t="s">
        <v>13</v>
      </c>
      <c r="E2079" t="s">
        <v>73</v>
      </c>
      <c r="F2079" t="str">
        <f>VLOOKUP(Ramen_Ratings[[#This Row],[Country]],Country_Region[#All],2,FALSE)</f>
        <v>Asia</v>
      </c>
      <c r="G2079">
        <v>5</v>
      </c>
      <c r="H2079" t="str" cm="1">
        <f t="array" ref="H2079">_xlfn.IFS(Ramen_Ratings[[#This Row],[Stars]] = "Unrated", "NA",Ramen_Ratings[[#This Row],[Stars]]&gt;=4, "Good", Ramen_Ratings[[#This Row],[Stars]]&gt;2.5, "Fair", Ramen_Ratings[[#This Row],[Stars]] &gt;= 0, "Bad")</f>
        <v>Good</v>
      </c>
      <c r="J2079" t="str">
        <f>LEFT(Ramen_Ratings[[#This Row],[Top Ten]],4)</f>
        <v/>
      </c>
      <c r="K2079" t="str">
        <f>IF(Ramen_Ratings[[#This Row],[Top Ten]]="", "",RIGHT(Ramen_Ratings[[#This Row],[Top Ten]],LEN(Ramen_Ratings[[#This Row],[Top Ten]])-6))</f>
        <v/>
      </c>
    </row>
    <row r="2080" spans="1:11" x14ac:dyDescent="0.25">
      <c r="A2080">
        <v>686</v>
      </c>
      <c r="B2080" t="s">
        <v>654</v>
      </c>
      <c r="C2080" t="s">
        <v>2205</v>
      </c>
      <c r="D2080" t="s">
        <v>13</v>
      </c>
      <c r="E2080" t="s">
        <v>73</v>
      </c>
      <c r="F2080" t="str">
        <f>VLOOKUP(Ramen_Ratings[[#This Row],[Country]],Country_Region[#All],2,FALSE)</f>
        <v>Asia</v>
      </c>
      <c r="G2080">
        <v>4.5</v>
      </c>
      <c r="H2080" t="str" cm="1">
        <f t="array" ref="H2080">_xlfn.IFS(Ramen_Ratings[[#This Row],[Stars]] = "Unrated", "NA",Ramen_Ratings[[#This Row],[Stars]]&gt;=4, "Good", Ramen_Ratings[[#This Row],[Stars]]&gt;2.5, "Fair", Ramen_Ratings[[#This Row],[Stars]] &gt;= 0, "Bad")</f>
        <v>Good</v>
      </c>
      <c r="J2080" t="str">
        <f>LEFT(Ramen_Ratings[[#This Row],[Top Ten]],4)</f>
        <v/>
      </c>
      <c r="K2080" t="str">
        <f>IF(Ramen_Ratings[[#This Row],[Top Ten]]="", "",RIGHT(Ramen_Ratings[[#This Row],[Top Ten]],LEN(Ramen_Ratings[[#This Row],[Top Ten]])-6))</f>
        <v/>
      </c>
    </row>
    <row r="2081" spans="1:11" x14ac:dyDescent="0.25">
      <c r="A2081">
        <v>685</v>
      </c>
      <c r="B2081" t="s">
        <v>135</v>
      </c>
      <c r="C2081" t="s">
        <v>2206</v>
      </c>
      <c r="D2081" t="s">
        <v>13</v>
      </c>
      <c r="E2081" t="s">
        <v>73</v>
      </c>
      <c r="F2081" t="str">
        <f>VLOOKUP(Ramen_Ratings[[#This Row],[Country]],Country_Region[#All],2,FALSE)</f>
        <v>Asia</v>
      </c>
      <c r="G2081">
        <v>2.75</v>
      </c>
      <c r="H2081" t="str" cm="1">
        <f t="array" ref="H2081">_xlfn.IFS(Ramen_Ratings[[#This Row],[Stars]] = "Unrated", "NA",Ramen_Ratings[[#This Row],[Stars]]&gt;=4, "Good", Ramen_Ratings[[#This Row],[Stars]]&gt;2.5, "Fair", Ramen_Ratings[[#This Row],[Stars]] &gt;= 0, "Bad")</f>
        <v>Fair</v>
      </c>
      <c r="J2081" t="str">
        <f>LEFT(Ramen_Ratings[[#This Row],[Top Ten]],4)</f>
        <v/>
      </c>
      <c r="K2081" t="str">
        <f>IF(Ramen_Ratings[[#This Row],[Top Ten]]="", "",RIGHT(Ramen_Ratings[[#This Row],[Top Ten]],LEN(Ramen_Ratings[[#This Row],[Top Ten]])-6))</f>
        <v/>
      </c>
    </row>
    <row r="2082" spans="1:11" x14ac:dyDescent="0.25">
      <c r="A2082">
        <v>682</v>
      </c>
      <c r="B2082" t="s">
        <v>135</v>
      </c>
      <c r="C2082" t="s">
        <v>2209</v>
      </c>
      <c r="D2082" t="s">
        <v>9</v>
      </c>
      <c r="E2082" t="s">
        <v>73</v>
      </c>
      <c r="F2082" t="str">
        <f>VLOOKUP(Ramen_Ratings[[#This Row],[Country]],Country_Region[#All],2,FALSE)</f>
        <v>Asia</v>
      </c>
      <c r="G2082">
        <v>4.25</v>
      </c>
      <c r="H2082" t="str" cm="1">
        <f t="array" ref="H2082">_xlfn.IFS(Ramen_Ratings[[#This Row],[Stars]] = "Unrated", "NA",Ramen_Ratings[[#This Row],[Stars]]&gt;=4, "Good", Ramen_Ratings[[#This Row],[Stars]]&gt;2.5, "Fair", Ramen_Ratings[[#This Row],[Stars]] &gt;= 0, "Bad")</f>
        <v>Good</v>
      </c>
      <c r="J2082" t="str">
        <f>LEFT(Ramen_Ratings[[#This Row],[Top Ten]],4)</f>
        <v/>
      </c>
      <c r="K2082" t="str">
        <f>IF(Ramen_Ratings[[#This Row],[Top Ten]]="", "",RIGHT(Ramen_Ratings[[#This Row],[Top Ten]],LEN(Ramen_Ratings[[#This Row],[Top Ten]])-6))</f>
        <v/>
      </c>
    </row>
    <row r="2083" spans="1:11" x14ac:dyDescent="0.25">
      <c r="A2083">
        <v>676</v>
      </c>
      <c r="B2083" t="s">
        <v>135</v>
      </c>
      <c r="C2083" t="s">
        <v>2214</v>
      </c>
      <c r="D2083" t="s">
        <v>13</v>
      </c>
      <c r="E2083" t="s">
        <v>73</v>
      </c>
      <c r="F2083" t="str">
        <f>VLOOKUP(Ramen_Ratings[[#This Row],[Country]],Country_Region[#All],2,FALSE)</f>
        <v>Asia</v>
      </c>
      <c r="G2083">
        <v>4.75</v>
      </c>
      <c r="H2083" t="str" cm="1">
        <f t="array" ref="H2083">_xlfn.IFS(Ramen_Ratings[[#This Row],[Stars]] = "Unrated", "NA",Ramen_Ratings[[#This Row],[Stars]]&gt;=4, "Good", Ramen_Ratings[[#This Row],[Stars]]&gt;2.5, "Fair", Ramen_Ratings[[#This Row],[Stars]] &gt;= 0, "Bad")</f>
        <v>Good</v>
      </c>
      <c r="J2083" t="str">
        <f>LEFT(Ramen_Ratings[[#This Row],[Top Ten]],4)</f>
        <v/>
      </c>
      <c r="K2083" t="str">
        <f>IF(Ramen_Ratings[[#This Row],[Top Ten]]="", "",RIGHT(Ramen_Ratings[[#This Row],[Top Ten]],LEN(Ramen_Ratings[[#This Row],[Top Ten]])-6))</f>
        <v/>
      </c>
    </row>
    <row r="2084" spans="1:11" x14ac:dyDescent="0.25">
      <c r="A2084">
        <v>655</v>
      </c>
      <c r="B2084" t="s">
        <v>2235</v>
      </c>
      <c r="C2084" t="s">
        <v>2236</v>
      </c>
      <c r="D2084" t="s">
        <v>13</v>
      </c>
      <c r="E2084" t="s">
        <v>73</v>
      </c>
      <c r="F2084" t="str">
        <f>VLOOKUP(Ramen_Ratings[[#This Row],[Country]],Country_Region[#All],2,FALSE)</f>
        <v>Asia</v>
      </c>
      <c r="G2084">
        <v>3</v>
      </c>
      <c r="H2084" t="str" cm="1">
        <f t="array" ref="H2084">_xlfn.IFS(Ramen_Ratings[[#This Row],[Stars]] = "Unrated", "NA",Ramen_Ratings[[#This Row],[Stars]]&gt;=4, "Good", Ramen_Ratings[[#This Row],[Stars]]&gt;2.5, "Fair", Ramen_Ratings[[#This Row],[Stars]] &gt;= 0, "Bad")</f>
        <v>Fair</v>
      </c>
      <c r="J2084" t="str">
        <f>LEFT(Ramen_Ratings[[#This Row],[Top Ten]],4)</f>
        <v/>
      </c>
      <c r="K2084" t="str">
        <f>IF(Ramen_Ratings[[#This Row],[Top Ten]]="", "",RIGHT(Ramen_Ratings[[#This Row],[Top Ten]],LEN(Ramen_Ratings[[#This Row],[Top Ten]])-6))</f>
        <v/>
      </c>
    </row>
    <row r="2085" spans="1:11" x14ac:dyDescent="0.25">
      <c r="A2085">
        <v>651</v>
      </c>
      <c r="B2085" t="s">
        <v>654</v>
      </c>
      <c r="C2085" t="s">
        <v>2239</v>
      </c>
      <c r="D2085" t="s">
        <v>13</v>
      </c>
      <c r="E2085" t="s">
        <v>73</v>
      </c>
      <c r="F2085" t="str">
        <f>VLOOKUP(Ramen_Ratings[[#This Row],[Country]],Country_Region[#All],2,FALSE)</f>
        <v>Asia</v>
      </c>
      <c r="G2085">
        <v>4</v>
      </c>
      <c r="H2085" t="str" cm="1">
        <f t="array" ref="H2085">_xlfn.IFS(Ramen_Ratings[[#This Row],[Stars]] = "Unrated", "NA",Ramen_Ratings[[#This Row],[Stars]]&gt;=4, "Good", Ramen_Ratings[[#This Row],[Stars]]&gt;2.5, "Fair", Ramen_Ratings[[#This Row],[Stars]] &gt;= 0, "Bad")</f>
        <v>Good</v>
      </c>
      <c r="J2085" t="str">
        <f>LEFT(Ramen_Ratings[[#This Row],[Top Ten]],4)</f>
        <v/>
      </c>
      <c r="K2085" t="str">
        <f>IF(Ramen_Ratings[[#This Row],[Top Ten]]="", "",RIGHT(Ramen_Ratings[[#This Row],[Top Ten]],LEN(Ramen_Ratings[[#This Row],[Top Ten]])-6))</f>
        <v/>
      </c>
    </row>
    <row r="2086" spans="1:11" x14ac:dyDescent="0.25">
      <c r="A2086">
        <v>556</v>
      </c>
      <c r="B2086" t="s">
        <v>654</v>
      </c>
      <c r="C2086" t="s">
        <v>2339</v>
      </c>
      <c r="D2086" t="s">
        <v>13</v>
      </c>
      <c r="E2086" t="s">
        <v>73</v>
      </c>
      <c r="F2086" t="str">
        <f>VLOOKUP(Ramen_Ratings[[#This Row],[Country]],Country_Region[#All],2,FALSE)</f>
        <v>Asia</v>
      </c>
      <c r="G2086">
        <v>4.75</v>
      </c>
      <c r="H2086" t="str" cm="1">
        <f t="array" ref="H2086">_xlfn.IFS(Ramen_Ratings[[#This Row],[Stars]] = "Unrated", "NA",Ramen_Ratings[[#This Row],[Stars]]&gt;=4, "Good", Ramen_Ratings[[#This Row],[Stars]]&gt;2.5, "Fair", Ramen_Ratings[[#This Row],[Stars]] &gt;= 0, "Bad")</f>
        <v>Good</v>
      </c>
      <c r="J2086" t="str">
        <f>LEFT(Ramen_Ratings[[#This Row],[Top Ten]],4)</f>
        <v/>
      </c>
      <c r="K2086" t="str">
        <f>IF(Ramen_Ratings[[#This Row],[Top Ten]]="", "",RIGHT(Ramen_Ratings[[#This Row],[Top Ten]],LEN(Ramen_Ratings[[#This Row],[Top Ten]])-6))</f>
        <v/>
      </c>
    </row>
    <row r="2087" spans="1:11" x14ac:dyDescent="0.25">
      <c r="A2087">
        <v>552</v>
      </c>
      <c r="B2087" t="s">
        <v>250</v>
      </c>
      <c r="C2087" t="s">
        <v>2343</v>
      </c>
      <c r="D2087" t="s">
        <v>13</v>
      </c>
      <c r="E2087" t="s">
        <v>73</v>
      </c>
      <c r="F2087" t="str">
        <f>VLOOKUP(Ramen_Ratings[[#This Row],[Country]],Country_Region[#All],2,FALSE)</f>
        <v>Asia</v>
      </c>
      <c r="G2087">
        <v>3</v>
      </c>
      <c r="H2087" t="str" cm="1">
        <f t="array" ref="H2087">_xlfn.IFS(Ramen_Ratings[[#This Row],[Stars]] = "Unrated", "NA",Ramen_Ratings[[#This Row],[Stars]]&gt;=4, "Good", Ramen_Ratings[[#This Row],[Stars]]&gt;2.5, "Fair", Ramen_Ratings[[#This Row],[Stars]] &gt;= 0, "Bad")</f>
        <v>Fair</v>
      </c>
      <c r="J2087" t="str">
        <f>LEFT(Ramen_Ratings[[#This Row],[Top Ten]],4)</f>
        <v/>
      </c>
      <c r="K2087" t="str">
        <f>IF(Ramen_Ratings[[#This Row],[Top Ten]]="", "",RIGHT(Ramen_Ratings[[#This Row],[Top Ten]],LEN(Ramen_Ratings[[#This Row],[Top Ten]])-6))</f>
        <v/>
      </c>
    </row>
    <row r="2088" spans="1:11" x14ac:dyDescent="0.25">
      <c r="A2088">
        <v>549</v>
      </c>
      <c r="B2088" t="s">
        <v>654</v>
      </c>
      <c r="C2088" t="s">
        <v>2346</v>
      </c>
      <c r="D2088" t="s">
        <v>13</v>
      </c>
      <c r="E2088" t="s">
        <v>73</v>
      </c>
      <c r="F2088" t="str">
        <f>VLOOKUP(Ramen_Ratings[[#This Row],[Country]],Country_Region[#All],2,FALSE)</f>
        <v>Asia</v>
      </c>
      <c r="G2088">
        <v>4</v>
      </c>
      <c r="H2088" t="str" cm="1">
        <f t="array" ref="H2088">_xlfn.IFS(Ramen_Ratings[[#This Row],[Stars]] = "Unrated", "NA",Ramen_Ratings[[#This Row],[Stars]]&gt;=4, "Good", Ramen_Ratings[[#This Row],[Stars]]&gt;2.5, "Fair", Ramen_Ratings[[#This Row],[Stars]] &gt;= 0, "Bad")</f>
        <v>Good</v>
      </c>
      <c r="J2088" t="str">
        <f>LEFT(Ramen_Ratings[[#This Row],[Top Ten]],4)</f>
        <v/>
      </c>
      <c r="K2088" t="str">
        <f>IF(Ramen_Ratings[[#This Row],[Top Ten]]="", "",RIGHT(Ramen_Ratings[[#This Row],[Top Ten]],LEN(Ramen_Ratings[[#This Row],[Top Ten]])-6))</f>
        <v/>
      </c>
    </row>
    <row r="2089" spans="1:11" x14ac:dyDescent="0.25">
      <c r="A2089">
        <v>542</v>
      </c>
      <c r="B2089" t="s">
        <v>654</v>
      </c>
      <c r="C2089" t="s">
        <v>2351</v>
      </c>
      <c r="D2089" t="s">
        <v>13</v>
      </c>
      <c r="E2089" t="s">
        <v>73</v>
      </c>
      <c r="F2089" t="str">
        <f>VLOOKUP(Ramen_Ratings[[#This Row],[Country]],Country_Region[#All],2,FALSE)</f>
        <v>Asia</v>
      </c>
      <c r="G2089">
        <v>3</v>
      </c>
      <c r="H2089" t="str" cm="1">
        <f t="array" ref="H2089">_xlfn.IFS(Ramen_Ratings[[#This Row],[Stars]] = "Unrated", "NA",Ramen_Ratings[[#This Row],[Stars]]&gt;=4, "Good", Ramen_Ratings[[#This Row],[Stars]]&gt;2.5, "Fair", Ramen_Ratings[[#This Row],[Stars]] &gt;= 0, "Bad")</f>
        <v>Fair</v>
      </c>
      <c r="J2089" t="str">
        <f>LEFT(Ramen_Ratings[[#This Row],[Top Ten]],4)</f>
        <v/>
      </c>
      <c r="K2089" t="str">
        <f>IF(Ramen_Ratings[[#This Row],[Top Ten]]="", "",RIGHT(Ramen_Ratings[[#This Row],[Top Ten]],LEN(Ramen_Ratings[[#This Row],[Top Ten]])-6))</f>
        <v/>
      </c>
    </row>
    <row r="2090" spans="1:11" x14ac:dyDescent="0.25">
      <c r="A2090">
        <v>435</v>
      </c>
      <c r="B2090" t="s">
        <v>654</v>
      </c>
      <c r="C2090" t="s">
        <v>2443</v>
      </c>
      <c r="D2090" t="s">
        <v>13</v>
      </c>
      <c r="E2090" t="s">
        <v>73</v>
      </c>
      <c r="F2090" t="str">
        <f>VLOOKUP(Ramen_Ratings[[#This Row],[Country]],Country_Region[#All],2,FALSE)</f>
        <v>Asia</v>
      </c>
      <c r="G2090">
        <v>4.25</v>
      </c>
      <c r="H2090" t="str" cm="1">
        <f t="array" ref="H2090">_xlfn.IFS(Ramen_Ratings[[#This Row],[Stars]] = "Unrated", "NA",Ramen_Ratings[[#This Row],[Stars]]&gt;=4, "Good", Ramen_Ratings[[#This Row],[Stars]]&gt;2.5, "Fair", Ramen_Ratings[[#This Row],[Stars]] &gt;= 0, "Bad")</f>
        <v>Good</v>
      </c>
      <c r="J2090" t="str">
        <f>LEFT(Ramen_Ratings[[#This Row],[Top Ten]],4)</f>
        <v/>
      </c>
      <c r="K2090" t="str">
        <f>IF(Ramen_Ratings[[#This Row],[Top Ten]]="", "",RIGHT(Ramen_Ratings[[#This Row],[Top Ten]],LEN(Ramen_Ratings[[#This Row],[Top Ten]])-6))</f>
        <v/>
      </c>
    </row>
    <row r="2091" spans="1:11" x14ac:dyDescent="0.25">
      <c r="A2091">
        <v>343</v>
      </c>
      <c r="B2091" t="s">
        <v>250</v>
      </c>
      <c r="C2091" t="s">
        <v>2542</v>
      </c>
      <c r="D2091" t="s">
        <v>13</v>
      </c>
      <c r="E2091" t="s">
        <v>73</v>
      </c>
      <c r="F2091" t="str">
        <f>VLOOKUP(Ramen_Ratings[[#This Row],[Country]],Country_Region[#All],2,FALSE)</f>
        <v>Asia</v>
      </c>
      <c r="G2091">
        <v>4.5</v>
      </c>
      <c r="H2091" t="str" cm="1">
        <f t="array" ref="H2091">_xlfn.IFS(Ramen_Ratings[[#This Row],[Stars]] = "Unrated", "NA",Ramen_Ratings[[#This Row],[Stars]]&gt;=4, "Good", Ramen_Ratings[[#This Row],[Stars]]&gt;2.5, "Fair", Ramen_Ratings[[#This Row],[Stars]] &gt;= 0, "Bad")</f>
        <v>Good</v>
      </c>
      <c r="J2091" t="str">
        <f>LEFT(Ramen_Ratings[[#This Row],[Top Ten]],4)</f>
        <v/>
      </c>
      <c r="K2091" t="str">
        <f>IF(Ramen_Ratings[[#This Row],[Top Ten]]="", "",RIGHT(Ramen_Ratings[[#This Row],[Top Ten]],LEN(Ramen_Ratings[[#This Row],[Top Ten]])-6))</f>
        <v/>
      </c>
    </row>
    <row r="2092" spans="1:11" x14ac:dyDescent="0.25">
      <c r="A2092">
        <v>232</v>
      </c>
      <c r="B2092" t="s">
        <v>135</v>
      </c>
      <c r="C2092" t="s">
        <v>2156</v>
      </c>
      <c r="D2092" t="s">
        <v>13</v>
      </c>
      <c r="E2092" t="s">
        <v>73</v>
      </c>
      <c r="F2092" t="str">
        <f>VLOOKUP(Ramen_Ratings[[#This Row],[Country]],Country_Region[#All],2,FALSE)</f>
        <v>Asia</v>
      </c>
      <c r="G2092">
        <v>5</v>
      </c>
      <c r="H2092" t="str" cm="1">
        <f t="array" ref="H2092">_xlfn.IFS(Ramen_Ratings[[#This Row],[Stars]] = "Unrated", "NA",Ramen_Ratings[[#This Row],[Stars]]&gt;=4, "Good", Ramen_Ratings[[#This Row],[Stars]]&gt;2.5, "Fair", Ramen_Ratings[[#This Row],[Stars]] &gt;= 0, "Bad")</f>
        <v>Good</v>
      </c>
      <c r="J2092" t="str">
        <f>LEFT(Ramen_Ratings[[#This Row],[Top Ten]],4)</f>
        <v/>
      </c>
      <c r="K2092" t="str">
        <f>IF(Ramen_Ratings[[#This Row],[Top Ten]]="", "",RIGHT(Ramen_Ratings[[#This Row],[Top Ten]],LEN(Ramen_Ratings[[#This Row],[Top Ten]])-6))</f>
        <v/>
      </c>
    </row>
    <row r="2093" spans="1:11" x14ac:dyDescent="0.25">
      <c r="A2093">
        <v>231</v>
      </c>
      <c r="B2093" t="s">
        <v>135</v>
      </c>
      <c r="C2093" t="s">
        <v>2648</v>
      </c>
      <c r="D2093" t="s">
        <v>13</v>
      </c>
      <c r="E2093" t="s">
        <v>73</v>
      </c>
      <c r="F2093" t="str">
        <f>VLOOKUP(Ramen_Ratings[[#This Row],[Country]],Country_Region[#All],2,FALSE)</f>
        <v>Asia</v>
      </c>
      <c r="G2093">
        <v>4.5</v>
      </c>
      <c r="H2093" t="str" cm="1">
        <f t="array" ref="H2093">_xlfn.IFS(Ramen_Ratings[[#This Row],[Stars]] = "Unrated", "NA",Ramen_Ratings[[#This Row],[Stars]]&gt;=4, "Good", Ramen_Ratings[[#This Row],[Stars]]&gt;2.5, "Fair", Ramen_Ratings[[#This Row],[Stars]] &gt;= 0, "Bad")</f>
        <v>Good</v>
      </c>
      <c r="J2093" t="str">
        <f>LEFT(Ramen_Ratings[[#This Row],[Top Ten]],4)</f>
        <v/>
      </c>
      <c r="K2093" t="str">
        <f>IF(Ramen_Ratings[[#This Row],[Top Ten]]="", "",RIGHT(Ramen_Ratings[[#This Row],[Top Ten]],LEN(Ramen_Ratings[[#This Row],[Top Ten]])-6))</f>
        <v/>
      </c>
    </row>
    <row r="2094" spans="1:11" x14ac:dyDescent="0.25">
      <c r="A2094">
        <v>102</v>
      </c>
      <c r="B2094" t="s">
        <v>135</v>
      </c>
      <c r="C2094" t="s">
        <v>2771</v>
      </c>
      <c r="D2094" t="s">
        <v>13</v>
      </c>
      <c r="E2094" t="s">
        <v>73</v>
      </c>
      <c r="F2094" t="str">
        <f>VLOOKUP(Ramen_Ratings[[#This Row],[Country]],Country_Region[#All],2,FALSE)</f>
        <v>Asia</v>
      </c>
      <c r="G2094">
        <v>1.5</v>
      </c>
      <c r="H2094" t="str" cm="1">
        <f t="array" ref="H2094">_xlfn.IFS(Ramen_Ratings[[#This Row],[Stars]] = "Unrated", "NA",Ramen_Ratings[[#This Row],[Stars]]&gt;=4, "Good", Ramen_Ratings[[#This Row],[Stars]]&gt;2.5, "Fair", Ramen_Ratings[[#This Row],[Stars]] &gt;= 0, "Bad")</f>
        <v>Bad</v>
      </c>
      <c r="J2094" t="str">
        <f>LEFT(Ramen_Ratings[[#This Row],[Top Ten]],4)</f>
        <v/>
      </c>
      <c r="K2094" t="str">
        <f>IF(Ramen_Ratings[[#This Row],[Top Ten]]="", "",RIGHT(Ramen_Ratings[[#This Row],[Top Ten]],LEN(Ramen_Ratings[[#This Row],[Top Ten]])-6))</f>
        <v/>
      </c>
    </row>
    <row r="2095" spans="1:11" x14ac:dyDescent="0.25">
      <c r="A2095">
        <v>76</v>
      </c>
      <c r="B2095" t="s">
        <v>135</v>
      </c>
      <c r="C2095" t="s">
        <v>2790</v>
      </c>
      <c r="D2095" t="s">
        <v>13</v>
      </c>
      <c r="E2095" t="s">
        <v>73</v>
      </c>
      <c r="F2095" t="str">
        <f>VLOOKUP(Ramen_Ratings[[#This Row],[Country]],Country_Region[#All],2,FALSE)</f>
        <v>Asia</v>
      </c>
      <c r="G2095">
        <v>2.5</v>
      </c>
      <c r="H2095" t="str" cm="1">
        <f t="array" ref="H2095">_xlfn.IFS(Ramen_Ratings[[#This Row],[Stars]] = "Unrated", "NA",Ramen_Ratings[[#This Row],[Stars]]&gt;=4, "Good", Ramen_Ratings[[#This Row],[Stars]]&gt;2.5, "Fair", Ramen_Ratings[[#This Row],[Stars]] &gt;= 0, "Bad")</f>
        <v>Bad</v>
      </c>
      <c r="J2095" t="str">
        <f>LEFT(Ramen_Ratings[[#This Row],[Top Ten]],4)</f>
        <v/>
      </c>
      <c r="K2095" t="str">
        <f>IF(Ramen_Ratings[[#This Row],[Top Ten]]="", "",RIGHT(Ramen_Ratings[[#This Row],[Top Ten]],LEN(Ramen_Ratings[[#This Row],[Top Ten]])-6))</f>
        <v/>
      </c>
    </row>
    <row r="2096" spans="1:11" x14ac:dyDescent="0.25">
      <c r="A2096">
        <v>75</v>
      </c>
      <c r="B2096" t="s">
        <v>135</v>
      </c>
      <c r="C2096" t="s">
        <v>2791</v>
      </c>
      <c r="D2096" t="s">
        <v>13</v>
      </c>
      <c r="E2096" t="s">
        <v>73</v>
      </c>
      <c r="F2096" t="str">
        <f>VLOOKUP(Ramen_Ratings[[#This Row],[Country]],Country_Region[#All],2,FALSE)</f>
        <v>Asia</v>
      </c>
      <c r="G2096">
        <v>4.5</v>
      </c>
      <c r="H2096" t="str" cm="1">
        <f t="array" ref="H2096">_xlfn.IFS(Ramen_Ratings[[#This Row],[Stars]] = "Unrated", "NA",Ramen_Ratings[[#This Row],[Stars]]&gt;=4, "Good", Ramen_Ratings[[#This Row],[Stars]]&gt;2.5, "Fair", Ramen_Ratings[[#This Row],[Stars]] &gt;= 0, "Bad")</f>
        <v>Good</v>
      </c>
      <c r="J2096" t="str">
        <f>LEFT(Ramen_Ratings[[#This Row],[Top Ten]],4)</f>
        <v/>
      </c>
      <c r="K2096" t="str">
        <f>IF(Ramen_Ratings[[#This Row],[Top Ten]]="", "",RIGHT(Ramen_Ratings[[#This Row],[Top Ten]],LEN(Ramen_Ratings[[#This Row],[Top Ten]])-6))</f>
        <v/>
      </c>
    </row>
    <row r="2097" spans="1:11" x14ac:dyDescent="0.25">
      <c r="A2097">
        <v>53</v>
      </c>
      <c r="B2097" t="s">
        <v>135</v>
      </c>
      <c r="C2097" t="s">
        <v>2084</v>
      </c>
      <c r="D2097" t="s">
        <v>9</v>
      </c>
      <c r="E2097" t="s">
        <v>73</v>
      </c>
      <c r="F2097" t="str">
        <f>VLOOKUP(Ramen_Ratings[[#This Row],[Country]],Country_Region[#All],2,FALSE)</f>
        <v>Asia</v>
      </c>
      <c r="G2097">
        <v>2</v>
      </c>
      <c r="H2097" t="str" cm="1">
        <f t="array" ref="H2097">_xlfn.IFS(Ramen_Ratings[[#This Row],[Stars]] = "Unrated", "NA",Ramen_Ratings[[#This Row],[Stars]]&gt;=4, "Good", Ramen_Ratings[[#This Row],[Stars]]&gt;2.5, "Fair", Ramen_Ratings[[#This Row],[Stars]] &gt;= 0, "Bad")</f>
        <v>Bad</v>
      </c>
      <c r="J2097" t="str">
        <f>LEFT(Ramen_Ratings[[#This Row],[Top Ten]],4)</f>
        <v/>
      </c>
      <c r="K2097" t="str">
        <f>IF(Ramen_Ratings[[#This Row],[Top Ten]]="", "",RIGHT(Ramen_Ratings[[#This Row],[Top Ten]],LEN(Ramen_Ratings[[#This Row],[Top Ten]])-6))</f>
        <v/>
      </c>
    </row>
    <row r="2098" spans="1:11" x14ac:dyDescent="0.25">
      <c r="A2098">
        <v>52</v>
      </c>
      <c r="B2098" t="s">
        <v>135</v>
      </c>
      <c r="C2098" t="s">
        <v>2166</v>
      </c>
      <c r="D2098" t="s">
        <v>13</v>
      </c>
      <c r="E2098" t="s">
        <v>73</v>
      </c>
      <c r="F2098" t="str">
        <f>VLOOKUP(Ramen_Ratings[[#This Row],[Country]],Country_Region[#All],2,FALSE)</f>
        <v>Asia</v>
      </c>
      <c r="G2098">
        <v>4</v>
      </c>
      <c r="H2098" t="str" cm="1">
        <f t="array" ref="H2098">_xlfn.IFS(Ramen_Ratings[[#This Row],[Stars]] = "Unrated", "NA",Ramen_Ratings[[#This Row],[Stars]]&gt;=4, "Good", Ramen_Ratings[[#This Row],[Stars]]&gt;2.5, "Fair", Ramen_Ratings[[#This Row],[Stars]] &gt;= 0, "Bad")</f>
        <v>Good</v>
      </c>
      <c r="J2098" t="str">
        <f>LEFT(Ramen_Ratings[[#This Row],[Top Ten]],4)</f>
        <v/>
      </c>
      <c r="K2098" t="str">
        <f>IF(Ramen_Ratings[[#This Row],[Top Ten]]="", "",RIGHT(Ramen_Ratings[[#This Row],[Top Ten]],LEN(Ramen_Ratings[[#This Row],[Top Ten]])-6))</f>
        <v/>
      </c>
    </row>
    <row r="2099" spans="1:11" x14ac:dyDescent="0.25">
      <c r="A2099">
        <v>51</v>
      </c>
      <c r="B2099" t="s">
        <v>135</v>
      </c>
      <c r="C2099" t="s">
        <v>2813</v>
      </c>
      <c r="D2099" t="s">
        <v>13</v>
      </c>
      <c r="E2099" t="s">
        <v>73</v>
      </c>
      <c r="F2099" t="str">
        <f>VLOOKUP(Ramen_Ratings[[#This Row],[Country]],Country_Region[#All],2,FALSE)</f>
        <v>Asia</v>
      </c>
      <c r="G2099">
        <v>5</v>
      </c>
      <c r="H2099" t="str" cm="1">
        <f t="array" ref="H2099">_xlfn.IFS(Ramen_Ratings[[#This Row],[Stars]] = "Unrated", "NA",Ramen_Ratings[[#This Row],[Stars]]&gt;=4, "Good", Ramen_Ratings[[#This Row],[Stars]]&gt;2.5, "Fair", Ramen_Ratings[[#This Row],[Stars]] &gt;= 0, "Bad")</f>
        <v>Good</v>
      </c>
      <c r="J2099" t="str">
        <f>LEFT(Ramen_Ratings[[#This Row],[Top Ten]],4)</f>
        <v/>
      </c>
      <c r="K2099" t="str">
        <f>IF(Ramen_Ratings[[#This Row],[Top Ten]]="", "",RIGHT(Ramen_Ratings[[#This Row],[Top Ten]],LEN(Ramen_Ratings[[#This Row],[Top Ten]])-6))</f>
        <v/>
      </c>
    </row>
    <row r="2100" spans="1:11" x14ac:dyDescent="0.25">
      <c r="A2100">
        <v>50</v>
      </c>
      <c r="B2100" t="s">
        <v>135</v>
      </c>
      <c r="C2100" t="s">
        <v>2736</v>
      </c>
      <c r="D2100" t="s">
        <v>13</v>
      </c>
      <c r="E2100" t="s">
        <v>73</v>
      </c>
      <c r="F2100" t="str">
        <f>VLOOKUP(Ramen_Ratings[[#This Row],[Country]],Country_Region[#All],2,FALSE)</f>
        <v>Asia</v>
      </c>
      <c r="G2100">
        <v>5</v>
      </c>
      <c r="H2100" t="str" cm="1">
        <f t="array" ref="H2100">_xlfn.IFS(Ramen_Ratings[[#This Row],[Stars]] = "Unrated", "NA",Ramen_Ratings[[#This Row],[Stars]]&gt;=4, "Good", Ramen_Ratings[[#This Row],[Stars]]&gt;2.5, "Fair", Ramen_Ratings[[#This Row],[Stars]] &gt;= 0, "Bad")</f>
        <v>Good</v>
      </c>
      <c r="J2100" t="str">
        <f>LEFT(Ramen_Ratings[[#This Row],[Top Ten]],4)</f>
        <v/>
      </c>
      <c r="K2100" t="str">
        <f>IF(Ramen_Ratings[[#This Row],[Top Ten]]="", "",RIGHT(Ramen_Ratings[[#This Row],[Top Ten]],LEN(Ramen_Ratings[[#This Row],[Top Ten]])-6))</f>
        <v/>
      </c>
    </row>
    <row r="2101" spans="1:11" x14ac:dyDescent="0.25">
      <c r="A2101">
        <v>49</v>
      </c>
      <c r="B2101" t="s">
        <v>135</v>
      </c>
      <c r="C2101" t="s">
        <v>2814</v>
      </c>
      <c r="D2101" t="s">
        <v>13</v>
      </c>
      <c r="E2101" t="s">
        <v>73</v>
      </c>
      <c r="F2101" t="str">
        <f>VLOOKUP(Ramen_Ratings[[#This Row],[Country]],Country_Region[#All],2,FALSE)</f>
        <v>Asia</v>
      </c>
      <c r="G2101">
        <v>4.5</v>
      </c>
      <c r="H2101" t="str" cm="1">
        <f t="array" ref="H2101">_xlfn.IFS(Ramen_Ratings[[#This Row],[Stars]] = "Unrated", "NA",Ramen_Ratings[[#This Row],[Stars]]&gt;=4, "Good", Ramen_Ratings[[#This Row],[Stars]]&gt;2.5, "Fair", Ramen_Ratings[[#This Row],[Stars]] &gt;= 0, "Bad")</f>
        <v>Good</v>
      </c>
      <c r="J2101" t="str">
        <f>LEFT(Ramen_Ratings[[#This Row],[Top Ten]],4)</f>
        <v/>
      </c>
      <c r="K2101" t="str">
        <f>IF(Ramen_Ratings[[#This Row],[Top Ten]]="", "",RIGHT(Ramen_Ratings[[#This Row],[Top Ten]],LEN(Ramen_Ratings[[#This Row],[Top Ten]])-6))</f>
        <v/>
      </c>
    </row>
    <row r="2102" spans="1:11" x14ac:dyDescent="0.25">
      <c r="A2102">
        <v>48</v>
      </c>
      <c r="B2102" t="s">
        <v>135</v>
      </c>
      <c r="C2102" t="s">
        <v>2720</v>
      </c>
      <c r="D2102" t="s">
        <v>13</v>
      </c>
      <c r="E2102" t="s">
        <v>73</v>
      </c>
      <c r="F2102" t="str">
        <f>VLOOKUP(Ramen_Ratings[[#This Row],[Country]],Country_Region[#All],2,FALSE)</f>
        <v>Asia</v>
      </c>
      <c r="G2102">
        <v>3</v>
      </c>
      <c r="H2102" t="str" cm="1">
        <f t="array" ref="H2102">_xlfn.IFS(Ramen_Ratings[[#This Row],[Stars]] = "Unrated", "NA",Ramen_Ratings[[#This Row],[Stars]]&gt;=4, "Good", Ramen_Ratings[[#This Row],[Stars]]&gt;2.5, "Fair", Ramen_Ratings[[#This Row],[Stars]] &gt;= 0, "Bad")</f>
        <v>Fair</v>
      </c>
      <c r="J2102" t="str">
        <f>LEFT(Ramen_Ratings[[#This Row],[Top Ten]],4)</f>
        <v/>
      </c>
      <c r="K2102" t="str">
        <f>IF(Ramen_Ratings[[#This Row],[Top Ten]]="", "",RIGHT(Ramen_Ratings[[#This Row],[Top Ten]],LEN(Ramen_Ratings[[#This Row],[Top Ten]])-6))</f>
        <v/>
      </c>
    </row>
    <row r="2103" spans="1:11" x14ac:dyDescent="0.25">
      <c r="A2103">
        <v>46</v>
      </c>
      <c r="B2103" t="s">
        <v>135</v>
      </c>
      <c r="C2103" t="s">
        <v>2817</v>
      </c>
      <c r="D2103" t="s">
        <v>13</v>
      </c>
      <c r="E2103" t="s">
        <v>73</v>
      </c>
      <c r="F2103" t="str">
        <f>VLOOKUP(Ramen_Ratings[[#This Row],[Country]],Country_Region[#All],2,FALSE)</f>
        <v>Asia</v>
      </c>
      <c r="G2103">
        <v>3</v>
      </c>
      <c r="H2103" t="str" cm="1">
        <f t="array" ref="H2103">_xlfn.IFS(Ramen_Ratings[[#This Row],[Stars]] = "Unrated", "NA",Ramen_Ratings[[#This Row],[Stars]]&gt;=4, "Good", Ramen_Ratings[[#This Row],[Stars]]&gt;2.5, "Fair", Ramen_Ratings[[#This Row],[Stars]] &gt;= 0, "Bad")</f>
        <v>Fair</v>
      </c>
      <c r="J2103" t="str">
        <f>LEFT(Ramen_Ratings[[#This Row],[Top Ten]],4)</f>
        <v/>
      </c>
      <c r="K2103" t="str">
        <f>IF(Ramen_Ratings[[#This Row],[Top Ten]]="", "",RIGHT(Ramen_Ratings[[#This Row],[Top Ten]],LEN(Ramen_Ratings[[#This Row],[Top Ten]])-6))</f>
        <v/>
      </c>
    </row>
    <row r="2104" spans="1:11" x14ac:dyDescent="0.25">
      <c r="A2104">
        <v>44</v>
      </c>
      <c r="B2104" t="s">
        <v>135</v>
      </c>
      <c r="C2104" t="s">
        <v>2819</v>
      </c>
      <c r="D2104" t="s">
        <v>13</v>
      </c>
      <c r="E2104" t="s">
        <v>73</v>
      </c>
      <c r="F2104" t="str">
        <f>VLOOKUP(Ramen_Ratings[[#This Row],[Country]],Country_Region[#All],2,FALSE)</f>
        <v>Asia</v>
      </c>
      <c r="G2104">
        <v>4.25</v>
      </c>
      <c r="H2104" t="str" cm="1">
        <f t="array" ref="H2104">_xlfn.IFS(Ramen_Ratings[[#This Row],[Stars]] = "Unrated", "NA",Ramen_Ratings[[#This Row],[Stars]]&gt;=4, "Good", Ramen_Ratings[[#This Row],[Stars]]&gt;2.5, "Fair", Ramen_Ratings[[#This Row],[Stars]] &gt;= 0, "Bad")</f>
        <v>Good</v>
      </c>
      <c r="J2104" t="str">
        <f>LEFT(Ramen_Ratings[[#This Row],[Top Ten]],4)</f>
        <v/>
      </c>
      <c r="K2104" t="str">
        <f>IF(Ramen_Ratings[[#This Row],[Top Ten]]="", "",RIGHT(Ramen_Ratings[[#This Row],[Top Ten]],LEN(Ramen_Ratings[[#This Row],[Top Ten]])-6))</f>
        <v/>
      </c>
    </row>
    <row r="2105" spans="1:11" x14ac:dyDescent="0.25">
      <c r="A2105">
        <v>2576</v>
      </c>
      <c r="B2105" t="s">
        <v>20</v>
      </c>
      <c r="C2105" t="s">
        <v>21</v>
      </c>
      <c r="D2105" t="s">
        <v>13</v>
      </c>
      <c r="E2105" t="s">
        <v>22</v>
      </c>
      <c r="F2105" t="str">
        <f>VLOOKUP(Ramen_Ratings[[#This Row],[Country]],Country_Region[#All],2,FALSE)</f>
        <v>Asia</v>
      </c>
      <c r="G2105">
        <v>3.75</v>
      </c>
      <c r="H2105" t="str" cm="1">
        <f t="array" ref="H2105">_xlfn.IFS(Ramen_Ratings[[#This Row],[Stars]] = "Unrated", "NA",Ramen_Ratings[[#This Row],[Stars]]&gt;=4, "Good", Ramen_Ratings[[#This Row],[Stars]]&gt;2.5, "Fair", Ramen_Ratings[[#This Row],[Stars]] &gt;= 0, "Bad")</f>
        <v>Fair</v>
      </c>
      <c r="J2105" t="str">
        <f>LEFT(Ramen_Ratings[[#This Row],[Top Ten]],4)</f>
        <v/>
      </c>
      <c r="K2105" t="str">
        <f>IF(Ramen_Ratings[[#This Row],[Top Ten]]="", "",RIGHT(Ramen_Ratings[[#This Row],[Top Ten]],LEN(Ramen_Ratings[[#This Row],[Top Ten]])-6))</f>
        <v/>
      </c>
    </row>
    <row r="2106" spans="1:11" x14ac:dyDescent="0.25">
      <c r="A2106">
        <v>2564</v>
      </c>
      <c r="B2106" t="s">
        <v>48</v>
      </c>
      <c r="C2106" t="s">
        <v>49</v>
      </c>
      <c r="D2106" t="s">
        <v>13</v>
      </c>
      <c r="E2106" t="s">
        <v>22</v>
      </c>
      <c r="F2106" t="str">
        <f>VLOOKUP(Ramen_Ratings[[#This Row],[Country]],Country_Region[#All],2,FALSE)</f>
        <v>Asia</v>
      </c>
      <c r="G2106">
        <v>3.75</v>
      </c>
      <c r="H2106" t="str" cm="1">
        <f t="array" ref="H2106">_xlfn.IFS(Ramen_Ratings[[#This Row],[Stars]] = "Unrated", "NA",Ramen_Ratings[[#This Row],[Stars]]&gt;=4, "Good", Ramen_Ratings[[#This Row],[Stars]]&gt;2.5, "Fair", Ramen_Ratings[[#This Row],[Stars]] &gt;= 0, "Bad")</f>
        <v>Fair</v>
      </c>
      <c r="J2106" t="str">
        <f>LEFT(Ramen_Ratings[[#This Row],[Top Ten]],4)</f>
        <v/>
      </c>
      <c r="K2106" t="str">
        <f>IF(Ramen_Ratings[[#This Row],[Top Ten]]="", "",RIGHT(Ramen_Ratings[[#This Row],[Top Ten]],LEN(Ramen_Ratings[[#This Row],[Top Ten]])-6))</f>
        <v/>
      </c>
    </row>
    <row r="2107" spans="1:11" x14ac:dyDescent="0.25">
      <c r="A2107">
        <v>2556</v>
      </c>
      <c r="B2107" t="s">
        <v>20</v>
      </c>
      <c r="C2107" t="s">
        <v>61</v>
      </c>
      <c r="D2107" t="s">
        <v>13</v>
      </c>
      <c r="E2107" t="s">
        <v>22</v>
      </c>
      <c r="F2107" t="str">
        <f>VLOOKUP(Ramen_Ratings[[#This Row],[Country]],Country_Region[#All],2,FALSE)</f>
        <v>Asia</v>
      </c>
      <c r="G2107">
        <v>4.25</v>
      </c>
      <c r="H2107" t="str" cm="1">
        <f t="array" ref="H2107">_xlfn.IFS(Ramen_Ratings[[#This Row],[Stars]] = "Unrated", "NA",Ramen_Ratings[[#This Row],[Stars]]&gt;=4, "Good", Ramen_Ratings[[#This Row],[Stars]]&gt;2.5, "Fair", Ramen_Ratings[[#This Row],[Stars]] &gt;= 0, "Bad")</f>
        <v>Good</v>
      </c>
      <c r="J2107" t="str">
        <f>LEFT(Ramen_Ratings[[#This Row],[Top Ten]],4)</f>
        <v/>
      </c>
      <c r="K2107" t="str">
        <f>IF(Ramen_Ratings[[#This Row],[Top Ten]]="", "",RIGHT(Ramen_Ratings[[#This Row],[Top Ten]],LEN(Ramen_Ratings[[#This Row],[Top Ten]])-6))</f>
        <v/>
      </c>
    </row>
    <row r="2108" spans="1:11" x14ac:dyDescent="0.25">
      <c r="A2108">
        <v>2509</v>
      </c>
      <c r="B2108" t="s">
        <v>132</v>
      </c>
      <c r="C2108" t="s">
        <v>133</v>
      </c>
      <c r="D2108" t="s">
        <v>13</v>
      </c>
      <c r="E2108" t="s">
        <v>22</v>
      </c>
      <c r="F2108" t="str">
        <f>VLOOKUP(Ramen_Ratings[[#This Row],[Country]],Country_Region[#All],2,FALSE)</f>
        <v>Asia</v>
      </c>
      <c r="G2108">
        <v>3.5</v>
      </c>
      <c r="H2108" t="str" cm="1">
        <f t="array" ref="H2108">_xlfn.IFS(Ramen_Ratings[[#This Row],[Stars]] = "Unrated", "NA",Ramen_Ratings[[#This Row],[Stars]]&gt;=4, "Good", Ramen_Ratings[[#This Row],[Stars]]&gt;2.5, "Fair", Ramen_Ratings[[#This Row],[Stars]] &gt;= 0, "Bad")</f>
        <v>Fair</v>
      </c>
      <c r="J2108" t="str">
        <f>LEFT(Ramen_Ratings[[#This Row],[Top Ten]],4)</f>
        <v/>
      </c>
      <c r="K2108" t="str">
        <f>IF(Ramen_Ratings[[#This Row],[Top Ten]]="", "",RIGHT(Ramen_Ratings[[#This Row],[Top Ten]],LEN(Ramen_Ratings[[#This Row],[Top Ten]])-6))</f>
        <v/>
      </c>
    </row>
    <row r="2109" spans="1:11" x14ac:dyDescent="0.25">
      <c r="A2109">
        <v>2402</v>
      </c>
      <c r="B2109" t="s">
        <v>132</v>
      </c>
      <c r="C2109" t="s">
        <v>271</v>
      </c>
      <c r="D2109" t="s">
        <v>13</v>
      </c>
      <c r="E2109" t="s">
        <v>22</v>
      </c>
      <c r="F2109" t="str">
        <f>VLOOKUP(Ramen_Ratings[[#This Row],[Country]],Country_Region[#All],2,FALSE)</f>
        <v>Asia</v>
      </c>
      <c r="G2109">
        <v>3.75</v>
      </c>
      <c r="H2109" t="str" cm="1">
        <f t="array" ref="H2109">_xlfn.IFS(Ramen_Ratings[[#This Row],[Stars]] = "Unrated", "NA",Ramen_Ratings[[#This Row],[Stars]]&gt;=4, "Good", Ramen_Ratings[[#This Row],[Stars]]&gt;2.5, "Fair", Ramen_Ratings[[#This Row],[Stars]] &gt;= 0, "Bad")</f>
        <v>Fair</v>
      </c>
      <c r="J2109" t="str">
        <f>LEFT(Ramen_Ratings[[#This Row],[Top Ten]],4)</f>
        <v/>
      </c>
      <c r="K2109" t="str">
        <f>IF(Ramen_Ratings[[#This Row],[Top Ten]]="", "",RIGHT(Ramen_Ratings[[#This Row],[Top Ten]],LEN(Ramen_Ratings[[#This Row],[Top Ten]])-6))</f>
        <v/>
      </c>
    </row>
    <row r="2110" spans="1:11" x14ac:dyDescent="0.25">
      <c r="A2110">
        <v>2373</v>
      </c>
      <c r="B2110" t="s">
        <v>15</v>
      </c>
      <c r="C2110" t="s">
        <v>306</v>
      </c>
      <c r="D2110" t="s">
        <v>13</v>
      </c>
      <c r="E2110" t="s">
        <v>22</v>
      </c>
      <c r="F2110" t="str">
        <f>VLOOKUP(Ramen_Ratings[[#This Row],[Country]],Country_Region[#All],2,FALSE)</f>
        <v>Asia</v>
      </c>
      <c r="G2110">
        <v>4.5</v>
      </c>
      <c r="H2110" t="str" cm="1">
        <f t="array" ref="H2110">_xlfn.IFS(Ramen_Ratings[[#This Row],[Stars]] = "Unrated", "NA",Ramen_Ratings[[#This Row],[Stars]]&gt;=4, "Good", Ramen_Ratings[[#This Row],[Stars]]&gt;2.5, "Fair", Ramen_Ratings[[#This Row],[Stars]] &gt;= 0, "Bad")</f>
        <v>Good</v>
      </c>
      <c r="J2110" t="str">
        <f>LEFT(Ramen_Ratings[[#This Row],[Top Ten]],4)</f>
        <v/>
      </c>
      <c r="K2110" t="str">
        <f>IF(Ramen_Ratings[[#This Row],[Top Ten]]="", "",RIGHT(Ramen_Ratings[[#This Row],[Top Ten]],LEN(Ramen_Ratings[[#This Row],[Top Ten]])-6))</f>
        <v/>
      </c>
    </row>
    <row r="2111" spans="1:11" x14ac:dyDescent="0.25">
      <c r="A2111">
        <v>2360</v>
      </c>
      <c r="B2111" t="s">
        <v>322</v>
      </c>
      <c r="C2111" t="s">
        <v>323</v>
      </c>
      <c r="D2111" t="s">
        <v>13</v>
      </c>
      <c r="E2111" t="s">
        <v>22</v>
      </c>
      <c r="F2111" t="str">
        <f>VLOOKUP(Ramen_Ratings[[#This Row],[Country]],Country_Region[#All],2,FALSE)</f>
        <v>Asia</v>
      </c>
      <c r="G2111">
        <v>2</v>
      </c>
      <c r="H2111" t="str" cm="1">
        <f t="array" ref="H2111">_xlfn.IFS(Ramen_Ratings[[#This Row],[Stars]] = "Unrated", "NA",Ramen_Ratings[[#This Row],[Stars]]&gt;=4, "Good", Ramen_Ratings[[#This Row],[Stars]]&gt;2.5, "Fair", Ramen_Ratings[[#This Row],[Stars]] &gt;= 0, "Bad")</f>
        <v>Bad</v>
      </c>
      <c r="J2111" t="str">
        <f>LEFT(Ramen_Ratings[[#This Row],[Top Ten]],4)</f>
        <v/>
      </c>
      <c r="K2111" t="str">
        <f>IF(Ramen_Ratings[[#This Row],[Top Ten]]="", "",RIGHT(Ramen_Ratings[[#This Row],[Top Ten]],LEN(Ramen_Ratings[[#This Row],[Top Ten]])-6))</f>
        <v/>
      </c>
    </row>
    <row r="2112" spans="1:11" x14ac:dyDescent="0.25">
      <c r="A2112">
        <v>2351</v>
      </c>
      <c r="B2112" t="s">
        <v>335</v>
      </c>
      <c r="C2112" t="s">
        <v>336</v>
      </c>
      <c r="D2112" t="s">
        <v>13</v>
      </c>
      <c r="E2112" t="s">
        <v>22</v>
      </c>
      <c r="F2112" t="str">
        <f>VLOOKUP(Ramen_Ratings[[#This Row],[Country]],Country_Region[#All],2,FALSE)</f>
        <v>Asia</v>
      </c>
      <c r="G2112">
        <v>4</v>
      </c>
      <c r="H2112" t="str" cm="1">
        <f t="array" ref="H2112">_xlfn.IFS(Ramen_Ratings[[#This Row],[Stars]] = "Unrated", "NA",Ramen_Ratings[[#This Row],[Stars]]&gt;=4, "Good", Ramen_Ratings[[#This Row],[Stars]]&gt;2.5, "Fair", Ramen_Ratings[[#This Row],[Stars]] &gt;= 0, "Bad")</f>
        <v>Good</v>
      </c>
      <c r="J2112" t="str">
        <f>LEFT(Ramen_Ratings[[#This Row],[Top Ten]],4)</f>
        <v/>
      </c>
      <c r="K2112" t="str">
        <f>IF(Ramen_Ratings[[#This Row],[Top Ten]]="", "",RIGHT(Ramen_Ratings[[#This Row],[Top Ten]],LEN(Ramen_Ratings[[#This Row],[Top Ten]])-6))</f>
        <v/>
      </c>
    </row>
    <row r="2113" spans="1:11" x14ac:dyDescent="0.25">
      <c r="A2113">
        <v>2329</v>
      </c>
      <c r="B2113" t="s">
        <v>363</v>
      </c>
      <c r="C2113" t="s">
        <v>364</v>
      </c>
      <c r="D2113" t="s">
        <v>13</v>
      </c>
      <c r="E2113" t="s">
        <v>22</v>
      </c>
      <c r="F2113" t="str">
        <f>VLOOKUP(Ramen_Ratings[[#This Row],[Country]],Country_Region[#All],2,FALSE)</f>
        <v>Asia</v>
      </c>
      <c r="G2113">
        <v>5</v>
      </c>
      <c r="H2113" t="str" cm="1">
        <f t="array" ref="H2113">_xlfn.IFS(Ramen_Ratings[[#This Row],[Stars]] = "Unrated", "NA",Ramen_Ratings[[#This Row],[Stars]]&gt;=4, "Good", Ramen_Ratings[[#This Row],[Stars]]&gt;2.5, "Fair", Ramen_Ratings[[#This Row],[Stars]] &gt;= 0, "Bad")</f>
        <v>Good</v>
      </c>
      <c r="J2113" t="str">
        <f>LEFT(Ramen_Ratings[[#This Row],[Top Ten]],4)</f>
        <v/>
      </c>
      <c r="K2113" t="str">
        <f>IF(Ramen_Ratings[[#This Row],[Top Ten]]="", "",RIGHT(Ramen_Ratings[[#This Row],[Top Ten]],LEN(Ramen_Ratings[[#This Row],[Top Ten]])-6))</f>
        <v/>
      </c>
    </row>
    <row r="2114" spans="1:11" x14ac:dyDescent="0.25">
      <c r="A2114">
        <v>2304</v>
      </c>
      <c r="B2114" t="s">
        <v>132</v>
      </c>
      <c r="C2114" t="s">
        <v>395</v>
      </c>
      <c r="D2114" t="s">
        <v>13</v>
      </c>
      <c r="E2114" t="s">
        <v>22</v>
      </c>
      <c r="F2114" t="str">
        <f>VLOOKUP(Ramen_Ratings[[#This Row],[Country]],Country_Region[#All],2,FALSE)</f>
        <v>Asia</v>
      </c>
      <c r="G2114">
        <v>5</v>
      </c>
      <c r="H2114" t="str" cm="1">
        <f t="array" ref="H2114">_xlfn.IFS(Ramen_Ratings[[#This Row],[Stars]] = "Unrated", "NA",Ramen_Ratings[[#This Row],[Stars]]&gt;=4, "Good", Ramen_Ratings[[#This Row],[Stars]]&gt;2.5, "Fair", Ramen_Ratings[[#This Row],[Stars]] &gt;= 0, "Bad")</f>
        <v>Good</v>
      </c>
      <c r="J2114" t="str">
        <f>LEFT(Ramen_Ratings[[#This Row],[Top Ten]],4)</f>
        <v/>
      </c>
      <c r="K2114" t="str">
        <f>IF(Ramen_Ratings[[#This Row],[Top Ten]]="", "",RIGHT(Ramen_Ratings[[#This Row],[Top Ten]],LEN(Ramen_Ratings[[#This Row],[Top Ten]])-6))</f>
        <v/>
      </c>
    </row>
    <row r="2115" spans="1:11" x14ac:dyDescent="0.25">
      <c r="A2115">
        <v>2269</v>
      </c>
      <c r="B2115" t="s">
        <v>322</v>
      </c>
      <c r="C2115" t="s">
        <v>431</v>
      </c>
      <c r="D2115" t="s">
        <v>13</v>
      </c>
      <c r="E2115" t="s">
        <v>22</v>
      </c>
      <c r="F2115" t="str">
        <f>VLOOKUP(Ramen_Ratings[[#This Row],[Country]],Country_Region[#All],2,FALSE)</f>
        <v>Asia</v>
      </c>
      <c r="G2115">
        <v>4</v>
      </c>
      <c r="H2115" t="str" cm="1">
        <f t="array" ref="H2115">_xlfn.IFS(Ramen_Ratings[[#This Row],[Stars]] = "Unrated", "NA",Ramen_Ratings[[#This Row],[Stars]]&gt;=4, "Good", Ramen_Ratings[[#This Row],[Stars]]&gt;2.5, "Fair", Ramen_Ratings[[#This Row],[Stars]] &gt;= 0, "Bad")</f>
        <v>Good</v>
      </c>
      <c r="J2115" t="str">
        <f>LEFT(Ramen_Ratings[[#This Row],[Top Ten]],4)</f>
        <v/>
      </c>
      <c r="K2115" t="str">
        <f>IF(Ramen_Ratings[[#This Row],[Top Ten]]="", "",RIGHT(Ramen_Ratings[[#This Row],[Top Ten]],LEN(Ramen_Ratings[[#This Row],[Top Ten]])-6))</f>
        <v/>
      </c>
    </row>
    <row r="2116" spans="1:11" x14ac:dyDescent="0.25">
      <c r="A2116">
        <v>2224</v>
      </c>
      <c r="B2116" t="s">
        <v>322</v>
      </c>
      <c r="C2116" t="s">
        <v>486</v>
      </c>
      <c r="D2116" t="s">
        <v>13</v>
      </c>
      <c r="E2116" t="s">
        <v>22</v>
      </c>
      <c r="F2116" t="str">
        <f>VLOOKUP(Ramen_Ratings[[#This Row],[Country]],Country_Region[#All],2,FALSE)</f>
        <v>Asia</v>
      </c>
      <c r="G2116">
        <v>4</v>
      </c>
      <c r="H2116" t="str" cm="1">
        <f t="array" ref="H2116">_xlfn.IFS(Ramen_Ratings[[#This Row],[Stars]] = "Unrated", "NA",Ramen_Ratings[[#This Row],[Stars]]&gt;=4, "Good", Ramen_Ratings[[#This Row],[Stars]]&gt;2.5, "Fair", Ramen_Ratings[[#This Row],[Stars]] &gt;= 0, "Bad")</f>
        <v>Good</v>
      </c>
      <c r="J2116" t="str">
        <f>LEFT(Ramen_Ratings[[#This Row],[Top Ten]],4)</f>
        <v/>
      </c>
      <c r="K2116" t="str">
        <f>IF(Ramen_Ratings[[#This Row],[Top Ten]]="", "",RIGHT(Ramen_Ratings[[#This Row],[Top Ten]],LEN(Ramen_Ratings[[#This Row],[Top Ten]])-6))</f>
        <v/>
      </c>
    </row>
    <row r="2117" spans="1:11" x14ac:dyDescent="0.25">
      <c r="A2117">
        <v>2033</v>
      </c>
      <c r="B2117" t="s">
        <v>703</v>
      </c>
      <c r="C2117" t="s">
        <v>704</v>
      </c>
      <c r="D2117" t="s">
        <v>13</v>
      </c>
      <c r="E2117" t="s">
        <v>22</v>
      </c>
      <c r="F2117" t="str">
        <f>VLOOKUP(Ramen_Ratings[[#This Row],[Country]],Country_Region[#All],2,FALSE)</f>
        <v>Asia</v>
      </c>
      <c r="G2117">
        <v>2.5</v>
      </c>
      <c r="H2117" t="str" cm="1">
        <f t="array" ref="H2117">_xlfn.IFS(Ramen_Ratings[[#This Row],[Stars]] = "Unrated", "NA",Ramen_Ratings[[#This Row],[Stars]]&gt;=4, "Good", Ramen_Ratings[[#This Row],[Stars]]&gt;2.5, "Fair", Ramen_Ratings[[#This Row],[Stars]] &gt;= 0, "Bad")</f>
        <v>Bad</v>
      </c>
      <c r="J2117" t="str">
        <f>LEFT(Ramen_Ratings[[#This Row],[Top Ten]],4)</f>
        <v/>
      </c>
      <c r="K2117" t="str">
        <f>IF(Ramen_Ratings[[#This Row],[Top Ten]]="", "",RIGHT(Ramen_Ratings[[#This Row],[Top Ten]],LEN(Ramen_Ratings[[#This Row],[Top Ten]])-6))</f>
        <v/>
      </c>
    </row>
    <row r="2118" spans="1:11" x14ac:dyDescent="0.25">
      <c r="A2118">
        <v>1599</v>
      </c>
      <c r="B2118" t="s">
        <v>15</v>
      </c>
      <c r="C2118" t="s">
        <v>1215</v>
      </c>
      <c r="D2118" t="s">
        <v>13</v>
      </c>
      <c r="E2118" t="s">
        <v>22</v>
      </c>
      <c r="F2118" t="str">
        <f>VLOOKUP(Ramen_Ratings[[#This Row],[Country]],Country_Region[#All],2,FALSE)</f>
        <v>Asia</v>
      </c>
      <c r="G2118">
        <v>3.5</v>
      </c>
      <c r="H2118" t="str" cm="1">
        <f t="array" ref="H2118">_xlfn.IFS(Ramen_Ratings[[#This Row],[Stars]] = "Unrated", "NA",Ramen_Ratings[[#This Row],[Stars]]&gt;=4, "Good", Ramen_Ratings[[#This Row],[Stars]]&gt;2.5, "Fair", Ramen_Ratings[[#This Row],[Stars]] &gt;= 0, "Bad")</f>
        <v>Fair</v>
      </c>
      <c r="J2118" t="str">
        <f>LEFT(Ramen_Ratings[[#This Row],[Top Ten]],4)</f>
        <v/>
      </c>
      <c r="K2118" t="str">
        <f>IF(Ramen_Ratings[[#This Row],[Top Ten]]="", "",RIGHT(Ramen_Ratings[[#This Row],[Top Ten]],LEN(Ramen_Ratings[[#This Row],[Top Ten]])-6))</f>
        <v/>
      </c>
    </row>
    <row r="2119" spans="1:11" x14ac:dyDescent="0.25">
      <c r="A2119">
        <v>1576</v>
      </c>
      <c r="B2119" t="s">
        <v>132</v>
      </c>
      <c r="C2119" t="s">
        <v>1243</v>
      </c>
      <c r="D2119" t="s">
        <v>13</v>
      </c>
      <c r="E2119" t="s">
        <v>22</v>
      </c>
      <c r="F2119" t="str">
        <f>VLOOKUP(Ramen_Ratings[[#This Row],[Country]],Country_Region[#All],2,FALSE)</f>
        <v>Asia</v>
      </c>
      <c r="G2119">
        <v>3.75</v>
      </c>
      <c r="H2119" t="str" cm="1">
        <f t="array" ref="H2119">_xlfn.IFS(Ramen_Ratings[[#This Row],[Stars]] = "Unrated", "NA",Ramen_Ratings[[#This Row],[Stars]]&gt;=4, "Good", Ramen_Ratings[[#This Row],[Stars]]&gt;2.5, "Fair", Ramen_Ratings[[#This Row],[Stars]] &gt;= 0, "Bad")</f>
        <v>Fair</v>
      </c>
      <c r="J2119" t="str">
        <f>LEFT(Ramen_Ratings[[#This Row],[Top Ten]],4)</f>
        <v/>
      </c>
      <c r="K2119" t="str">
        <f>IF(Ramen_Ratings[[#This Row],[Top Ten]]="", "",RIGHT(Ramen_Ratings[[#This Row],[Top Ten]],LEN(Ramen_Ratings[[#This Row],[Top Ten]])-6))</f>
        <v/>
      </c>
    </row>
    <row r="2120" spans="1:11" x14ac:dyDescent="0.25">
      <c r="A2120">
        <v>1566</v>
      </c>
      <c r="B2120" t="s">
        <v>15</v>
      </c>
      <c r="C2120" t="s">
        <v>1254</v>
      </c>
      <c r="D2120" t="s">
        <v>9</v>
      </c>
      <c r="E2120" t="s">
        <v>22</v>
      </c>
      <c r="F2120" t="str">
        <f>VLOOKUP(Ramen_Ratings[[#This Row],[Country]],Country_Region[#All],2,FALSE)</f>
        <v>Asia</v>
      </c>
      <c r="G2120">
        <v>3.25</v>
      </c>
      <c r="H2120" t="str" cm="1">
        <f t="array" ref="H2120">_xlfn.IFS(Ramen_Ratings[[#This Row],[Stars]] = "Unrated", "NA",Ramen_Ratings[[#This Row],[Stars]]&gt;=4, "Good", Ramen_Ratings[[#This Row],[Stars]]&gt;2.5, "Fair", Ramen_Ratings[[#This Row],[Stars]] &gt;= 0, "Bad")</f>
        <v>Fair</v>
      </c>
      <c r="J2120" t="str">
        <f>LEFT(Ramen_Ratings[[#This Row],[Top Ten]],4)</f>
        <v/>
      </c>
      <c r="K2120" t="str">
        <f>IF(Ramen_Ratings[[#This Row],[Top Ten]]="", "",RIGHT(Ramen_Ratings[[#This Row],[Top Ten]],LEN(Ramen_Ratings[[#This Row],[Top Ten]])-6))</f>
        <v/>
      </c>
    </row>
    <row r="2121" spans="1:11" x14ac:dyDescent="0.25">
      <c r="A2121">
        <v>1556</v>
      </c>
      <c r="B2121" t="s">
        <v>20</v>
      </c>
      <c r="C2121" t="s">
        <v>61</v>
      </c>
      <c r="D2121" t="s">
        <v>13</v>
      </c>
      <c r="E2121" t="s">
        <v>22</v>
      </c>
      <c r="F2121" t="str">
        <f>VLOOKUP(Ramen_Ratings[[#This Row],[Country]],Country_Region[#All],2,FALSE)</f>
        <v>Asia</v>
      </c>
      <c r="G2121">
        <v>3.75</v>
      </c>
      <c r="H2121" t="str" cm="1">
        <f t="array" ref="H2121">_xlfn.IFS(Ramen_Ratings[[#This Row],[Stars]] = "Unrated", "NA",Ramen_Ratings[[#This Row],[Stars]]&gt;=4, "Good", Ramen_Ratings[[#This Row],[Stars]]&gt;2.5, "Fair", Ramen_Ratings[[#This Row],[Stars]] &gt;= 0, "Bad")</f>
        <v>Fair</v>
      </c>
      <c r="J2121" t="str">
        <f>LEFT(Ramen_Ratings[[#This Row],[Top Ten]],4)</f>
        <v/>
      </c>
      <c r="K2121" t="str">
        <f>IF(Ramen_Ratings[[#This Row],[Top Ten]]="", "",RIGHT(Ramen_Ratings[[#This Row],[Top Ten]],LEN(Ramen_Ratings[[#This Row],[Top Ten]])-6))</f>
        <v/>
      </c>
    </row>
    <row r="2122" spans="1:11" x14ac:dyDescent="0.25">
      <c r="A2122">
        <v>1543</v>
      </c>
      <c r="B2122" t="s">
        <v>132</v>
      </c>
      <c r="C2122" t="s">
        <v>1283</v>
      </c>
      <c r="D2122" t="s">
        <v>13</v>
      </c>
      <c r="E2122" t="s">
        <v>22</v>
      </c>
      <c r="F2122" t="str">
        <f>VLOOKUP(Ramen_Ratings[[#This Row],[Country]],Country_Region[#All],2,FALSE)</f>
        <v>Asia</v>
      </c>
      <c r="G2122">
        <v>3.75</v>
      </c>
      <c r="H2122" t="str" cm="1">
        <f t="array" ref="H2122">_xlfn.IFS(Ramen_Ratings[[#This Row],[Stars]] = "Unrated", "NA",Ramen_Ratings[[#This Row],[Stars]]&gt;=4, "Good", Ramen_Ratings[[#This Row],[Stars]]&gt;2.5, "Fair", Ramen_Ratings[[#This Row],[Stars]] &gt;= 0, "Bad")</f>
        <v>Fair</v>
      </c>
      <c r="J2122" t="str">
        <f>LEFT(Ramen_Ratings[[#This Row],[Top Ten]],4)</f>
        <v/>
      </c>
      <c r="K2122" t="str">
        <f>IF(Ramen_Ratings[[#This Row],[Top Ten]]="", "",RIGHT(Ramen_Ratings[[#This Row],[Top Ten]],LEN(Ramen_Ratings[[#This Row],[Top Ten]])-6))</f>
        <v/>
      </c>
    </row>
    <row r="2123" spans="1:11" x14ac:dyDescent="0.25">
      <c r="A2123">
        <v>1519</v>
      </c>
      <c r="B2123" t="s">
        <v>20</v>
      </c>
      <c r="C2123" t="s">
        <v>1308</v>
      </c>
      <c r="D2123" t="s">
        <v>13</v>
      </c>
      <c r="E2123" t="s">
        <v>22</v>
      </c>
      <c r="F2123" t="str">
        <f>VLOOKUP(Ramen_Ratings[[#This Row],[Country]],Country_Region[#All],2,FALSE)</f>
        <v>Asia</v>
      </c>
      <c r="G2123">
        <v>3.5</v>
      </c>
      <c r="H2123" t="str" cm="1">
        <f t="array" ref="H2123">_xlfn.IFS(Ramen_Ratings[[#This Row],[Stars]] = "Unrated", "NA",Ramen_Ratings[[#This Row],[Stars]]&gt;=4, "Good", Ramen_Ratings[[#This Row],[Stars]]&gt;2.5, "Fair", Ramen_Ratings[[#This Row],[Stars]] &gt;= 0, "Bad")</f>
        <v>Fair</v>
      </c>
      <c r="J2123" t="str">
        <f>LEFT(Ramen_Ratings[[#This Row],[Top Ten]],4)</f>
        <v/>
      </c>
      <c r="K2123" t="str">
        <f>IF(Ramen_Ratings[[#This Row],[Top Ten]]="", "",RIGHT(Ramen_Ratings[[#This Row],[Top Ten]],LEN(Ramen_Ratings[[#This Row],[Top Ten]])-6))</f>
        <v/>
      </c>
    </row>
    <row r="2124" spans="1:11" x14ac:dyDescent="0.25">
      <c r="A2124">
        <v>1506</v>
      </c>
      <c r="B2124" t="s">
        <v>15</v>
      </c>
      <c r="C2124" t="s">
        <v>1325</v>
      </c>
      <c r="D2124" t="s">
        <v>13</v>
      </c>
      <c r="E2124" t="s">
        <v>22</v>
      </c>
      <c r="F2124" t="str">
        <f>VLOOKUP(Ramen_Ratings[[#This Row],[Country]],Country_Region[#All],2,FALSE)</f>
        <v>Asia</v>
      </c>
      <c r="G2124">
        <v>3.75</v>
      </c>
      <c r="H2124" t="str" cm="1">
        <f t="array" ref="H2124">_xlfn.IFS(Ramen_Ratings[[#This Row],[Stars]] = "Unrated", "NA",Ramen_Ratings[[#This Row],[Stars]]&gt;=4, "Good", Ramen_Ratings[[#This Row],[Stars]]&gt;2.5, "Fair", Ramen_Ratings[[#This Row],[Stars]] &gt;= 0, "Bad")</f>
        <v>Fair</v>
      </c>
      <c r="J2124" t="str">
        <f>LEFT(Ramen_Ratings[[#This Row],[Top Ten]],4)</f>
        <v/>
      </c>
      <c r="K2124" t="str">
        <f>IF(Ramen_Ratings[[#This Row],[Top Ten]]="", "",RIGHT(Ramen_Ratings[[#This Row],[Top Ten]],LEN(Ramen_Ratings[[#This Row],[Top Ten]])-6))</f>
        <v/>
      </c>
    </row>
    <row r="2125" spans="1:11" x14ac:dyDescent="0.25">
      <c r="A2125">
        <v>1489</v>
      </c>
      <c r="B2125" t="s">
        <v>132</v>
      </c>
      <c r="C2125" t="s">
        <v>1342</v>
      </c>
      <c r="D2125" t="s">
        <v>13</v>
      </c>
      <c r="E2125" t="s">
        <v>22</v>
      </c>
      <c r="F2125" t="str">
        <f>VLOOKUP(Ramen_Ratings[[#This Row],[Country]],Country_Region[#All],2,FALSE)</f>
        <v>Asia</v>
      </c>
      <c r="G2125">
        <v>3.25</v>
      </c>
      <c r="H2125" t="str" cm="1">
        <f t="array" ref="H2125">_xlfn.IFS(Ramen_Ratings[[#This Row],[Stars]] = "Unrated", "NA",Ramen_Ratings[[#This Row],[Stars]]&gt;=4, "Good", Ramen_Ratings[[#This Row],[Stars]]&gt;2.5, "Fair", Ramen_Ratings[[#This Row],[Stars]] &gt;= 0, "Bad")</f>
        <v>Fair</v>
      </c>
      <c r="J2125" t="str">
        <f>LEFT(Ramen_Ratings[[#This Row],[Top Ten]],4)</f>
        <v/>
      </c>
      <c r="K2125" t="str">
        <f>IF(Ramen_Ratings[[#This Row],[Top Ten]]="", "",RIGHT(Ramen_Ratings[[#This Row],[Top Ten]],LEN(Ramen_Ratings[[#This Row],[Top Ten]])-6))</f>
        <v/>
      </c>
    </row>
    <row r="2126" spans="1:11" x14ac:dyDescent="0.25">
      <c r="A2126">
        <v>1405</v>
      </c>
      <c r="B2126" t="s">
        <v>132</v>
      </c>
      <c r="C2126" t="s">
        <v>1426</v>
      </c>
      <c r="D2126" t="s">
        <v>13</v>
      </c>
      <c r="E2126" t="s">
        <v>22</v>
      </c>
      <c r="F2126" t="str">
        <f>VLOOKUP(Ramen_Ratings[[#This Row],[Country]],Country_Region[#All],2,FALSE)</f>
        <v>Asia</v>
      </c>
      <c r="G2126">
        <v>3.75</v>
      </c>
      <c r="H2126" t="str" cm="1">
        <f t="array" ref="H2126">_xlfn.IFS(Ramen_Ratings[[#This Row],[Stars]] = "Unrated", "NA",Ramen_Ratings[[#This Row],[Stars]]&gt;=4, "Good", Ramen_Ratings[[#This Row],[Stars]]&gt;2.5, "Fair", Ramen_Ratings[[#This Row],[Stars]] &gt;= 0, "Bad")</f>
        <v>Fair</v>
      </c>
      <c r="J2126" t="str">
        <f>LEFT(Ramen_Ratings[[#This Row],[Top Ten]],4)</f>
        <v/>
      </c>
      <c r="K2126" t="str">
        <f>IF(Ramen_Ratings[[#This Row],[Top Ten]]="", "",RIGHT(Ramen_Ratings[[#This Row],[Top Ten]],LEN(Ramen_Ratings[[#This Row],[Top Ten]])-6))</f>
        <v/>
      </c>
    </row>
    <row r="2127" spans="1:11" x14ac:dyDescent="0.25">
      <c r="A2127">
        <v>763</v>
      </c>
      <c r="B2127" t="s">
        <v>132</v>
      </c>
      <c r="C2127" t="s">
        <v>2120</v>
      </c>
      <c r="D2127" t="s">
        <v>13</v>
      </c>
      <c r="E2127" t="s">
        <v>22</v>
      </c>
      <c r="F2127" t="str">
        <f>VLOOKUP(Ramen_Ratings[[#This Row],[Country]],Country_Region[#All],2,FALSE)</f>
        <v>Asia</v>
      </c>
      <c r="G2127">
        <v>3.25</v>
      </c>
      <c r="H2127" t="str" cm="1">
        <f t="array" ref="H2127">_xlfn.IFS(Ramen_Ratings[[#This Row],[Stars]] = "Unrated", "NA",Ramen_Ratings[[#This Row],[Stars]]&gt;=4, "Good", Ramen_Ratings[[#This Row],[Stars]]&gt;2.5, "Fair", Ramen_Ratings[[#This Row],[Stars]] &gt;= 0, "Bad")</f>
        <v>Fair</v>
      </c>
      <c r="J2127" t="str">
        <f>LEFT(Ramen_Ratings[[#This Row],[Top Ten]],4)</f>
        <v/>
      </c>
      <c r="K2127" t="str">
        <f>IF(Ramen_Ratings[[#This Row],[Top Ten]]="", "",RIGHT(Ramen_Ratings[[#This Row],[Top Ten]],LEN(Ramen_Ratings[[#This Row],[Top Ten]])-6))</f>
        <v/>
      </c>
    </row>
    <row r="2128" spans="1:11" x14ac:dyDescent="0.25">
      <c r="A2128">
        <v>616</v>
      </c>
      <c r="B2128" t="s">
        <v>132</v>
      </c>
      <c r="C2128" t="s">
        <v>2276</v>
      </c>
      <c r="D2128" t="s">
        <v>13</v>
      </c>
      <c r="E2128" t="s">
        <v>22</v>
      </c>
      <c r="F2128" t="str">
        <f>VLOOKUP(Ramen_Ratings[[#This Row],[Country]],Country_Region[#All],2,FALSE)</f>
        <v>Asia</v>
      </c>
      <c r="G2128">
        <v>2</v>
      </c>
      <c r="H2128" t="str" cm="1">
        <f t="array" ref="H2128">_xlfn.IFS(Ramen_Ratings[[#This Row],[Stars]] = "Unrated", "NA",Ramen_Ratings[[#This Row],[Stars]]&gt;=4, "Good", Ramen_Ratings[[#This Row],[Stars]]&gt;2.5, "Fair", Ramen_Ratings[[#This Row],[Stars]] &gt;= 0, "Bad")</f>
        <v>Bad</v>
      </c>
      <c r="J2128" t="str">
        <f>LEFT(Ramen_Ratings[[#This Row],[Top Ten]],4)</f>
        <v/>
      </c>
      <c r="K2128" t="str">
        <f>IF(Ramen_Ratings[[#This Row],[Top Ten]]="", "",RIGHT(Ramen_Ratings[[#This Row],[Top Ten]],LEN(Ramen_Ratings[[#This Row],[Top Ten]])-6))</f>
        <v/>
      </c>
    </row>
    <row r="2129" spans="1:11" x14ac:dyDescent="0.25">
      <c r="A2129">
        <v>574</v>
      </c>
      <c r="B2129" t="s">
        <v>132</v>
      </c>
      <c r="C2129" t="s">
        <v>2120</v>
      </c>
      <c r="D2129" t="s">
        <v>13</v>
      </c>
      <c r="E2129" t="s">
        <v>22</v>
      </c>
      <c r="F2129" t="str">
        <f>VLOOKUP(Ramen_Ratings[[#This Row],[Country]],Country_Region[#All],2,FALSE)</f>
        <v>Asia</v>
      </c>
      <c r="G2129">
        <v>3.75</v>
      </c>
      <c r="H2129" t="str" cm="1">
        <f t="array" ref="H2129">_xlfn.IFS(Ramen_Ratings[[#This Row],[Stars]] = "Unrated", "NA",Ramen_Ratings[[#This Row],[Stars]]&gt;=4, "Good", Ramen_Ratings[[#This Row],[Stars]]&gt;2.5, "Fair", Ramen_Ratings[[#This Row],[Stars]] &gt;= 0, "Bad")</f>
        <v>Fair</v>
      </c>
      <c r="J2129" t="str">
        <f>LEFT(Ramen_Ratings[[#This Row],[Top Ten]],4)</f>
        <v/>
      </c>
      <c r="K2129" t="str">
        <f>IF(Ramen_Ratings[[#This Row],[Top Ten]]="", "",RIGHT(Ramen_Ratings[[#This Row],[Top Ten]],LEN(Ramen_Ratings[[#This Row],[Top Ten]])-6))</f>
        <v/>
      </c>
    </row>
    <row r="2130" spans="1:11" x14ac:dyDescent="0.25">
      <c r="A2130">
        <v>196</v>
      </c>
      <c r="B2130" t="s">
        <v>15</v>
      </c>
      <c r="C2130" t="s">
        <v>2679</v>
      </c>
      <c r="D2130" t="s">
        <v>9</v>
      </c>
      <c r="E2130" t="s">
        <v>22</v>
      </c>
      <c r="F2130" t="str">
        <f>VLOOKUP(Ramen_Ratings[[#This Row],[Country]],Country_Region[#All],2,FALSE)</f>
        <v>Asia</v>
      </c>
      <c r="G2130">
        <v>1.5</v>
      </c>
      <c r="H2130" t="str" cm="1">
        <f t="array" ref="H2130">_xlfn.IFS(Ramen_Ratings[[#This Row],[Stars]] = "Unrated", "NA",Ramen_Ratings[[#This Row],[Stars]]&gt;=4, "Good", Ramen_Ratings[[#This Row],[Stars]]&gt;2.5, "Fair", Ramen_Ratings[[#This Row],[Stars]] &gt;= 0, "Bad")</f>
        <v>Bad</v>
      </c>
      <c r="J2130" t="str">
        <f>LEFT(Ramen_Ratings[[#This Row],[Top Ten]],4)</f>
        <v/>
      </c>
      <c r="K2130" t="str">
        <f>IF(Ramen_Ratings[[#This Row],[Top Ten]]="", "",RIGHT(Ramen_Ratings[[#This Row],[Top Ten]],LEN(Ramen_Ratings[[#This Row],[Top Ten]])-6))</f>
        <v/>
      </c>
    </row>
    <row r="2131" spans="1:11" x14ac:dyDescent="0.25">
      <c r="A2131">
        <v>189</v>
      </c>
      <c r="B2131" t="s">
        <v>15</v>
      </c>
      <c r="C2131" t="s">
        <v>2686</v>
      </c>
      <c r="D2131" t="s">
        <v>9</v>
      </c>
      <c r="E2131" t="s">
        <v>22</v>
      </c>
      <c r="F2131" t="str">
        <f>VLOOKUP(Ramen_Ratings[[#This Row],[Country]],Country_Region[#All],2,FALSE)</f>
        <v>Asia</v>
      </c>
      <c r="G2131">
        <v>3</v>
      </c>
      <c r="H2131" t="str" cm="1">
        <f t="array" ref="H2131">_xlfn.IFS(Ramen_Ratings[[#This Row],[Stars]] = "Unrated", "NA",Ramen_Ratings[[#This Row],[Stars]]&gt;=4, "Good", Ramen_Ratings[[#This Row],[Stars]]&gt;2.5, "Fair", Ramen_Ratings[[#This Row],[Stars]] &gt;= 0, "Bad")</f>
        <v>Fair</v>
      </c>
      <c r="J2131" t="str">
        <f>LEFT(Ramen_Ratings[[#This Row],[Top Ten]],4)</f>
        <v/>
      </c>
      <c r="K2131" t="str">
        <f>IF(Ramen_Ratings[[#This Row],[Top Ten]]="", "",RIGHT(Ramen_Ratings[[#This Row],[Top Ten]],LEN(Ramen_Ratings[[#This Row],[Top Ten]])-6))</f>
        <v/>
      </c>
    </row>
    <row r="2132" spans="1:11" x14ac:dyDescent="0.25">
      <c r="A2132">
        <v>62</v>
      </c>
      <c r="B2132" t="s">
        <v>132</v>
      </c>
      <c r="C2132" t="s">
        <v>2803</v>
      </c>
      <c r="D2132" t="s">
        <v>13</v>
      </c>
      <c r="E2132" t="s">
        <v>22</v>
      </c>
      <c r="F2132" t="str">
        <f>VLOOKUP(Ramen_Ratings[[#This Row],[Country]],Country_Region[#All],2,FALSE)</f>
        <v>Asia</v>
      </c>
      <c r="G2132">
        <v>1.5</v>
      </c>
      <c r="H2132" t="str" cm="1">
        <f t="array" ref="H2132">_xlfn.IFS(Ramen_Ratings[[#This Row],[Stars]] = "Unrated", "NA",Ramen_Ratings[[#This Row],[Stars]]&gt;=4, "Good", Ramen_Ratings[[#This Row],[Stars]]&gt;2.5, "Fair", Ramen_Ratings[[#This Row],[Stars]] &gt;= 0, "Bad")</f>
        <v>Bad</v>
      </c>
      <c r="J2132" t="str">
        <f>LEFT(Ramen_Ratings[[#This Row],[Top Ten]],4)</f>
        <v/>
      </c>
      <c r="K2132" t="str">
        <f>IF(Ramen_Ratings[[#This Row],[Top Ten]]="", "",RIGHT(Ramen_Ratings[[#This Row],[Top Ten]],LEN(Ramen_Ratings[[#This Row],[Top Ten]])-6))</f>
        <v/>
      </c>
    </row>
    <row r="2133" spans="1:11" x14ac:dyDescent="0.25">
      <c r="A2133">
        <v>61</v>
      </c>
      <c r="B2133" t="s">
        <v>132</v>
      </c>
      <c r="C2133" t="s">
        <v>2804</v>
      </c>
      <c r="D2133" t="s">
        <v>13</v>
      </c>
      <c r="E2133" t="s">
        <v>22</v>
      </c>
      <c r="F2133" t="str">
        <f>VLOOKUP(Ramen_Ratings[[#This Row],[Country]],Country_Region[#All],2,FALSE)</f>
        <v>Asia</v>
      </c>
      <c r="G2133">
        <v>2.5</v>
      </c>
      <c r="H2133" t="str" cm="1">
        <f t="array" ref="H2133">_xlfn.IFS(Ramen_Ratings[[#This Row],[Stars]] = "Unrated", "NA",Ramen_Ratings[[#This Row],[Stars]]&gt;=4, "Good", Ramen_Ratings[[#This Row],[Stars]]&gt;2.5, "Fair", Ramen_Ratings[[#This Row],[Stars]] &gt;= 0, "Bad")</f>
        <v>Bad</v>
      </c>
      <c r="J2133" t="str">
        <f>LEFT(Ramen_Ratings[[#This Row],[Top Ten]],4)</f>
        <v/>
      </c>
      <c r="K2133" t="str">
        <f>IF(Ramen_Ratings[[#This Row],[Top Ten]]="", "",RIGHT(Ramen_Ratings[[#This Row],[Top Ten]],LEN(Ramen_Ratings[[#This Row],[Top Ten]])-6))</f>
        <v/>
      </c>
    </row>
    <row r="2134" spans="1:11" x14ac:dyDescent="0.25">
      <c r="A2134">
        <v>60</v>
      </c>
      <c r="B2134" t="s">
        <v>132</v>
      </c>
      <c r="C2134" t="s">
        <v>2805</v>
      </c>
      <c r="D2134" t="s">
        <v>13</v>
      </c>
      <c r="E2134" t="s">
        <v>22</v>
      </c>
      <c r="F2134" t="str">
        <f>VLOOKUP(Ramen_Ratings[[#This Row],[Country]],Country_Region[#All],2,FALSE)</f>
        <v>Asia</v>
      </c>
      <c r="G2134">
        <v>2</v>
      </c>
      <c r="H2134" t="str" cm="1">
        <f t="array" ref="H2134">_xlfn.IFS(Ramen_Ratings[[#This Row],[Stars]] = "Unrated", "NA",Ramen_Ratings[[#This Row],[Stars]]&gt;=4, "Good", Ramen_Ratings[[#This Row],[Stars]]&gt;2.5, "Fair", Ramen_Ratings[[#This Row],[Stars]] &gt;= 0, "Bad")</f>
        <v>Bad</v>
      </c>
      <c r="J2134" t="str">
        <f>LEFT(Ramen_Ratings[[#This Row],[Top Ten]],4)</f>
        <v/>
      </c>
      <c r="K2134" t="str">
        <f>IF(Ramen_Ratings[[#This Row],[Top Ten]]="", "",RIGHT(Ramen_Ratings[[#This Row],[Top Ten]],LEN(Ramen_Ratings[[#This Row],[Top Ten]])-6))</f>
        <v/>
      </c>
    </row>
    <row r="2135" spans="1:11" x14ac:dyDescent="0.25">
      <c r="A2135">
        <v>59</v>
      </c>
      <c r="B2135" t="s">
        <v>132</v>
      </c>
      <c r="C2135" t="s">
        <v>2806</v>
      </c>
      <c r="D2135" t="s">
        <v>13</v>
      </c>
      <c r="E2135" t="s">
        <v>22</v>
      </c>
      <c r="F2135" t="str">
        <f>VLOOKUP(Ramen_Ratings[[#This Row],[Country]],Country_Region[#All],2,FALSE)</f>
        <v>Asia</v>
      </c>
      <c r="G2135">
        <v>3.5</v>
      </c>
      <c r="H2135" t="str" cm="1">
        <f t="array" ref="H2135">_xlfn.IFS(Ramen_Ratings[[#This Row],[Stars]] = "Unrated", "NA",Ramen_Ratings[[#This Row],[Stars]]&gt;=4, "Good", Ramen_Ratings[[#This Row],[Stars]]&gt;2.5, "Fair", Ramen_Ratings[[#This Row],[Stars]] &gt;= 0, "Bad")</f>
        <v>Fair</v>
      </c>
      <c r="J2135" t="str">
        <f>LEFT(Ramen_Ratings[[#This Row],[Top Ten]],4)</f>
        <v/>
      </c>
      <c r="K2135" t="str">
        <f>IF(Ramen_Ratings[[#This Row],[Top Ten]]="", "",RIGHT(Ramen_Ratings[[#This Row],[Top Ten]],LEN(Ramen_Ratings[[#This Row],[Top Ten]])-6))</f>
        <v/>
      </c>
    </row>
    <row r="2136" spans="1:11" x14ac:dyDescent="0.25">
      <c r="A2136">
        <v>2492</v>
      </c>
      <c r="B2136" t="s">
        <v>15</v>
      </c>
      <c r="C2136" t="s">
        <v>155</v>
      </c>
      <c r="D2136" t="s">
        <v>13</v>
      </c>
      <c r="E2136" t="s">
        <v>156</v>
      </c>
      <c r="F2136" t="str">
        <f>VLOOKUP(Ramen_Ratings[[#This Row],[Country]],Country_Region[#All],2,FALSE)</f>
        <v>Europe</v>
      </c>
      <c r="G2136">
        <v>3.75</v>
      </c>
      <c r="H2136" t="str" cm="1">
        <f t="array" ref="H2136">_xlfn.IFS(Ramen_Ratings[[#This Row],[Stars]] = "Unrated", "NA",Ramen_Ratings[[#This Row],[Stars]]&gt;=4, "Good", Ramen_Ratings[[#This Row],[Stars]]&gt;2.5, "Fair", Ramen_Ratings[[#This Row],[Stars]] &gt;= 0, "Bad")</f>
        <v>Fair</v>
      </c>
      <c r="J2136" t="str">
        <f>LEFT(Ramen_Ratings[[#This Row],[Top Ten]],4)</f>
        <v/>
      </c>
      <c r="K2136" t="str">
        <f>IF(Ramen_Ratings[[#This Row],[Top Ten]]="", "",RIGHT(Ramen_Ratings[[#This Row],[Top Ten]],LEN(Ramen_Ratings[[#This Row],[Top Ten]])-6))</f>
        <v/>
      </c>
    </row>
    <row r="2137" spans="1:11" x14ac:dyDescent="0.25">
      <c r="A2137">
        <v>1931</v>
      </c>
      <c r="B2137" t="s">
        <v>823</v>
      </c>
      <c r="C2137" t="s">
        <v>824</v>
      </c>
      <c r="D2137" t="s">
        <v>13</v>
      </c>
      <c r="E2137" t="s">
        <v>156</v>
      </c>
      <c r="F2137" t="str">
        <f>VLOOKUP(Ramen_Ratings[[#This Row],[Country]],Country_Region[#All],2,FALSE)</f>
        <v>Europe</v>
      </c>
      <c r="G2137">
        <v>3.75</v>
      </c>
      <c r="H2137" t="str" cm="1">
        <f t="array" ref="H2137">_xlfn.IFS(Ramen_Ratings[[#This Row],[Stars]] = "Unrated", "NA",Ramen_Ratings[[#This Row],[Stars]]&gt;=4, "Good", Ramen_Ratings[[#This Row],[Stars]]&gt;2.5, "Fair", Ramen_Ratings[[#This Row],[Stars]] &gt;= 0, "Bad")</f>
        <v>Fair</v>
      </c>
      <c r="J2137" t="str">
        <f>LEFT(Ramen_Ratings[[#This Row],[Top Ten]],4)</f>
        <v/>
      </c>
      <c r="K2137" t="str">
        <f>IF(Ramen_Ratings[[#This Row],[Top Ten]]="", "",RIGHT(Ramen_Ratings[[#This Row],[Top Ten]],LEN(Ramen_Ratings[[#This Row],[Top Ten]])-6))</f>
        <v/>
      </c>
    </row>
    <row r="2138" spans="1:11" x14ac:dyDescent="0.25">
      <c r="A2138">
        <v>1909</v>
      </c>
      <c r="B2138" t="s">
        <v>849</v>
      </c>
      <c r="C2138" t="s">
        <v>850</v>
      </c>
      <c r="D2138" t="s">
        <v>13</v>
      </c>
      <c r="E2138" t="s">
        <v>156</v>
      </c>
      <c r="F2138" t="str">
        <f>VLOOKUP(Ramen_Ratings[[#This Row],[Country]],Country_Region[#All],2,FALSE)</f>
        <v>Europe</v>
      </c>
      <c r="G2138">
        <v>3.5</v>
      </c>
      <c r="H2138" t="str" cm="1">
        <f t="array" ref="H2138">_xlfn.IFS(Ramen_Ratings[[#This Row],[Stars]] = "Unrated", "NA",Ramen_Ratings[[#This Row],[Stars]]&gt;=4, "Good", Ramen_Ratings[[#This Row],[Stars]]&gt;2.5, "Fair", Ramen_Ratings[[#This Row],[Stars]] &gt;= 0, "Bad")</f>
        <v>Fair</v>
      </c>
      <c r="J2138" t="str">
        <f>LEFT(Ramen_Ratings[[#This Row],[Top Ten]],4)</f>
        <v/>
      </c>
      <c r="K2138" t="str">
        <f>IF(Ramen_Ratings[[#This Row],[Top Ten]]="", "",RIGHT(Ramen_Ratings[[#This Row],[Top Ten]],LEN(Ramen_Ratings[[#This Row],[Top Ten]])-6))</f>
        <v/>
      </c>
    </row>
    <row r="2139" spans="1:11" x14ac:dyDescent="0.25">
      <c r="A2139">
        <v>1904</v>
      </c>
      <c r="B2139" t="s">
        <v>823</v>
      </c>
      <c r="C2139" t="s">
        <v>858</v>
      </c>
      <c r="D2139" t="s">
        <v>13</v>
      </c>
      <c r="E2139" t="s">
        <v>156</v>
      </c>
      <c r="F2139" t="str">
        <f>VLOOKUP(Ramen_Ratings[[#This Row],[Country]],Country_Region[#All],2,FALSE)</f>
        <v>Europe</v>
      </c>
      <c r="G2139">
        <v>3</v>
      </c>
      <c r="H2139" t="str" cm="1">
        <f t="array" ref="H2139">_xlfn.IFS(Ramen_Ratings[[#This Row],[Stars]] = "Unrated", "NA",Ramen_Ratings[[#This Row],[Stars]]&gt;=4, "Good", Ramen_Ratings[[#This Row],[Stars]]&gt;2.5, "Fair", Ramen_Ratings[[#This Row],[Stars]] &gt;= 0, "Bad")</f>
        <v>Fair</v>
      </c>
      <c r="J2139" t="str">
        <f>LEFT(Ramen_Ratings[[#This Row],[Top Ten]],4)</f>
        <v/>
      </c>
      <c r="K2139" t="str">
        <f>IF(Ramen_Ratings[[#This Row],[Top Ten]]="", "",RIGHT(Ramen_Ratings[[#This Row],[Top Ten]],LEN(Ramen_Ratings[[#This Row],[Top Ten]])-6))</f>
        <v/>
      </c>
    </row>
    <row r="2140" spans="1:11" x14ac:dyDescent="0.25">
      <c r="A2140">
        <v>1896</v>
      </c>
      <c r="B2140" t="s">
        <v>849</v>
      </c>
      <c r="C2140" t="s">
        <v>858</v>
      </c>
      <c r="D2140" t="s">
        <v>13</v>
      </c>
      <c r="E2140" t="s">
        <v>156</v>
      </c>
      <c r="F2140" t="str">
        <f>VLOOKUP(Ramen_Ratings[[#This Row],[Country]],Country_Region[#All],2,FALSE)</f>
        <v>Europe</v>
      </c>
      <c r="G2140">
        <v>3.5</v>
      </c>
      <c r="H2140" t="str" cm="1">
        <f t="array" ref="H2140">_xlfn.IFS(Ramen_Ratings[[#This Row],[Stars]] = "Unrated", "NA",Ramen_Ratings[[#This Row],[Stars]]&gt;=4, "Good", Ramen_Ratings[[#This Row],[Stars]]&gt;2.5, "Fair", Ramen_Ratings[[#This Row],[Stars]] &gt;= 0, "Bad")</f>
        <v>Fair</v>
      </c>
      <c r="J2140" t="str">
        <f>LEFT(Ramen_Ratings[[#This Row],[Top Ten]],4)</f>
        <v/>
      </c>
      <c r="K2140" t="str">
        <f>IF(Ramen_Ratings[[#This Row],[Top Ten]]="", "",RIGHT(Ramen_Ratings[[#This Row],[Top Ten]],LEN(Ramen_Ratings[[#This Row],[Top Ten]])-6))</f>
        <v/>
      </c>
    </row>
    <row r="2141" spans="1:11" x14ac:dyDescent="0.25">
      <c r="A2141">
        <v>1870</v>
      </c>
      <c r="B2141" t="s">
        <v>849</v>
      </c>
      <c r="C2141" t="s">
        <v>892</v>
      </c>
      <c r="D2141" t="s">
        <v>13</v>
      </c>
      <c r="E2141" t="s">
        <v>156</v>
      </c>
      <c r="F2141" t="str">
        <f>VLOOKUP(Ramen_Ratings[[#This Row],[Country]],Country_Region[#All],2,FALSE)</f>
        <v>Europe</v>
      </c>
      <c r="G2141">
        <v>2.75</v>
      </c>
      <c r="H2141" t="str" cm="1">
        <f t="array" ref="H2141">_xlfn.IFS(Ramen_Ratings[[#This Row],[Stars]] = "Unrated", "NA",Ramen_Ratings[[#This Row],[Stars]]&gt;=4, "Good", Ramen_Ratings[[#This Row],[Stars]]&gt;2.5, "Fair", Ramen_Ratings[[#This Row],[Stars]] &gt;= 0, "Bad")</f>
        <v>Fair</v>
      </c>
      <c r="J2141" t="str">
        <f>LEFT(Ramen_Ratings[[#This Row],[Top Ten]],4)</f>
        <v/>
      </c>
      <c r="K2141" t="str">
        <f>IF(Ramen_Ratings[[#This Row],[Top Ten]]="", "",RIGHT(Ramen_Ratings[[#This Row],[Top Ten]],LEN(Ramen_Ratings[[#This Row],[Top Ten]])-6))</f>
        <v/>
      </c>
    </row>
    <row r="2142" spans="1:11" x14ac:dyDescent="0.25">
      <c r="A2142">
        <v>1853</v>
      </c>
      <c r="B2142" t="s">
        <v>823</v>
      </c>
      <c r="C2142" t="s">
        <v>912</v>
      </c>
      <c r="D2142" t="s">
        <v>13</v>
      </c>
      <c r="E2142" t="s">
        <v>156</v>
      </c>
      <c r="F2142" t="str">
        <f>VLOOKUP(Ramen_Ratings[[#This Row],[Country]],Country_Region[#All],2,FALSE)</f>
        <v>Europe</v>
      </c>
      <c r="G2142">
        <v>3.5</v>
      </c>
      <c r="H2142" t="str" cm="1">
        <f t="array" ref="H2142">_xlfn.IFS(Ramen_Ratings[[#This Row],[Stars]] = "Unrated", "NA",Ramen_Ratings[[#This Row],[Stars]]&gt;=4, "Good", Ramen_Ratings[[#This Row],[Stars]]&gt;2.5, "Fair", Ramen_Ratings[[#This Row],[Stars]] &gt;= 0, "Bad")</f>
        <v>Fair</v>
      </c>
      <c r="J2142" t="str">
        <f>LEFT(Ramen_Ratings[[#This Row],[Top Ten]],4)</f>
        <v/>
      </c>
      <c r="K2142" t="str">
        <f>IF(Ramen_Ratings[[#This Row],[Top Ten]]="", "",RIGHT(Ramen_Ratings[[#This Row],[Top Ten]],LEN(Ramen_Ratings[[#This Row],[Top Ten]])-6))</f>
        <v/>
      </c>
    </row>
    <row r="2143" spans="1:11" x14ac:dyDescent="0.25">
      <c r="A2143">
        <v>1804</v>
      </c>
      <c r="B2143" t="s">
        <v>970</v>
      </c>
      <c r="C2143" t="s">
        <v>971</v>
      </c>
      <c r="D2143" t="s">
        <v>13</v>
      </c>
      <c r="E2143" t="s">
        <v>156</v>
      </c>
      <c r="F2143" t="str">
        <f>VLOOKUP(Ramen_Ratings[[#This Row],[Country]],Country_Region[#All],2,FALSE)</f>
        <v>Europe</v>
      </c>
      <c r="G2143">
        <v>4.75</v>
      </c>
      <c r="H2143" t="str" cm="1">
        <f t="array" ref="H2143">_xlfn.IFS(Ramen_Ratings[[#This Row],[Stars]] = "Unrated", "NA",Ramen_Ratings[[#This Row],[Stars]]&gt;=4, "Good", Ramen_Ratings[[#This Row],[Stars]]&gt;2.5, "Fair", Ramen_Ratings[[#This Row],[Stars]] &gt;= 0, "Bad")</f>
        <v>Good</v>
      </c>
      <c r="J2143" t="str">
        <f>LEFT(Ramen_Ratings[[#This Row],[Top Ten]],4)</f>
        <v/>
      </c>
      <c r="K2143" t="str">
        <f>IF(Ramen_Ratings[[#This Row],[Top Ten]]="", "",RIGHT(Ramen_Ratings[[#This Row],[Top Ten]],LEN(Ramen_Ratings[[#This Row],[Top Ten]])-6))</f>
        <v/>
      </c>
    </row>
    <row r="2144" spans="1:11" x14ac:dyDescent="0.25">
      <c r="A2144">
        <v>1709</v>
      </c>
      <c r="B2144" t="s">
        <v>849</v>
      </c>
      <c r="C2144" t="s">
        <v>1077</v>
      </c>
      <c r="D2144" t="s">
        <v>13</v>
      </c>
      <c r="E2144" t="s">
        <v>156</v>
      </c>
      <c r="F2144" t="str">
        <f>VLOOKUP(Ramen_Ratings[[#This Row],[Country]],Country_Region[#All],2,FALSE)</f>
        <v>Europe</v>
      </c>
      <c r="G2144">
        <v>4</v>
      </c>
      <c r="H2144" t="str" cm="1">
        <f t="array" ref="H2144">_xlfn.IFS(Ramen_Ratings[[#This Row],[Stars]] = "Unrated", "NA",Ramen_Ratings[[#This Row],[Stars]]&gt;=4, "Good", Ramen_Ratings[[#This Row],[Stars]]&gt;2.5, "Fair", Ramen_Ratings[[#This Row],[Stars]] &gt;= 0, "Bad")</f>
        <v>Good</v>
      </c>
      <c r="J2144" t="str">
        <f>LEFT(Ramen_Ratings[[#This Row],[Top Ten]],4)</f>
        <v/>
      </c>
      <c r="K2144" t="str">
        <f>IF(Ramen_Ratings[[#This Row],[Top Ten]]="", "",RIGHT(Ramen_Ratings[[#This Row],[Top Ten]],LEN(Ramen_Ratings[[#This Row],[Top Ten]])-6))</f>
        <v/>
      </c>
    </row>
    <row r="2145" spans="1:11" x14ac:dyDescent="0.25">
      <c r="A2145">
        <v>285</v>
      </c>
      <c r="B2145" t="s">
        <v>588</v>
      </c>
      <c r="C2145" t="s">
        <v>2240</v>
      </c>
      <c r="D2145" t="s">
        <v>13</v>
      </c>
      <c r="E2145" t="s">
        <v>46</v>
      </c>
      <c r="F2145" t="str">
        <f>VLOOKUP(Ramen_Ratings[[#This Row],[Country]],Country_Region[#All],2,FALSE)</f>
        <v>Asia</v>
      </c>
      <c r="G2145">
        <v>4.5</v>
      </c>
      <c r="H2145" t="str" cm="1">
        <f t="array" ref="H2145">_xlfn.IFS(Ramen_Ratings[[#This Row],[Stars]] = "Unrated", "NA",Ramen_Ratings[[#This Row],[Stars]]&gt;=4, "Good", Ramen_Ratings[[#This Row],[Stars]]&gt;2.5, "Fair", Ramen_Ratings[[#This Row],[Stars]] &gt;= 0, "Bad")</f>
        <v>Good</v>
      </c>
      <c r="I2145" t="s">
        <v>2596</v>
      </c>
      <c r="J2145" t="str">
        <f>LEFT(Ramen_Ratings[[#This Row],[Top Ten]],4)</f>
        <v>2012</v>
      </c>
      <c r="K2145" t="str">
        <f>IF(Ramen_Ratings[[#This Row],[Top Ten]]="", "",RIGHT(Ramen_Ratings[[#This Row],[Top Ten]],LEN(Ramen_Ratings[[#This Row],[Top Ten]])-6))</f>
        <v>9</v>
      </c>
    </row>
    <row r="2146" spans="1:11" x14ac:dyDescent="0.25">
      <c r="A2146">
        <v>2566</v>
      </c>
      <c r="B2146" t="s">
        <v>15</v>
      </c>
      <c r="C2146" t="s">
        <v>45</v>
      </c>
      <c r="D2146" t="s">
        <v>13</v>
      </c>
      <c r="E2146" t="s">
        <v>46</v>
      </c>
      <c r="F2146" t="str">
        <f>VLOOKUP(Ramen_Ratings[[#This Row],[Country]],Country_Region[#All],2,FALSE)</f>
        <v>Asia</v>
      </c>
      <c r="G2146">
        <v>5</v>
      </c>
      <c r="H2146" t="str" cm="1">
        <f t="array" ref="H2146">_xlfn.IFS(Ramen_Ratings[[#This Row],[Stars]] = "Unrated", "NA",Ramen_Ratings[[#This Row],[Stars]]&gt;=4, "Good", Ramen_Ratings[[#This Row],[Stars]]&gt;2.5, "Fair", Ramen_Ratings[[#This Row],[Stars]] &gt;= 0, "Bad")</f>
        <v>Good</v>
      </c>
      <c r="J2146" t="str">
        <f>LEFT(Ramen_Ratings[[#This Row],[Top Ten]],4)</f>
        <v/>
      </c>
      <c r="K2146" t="str">
        <f>IF(Ramen_Ratings[[#This Row],[Top Ten]]="", "",RIGHT(Ramen_Ratings[[#This Row],[Top Ten]],LEN(Ramen_Ratings[[#This Row],[Top Ten]])-6))</f>
        <v/>
      </c>
    </row>
    <row r="2147" spans="1:11" x14ac:dyDescent="0.25">
      <c r="A2147">
        <v>2560</v>
      </c>
      <c r="B2147" t="s">
        <v>15</v>
      </c>
      <c r="C2147" t="s">
        <v>56</v>
      </c>
      <c r="D2147" t="s">
        <v>9</v>
      </c>
      <c r="E2147" t="s">
        <v>46</v>
      </c>
      <c r="F2147" t="str">
        <f>VLOOKUP(Ramen_Ratings[[#This Row],[Country]],Country_Region[#All],2,FALSE)</f>
        <v>Asia</v>
      </c>
      <c r="G2147">
        <v>4.25</v>
      </c>
      <c r="H2147" t="str" cm="1">
        <f t="array" ref="H2147">_xlfn.IFS(Ramen_Ratings[[#This Row],[Stars]] = "Unrated", "NA",Ramen_Ratings[[#This Row],[Stars]]&gt;=4, "Good", Ramen_Ratings[[#This Row],[Stars]]&gt;2.5, "Fair", Ramen_Ratings[[#This Row],[Stars]] &gt;= 0, "Bad")</f>
        <v>Good</v>
      </c>
      <c r="J2147" t="str">
        <f>LEFT(Ramen_Ratings[[#This Row],[Top Ten]],4)</f>
        <v/>
      </c>
      <c r="K2147" t="str">
        <f>IF(Ramen_Ratings[[#This Row],[Top Ten]]="", "",RIGHT(Ramen_Ratings[[#This Row],[Top Ten]],LEN(Ramen_Ratings[[#This Row],[Top Ten]])-6))</f>
        <v/>
      </c>
    </row>
    <row r="2148" spans="1:11" x14ac:dyDescent="0.25">
      <c r="A2148">
        <v>2539</v>
      </c>
      <c r="B2148" t="s">
        <v>15</v>
      </c>
      <c r="C2148" t="s">
        <v>89</v>
      </c>
      <c r="D2148" t="s">
        <v>9</v>
      </c>
      <c r="E2148" t="s">
        <v>46</v>
      </c>
      <c r="F2148" t="str">
        <f>VLOOKUP(Ramen_Ratings[[#This Row],[Country]],Country_Region[#All],2,FALSE)</f>
        <v>Asia</v>
      </c>
      <c r="G2148">
        <v>3.75</v>
      </c>
      <c r="H2148" t="str" cm="1">
        <f t="array" ref="H2148">_xlfn.IFS(Ramen_Ratings[[#This Row],[Stars]] = "Unrated", "NA",Ramen_Ratings[[#This Row],[Stars]]&gt;=4, "Good", Ramen_Ratings[[#This Row],[Stars]]&gt;2.5, "Fair", Ramen_Ratings[[#This Row],[Stars]] &gt;= 0, "Bad")</f>
        <v>Fair</v>
      </c>
      <c r="J2148" t="str">
        <f>LEFT(Ramen_Ratings[[#This Row],[Top Ten]],4)</f>
        <v/>
      </c>
      <c r="K2148" t="str">
        <f>IF(Ramen_Ratings[[#This Row],[Top Ten]]="", "",RIGHT(Ramen_Ratings[[#This Row],[Top Ten]],LEN(Ramen_Ratings[[#This Row],[Top Ten]])-6))</f>
        <v/>
      </c>
    </row>
    <row r="2149" spans="1:11" x14ac:dyDescent="0.25">
      <c r="A2149">
        <v>2471</v>
      </c>
      <c r="B2149" t="s">
        <v>15</v>
      </c>
      <c r="C2149" t="s">
        <v>182</v>
      </c>
      <c r="D2149" t="s">
        <v>9</v>
      </c>
      <c r="E2149" t="s">
        <v>46</v>
      </c>
      <c r="F2149" t="str">
        <f>VLOOKUP(Ramen_Ratings[[#This Row],[Country]],Country_Region[#All],2,FALSE)</f>
        <v>Asia</v>
      </c>
      <c r="G2149">
        <v>5</v>
      </c>
      <c r="H2149" t="str" cm="1">
        <f t="array" ref="H2149">_xlfn.IFS(Ramen_Ratings[[#This Row],[Stars]] = "Unrated", "NA",Ramen_Ratings[[#This Row],[Stars]]&gt;=4, "Good", Ramen_Ratings[[#This Row],[Stars]]&gt;2.5, "Fair", Ramen_Ratings[[#This Row],[Stars]] &gt;= 0, "Bad")</f>
        <v>Good</v>
      </c>
      <c r="J2149" t="str">
        <f>LEFT(Ramen_Ratings[[#This Row],[Top Ten]],4)</f>
        <v/>
      </c>
      <c r="K2149" t="str">
        <f>IF(Ramen_Ratings[[#This Row],[Top Ten]]="", "",RIGHT(Ramen_Ratings[[#This Row],[Top Ten]],LEN(Ramen_Ratings[[#This Row],[Top Ten]])-6))</f>
        <v/>
      </c>
    </row>
    <row r="2150" spans="1:11" x14ac:dyDescent="0.25">
      <c r="A2150">
        <v>2466</v>
      </c>
      <c r="B2150" t="s">
        <v>188</v>
      </c>
      <c r="C2150" t="s">
        <v>189</v>
      </c>
      <c r="D2150" t="s">
        <v>13</v>
      </c>
      <c r="E2150" t="s">
        <v>46</v>
      </c>
      <c r="F2150" t="str">
        <f>VLOOKUP(Ramen_Ratings[[#This Row],[Country]],Country_Region[#All],2,FALSE)</f>
        <v>Asia</v>
      </c>
      <c r="G2150">
        <v>4</v>
      </c>
      <c r="H2150" t="str" cm="1">
        <f t="array" ref="H2150">_xlfn.IFS(Ramen_Ratings[[#This Row],[Stars]] = "Unrated", "NA",Ramen_Ratings[[#This Row],[Stars]]&gt;=4, "Good", Ramen_Ratings[[#This Row],[Stars]]&gt;2.5, "Fair", Ramen_Ratings[[#This Row],[Stars]] &gt;= 0, "Bad")</f>
        <v>Good</v>
      </c>
      <c r="J2150" t="str">
        <f>LEFT(Ramen_Ratings[[#This Row],[Top Ten]],4)</f>
        <v/>
      </c>
      <c r="K2150" t="str">
        <f>IF(Ramen_Ratings[[#This Row],[Top Ten]]="", "",RIGHT(Ramen_Ratings[[#This Row],[Top Ten]],LEN(Ramen_Ratings[[#This Row],[Top Ten]])-6))</f>
        <v/>
      </c>
    </row>
    <row r="2151" spans="1:11" x14ac:dyDescent="0.25">
      <c r="A2151">
        <v>2436</v>
      </c>
      <c r="B2151" t="s">
        <v>224</v>
      </c>
      <c r="C2151" t="s">
        <v>225</v>
      </c>
      <c r="D2151" t="s">
        <v>13</v>
      </c>
      <c r="E2151" t="s">
        <v>46</v>
      </c>
      <c r="F2151" t="str">
        <f>VLOOKUP(Ramen_Ratings[[#This Row],[Country]],Country_Region[#All],2,FALSE)</f>
        <v>Asia</v>
      </c>
      <c r="G2151">
        <v>4.75</v>
      </c>
      <c r="H2151" t="str" cm="1">
        <f t="array" ref="H2151">_xlfn.IFS(Ramen_Ratings[[#This Row],[Stars]] = "Unrated", "NA",Ramen_Ratings[[#This Row],[Stars]]&gt;=4, "Good", Ramen_Ratings[[#This Row],[Stars]]&gt;2.5, "Fair", Ramen_Ratings[[#This Row],[Stars]] &gt;= 0, "Bad")</f>
        <v>Good</v>
      </c>
      <c r="J2151" t="str">
        <f>LEFT(Ramen_Ratings[[#This Row],[Top Ten]],4)</f>
        <v/>
      </c>
      <c r="K2151" t="str">
        <f>IF(Ramen_Ratings[[#This Row],[Top Ten]]="", "",RIGHT(Ramen_Ratings[[#This Row],[Top Ten]],LEN(Ramen_Ratings[[#This Row],[Top Ten]])-6))</f>
        <v/>
      </c>
    </row>
    <row r="2152" spans="1:11" x14ac:dyDescent="0.25">
      <c r="A2152">
        <v>2425</v>
      </c>
      <c r="B2152" t="s">
        <v>15</v>
      </c>
      <c r="C2152" t="s">
        <v>241</v>
      </c>
      <c r="D2152" t="s">
        <v>9</v>
      </c>
      <c r="E2152" t="s">
        <v>46</v>
      </c>
      <c r="F2152" t="str">
        <f>VLOOKUP(Ramen_Ratings[[#This Row],[Country]],Country_Region[#All],2,FALSE)</f>
        <v>Asia</v>
      </c>
      <c r="G2152">
        <v>5</v>
      </c>
      <c r="H2152" t="str" cm="1">
        <f t="array" ref="H2152">_xlfn.IFS(Ramen_Ratings[[#This Row],[Stars]] = "Unrated", "NA",Ramen_Ratings[[#This Row],[Stars]]&gt;=4, "Good", Ramen_Ratings[[#This Row],[Stars]]&gt;2.5, "Fair", Ramen_Ratings[[#This Row],[Stars]] &gt;= 0, "Bad")</f>
        <v>Good</v>
      </c>
      <c r="J2152" t="str">
        <f>LEFT(Ramen_Ratings[[#This Row],[Top Ten]],4)</f>
        <v/>
      </c>
      <c r="K2152" t="str">
        <f>IF(Ramen_Ratings[[#This Row],[Top Ten]]="", "",RIGHT(Ramen_Ratings[[#This Row],[Top Ten]],LEN(Ramen_Ratings[[#This Row],[Top Ten]])-6))</f>
        <v/>
      </c>
    </row>
    <row r="2153" spans="1:11" x14ac:dyDescent="0.25">
      <c r="A2153">
        <v>2413</v>
      </c>
      <c r="B2153" t="s">
        <v>15</v>
      </c>
      <c r="C2153" t="s">
        <v>257</v>
      </c>
      <c r="D2153" t="s">
        <v>9</v>
      </c>
      <c r="E2153" t="s">
        <v>46</v>
      </c>
      <c r="F2153" t="str">
        <f>VLOOKUP(Ramen_Ratings[[#This Row],[Country]],Country_Region[#All],2,FALSE)</f>
        <v>Asia</v>
      </c>
      <c r="G2153">
        <v>2.5</v>
      </c>
      <c r="H2153" t="str" cm="1">
        <f t="array" ref="H2153">_xlfn.IFS(Ramen_Ratings[[#This Row],[Stars]] = "Unrated", "NA",Ramen_Ratings[[#This Row],[Stars]]&gt;=4, "Good", Ramen_Ratings[[#This Row],[Stars]]&gt;2.5, "Fair", Ramen_Ratings[[#This Row],[Stars]] &gt;= 0, "Bad")</f>
        <v>Bad</v>
      </c>
      <c r="J2153" t="str">
        <f>LEFT(Ramen_Ratings[[#This Row],[Top Ten]],4)</f>
        <v/>
      </c>
      <c r="K2153" t="str">
        <f>IF(Ramen_Ratings[[#This Row],[Top Ten]]="", "",RIGHT(Ramen_Ratings[[#This Row],[Top Ten]],LEN(Ramen_Ratings[[#This Row],[Top Ten]])-6))</f>
        <v/>
      </c>
    </row>
    <row r="2154" spans="1:11" x14ac:dyDescent="0.25">
      <c r="A2154">
        <v>2405</v>
      </c>
      <c r="B2154" t="s">
        <v>15</v>
      </c>
      <c r="C2154" t="s">
        <v>267</v>
      </c>
      <c r="D2154" t="s">
        <v>9</v>
      </c>
      <c r="E2154" t="s">
        <v>46</v>
      </c>
      <c r="F2154" t="str">
        <f>VLOOKUP(Ramen_Ratings[[#This Row],[Country]],Country_Region[#All],2,FALSE)</f>
        <v>Asia</v>
      </c>
      <c r="G2154">
        <v>4</v>
      </c>
      <c r="H2154" t="str" cm="1">
        <f t="array" ref="H2154">_xlfn.IFS(Ramen_Ratings[[#This Row],[Stars]] = "Unrated", "NA",Ramen_Ratings[[#This Row],[Stars]]&gt;=4, "Good", Ramen_Ratings[[#This Row],[Stars]]&gt;2.5, "Fair", Ramen_Ratings[[#This Row],[Stars]] &gt;= 0, "Bad")</f>
        <v>Good</v>
      </c>
      <c r="J2154" t="str">
        <f>LEFT(Ramen_Ratings[[#This Row],[Top Ten]],4)</f>
        <v/>
      </c>
      <c r="K2154" t="str">
        <f>IF(Ramen_Ratings[[#This Row],[Top Ten]]="", "",RIGHT(Ramen_Ratings[[#This Row],[Top Ten]],LEN(Ramen_Ratings[[#This Row],[Top Ten]])-6))</f>
        <v/>
      </c>
    </row>
    <row r="2155" spans="1:11" x14ac:dyDescent="0.25">
      <c r="A2155">
        <v>2394</v>
      </c>
      <c r="B2155" t="s">
        <v>15</v>
      </c>
      <c r="C2155" t="s">
        <v>282</v>
      </c>
      <c r="D2155" t="s">
        <v>9</v>
      </c>
      <c r="E2155" t="s">
        <v>46</v>
      </c>
      <c r="F2155" t="str">
        <f>VLOOKUP(Ramen_Ratings[[#This Row],[Country]],Country_Region[#All],2,FALSE)</f>
        <v>Asia</v>
      </c>
      <c r="G2155">
        <v>3.75</v>
      </c>
      <c r="H2155" t="str" cm="1">
        <f t="array" ref="H2155">_xlfn.IFS(Ramen_Ratings[[#This Row],[Stars]] = "Unrated", "NA",Ramen_Ratings[[#This Row],[Stars]]&gt;=4, "Good", Ramen_Ratings[[#This Row],[Stars]]&gt;2.5, "Fair", Ramen_Ratings[[#This Row],[Stars]] &gt;= 0, "Bad")</f>
        <v>Fair</v>
      </c>
      <c r="J2155" t="str">
        <f>LEFT(Ramen_Ratings[[#This Row],[Top Ten]],4)</f>
        <v/>
      </c>
      <c r="K2155" t="str">
        <f>IF(Ramen_Ratings[[#This Row],[Top Ten]]="", "",RIGHT(Ramen_Ratings[[#This Row],[Top Ten]],LEN(Ramen_Ratings[[#This Row],[Top Ten]])-6))</f>
        <v/>
      </c>
    </row>
    <row r="2156" spans="1:11" x14ac:dyDescent="0.25">
      <c r="A2156">
        <v>2390</v>
      </c>
      <c r="B2156" t="s">
        <v>15</v>
      </c>
      <c r="C2156" t="s">
        <v>286</v>
      </c>
      <c r="D2156" t="s">
        <v>9</v>
      </c>
      <c r="E2156" t="s">
        <v>46</v>
      </c>
      <c r="F2156" t="str">
        <f>VLOOKUP(Ramen_Ratings[[#This Row],[Country]],Country_Region[#All],2,FALSE)</f>
        <v>Asia</v>
      </c>
      <c r="G2156">
        <v>3.75</v>
      </c>
      <c r="H2156" t="str" cm="1">
        <f t="array" ref="H2156">_xlfn.IFS(Ramen_Ratings[[#This Row],[Stars]] = "Unrated", "NA",Ramen_Ratings[[#This Row],[Stars]]&gt;=4, "Good", Ramen_Ratings[[#This Row],[Stars]]&gt;2.5, "Fair", Ramen_Ratings[[#This Row],[Stars]] &gt;= 0, "Bad")</f>
        <v>Fair</v>
      </c>
      <c r="J2156" t="str">
        <f>LEFT(Ramen_Ratings[[#This Row],[Top Ten]],4)</f>
        <v/>
      </c>
      <c r="K2156" t="str">
        <f>IF(Ramen_Ratings[[#This Row],[Top Ten]]="", "",RIGHT(Ramen_Ratings[[#This Row],[Top Ten]],LEN(Ramen_Ratings[[#This Row],[Top Ten]])-6))</f>
        <v/>
      </c>
    </row>
    <row r="2157" spans="1:11" x14ac:dyDescent="0.25">
      <c r="A2157">
        <v>2387</v>
      </c>
      <c r="B2157" t="s">
        <v>15</v>
      </c>
      <c r="C2157" t="s">
        <v>291</v>
      </c>
      <c r="D2157" t="s">
        <v>44</v>
      </c>
      <c r="E2157" t="s">
        <v>46</v>
      </c>
      <c r="F2157" t="str">
        <f>VLOOKUP(Ramen_Ratings[[#This Row],[Country]],Country_Region[#All],2,FALSE)</f>
        <v>Asia</v>
      </c>
      <c r="G2157">
        <v>3.5</v>
      </c>
      <c r="H2157" t="str" cm="1">
        <f t="array" ref="H2157">_xlfn.IFS(Ramen_Ratings[[#This Row],[Stars]] = "Unrated", "NA",Ramen_Ratings[[#This Row],[Stars]]&gt;=4, "Good", Ramen_Ratings[[#This Row],[Stars]]&gt;2.5, "Fair", Ramen_Ratings[[#This Row],[Stars]] &gt;= 0, "Bad")</f>
        <v>Fair</v>
      </c>
      <c r="J2157" t="str">
        <f>LEFT(Ramen_Ratings[[#This Row],[Top Ten]],4)</f>
        <v/>
      </c>
      <c r="K2157" t="str">
        <f>IF(Ramen_Ratings[[#This Row],[Top Ten]]="", "",RIGHT(Ramen_Ratings[[#This Row],[Top Ten]],LEN(Ramen_Ratings[[#This Row],[Top Ten]])-6))</f>
        <v/>
      </c>
    </row>
    <row r="2158" spans="1:11" x14ac:dyDescent="0.25">
      <c r="A2158">
        <v>2381</v>
      </c>
      <c r="B2158" t="s">
        <v>15</v>
      </c>
      <c r="C2158" t="s">
        <v>297</v>
      </c>
      <c r="D2158" t="s">
        <v>9</v>
      </c>
      <c r="E2158" t="s">
        <v>46</v>
      </c>
      <c r="F2158" t="str">
        <f>VLOOKUP(Ramen_Ratings[[#This Row],[Country]],Country_Region[#All],2,FALSE)</f>
        <v>Asia</v>
      </c>
      <c r="G2158">
        <v>4.75</v>
      </c>
      <c r="H2158" t="str" cm="1">
        <f t="array" ref="H2158">_xlfn.IFS(Ramen_Ratings[[#This Row],[Stars]] = "Unrated", "NA",Ramen_Ratings[[#This Row],[Stars]]&gt;=4, "Good", Ramen_Ratings[[#This Row],[Stars]]&gt;2.5, "Fair", Ramen_Ratings[[#This Row],[Stars]] &gt;= 0, "Bad")</f>
        <v>Good</v>
      </c>
      <c r="J2158" t="str">
        <f>LEFT(Ramen_Ratings[[#This Row],[Top Ten]],4)</f>
        <v/>
      </c>
      <c r="K2158" t="str">
        <f>IF(Ramen_Ratings[[#This Row],[Top Ten]]="", "",RIGHT(Ramen_Ratings[[#This Row],[Top Ten]],LEN(Ramen_Ratings[[#This Row],[Top Ten]])-6))</f>
        <v/>
      </c>
    </row>
    <row r="2159" spans="1:11" x14ac:dyDescent="0.25">
      <c r="A2159">
        <v>2378</v>
      </c>
      <c r="B2159" t="s">
        <v>188</v>
      </c>
      <c r="C2159" t="s">
        <v>301</v>
      </c>
      <c r="D2159" t="s">
        <v>13</v>
      </c>
      <c r="E2159" t="s">
        <v>46</v>
      </c>
      <c r="F2159" t="str">
        <f>VLOOKUP(Ramen_Ratings[[#This Row],[Country]],Country_Region[#All],2,FALSE)</f>
        <v>Asia</v>
      </c>
      <c r="G2159">
        <v>4.5</v>
      </c>
      <c r="H2159" t="str" cm="1">
        <f t="array" ref="H2159">_xlfn.IFS(Ramen_Ratings[[#This Row],[Stars]] = "Unrated", "NA",Ramen_Ratings[[#This Row],[Stars]]&gt;=4, "Good", Ramen_Ratings[[#This Row],[Stars]]&gt;2.5, "Fair", Ramen_Ratings[[#This Row],[Stars]] &gt;= 0, "Bad")</f>
        <v>Good</v>
      </c>
      <c r="J2159" t="str">
        <f>LEFT(Ramen_Ratings[[#This Row],[Top Ten]],4)</f>
        <v/>
      </c>
      <c r="K2159" t="str">
        <f>IF(Ramen_Ratings[[#This Row],[Top Ten]]="", "",RIGHT(Ramen_Ratings[[#This Row],[Top Ten]],LEN(Ramen_Ratings[[#This Row],[Top Ten]])-6))</f>
        <v/>
      </c>
    </row>
    <row r="2160" spans="1:11" x14ac:dyDescent="0.25">
      <c r="A2160">
        <v>2361</v>
      </c>
      <c r="B2160" t="s">
        <v>15</v>
      </c>
      <c r="C2160" t="s">
        <v>321</v>
      </c>
      <c r="D2160" t="s">
        <v>44</v>
      </c>
      <c r="E2160" t="s">
        <v>46</v>
      </c>
      <c r="F2160" t="str">
        <f>VLOOKUP(Ramen_Ratings[[#This Row],[Country]],Country_Region[#All],2,FALSE)</f>
        <v>Asia</v>
      </c>
      <c r="G2160">
        <v>5</v>
      </c>
      <c r="H2160" t="str" cm="1">
        <f t="array" ref="H2160">_xlfn.IFS(Ramen_Ratings[[#This Row],[Stars]] = "Unrated", "NA",Ramen_Ratings[[#This Row],[Stars]]&gt;=4, "Good", Ramen_Ratings[[#This Row],[Stars]]&gt;2.5, "Fair", Ramen_Ratings[[#This Row],[Stars]] &gt;= 0, "Bad")</f>
        <v>Good</v>
      </c>
      <c r="J2160" t="str">
        <f>LEFT(Ramen_Ratings[[#This Row],[Top Ten]],4)</f>
        <v/>
      </c>
      <c r="K2160" t="str">
        <f>IF(Ramen_Ratings[[#This Row],[Top Ten]]="", "",RIGHT(Ramen_Ratings[[#This Row],[Top Ten]],LEN(Ramen_Ratings[[#This Row],[Top Ten]])-6))</f>
        <v/>
      </c>
    </row>
    <row r="2161" spans="1:11" x14ac:dyDescent="0.25">
      <c r="A2161">
        <v>2357</v>
      </c>
      <c r="B2161" t="s">
        <v>326</v>
      </c>
      <c r="C2161" t="s">
        <v>327</v>
      </c>
      <c r="D2161" t="s">
        <v>44</v>
      </c>
      <c r="E2161" t="s">
        <v>46</v>
      </c>
      <c r="F2161" t="str">
        <f>VLOOKUP(Ramen_Ratings[[#This Row],[Country]],Country_Region[#All],2,FALSE)</f>
        <v>Asia</v>
      </c>
      <c r="G2161">
        <v>5</v>
      </c>
      <c r="H2161" t="str" cm="1">
        <f t="array" ref="H2161">_xlfn.IFS(Ramen_Ratings[[#This Row],[Stars]] = "Unrated", "NA",Ramen_Ratings[[#This Row],[Stars]]&gt;=4, "Good", Ramen_Ratings[[#This Row],[Stars]]&gt;2.5, "Fair", Ramen_Ratings[[#This Row],[Stars]] &gt;= 0, "Bad")</f>
        <v>Good</v>
      </c>
      <c r="J2161" t="str">
        <f>LEFT(Ramen_Ratings[[#This Row],[Top Ten]],4)</f>
        <v/>
      </c>
      <c r="K2161" t="str">
        <f>IF(Ramen_Ratings[[#This Row],[Top Ten]]="", "",RIGHT(Ramen_Ratings[[#This Row],[Top Ten]],LEN(Ramen_Ratings[[#This Row],[Top Ten]])-6))</f>
        <v/>
      </c>
    </row>
    <row r="2162" spans="1:11" x14ac:dyDescent="0.25">
      <c r="A2162">
        <v>2350</v>
      </c>
      <c r="B2162" t="s">
        <v>15</v>
      </c>
      <c r="C2162" t="s">
        <v>337</v>
      </c>
      <c r="D2162" t="s">
        <v>9</v>
      </c>
      <c r="E2162" t="s">
        <v>46</v>
      </c>
      <c r="F2162" t="str">
        <f>VLOOKUP(Ramen_Ratings[[#This Row],[Country]],Country_Region[#All],2,FALSE)</f>
        <v>Asia</v>
      </c>
      <c r="G2162">
        <v>4</v>
      </c>
      <c r="H2162" t="str" cm="1">
        <f t="array" ref="H2162">_xlfn.IFS(Ramen_Ratings[[#This Row],[Stars]] = "Unrated", "NA",Ramen_Ratings[[#This Row],[Stars]]&gt;=4, "Good", Ramen_Ratings[[#This Row],[Stars]]&gt;2.5, "Fair", Ramen_Ratings[[#This Row],[Stars]] &gt;= 0, "Bad")</f>
        <v>Good</v>
      </c>
      <c r="J2162" t="str">
        <f>LEFT(Ramen_Ratings[[#This Row],[Top Ten]],4)</f>
        <v/>
      </c>
      <c r="K2162" t="str">
        <f>IF(Ramen_Ratings[[#This Row],[Top Ten]]="", "",RIGHT(Ramen_Ratings[[#This Row],[Top Ten]],LEN(Ramen_Ratings[[#This Row],[Top Ten]])-6))</f>
        <v/>
      </c>
    </row>
    <row r="2163" spans="1:11" x14ac:dyDescent="0.25">
      <c r="A2163">
        <v>2347</v>
      </c>
      <c r="B2163" t="s">
        <v>15</v>
      </c>
      <c r="C2163" t="s">
        <v>342</v>
      </c>
      <c r="D2163" t="s">
        <v>44</v>
      </c>
      <c r="E2163" t="s">
        <v>46</v>
      </c>
      <c r="F2163" t="str">
        <f>VLOOKUP(Ramen_Ratings[[#This Row],[Country]],Country_Region[#All],2,FALSE)</f>
        <v>Asia</v>
      </c>
      <c r="G2163">
        <v>3</v>
      </c>
      <c r="H2163" t="str" cm="1">
        <f t="array" ref="H2163">_xlfn.IFS(Ramen_Ratings[[#This Row],[Stars]] = "Unrated", "NA",Ramen_Ratings[[#This Row],[Stars]]&gt;=4, "Good", Ramen_Ratings[[#This Row],[Stars]]&gt;2.5, "Fair", Ramen_Ratings[[#This Row],[Stars]] &gt;= 0, "Bad")</f>
        <v>Fair</v>
      </c>
      <c r="J2163" t="str">
        <f>LEFT(Ramen_Ratings[[#This Row],[Top Ten]],4)</f>
        <v/>
      </c>
      <c r="K2163" t="str">
        <f>IF(Ramen_Ratings[[#This Row],[Top Ten]]="", "",RIGHT(Ramen_Ratings[[#This Row],[Top Ten]],LEN(Ramen_Ratings[[#This Row],[Top Ten]])-6))</f>
        <v/>
      </c>
    </row>
    <row r="2164" spans="1:11" x14ac:dyDescent="0.25">
      <c r="A2164">
        <v>2326</v>
      </c>
      <c r="B2164" t="s">
        <v>15</v>
      </c>
      <c r="C2164" t="s">
        <v>368</v>
      </c>
      <c r="D2164" t="s">
        <v>9</v>
      </c>
      <c r="E2164" t="s">
        <v>46</v>
      </c>
      <c r="F2164" t="str">
        <f>VLOOKUP(Ramen_Ratings[[#This Row],[Country]],Country_Region[#All],2,FALSE)</f>
        <v>Asia</v>
      </c>
      <c r="G2164">
        <v>4</v>
      </c>
      <c r="H2164" t="str" cm="1">
        <f t="array" ref="H2164">_xlfn.IFS(Ramen_Ratings[[#This Row],[Stars]] = "Unrated", "NA",Ramen_Ratings[[#This Row],[Stars]]&gt;=4, "Good", Ramen_Ratings[[#This Row],[Stars]]&gt;2.5, "Fair", Ramen_Ratings[[#This Row],[Stars]] &gt;= 0, "Bad")</f>
        <v>Good</v>
      </c>
      <c r="J2164" t="str">
        <f>LEFT(Ramen_Ratings[[#This Row],[Top Ten]],4)</f>
        <v/>
      </c>
      <c r="K2164" t="str">
        <f>IF(Ramen_Ratings[[#This Row],[Top Ten]]="", "",RIGHT(Ramen_Ratings[[#This Row],[Top Ten]],LEN(Ramen_Ratings[[#This Row],[Top Ten]])-6))</f>
        <v/>
      </c>
    </row>
    <row r="2165" spans="1:11" x14ac:dyDescent="0.25">
      <c r="A2165">
        <v>2321</v>
      </c>
      <c r="B2165" t="s">
        <v>188</v>
      </c>
      <c r="C2165" t="s">
        <v>376</v>
      </c>
      <c r="D2165" t="s">
        <v>44</v>
      </c>
      <c r="E2165" t="s">
        <v>46</v>
      </c>
      <c r="F2165" t="str">
        <f>VLOOKUP(Ramen_Ratings[[#This Row],[Country]],Country_Region[#All],2,FALSE)</f>
        <v>Asia</v>
      </c>
      <c r="G2165">
        <v>5</v>
      </c>
      <c r="H2165" t="str" cm="1">
        <f t="array" ref="H2165">_xlfn.IFS(Ramen_Ratings[[#This Row],[Stars]] = "Unrated", "NA",Ramen_Ratings[[#This Row],[Stars]]&gt;=4, "Good", Ramen_Ratings[[#This Row],[Stars]]&gt;2.5, "Fair", Ramen_Ratings[[#This Row],[Stars]] &gt;= 0, "Bad")</f>
        <v>Good</v>
      </c>
      <c r="J2165" t="str">
        <f>LEFT(Ramen_Ratings[[#This Row],[Top Ten]],4)</f>
        <v/>
      </c>
      <c r="K2165" t="str">
        <f>IF(Ramen_Ratings[[#This Row],[Top Ten]]="", "",RIGHT(Ramen_Ratings[[#This Row],[Top Ten]],LEN(Ramen_Ratings[[#This Row],[Top Ten]])-6))</f>
        <v/>
      </c>
    </row>
    <row r="2166" spans="1:11" x14ac:dyDescent="0.25">
      <c r="A2166">
        <v>2314</v>
      </c>
      <c r="B2166" t="s">
        <v>15</v>
      </c>
      <c r="C2166" t="s">
        <v>384</v>
      </c>
      <c r="D2166" t="s">
        <v>9</v>
      </c>
      <c r="E2166" t="s">
        <v>46</v>
      </c>
      <c r="F2166" t="str">
        <f>VLOOKUP(Ramen_Ratings[[#This Row],[Country]],Country_Region[#All],2,FALSE)</f>
        <v>Asia</v>
      </c>
      <c r="G2166">
        <v>4</v>
      </c>
      <c r="H2166" t="str" cm="1">
        <f t="array" ref="H2166">_xlfn.IFS(Ramen_Ratings[[#This Row],[Stars]] = "Unrated", "NA",Ramen_Ratings[[#This Row],[Stars]]&gt;=4, "Good", Ramen_Ratings[[#This Row],[Stars]]&gt;2.5, "Fair", Ramen_Ratings[[#This Row],[Stars]] &gt;= 0, "Bad")</f>
        <v>Good</v>
      </c>
      <c r="J2166" t="str">
        <f>LEFT(Ramen_Ratings[[#This Row],[Top Ten]],4)</f>
        <v/>
      </c>
      <c r="K2166" t="str">
        <f>IF(Ramen_Ratings[[#This Row],[Top Ten]]="", "",RIGHT(Ramen_Ratings[[#This Row],[Top Ten]],LEN(Ramen_Ratings[[#This Row],[Top Ten]])-6))</f>
        <v/>
      </c>
    </row>
    <row r="2167" spans="1:11" x14ac:dyDescent="0.25">
      <c r="A2167">
        <v>2309</v>
      </c>
      <c r="B2167" t="s">
        <v>15</v>
      </c>
      <c r="C2167" t="s">
        <v>390</v>
      </c>
      <c r="D2167" t="s">
        <v>9</v>
      </c>
      <c r="E2167" t="s">
        <v>46</v>
      </c>
      <c r="F2167" t="str">
        <f>VLOOKUP(Ramen_Ratings[[#This Row],[Country]],Country_Region[#All],2,FALSE)</f>
        <v>Asia</v>
      </c>
      <c r="G2167">
        <v>4</v>
      </c>
      <c r="H2167" t="str" cm="1">
        <f t="array" ref="H2167">_xlfn.IFS(Ramen_Ratings[[#This Row],[Stars]] = "Unrated", "NA",Ramen_Ratings[[#This Row],[Stars]]&gt;=4, "Good", Ramen_Ratings[[#This Row],[Stars]]&gt;2.5, "Fair", Ramen_Ratings[[#This Row],[Stars]] &gt;= 0, "Bad")</f>
        <v>Good</v>
      </c>
      <c r="J2167" t="str">
        <f>LEFT(Ramen_Ratings[[#This Row],[Top Ten]],4)</f>
        <v/>
      </c>
      <c r="K2167" t="str">
        <f>IF(Ramen_Ratings[[#This Row],[Top Ten]]="", "",RIGHT(Ramen_Ratings[[#This Row],[Top Ten]],LEN(Ramen_Ratings[[#This Row],[Top Ten]])-6))</f>
        <v/>
      </c>
    </row>
    <row r="2168" spans="1:11" x14ac:dyDescent="0.25">
      <c r="A2168">
        <v>2306</v>
      </c>
      <c r="B2168" t="s">
        <v>15</v>
      </c>
      <c r="C2168" t="s">
        <v>393</v>
      </c>
      <c r="D2168" t="s">
        <v>9</v>
      </c>
      <c r="E2168" t="s">
        <v>46</v>
      </c>
      <c r="F2168" t="str">
        <f>VLOOKUP(Ramen_Ratings[[#This Row],[Country]],Country_Region[#All],2,FALSE)</f>
        <v>Asia</v>
      </c>
      <c r="G2168">
        <v>4</v>
      </c>
      <c r="H2168" t="str" cm="1">
        <f t="array" ref="H2168">_xlfn.IFS(Ramen_Ratings[[#This Row],[Stars]] = "Unrated", "NA",Ramen_Ratings[[#This Row],[Stars]]&gt;=4, "Good", Ramen_Ratings[[#This Row],[Stars]]&gt;2.5, "Fair", Ramen_Ratings[[#This Row],[Stars]] &gt;= 0, "Bad")</f>
        <v>Good</v>
      </c>
      <c r="J2168" t="str">
        <f>LEFT(Ramen_Ratings[[#This Row],[Top Ten]],4)</f>
        <v/>
      </c>
      <c r="K2168" t="str">
        <f>IF(Ramen_Ratings[[#This Row],[Top Ten]]="", "",RIGHT(Ramen_Ratings[[#This Row],[Top Ten]],LEN(Ramen_Ratings[[#This Row],[Top Ten]])-6))</f>
        <v/>
      </c>
    </row>
    <row r="2169" spans="1:11" x14ac:dyDescent="0.25">
      <c r="A2169">
        <v>2300</v>
      </c>
      <c r="B2169" t="s">
        <v>15</v>
      </c>
      <c r="C2169" t="s">
        <v>400</v>
      </c>
      <c r="D2169" t="s">
        <v>13</v>
      </c>
      <c r="E2169" t="s">
        <v>46</v>
      </c>
      <c r="F2169" t="str">
        <f>VLOOKUP(Ramen_Ratings[[#This Row],[Country]],Country_Region[#All],2,FALSE)</f>
        <v>Asia</v>
      </c>
      <c r="G2169">
        <v>4</v>
      </c>
      <c r="H2169" t="str" cm="1">
        <f t="array" ref="H2169">_xlfn.IFS(Ramen_Ratings[[#This Row],[Stars]] = "Unrated", "NA",Ramen_Ratings[[#This Row],[Stars]]&gt;=4, "Good", Ramen_Ratings[[#This Row],[Stars]]&gt;2.5, "Fair", Ramen_Ratings[[#This Row],[Stars]] &gt;= 0, "Bad")</f>
        <v>Good</v>
      </c>
      <c r="J2169" t="str">
        <f>LEFT(Ramen_Ratings[[#This Row],[Top Ten]],4)</f>
        <v/>
      </c>
      <c r="K2169" t="str">
        <f>IF(Ramen_Ratings[[#This Row],[Top Ten]]="", "",RIGHT(Ramen_Ratings[[#This Row],[Top Ten]],LEN(Ramen_Ratings[[#This Row],[Top Ten]])-6))</f>
        <v/>
      </c>
    </row>
    <row r="2170" spans="1:11" x14ac:dyDescent="0.25">
      <c r="A2170">
        <v>2293</v>
      </c>
      <c r="B2170" t="s">
        <v>15</v>
      </c>
      <c r="C2170" t="s">
        <v>408</v>
      </c>
      <c r="D2170" t="s">
        <v>13</v>
      </c>
      <c r="E2170" t="s">
        <v>46</v>
      </c>
      <c r="F2170" t="str">
        <f>VLOOKUP(Ramen_Ratings[[#This Row],[Country]],Country_Region[#All],2,FALSE)</f>
        <v>Asia</v>
      </c>
      <c r="G2170">
        <v>5</v>
      </c>
      <c r="H2170" t="str" cm="1">
        <f t="array" ref="H2170">_xlfn.IFS(Ramen_Ratings[[#This Row],[Stars]] = "Unrated", "NA",Ramen_Ratings[[#This Row],[Stars]]&gt;=4, "Good", Ramen_Ratings[[#This Row],[Stars]]&gt;2.5, "Fair", Ramen_Ratings[[#This Row],[Stars]] &gt;= 0, "Bad")</f>
        <v>Good</v>
      </c>
      <c r="J2170" t="str">
        <f>LEFT(Ramen_Ratings[[#This Row],[Top Ten]],4)</f>
        <v/>
      </c>
      <c r="K2170" t="str">
        <f>IF(Ramen_Ratings[[#This Row],[Top Ten]]="", "",RIGHT(Ramen_Ratings[[#This Row],[Top Ten]],LEN(Ramen_Ratings[[#This Row],[Top Ten]])-6))</f>
        <v/>
      </c>
    </row>
    <row r="2171" spans="1:11" x14ac:dyDescent="0.25">
      <c r="A2171">
        <v>2290</v>
      </c>
      <c r="B2171" t="s">
        <v>15</v>
      </c>
      <c r="C2171" t="s">
        <v>411</v>
      </c>
      <c r="D2171" t="s">
        <v>13</v>
      </c>
      <c r="E2171" t="s">
        <v>46</v>
      </c>
      <c r="F2171" t="str">
        <f>VLOOKUP(Ramen_Ratings[[#This Row],[Country]],Country_Region[#All],2,FALSE)</f>
        <v>Asia</v>
      </c>
      <c r="G2171">
        <v>5</v>
      </c>
      <c r="H2171" t="str" cm="1">
        <f t="array" ref="H2171">_xlfn.IFS(Ramen_Ratings[[#This Row],[Stars]] = "Unrated", "NA",Ramen_Ratings[[#This Row],[Stars]]&gt;=4, "Good", Ramen_Ratings[[#This Row],[Stars]]&gt;2.5, "Fair", Ramen_Ratings[[#This Row],[Stars]] &gt;= 0, "Bad")</f>
        <v>Good</v>
      </c>
      <c r="J2171" t="str">
        <f>LEFT(Ramen_Ratings[[#This Row],[Top Ten]],4)</f>
        <v/>
      </c>
      <c r="K2171" t="str">
        <f>IF(Ramen_Ratings[[#This Row],[Top Ten]]="", "",RIGHT(Ramen_Ratings[[#This Row],[Top Ten]],LEN(Ramen_Ratings[[#This Row],[Top Ten]])-6))</f>
        <v/>
      </c>
    </row>
    <row r="2172" spans="1:11" x14ac:dyDescent="0.25">
      <c r="A2172">
        <v>2288</v>
      </c>
      <c r="B2172" t="s">
        <v>15</v>
      </c>
      <c r="C2172" t="s">
        <v>413</v>
      </c>
      <c r="D2172" t="s">
        <v>9</v>
      </c>
      <c r="E2172" t="s">
        <v>46</v>
      </c>
      <c r="F2172" t="str">
        <f>VLOOKUP(Ramen_Ratings[[#This Row],[Country]],Country_Region[#All],2,FALSE)</f>
        <v>Asia</v>
      </c>
      <c r="G2172">
        <v>4</v>
      </c>
      <c r="H2172" t="str" cm="1">
        <f t="array" ref="H2172">_xlfn.IFS(Ramen_Ratings[[#This Row],[Stars]] = "Unrated", "NA",Ramen_Ratings[[#This Row],[Stars]]&gt;=4, "Good", Ramen_Ratings[[#This Row],[Stars]]&gt;2.5, "Fair", Ramen_Ratings[[#This Row],[Stars]] &gt;= 0, "Bad")</f>
        <v>Good</v>
      </c>
      <c r="J2172" t="str">
        <f>LEFT(Ramen_Ratings[[#This Row],[Top Ten]],4)</f>
        <v/>
      </c>
      <c r="K2172" t="str">
        <f>IF(Ramen_Ratings[[#This Row],[Top Ten]]="", "",RIGHT(Ramen_Ratings[[#This Row],[Top Ten]],LEN(Ramen_Ratings[[#This Row],[Top Ten]])-6))</f>
        <v/>
      </c>
    </row>
    <row r="2173" spans="1:11" x14ac:dyDescent="0.25">
      <c r="A2173">
        <v>2286</v>
      </c>
      <c r="B2173" t="s">
        <v>326</v>
      </c>
      <c r="C2173" t="s">
        <v>415</v>
      </c>
      <c r="D2173" t="s">
        <v>44</v>
      </c>
      <c r="E2173" t="s">
        <v>46</v>
      </c>
      <c r="F2173" t="str">
        <f>VLOOKUP(Ramen_Ratings[[#This Row],[Country]],Country_Region[#All],2,FALSE)</f>
        <v>Asia</v>
      </c>
      <c r="G2173">
        <v>4</v>
      </c>
      <c r="H2173" t="str" cm="1">
        <f t="array" ref="H2173">_xlfn.IFS(Ramen_Ratings[[#This Row],[Stars]] = "Unrated", "NA",Ramen_Ratings[[#This Row],[Stars]]&gt;=4, "Good", Ramen_Ratings[[#This Row],[Stars]]&gt;2.5, "Fair", Ramen_Ratings[[#This Row],[Stars]] &gt;= 0, "Bad")</f>
        <v>Good</v>
      </c>
      <c r="J2173" t="str">
        <f>LEFT(Ramen_Ratings[[#This Row],[Top Ten]],4)</f>
        <v/>
      </c>
      <c r="K2173" t="str">
        <f>IF(Ramen_Ratings[[#This Row],[Top Ten]]="", "",RIGHT(Ramen_Ratings[[#This Row],[Top Ten]],LEN(Ramen_Ratings[[#This Row],[Top Ten]])-6))</f>
        <v/>
      </c>
    </row>
    <row r="2174" spans="1:11" x14ac:dyDescent="0.25">
      <c r="A2174">
        <v>2284</v>
      </c>
      <c r="B2174" t="s">
        <v>15</v>
      </c>
      <c r="C2174" t="s">
        <v>417</v>
      </c>
      <c r="D2174" t="s">
        <v>9</v>
      </c>
      <c r="E2174" t="s">
        <v>46</v>
      </c>
      <c r="F2174" t="str">
        <f>VLOOKUP(Ramen_Ratings[[#This Row],[Country]],Country_Region[#All],2,FALSE)</f>
        <v>Asia</v>
      </c>
      <c r="G2174">
        <v>4</v>
      </c>
      <c r="H2174" t="str" cm="1">
        <f t="array" ref="H2174">_xlfn.IFS(Ramen_Ratings[[#This Row],[Stars]] = "Unrated", "NA",Ramen_Ratings[[#This Row],[Stars]]&gt;=4, "Good", Ramen_Ratings[[#This Row],[Stars]]&gt;2.5, "Fair", Ramen_Ratings[[#This Row],[Stars]] &gt;= 0, "Bad")</f>
        <v>Good</v>
      </c>
      <c r="J2174" t="str">
        <f>LEFT(Ramen_Ratings[[#This Row],[Top Ten]],4)</f>
        <v/>
      </c>
      <c r="K2174" t="str">
        <f>IF(Ramen_Ratings[[#This Row],[Top Ten]]="", "",RIGHT(Ramen_Ratings[[#This Row],[Top Ten]],LEN(Ramen_Ratings[[#This Row],[Top Ten]])-6))</f>
        <v/>
      </c>
    </row>
    <row r="2175" spans="1:11" x14ac:dyDescent="0.25">
      <c r="A2175">
        <v>2281</v>
      </c>
      <c r="B2175" t="s">
        <v>15</v>
      </c>
      <c r="C2175" t="s">
        <v>420</v>
      </c>
      <c r="D2175" t="s">
        <v>9</v>
      </c>
      <c r="E2175" t="s">
        <v>46</v>
      </c>
      <c r="F2175" t="str">
        <f>VLOOKUP(Ramen_Ratings[[#This Row],[Country]],Country_Region[#All],2,FALSE)</f>
        <v>Asia</v>
      </c>
      <c r="G2175">
        <v>4</v>
      </c>
      <c r="H2175" t="str" cm="1">
        <f t="array" ref="H2175">_xlfn.IFS(Ramen_Ratings[[#This Row],[Stars]] = "Unrated", "NA",Ramen_Ratings[[#This Row],[Stars]]&gt;=4, "Good", Ramen_Ratings[[#This Row],[Stars]]&gt;2.5, "Fair", Ramen_Ratings[[#This Row],[Stars]] &gt;= 0, "Bad")</f>
        <v>Good</v>
      </c>
      <c r="J2175" t="str">
        <f>LEFT(Ramen_Ratings[[#This Row],[Top Ten]],4)</f>
        <v/>
      </c>
      <c r="K2175" t="str">
        <f>IF(Ramen_Ratings[[#This Row],[Top Ten]]="", "",RIGHT(Ramen_Ratings[[#This Row],[Top Ten]],LEN(Ramen_Ratings[[#This Row],[Top Ten]])-6))</f>
        <v/>
      </c>
    </row>
    <row r="2176" spans="1:11" x14ac:dyDescent="0.25">
      <c r="A2176">
        <v>2279</v>
      </c>
      <c r="B2176" t="s">
        <v>15</v>
      </c>
      <c r="C2176" t="s">
        <v>422</v>
      </c>
      <c r="D2176" t="s">
        <v>44</v>
      </c>
      <c r="E2176" t="s">
        <v>46</v>
      </c>
      <c r="F2176" t="str">
        <f>VLOOKUP(Ramen_Ratings[[#This Row],[Country]],Country_Region[#All],2,FALSE)</f>
        <v>Asia</v>
      </c>
      <c r="G2176">
        <v>5</v>
      </c>
      <c r="H2176" t="str" cm="1">
        <f t="array" ref="H2176">_xlfn.IFS(Ramen_Ratings[[#This Row],[Stars]] = "Unrated", "NA",Ramen_Ratings[[#This Row],[Stars]]&gt;=4, "Good", Ramen_Ratings[[#This Row],[Stars]]&gt;2.5, "Fair", Ramen_Ratings[[#This Row],[Stars]] &gt;= 0, "Bad")</f>
        <v>Good</v>
      </c>
      <c r="J2176" t="str">
        <f>LEFT(Ramen_Ratings[[#This Row],[Top Ten]],4)</f>
        <v/>
      </c>
      <c r="K2176" t="str">
        <f>IF(Ramen_Ratings[[#This Row],[Top Ten]]="", "",RIGHT(Ramen_Ratings[[#This Row],[Top Ten]],LEN(Ramen_Ratings[[#This Row],[Top Ten]])-6))</f>
        <v/>
      </c>
    </row>
    <row r="2177" spans="1:11" x14ac:dyDescent="0.25">
      <c r="A2177">
        <v>2272</v>
      </c>
      <c r="B2177" t="s">
        <v>15</v>
      </c>
      <c r="C2177" t="s">
        <v>429</v>
      </c>
      <c r="D2177" t="s">
        <v>44</v>
      </c>
      <c r="E2177" t="s">
        <v>46</v>
      </c>
      <c r="F2177" t="str">
        <f>VLOOKUP(Ramen_Ratings[[#This Row],[Country]],Country_Region[#All],2,FALSE)</f>
        <v>Asia</v>
      </c>
      <c r="G2177">
        <v>4</v>
      </c>
      <c r="H2177" t="str" cm="1">
        <f t="array" ref="H2177">_xlfn.IFS(Ramen_Ratings[[#This Row],[Stars]] = "Unrated", "NA",Ramen_Ratings[[#This Row],[Stars]]&gt;=4, "Good", Ramen_Ratings[[#This Row],[Stars]]&gt;2.5, "Fair", Ramen_Ratings[[#This Row],[Stars]] &gt;= 0, "Bad")</f>
        <v>Good</v>
      </c>
      <c r="J2177" t="str">
        <f>LEFT(Ramen_Ratings[[#This Row],[Top Ten]],4)</f>
        <v/>
      </c>
      <c r="K2177" t="str">
        <f>IF(Ramen_Ratings[[#This Row],[Top Ten]]="", "",RIGHT(Ramen_Ratings[[#This Row],[Top Ten]],LEN(Ramen_Ratings[[#This Row],[Top Ten]])-6))</f>
        <v/>
      </c>
    </row>
    <row r="2178" spans="1:11" x14ac:dyDescent="0.25">
      <c r="A2178">
        <v>2268</v>
      </c>
      <c r="B2178" t="s">
        <v>15</v>
      </c>
      <c r="C2178" t="s">
        <v>432</v>
      </c>
      <c r="D2178" t="s">
        <v>13</v>
      </c>
      <c r="E2178" t="s">
        <v>46</v>
      </c>
      <c r="F2178" t="str">
        <f>VLOOKUP(Ramen_Ratings[[#This Row],[Country]],Country_Region[#All],2,FALSE)</f>
        <v>Asia</v>
      </c>
      <c r="G2178">
        <v>5</v>
      </c>
      <c r="H2178" t="str" cm="1">
        <f t="array" ref="H2178">_xlfn.IFS(Ramen_Ratings[[#This Row],[Stars]] = "Unrated", "NA",Ramen_Ratings[[#This Row],[Stars]]&gt;=4, "Good", Ramen_Ratings[[#This Row],[Stars]]&gt;2.5, "Fair", Ramen_Ratings[[#This Row],[Stars]] &gt;= 0, "Bad")</f>
        <v>Good</v>
      </c>
      <c r="J2178" t="str">
        <f>LEFT(Ramen_Ratings[[#This Row],[Top Ten]],4)</f>
        <v/>
      </c>
      <c r="K2178" t="str">
        <f>IF(Ramen_Ratings[[#This Row],[Top Ten]]="", "",RIGHT(Ramen_Ratings[[#This Row],[Top Ten]],LEN(Ramen_Ratings[[#This Row],[Top Ten]])-6))</f>
        <v/>
      </c>
    </row>
    <row r="2179" spans="1:11" x14ac:dyDescent="0.25">
      <c r="A2179">
        <v>2258</v>
      </c>
      <c r="B2179" t="s">
        <v>326</v>
      </c>
      <c r="C2179" t="s">
        <v>444</v>
      </c>
      <c r="D2179" t="s">
        <v>44</v>
      </c>
      <c r="E2179" t="s">
        <v>46</v>
      </c>
      <c r="F2179" t="str">
        <f>VLOOKUP(Ramen_Ratings[[#This Row],[Country]],Country_Region[#All],2,FALSE)</f>
        <v>Asia</v>
      </c>
      <c r="G2179">
        <v>4.3</v>
      </c>
      <c r="H2179" t="str" cm="1">
        <f t="array" ref="H2179">_xlfn.IFS(Ramen_Ratings[[#This Row],[Stars]] = "Unrated", "NA",Ramen_Ratings[[#This Row],[Stars]]&gt;=4, "Good", Ramen_Ratings[[#This Row],[Stars]]&gt;2.5, "Fair", Ramen_Ratings[[#This Row],[Stars]] &gt;= 0, "Bad")</f>
        <v>Good</v>
      </c>
      <c r="J2179" t="str">
        <f>LEFT(Ramen_Ratings[[#This Row],[Top Ten]],4)</f>
        <v/>
      </c>
      <c r="K2179" t="str">
        <f>IF(Ramen_Ratings[[#This Row],[Top Ten]]="", "",RIGHT(Ramen_Ratings[[#This Row],[Top Ten]],LEN(Ramen_Ratings[[#This Row],[Top Ten]])-6))</f>
        <v/>
      </c>
    </row>
    <row r="2180" spans="1:11" x14ac:dyDescent="0.25">
      <c r="A2180">
        <v>2257</v>
      </c>
      <c r="B2180" t="s">
        <v>445</v>
      </c>
      <c r="C2180" t="s">
        <v>446</v>
      </c>
      <c r="D2180" t="s">
        <v>13</v>
      </c>
      <c r="E2180" t="s">
        <v>46</v>
      </c>
      <c r="F2180" t="str">
        <f>VLOOKUP(Ramen_Ratings[[#This Row],[Country]],Country_Region[#All],2,FALSE)</f>
        <v>Asia</v>
      </c>
      <c r="G2180">
        <v>2.2999999999999998</v>
      </c>
      <c r="H2180" t="str" cm="1">
        <f t="array" ref="H2180">_xlfn.IFS(Ramen_Ratings[[#This Row],[Stars]] = "Unrated", "NA",Ramen_Ratings[[#This Row],[Stars]]&gt;=4, "Good", Ramen_Ratings[[#This Row],[Stars]]&gt;2.5, "Fair", Ramen_Ratings[[#This Row],[Stars]] &gt;= 0, "Bad")</f>
        <v>Bad</v>
      </c>
      <c r="J2180" t="str">
        <f>LEFT(Ramen_Ratings[[#This Row],[Top Ten]],4)</f>
        <v/>
      </c>
      <c r="K2180" t="str">
        <f>IF(Ramen_Ratings[[#This Row],[Top Ten]]="", "",RIGHT(Ramen_Ratings[[#This Row],[Top Ten]],LEN(Ramen_Ratings[[#This Row],[Top Ten]])-6))</f>
        <v/>
      </c>
    </row>
    <row r="2181" spans="1:11" x14ac:dyDescent="0.25">
      <c r="A2181">
        <v>2250</v>
      </c>
      <c r="B2181" t="s">
        <v>15</v>
      </c>
      <c r="C2181" t="s">
        <v>454</v>
      </c>
      <c r="D2181" t="s">
        <v>13</v>
      </c>
      <c r="E2181" t="s">
        <v>46</v>
      </c>
      <c r="F2181" t="str">
        <f>VLOOKUP(Ramen_Ratings[[#This Row],[Country]],Country_Region[#All],2,FALSE)</f>
        <v>Asia</v>
      </c>
      <c r="G2181">
        <v>4</v>
      </c>
      <c r="H2181" t="str" cm="1">
        <f t="array" ref="H2181">_xlfn.IFS(Ramen_Ratings[[#This Row],[Stars]] = "Unrated", "NA",Ramen_Ratings[[#This Row],[Stars]]&gt;=4, "Good", Ramen_Ratings[[#This Row],[Stars]]&gt;2.5, "Fair", Ramen_Ratings[[#This Row],[Stars]] &gt;= 0, "Bad")</f>
        <v>Good</v>
      </c>
      <c r="J2181" t="str">
        <f>LEFT(Ramen_Ratings[[#This Row],[Top Ten]],4)</f>
        <v/>
      </c>
      <c r="K2181" t="str">
        <f>IF(Ramen_Ratings[[#This Row],[Top Ten]]="", "",RIGHT(Ramen_Ratings[[#This Row],[Top Ten]],LEN(Ramen_Ratings[[#This Row],[Top Ten]])-6))</f>
        <v/>
      </c>
    </row>
    <row r="2182" spans="1:11" x14ac:dyDescent="0.25">
      <c r="A2182">
        <v>2245</v>
      </c>
      <c r="B2182" t="s">
        <v>15</v>
      </c>
      <c r="C2182" t="s">
        <v>460</v>
      </c>
      <c r="D2182" t="s">
        <v>9</v>
      </c>
      <c r="E2182" t="s">
        <v>46</v>
      </c>
      <c r="F2182" t="str">
        <f>VLOOKUP(Ramen_Ratings[[#This Row],[Country]],Country_Region[#All],2,FALSE)</f>
        <v>Asia</v>
      </c>
      <c r="G2182">
        <v>4</v>
      </c>
      <c r="H2182" t="str" cm="1">
        <f t="array" ref="H2182">_xlfn.IFS(Ramen_Ratings[[#This Row],[Stars]] = "Unrated", "NA",Ramen_Ratings[[#This Row],[Stars]]&gt;=4, "Good", Ramen_Ratings[[#This Row],[Stars]]&gt;2.5, "Fair", Ramen_Ratings[[#This Row],[Stars]] &gt;= 0, "Bad")</f>
        <v>Good</v>
      </c>
      <c r="J2182" t="str">
        <f>LEFT(Ramen_Ratings[[#This Row],[Top Ten]],4)</f>
        <v/>
      </c>
      <c r="K2182" t="str">
        <f>IF(Ramen_Ratings[[#This Row],[Top Ten]]="", "",RIGHT(Ramen_Ratings[[#This Row],[Top Ten]],LEN(Ramen_Ratings[[#This Row],[Top Ten]])-6))</f>
        <v/>
      </c>
    </row>
    <row r="2183" spans="1:11" x14ac:dyDescent="0.25">
      <c r="A2183">
        <v>2244</v>
      </c>
      <c r="B2183" t="s">
        <v>224</v>
      </c>
      <c r="C2183" t="s">
        <v>461</v>
      </c>
      <c r="D2183" t="s">
        <v>13</v>
      </c>
      <c r="E2183" t="s">
        <v>46</v>
      </c>
      <c r="F2183" t="str">
        <f>VLOOKUP(Ramen_Ratings[[#This Row],[Country]],Country_Region[#All],2,FALSE)</f>
        <v>Asia</v>
      </c>
      <c r="G2183">
        <v>4</v>
      </c>
      <c r="H2183" t="str" cm="1">
        <f t="array" ref="H2183">_xlfn.IFS(Ramen_Ratings[[#This Row],[Stars]] = "Unrated", "NA",Ramen_Ratings[[#This Row],[Stars]]&gt;=4, "Good", Ramen_Ratings[[#This Row],[Stars]]&gt;2.5, "Fair", Ramen_Ratings[[#This Row],[Stars]] &gt;= 0, "Bad")</f>
        <v>Good</v>
      </c>
      <c r="J2183" t="str">
        <f>LEFT(Ramen_Ratings[[#This Row],[Top Ten]],4)</f>
        <v/>
      </c>
      <c r="K2183" t="str">
        <f>IF(Ramen_Ratings[[#This Row],[Top Ten]]="", "",RIGHT(Ramen_Ratings[[#This Row],[Top Ten]],LEN(Ramen_Ratings[[#This Row],[Top Ten]])-6))</f>
        <v/>
      </c>
    </row>
    <row r="2184" spans="1:11" x14ac:dyDescent="0.25">
      <c r="A2184">
        <v>2243</v>
      </c>
      <c r="B2184" t="s">
        <v>15</v>
      </c>
      <c r="C2184" t="s">
        <v>462</v>
      </c>
      <c r="D2184" t="s">
        <v>9</v>
      </c>
      <c r="E2184" t="s">
        <v>46</v>
      </c>
      <c r="F2184" t="str">
        <f>VLOOKUP(Ramen_Ratings[[#This Row],[Country]],Country_Region[#All],2,FALSE)</f>
        <v>Asia</v>
      </c>
      <c r="G2184">
        <v>4</v>
      </c>
      <c r="H2184" t="str" cm="1">
        <f t="array" ref="H2184">_xlfn.IFS(Ramen_Ratings[[#This Row],[Stars]] = "Unrated", "NA",Ramen_Ratings[[#This Row],[Stars]]&gt;=4, "Good", Ramen_Ratings[[#This Row],[Stars]]&gt;2.5, "Fair", Ramen_Ratings[[#This Row],[Stars]] &gt;= 0, "Bad")</f>
        <v>Good</v>
      </c>
      <c r="J2184" t="str">
        <f>LEFT(Ramen_Ratings[[#This Row],[Top Ten]],4)</f>
        <v/>
      </c>
      <c r="K2184" t="str">
        <f>IF(Ramen_Ratings[[#This Row],[Top Ten]]="", "",RIGHT(Ramen_Ratings[[#This Row],[Top Ten]],LEN(Ramen_Ratings[[#This Row],[Top Ten]])-6))</f>
        <v/>
      </c>
    </row>
    <row r="2185" spans="1:11" x14ac:dyDescent="0.25">
      <c r="A2185">
        <v>2241</v>
      </c>
      <c r="B2185" t="s">
        <v>445</v>
      </c>
      <c r="C2185" t="s">
        <v>466</v>
      </c>
      <c r="D2185" t="s">
        <v>13</v>
      </c>
      <c r="E2185" t="s">
        <v>46</v>
      </c>
      <c r="F2185" t="str">
        <f>VLOOKUP(Ramen_Ratings[[#This Row],[Country]],Country_Region[#All],2,FALSE)</f>
        <v>Asia</v>
      </c>
      <c r="G2185">
        <v>4</v>
      </c>
      <c r="H2185" t="str" cm="1">
        <f t="array" ref="H2185">_xlfn.IFS(Ramen_Ratings[[#This Row],[Stars]] = "Unrated", "NA",Ramen_Ratings[[#This Row],[Stars]]&gt;=4, "Good", Ramen_Ratings[[#This Row],[Stars]]&gt;2.5, "Fair", Ramen_Ratings[[#This Row],[Stars]] &gt;= 0, "Bad")</f>
        <v>Good</v>
      </c>
      <c r="J2185" t="str">
        <f>LEFT(Ramen_Ratings[[#This Row],[Top Ten]],4)</f>
        <v/>
      </c>
      <c r="K2185" t="str">
        <f>IF(Ramen_Ratings[[#This Row],[Top Ten]]="", "",RIGHT(Ramen_Ratings[[#This Row],[Top Ten]],LEN(Ramen_Ratings[[#This Row],[Top Ten]])-6))</f>
        <v/>
      </c>
    </row>
    <row r="2186" spans="1:11" x14ac:dyDescent="0.25">
      <c r="A2186">
        <v>2233</v>
      </c>
      <c r="B2186" t="s">
        <v>15</v>
      </c>
      <c r="C2186" t="s">
        <v>476</v>
      </c>
      <c r="D2186" t="s">
        <v>9</v>
      </c>
      <c r="E2186" t="s">
        <v>46</v>
      </c>
      <c r="F2186" t="str">
        <f>VLOOKUP(Ramen_Ratings[[#This Row],[Country]],Country_Region[#All],2,FALSE)</f>
        <v>Asia</v>
      </c>
      <c r="G2186">
        <v>4</v>
      </c>
      <c r="H2186" t="str" cm="1">
        <f t="array" ref="H2186">_xlfn.IFS(Ramen_Ratings[[#This Row],[Stars]] = "Unrated", "NA",Ramen_Ratings[[#This Row],[Stars]]&gt;=4, "Good", Ramen_Ratings[[#This Row],[Stars]]&gt;2.5, "Fair", Ramen_Ratings[[#This Row],[Stars]] &gt;= 0, "Bad")</f>
        <v>Good</v>
      </c>
      <c r="J2186" t="str">
        <f>LEFT(Ramen_Ratings[[#This Row],[Top Ten]],4)</f>
        <v/>
      </c>
      <c r="K2186" t="str">
        <f>IF(Ramen_Ratings[[#This Row],[Top Ten]]="", "",RIGHT(Ramen_Ratings[[#This Row],[Top Ten]],LEN(Ramen_Ratings[[#This Row],[Top Ten]])-6))</f>
        <v/>
      </c>
    </row>
    <row r="2187" spans="1:11" x14ac:dyDescent="0.25">
      <c r="A2187">
        <v>2229</v>
      </c>
      <c r="B2187" t="s">
        <v>224</v>
      </c>
      <c r="C2187" t="s">
        <v>480</v>
      </c>
      <c r="D2187" t="s">
        <v>13</v>
      </c>
      <c r="E2187" t="s">
        <v>46</v>
      </c>
      <c r="F2187" t="str">
        <f>VLOOKUP(Ramen_Ratings[[#This Row],[Country]],Country_Region[#All],2,FALSE)</f>
        <v>Asia</v>
      </c>
      <c r="G2187">
        <v>4</v>
      </c>
      <c r="H2187" t="str" cm="1">
        <f t="array" ref="H2187">_xlfn.IFS(Ramen_Ratings[[#This Row],[Stars]] = "Unrated", "NA",Ramen_Ratings[[#This Row],[Stars]]&gt;=4, "Good", Ramen_Ratings[[#This Row],[Stars]]&gt;2.5, "Fair", Ramen_Ratings[[#This Row],[Stars]] &gt;= 0, "Bad")</f>
        <v>Good</v>
      </c>
      <c r="J2187" t="str">
        <f>LEFT(Ramen_Ratings[[#This Row],[Top Ten]],4)</f>
        <v/>
      </c>
      <c r="K2187" t="str">
        <f>IF(Ramen_Ratings[[#This Row],[Top Ten]]="", "",RIGHT(Ramen_Ratings[[#This Row],[Top Ten]],LEN(Ramen_Ratings[[#This Row],[Top Ten]])-6))</f>
        <v/>
      </c>
    </row>
    <row r="2188" spans="1:11" x14ac:dyDescent="0.25">
      <c r="A2188">
        <v>2225</v>
      </c>
      <c r="B2188" t="s">
        <v>445</v>
      </c>
      <c r="C2188" t="s">
        <v>485</v>
      </c>
      <c r="D2188" t="s">
        <v>44</v>
      </c>
      <c r="E2188" t="s">
        <v>46</v>
      </c>
      <c r="F2188" t="str">
        <f>VLOOKUP(Ramen_Ratings[[#This Row],[Country]],Country_Region[#All],2,FALSE)</f>
        <v>Asia</v>
      </c>
      <c r="G2188">
        <v>4</v>
      </c>
      <c r="H2188" t="str" cm="1">
        <f t="array" ref="H2188">_xlfn.IFS(Ramen_Ratings[[#This Row],[Stars]] = "Unrated", "NA",Ramen_Ratings[[#This Row],[Stars]]&gt;=4, "Good", Ramen_Ratings[[#This Row],[Stars]]&gt;2.5, "Fair", Ramen_Ratings[[#This Row],[Stars]] &gt;= 0, "Bad")</f>
        <v>Good</v>
      </c>
      <c r="J2188" t="str">
        <f>LEFT(Ramen_Ratings[[#This Row],[Top Ten]],4)</f>
        <v/>
      </c>
      <c r="K2188" t="str">
        <f>IF(Ramen_Ratings[[#This Row],[Top Ten]]="", "",RIGHT(Ramen_Ratings[[#This Row],[Top Ten]],LEN(Ramen_Ratings[[#This Row],[Top Ten]])-6))</f>
        <v/>
      </c>
    </row>
    <row r="2189" spans="1:11" x14ac:dyDescent="0.25">
      <c r="A2189">
        <v>2217</v>
      </c>
      <c r="B2189" t="s">
        <v>15</v>
      </c>
      <c r="C2189" t="s">
        <v>495</v>
      </c>
      <c r="D2189" t="s">
        <v>13</v>
      </c>
      <c r="E2189" t="s">
        <v>46</v>
      </c>
      <c r="F2189" t="str">
        <f>VLOOKUP(Ramen_Ratings[[#This Row],[Country]],Country_Region[#All],2,FALSE)</f>
        <v>Asia</v>
      </c>
      <c r="G2189">
        <v>5</v>
      </c>
      <c r="H2189" t="str" cm="1">
        <f t="array" ref="H2189">_xlfn.IFS(Ramen_Ratings[[#This Row],[Stars]] = "Unrated", "NA",Ramen_Ratings[[#This Row],[Stars]]&gt;=4, "Good", Ramen_Ratings[[#This Row],[Stars]]&gt;2.5, "Fair", Ramen_Ratings[[#This Row],[Stars]] &gt;= 0, "Bad")</f>
        <v>Good</v>
      </c>
      <c r="J2189" t="str">
        <f>LEFT(Ramen_Ratings[[#This Row],[Top Ten]],4)</f>
        <v/>
      </c>
      <c r="K2189" t="str">
        <f>IF(Ramen_Ratings[[#This Row],[Top Ten]]="", "",RIGHT(Ramen_Ratings[[#This Row],[Top Ten]],LEN(Ramen_Ratings[[#This Row],[Top Ten]])-6))</f>
        <v/>
      </c>
    </row>
    <row r="2190" spans="1:11" x14ac:dyDescent="0.25">
      <c r="A2190">
        <v>2209</v>
      </c>
      <c r="B2190" t="s">
        <v>15</v>
      </c>
      <c r="C2190" t="s">
        <v>504</v>
      </c>
      <c r="D2190" t="s">
        <v>13</v>
      </c>
      <c r="E2190" t="s">
        <v>46</v>
      </c>
      <c r="F2190" t="str">
        <f>VLOOKUP(Ramen_Ratings[[#This Row],[Country]],Country_Region[#All],2,FALSE)</f>
        <v>Asia</v>
      </c>
      <c r="G2190">
        <v>5</v>
      </c>
      <c r="H2190" t="str" cm="1">
        <f t="array" ref="H2190">_xlfn.IFS(Ramen_Ratings[[#This Row],[Stars]] = "Unrated", "NA",Ramen_Ratings[[#This Row],[Stars]]&gt;=4, "Good", Ramen_Ratings[[#This Row],[Stars]]&gt;2.5, "Fair", Ramen_Ratings[[#This Row],[Stars]] &gt;= 0, "Bad")</f>
        <v>Good</v>
      </c>
      <c r="J2190" t="str">
        <f>LEFT(Ramen_Ratings[[#This Row],[Top Ten]],4)</f>
        <v/>
      </c>
      <c r="K2190" t="str">
        <f>IF(Ramen_Ratings[[#This Row],[Top Ten]]="", "",RIGHT(Ramen_Ratings[[#This Row],[Top Ten]],LEN(Ramen_Ratings[[#This Row],[Top Ten]])-6))</f>
        <v/>
      </c>
    </row>
    <row r="2191" spans="1:11" x14ac:dyDescent="0.25">
      <c r="A2191">
        <v>2207</v>
      </c>
      <c r="B2191" t="s">
        <v>15</v>
      </c>
      <c r="C2191" t="s">
        <v>507</v>
      </c>
      <c r="D2191" t="s">
        <v>9</v>
      </c>
      <c r="E2191" t="s">
        <v>46</v>
      </c>
      <c r="F2191" t="str">
        <f>VLOOKUP(Ramen_Ratings[[#This Row],[Country]],Country_Region[#All],2,FALSE)</f>
        <v>Asia</v>
      </c>
      <c r="G2191">
        <v>3</v>
      </c>
      <c r="H2191" t="str" cm="1">
        <f t="array" ref="H2191">_xlfn.IFS(Ramen_Ratings[[#This Row],[Stars]] = "Unrated", "NA",Ramen_Ratings[[#This Row],[Stars]]&gt;=4, "Good", Ramen_Ratings[[#This Row],[Stars]]&gt;2.5, "Fair", Ramen_Ratings[[#This Row],[Stars]] &gt;= 0, "Bad")</f>
        <v>Fair</v>
      </c>
      <c r="J2191" t="str">
        <f>LEFT(Ramen_Ratings[[#This Row],[Top Ten]],4)</f>
        <v/>
      </c>
      <c r="K2191" t="str">
        <f>IF(Ramen_Ratings[[#This Row],[Top Ten]]="", "",RIGHT(Ramen_Ratings[[#This Row],[Top Ten]],LEN(Ramen_Ratings[[#This Row],[Top Ten]])-6))</f>
        <v/>
      </c>
    </row>
    <row r="2192" spans="1:11" x14ac:dyDescent="0.25">
      <c r="A2192">
        <v>2202</v>
      </c>
      <c r="B2192" t="s">
        <v>15</v>
      </c>
      <c r="C2192" t="s">
        <v>513</v>
      </c>
      <c r="D2192" t="s">
        <v>9</v>
      </c>
      <c r="E2192" t="s">
        <v>46</v>
      </c>
      <c r="F2192" t="str">
        <f>VLOOKUP(Ramen_Ratings[[#This Row],[Country]],Country_Region[#All],2,FALSE)</f>
        <v>Asia</v>
      </c>
      <c r="G2192">
        <v>4</v>
      </c>
      <c r="H2192" t="str" cm="1">
        <f t="array" ref="H2192">_xlfn.IFS(Ramen_Ratings[[#This Row],[Stars]] = "Unrated", "NA",Ramen_Ratings[[#This Row],[Stars]]&gt;=4, "Good", Ramen_Ratings[[#This Row],[Stars]]&gt;2.5, "Fair", Ramen_Ratings[[#This Row],[Stars]] &gt;= 0, "Bad")</f>
        <v>Good</v>
      </c>
      <c r="J2192" t="str">
        <f>LEFT(Ramen_Ratings[[#This Row],[Top Ten]],4)</f>
        <v/>
      </c>
      <c r="K2192" t="str">
        <f>IF(Ramen_Ratings[[#This Row],[Top Ten]]="", "",RIGHT(Ramen_Ratings[[#This Row],[Top Ten]],LEN(Ramen_Ratings[[#This Row],[Top Ten]])-6))</f>
        <v/>
      </c>
    </row>
    <row r="2193" spans="1:11" x14ac:dyDescent="0.25">
      <c r="A2193">
        <v>2194</v>
      </c>
      <c r="B2193" t="s">
        <v>445</v>
      </c>
      <c r="C2193" t="s">
        <v>523</v>
      </c>
      <c r="D2193" t="s">
        <v>13</v>
      </c>
      <c r="E2193" t="s">
        <v>46</v>
      </c>
      <c r="F2193" t="str">
        <f>VLOOKUP(Ramen_Ratings[[#This Row],[Country]],Country_Region[#All],2,FALSE)</f>
        <v>Asia</v>
      </c>
      <c r="G2193">
        <v>4</v>
      </c>
      <c r="H2193" t="str" cm="1">
        <f t="array" ref="H2193">_xlfn.IFS(Ramen_Ratings[[#This Row],[Stars]] = "Unrated", "NA",Ramen_Ratings[[#This Row],[Stars]]&gt;=4, "Good", Ramen_Ratings[[#This Row],[Stars]]&gt;2.5, "Fair", Ramen_Ratings[[#This Row],[Stars]] &gt;= 0, "Bad")</f>
        <v>Good</v>
      </c>
      <c r="J2193" t="str">
        <f>LEFT(Ramen_Ratings[[#This Row],[Top Ten]],4)</f>
        <v/>
      </c>
      <c r="K2193" t="str">
        <f>IF(Ramen_Ratings[[#This Row],[Top Ten]]="", "",RIGHT(Ramen_Ratings[[#This Row],[Top Ten]],LEN(Ramen_Ratings[[#This Row],[Top Ten]])-6))</f>
        <v/>
      </c>
    </row>
    <row r="2194" spans="1:11" x14ac:dyDescent="0.25">
      <c r="A2194">
        <v>2189</v>
      </c>
      <c r="B2194" t="s">
        <v>15</v>
      </c>
      <c r="C2194" t="s">
        <v>529</v>
      </c>
      <c r="D2194" t="s">
        <v>9</v>
      </c>
      <c r="E2194" t="s">
        <v>46</v>
      </c>
      <c r="F2194" t="str">
        <f>VLOOKUP(Ramen_Ratings[[#This Row],[Country]],Country_Region[#All],2,FALSE)</f>
        <v>Asia</v>
      </c>
      <c r="G2194">
        <v>4</v>
      </c>
      <c r="H2194" t="str" cm="1">
        <f t="array" ref="H2194">_xlfn.IFS(Ramen_Ratings[[#This Row],[Stars]] = "Unrated", "NA",Ramen_Ratings[[#This Row],[Stars]]&gt;=4, "Good", Ramen_Ratings[[#This Row],[Stars]]&gt;2.5, "Fair", Ramen_Ratings[[#This Row],[Stars]] &gt;= 0, "Bad")</f>
        <v>Good</v>
      </c>
      <c r="J2194" t="str">
        <f>LEFT(Ramen_Ratings[[#This Row],[Top Ten]],4)</f>
        <v/>
      </c>
      <c r="K2194" t="str">
        <f>IF(Ramen_Ratings[[#This Row],[Top Ten]]="", "",RIGHT(Ramen_Ratings[[#This Row],[Top Ten]],LEN(Ramen_Ratings[[#This Row],[Top Ten]])-6))</f>
        <v/>
      </c>
    </row>
    <row r="2195" spans="1:11" x14ac:dyDescent="0.25">
      <c r="A2195">
        <v>2139</v>
      </c>
      <c r="B2195" t="s">
        <v>445</v>
      </c>
      <c r="C2195" t="s">
        <v>584</v>
      </c>
      <c r="D2195" t="s">
        <v>13</v>
      </c>
      <c r="E2195" t="s">
        <v>46</v>
      </c>
      <c r="F2195" t="str">
        <f>VLOOKUP(Ramen_Ratings[[#This Row],[Country]],Country_Region[#All],2,FALSE)</f>
        <v>Asia</v>
      </c>
      <c r="G2195">
        <v>4</v>
      </c>
      <c r="H2195" t="str" cm="1">
        <f t="array" ref="H2195">_xlfn.IFS(Ramen_Ratings[[#This Row],[Stars]] = "Unrated", "NA",Ramen_Ratings[[#This Row],[Stars]]&gt;=4, "Good", Ramen_Ratings[[#This Row],[Stars]]&gt;2.5, "Fair", Ramen_Ratings[[#This Row],[Stars]] &gt;= 0, "Bad")</f>
        <v>Good</v>
      </c>
      <c r="J2195" t="str">
        <f>LEFT(Ramen_Ratings[[#This Row],[Top Ten]],4)</f>
        <v/>
      </c>
      <c r="K2195" t="str">
        <f>IF(Ramen_Ratings[[#This Row],[Top Ten]]="", "",RIGHT(Ramen_Ratings[[#This Row],[Top Ten]],LEN(Ramen_Ratings[[#This Row],[Top Ten]])-6))</f>
        <v/>
      </c>
    </row>
    <row r="2196" spans="1:11" x14ac:dyDescent="0.25">
      <c r="A2196">
        <v>2138</v>
      </c>
      <c r="B2196" t="s">
        <v>445</v>
      </c>
      <c r="C2196" t="s">
        <v>585</v>
      </c>
      <c r="D2196" t="s">
        <v>13</v>
      </c>
      <c r="E2196" t="s">
        <v>46</v>
      </c>
      <c r="F2196" t="str">
        <f>VLOOKUP(Ramen_Ratings[[#This Row],[Country]],Country_Region[#All],2,FALSE)</f>
        <v>Asia</v>
      </c>
      <c r="G2196">
        <v>4</v>
      </c>
      <c r="H2196" t="str" cm="1">
        <f t="array" ref="H2196">_xlfn.IFS(Ramen_Ratings[[#This Row],[Stars]] = "Unrated", "NA",Ramen_Ratings[[#This Row],[Stars]]&gt;=4, "Good", Ramen_Ratings[[#This Row],[Stars]]&gt;2.5, "Fair", Ramen_Ratings[[#This Row],[Stars]] &gt;= 0, "Bad")</f>
        <v>Good</v>
      </c>
      <c r="J2196" t="str">
        <f>LEFT(Ramen_Ratings[[#This Row],[Top Ten]],4)</f>
        <v/>
      </c>
      <c r="K2196" t="str">
        <f>IF(Ramen_Ratings[[#This Row],[Top Ten]]="", "",RIGHT(Ramen_Ratings[[#This Row],[Top Ten]],LEN(Ramen_Ratings[[#This Row],[Top Ten]])-6))</f>
        <v/>
      </c>
    </row>
    <row r="2197" spans="1:11" x14ac:dyDescent="0.25">
      <c r="A2197">
        <v>2137</v>
      </c>
      <c r="B2197" t="s">
        <v>15</v>
      </c>
      <c r="C2197" t="s">
        <v>586</v>
      </c>
      <c r="D2197" t="s">
        <v>13</v>
      </c>
      <c r="E2197" t="s">
        <v>46</v>
      </c>
      <c r="F2197" t="str">
        <f>VLOOKUP(Ramen_Ratings[[#This Row],[Country]],Country_Region[#All],2,FALSE)</f>
        <v>Asia</v>
      </c>
      <c r="G2197">
        <v>4</v>
      </c>
      <c r="H2197" t="str" cm="1">
        <f t="array" ref="H2197">_xlfn.IFS(Ramen_Ratings[[#This Row],[Stars]] = "Unrated", "NA",Ramen_Ratings[[#This Row],[Stars]]&gt;=4, "Good", Ramen_Ratings[[#This Row],[Stars]]&gt;2.5, "Fair", Ramen_Ratings[[#This Row],[Stars]] &gt;= 0, "Bad")</f>
        <v>Good</v>
      </c>
      <c r="J2197" t="str">
        <f>LEFT(Ramen_Ratings[[#This Row],[Top Ten]],4)</f>
        <v/>
      </c>
      <c r="K2197" t="str">
        <f>IF(Ramen_Ratings[[#This Row],[Top Ten]]="", "",RIGHT(Ramen_Ratings[[#This Row],[Top Ten]],LEN(Ramen_Ratings[[#This Row],[Top Ten]])-6))</f>
        <v/>
      </c>
    </row>
    <row r="2198" spans="1:11" x14ac:dyDescent="0.25">
      <c r="A2198">
        <v>2136</v>
      </c>
      <c r="B2198" t="s">
        <v>15</v>
      </c>
      <c r="C2198" t="s">
        <v>587</v>
      </c>
      <c r="D2198" t="s">
        <v>13</v>
      </c>
      <c r="E2198" t="s">
        <v>46</v>
      </c>
      <c r="F2198" t="str">
        <f>VLOOKUP(Ramen_Ratings[[#This Row],[Country]],Country_Region[#All],2,FALSE)</f>
        <v>Asia</v>
      </c>
      <c r="G2198">
        <v>4</v>
      </c>
      <c r="H2198" t="str" cm="1">
        <f t="array" ref="H2198">_xlfn.IFS(Ramen_Ratings[[#This Row],[Stars]] = "Unrated", "NA",Ramen_Ratings[[#This Row],[Stars]]&gt;=4, "Good", Ramen_Ratings[[#This Row],[Stars]]&gt;2.5, "Fair", Ramen_Ratings[[#This Row],[Stars]] &gt;= 0, "Bad")</f>
        <v>Good</v>
      </c>
      <c r="J2198" t="str">
        <f>LEFT(Ramen_Ratings[[#This Row],[Top Ten]],4)</f>
        <v/>
      </c>
      <c r="K2198" t="str">
        <f>IF(Ramen_Ratings[[#This Row],[Top Ten]]="", "",RIGHT(Ramen_Ratings[[#This Row],[Top Ten]],LEN(Ramen_Ratings[[#This Row],[Top Ten]])-6))</f>
        <v/>
      </c>
    </row>
    <row r="2199" spans="1:11" x14ac:dyDescent="0.25">
      <c r="A2199">
        <v>2135</v>
      </c>
      <c r="B2199" t="s">
        <v>588</v>
      </c>
      <c r="C2199" t="s">
        <v>589</v>
      </c>
      <c r="D2199" t="s">
        <v>13</v>
      </c>
      <c r="E2199" t="s">
        <v>46</v>
      </c>
      <c r="F2199" t="str">
        <f>VLOOKUP(Ramen_Ratings[[#This Row],[Country]],Country_Region[#All],2,FALSE)</f>
        <v>Asia</v>
      </c>
      <c r="G2199">
        <v>2</v>
      </c>
      <c r="H2199" t="str" cm="1">
        <f t="array" ref="H2199">_xlfn.IFS(Ramen_Ratings[[#This Row],[Stars]] = "Unrated", "NA",Ramen_Ratings[[#This Row],[Stars]]&gt;=4, "Good", Ramen_Ratings[[#This Row],[Stars]]&gt;2.5, "Fair", Ramen_Ratings[[#This Row],[Stars]] &gt;= 0, "Bad")</f>
        <v>Bad</v>
      </c>
      <c r="J2199" t="str">
        <f>LEFT(Ramen_Ratings[[#This Row],[Top Ten]],4)</f>
        <v/>
      </c>
      <c r="K2199" t="str">
        <f>IF(Ramen_Ratings[[#This Row],[Top Ten]]="", "",RIGHT(Ramen_Ratings[[#This Row],[Top Ten]],LEN(Ramen_Ratings[[#This Row],[Top Ten]])-6))</f>
        <v/>
      </c>
    </row>
    <row r="2200" spans="1:11" x14ac:dyDescent="0.25">
      <c r="A2200">
        <v>2134</v>
      </c>
      <c r="B2200" t="s">
        <v>590</v>
      </c>
      <c r="C2200" t="s">
        <v>523</v>
      </c>
      <c r="D2200" t="s">
        <v>13</v>
      </c>
      <c r="E2200" t="s">
        <v>46</v>
      </c>
      <c r="F2200" t="str">
        <f>VLOOKUP(Ramen_Ratings[[#This Row],[Country]],Country_Region[#All],2,FALSE)</f>
        <v>Asia</v>
      </c>
      <c r="G2200">
        <v>4</v>
      </c>
      <c r="H2200" t="str" cm="1">
        <f t="array" ref="H2200">_xlfn.IFS(Ramen_Ratings[[#This Row],[Stars]] = "Unrated", "NA",Ramen_Ratings[[#This Row],[Stars]]&gt;=4, "Good", Ramen_Ratings[[#This Row],[Stars]]&gt;2.5, "Fair", Ramen_Ratings[[#This Row],[Stars]] &gt;= 0, "Bad")</f>
        <v>Good</v>
      </c>
      <c r="J2200" t="str">
        <f>LEFT(Ramen_Ratings[[#This Row],[Top Ten]],4)</f>
        <v/>
      </c>
      <c r="K2200" t="str">
        <f>IF(Ramen_Ratings[[#This Row],[Top Ten]]="", "",RIGHT(Ramen_Ratings[[#This Row],[Top Ten]],LEN(Ramen_Ratings[[#This Row],[Top Ten]])-6))</f>
        <v/>
      </c>
    </row>
    <row r="2201" spans="1:11" x14ac:dyDescent="0.25">
      <c r="A2201">
        <v>2130</v>
      </c>
      <c r="B2201" t="s">
        <v>224</v>
      </c>
      <c r="C2201" t="s">
        <v>594</v>
      </c>
      <c r="D2201" t="s">
        <v>13</v>
      </c>
      <c r="E2201" t="s">
        <v>46</v>
      </c>
      <c r="F2201" t="str">
        <f>VLOOKUP(Ramen_Ratings[[#This Row],[Country]],Country_Region[#All],2,FALSE)</f>
        <v>Asia</v>
      </c>
      <c r="G2201">
        <v>4</v>
      </c>
      <c r="H2201" t="str" cm="1">
        <f t="array" ref="H2201">_xlfn.IFS(Ramen_Ratings[[#This Row],[Stars]] = "Unrated", "NA",Ramen_Ratings[[#This Row],[Stars]]&gt;=4, "Good", Ramen_Ratings[[#This Row],[Stars]]&gt;2.5, "Fair", Ramen_Ratings[[#This Row],[Stars]] &gt;= 0, "Bad")</f>
        <v>Good</v>
      </c>
      <c r="J2201" t="str">
        <f>LEFT(Ramen_Ratings[[#This Row],[Top Ten]],4)</f>
        <v/>
      </c>
      <c r="K2201" t="str">
        <f>IF(Ramen_Ratings[[#This Row],[Top Ten]]="", "",RIGHT(Ramen_Ratings[[#This Row],[Top Ten]],LEN(Ramen_Ratings[[#This Row],[Top Ten]])-6))</f>
        <v/>
      </c>
    </row>
    <row r="2202" spans="1:11" x14ac:dyDescent="0.25">
      <c r="A2202">
        <v>2111</v>
      </c>
      <c r="B2202" t="s">
        <v>15</v>
      </c>
      <c r="C2202" t="s">
        <v>614</v>
      </c>
      <c r="D2202" t="s">
        <v>9</v>
      </c>
      <c r="E2202" t="s">
        <v>46</v>
      </c>
      <c r="F2202" t="str">
        <f>VLOOKUP(Ramen_Ratings[[#This Row],[Country]],Country_Region[#All],2,FALSE)</f>
        <v>Asia</v>
      </c>
      <c r="G2202">
        <v>3.75</v>
      </c>
      <c r="H2202" t="str" cm="1">
        <f t="array" ref="H2202">_xlfn.IFS(Ramen_Ratings[[#This Row],[Stars]] = "Unrated", "NA",Ramen_Ratings[[#This Row],[Stars]]&gt;=4, "Good", Ramen_Ratings[[#This Row],[Stars]]&gt;2.5, "Fair", Ramen_Ratings[[#This Row],[Stars]] &gt;= 0, "Bad")</f>
        <v>Fair</v>
      </c>
      <c r="J2202" t="str">
        <f>LEFT(Ramen_Ratings[[#This Row],[Top Ten]],4)</f>
        <v/>
      </c>
      <c r="K2202" t="str">
        <f>IF(Ramen_Ratings[[#This Row],[Top Ten]]="", "",RIGHT(Ramen_Ratings[[#This Row],[Top Ten]],LEN(Ramen_Ratings[[#This Row],[Top Ten]])-6))</f>
        <v/>
      </c>
    </row>
    <row r="2203" spans="1:11" x14ac:dyDescent="0.25">
      <c r="A2203">
        <v>2092</v>
      </c>
      <c r="B2203" t="s">
        <v>588</v>
      </c>
      <c r="C2203" t="s">
        <v>637</v>
      </c>
      <c r="D2203" t="s">
        <v>13</v>
      </c>
      <c r="E2203" t="s">
        <v>46</v>
      </c>
      <c r="F2203" t="str">
        <f>VLOOKUP(Ramen_Ratings[[#This Row],[Country]],Country_Region[#All],2,FALSE)</f>
        <v>Asia</v>
      </c>
      <c r="G2203">
        <v>4</v>
      </c>
      <c r="H2203" t="str" cm="1">
        <f t="array" ref="H2203">_xlfn.IFS(Ramen_Ratings[[#This Row],[Stars]] = "Unrated", "NA",Ramen_Ratings[[#This Row],[Stars]]&gt;=4, "Good", Ramen_Ratings[[#This Row],[Stars]]&gt;2.5, "Fair", Ramen_Ratings[[#This Row],[Stars]] &gt;= 0, "Bad")</f>
        <v>Good</v>
      </c>
      <c r="J2203" t="str">
        <f>LEFT(Ramen_Ratings[[#This Row],[Top Ten]],4)</f>
        <v/>
      </c>
      <c r="K2203" t="str">
        <f>IF(Ramen_Ratings[[#This Row],[Top Ten]]="", "",RIGHT(Ramen_Ratings[[#This Row],[Top Ten]],LEN(Ramen_Ratings[[#This Row],[Top Ten]])-6))</f>
        <v/>
      </c>
    </row>
    <row r="2204" spans="1:11" x14ac:dyDescent="0.25">
      <c r="A2204">
        <v>2090</v>
      </c>
      <c r="B2204" t="s">
        <v>15</v>
      </c>
      <c r="C2204" t="s">
        <v>639</v>
      </c>
      <c r="D2204" t="s">
        <v>13</v>
      </c>
      <c r="E2204" t="s">
        <v>46</v>
      </c>
      <c r="F2204" t="str">
        <f>VLOOKUP(Ramen_Ratings[[#This Row],[Country]],Country_Region[#All],2,FALSE)</f>
        <v>Asia</v>
      </c>
      <c r="G2204">
        <v>5</v>
      </c>
      <c r="H2204" t="str" cm="1">
        <f t="array" ref="H2204">_xlfn.IFS(Ramen_Ratings[[#This Row],[Stars]] = "Unrated", "NA",Ramen_Ratings[[#This Row],[Stars]]&gt;=4, "Good", Ramen_Ratings[[#This Row],[Stars]]&gt;2.5, "Fair", Ramen_Ratings[[#This Row],[Stars]] &gt;= 0, "Bad")</f>
        <v>Good</v>
      </c>
      <c r="J2204" t="str">
        <f>LEFT(Ramen_Ratings[[#This Row],[Top Ten]],4)</f>
        <v/>
      </c>
      <c r="K2204" t="str">
        <f>IF(Ramen_Ratings[[#This Row],[Top Ten]]="", "",RIGHT(Ramen_Ratings[[#This Row],[Top Ten]],LEN(Ramen_Ratings[[#This Row],[Top Ten]])-6))</f>
        <v/>
      </c>
    </row>
    <row r="2205" spans="1:11" x14ac:dyDescent="0.25">
      <c r="A2205">
        <v>2089</v>
      </c>
      <c r="B2205" t="s">
        <v>15</v>
      </c>
      <c r="C2205" t="s">
        <v>640</v>
      </c>
      <c r="D2205" t="s">
        <v>9</v>
      </c>
      <c r="E2205" t="s">
        <v>46</v>
      </c>
      <c r="F2205" t="str">
        <f>VLOOKUP(Ramen_Ratings[[#This Row],[Country]],Country_Region[#All],2,FALSE)</f>
        <v>Asia</v>
      </c>
      <c r="G2205">
        <v>5</v>
      </c>
      <c r="H2205" t="str" cm="1">
        <f t="array" ref="H2205">_xlfn.IFS(Ramen_Ratings[[#This Row],[Stars]] = "Unrated", "NA",Ramen_Ratings[[#This Row],[Stars]]&gt;=4, "Good", Ramen_Ratings[[#This Row],[Stars]]&gt;2.5, "Fair", Ramen_Ratings[[#This Row],[Stars]] &gt;= 0, "Bad")</f>
        <v>Good</v>
      </c>
      <c r="J2205" t="str">
        <f>LEFT(Ramen_Ratings[[#This Row],[Top Ten]],4)</f>
        <v/>
      </c>
      <c r="K2205" t="str">
        <f>IF(Ramen_Ratings[[#This Row],[Top Ten]]="", "",RIGHT(Ramen_Ratings[[#This Row],[Top Ten]],LEN(Ramen_Ratings[[#This Row],[Top Ten]])-6))</f>
        <v/>
      </c>
    </row>
    <row r="2206" spans="1:11" x14ac:dyDescent="0.25">
      <c r="A2206">
        <v>2088</v>
      </c>
      <c r="B2206" t="s">
        <v>15</v>
      </c>
      <c r="C2206" t="s">
        <v>641</v>
      </c>
      <c r="D2206" t="s">
        <v>44</v>
      </c>
      <c r="E2206" t="s">
        <v>46</v>
      </c>
      <c r="F2206" t="str">
        <f>VLOOKUP(Ramen_Ratings[[#This Row],[Country]],Country_Region[#All],2,FALSE)</f>
        <v>Asia</v>
      </c>
      <c r="G2206">
        <v>4</v>
      </c>
      <c r="H2206" t="str" cm="1">
        <f t="array" ref="H2206">_xlfn.IFS(Ramen_Ratings[[#This Row],[Stars]] = "Unrated", "NA",Ramen_Ratings[[#This Row],[Stars]]&gt;=4, "Good", Ramen_Ratings[[#This Row],[Stars]]&gt;2.5, "Fair", Ramen_Ratings[[#This Row],[Stars]] &gt;= 0, "Bad")</f>
        <v>Good</v>
      </c>
      <c r="J2206" t="str">
        <f>LEFT(Ramen_Ratings[[#This Row],[Top Ten]],4)</f>
        <v/>
      </c>
      <c r="K2206" t="str">
        <f>IF(Ramen_Ratings[[#This Row],[Top Ten]]="", "",RIGHT(Ramen_Ratings[[#This Row],[Top Ten]],LEN(Ramen_Ratings[[#This Row],[Top Ten]])-6))</f>
        <v/>
      </c>
    </row>
    <row r="2207" spans="1:11" x14ac:dyDescent="0.25">
      <c r="A2207">
        <v>2087</v>
      </c>
      <c r="B2207" t="s">
        <v>15</v>
      </c>
      <c r="C2207" t="s">
        <v>642</v>
      </c>
      <c r="D2207" t="s">
        <v>13</v>
      </c>
      <c r="E2207" t="s">
        <v>46</v>
      </c>
      <c r="F2207" t="str">
        <f>VLOOKUP(Ramen_Ratings[[#This Row],[Country]],Country_Region[#All],2,FALSE)</f>
        <v>Asia</v>
      </c>
      <c r="G2207">
        <v>4</v>
      </c>
      <c r="H2207" t="str" cm="1">
        <f t="array" ref="H2207">_xlfn.IFS(Ramen_Ratings[[#This Row],[Stars]] = "Unrated", "NA",Ramen_Ratings[[#This Row],[Stars]]&gt;=4, "Good", Ramen_Ratings[[#This Row],[Stars]]&gt;2.5, "Fair", Ramen_Ratings[[#This Row],[Stars]] &gt;= 0, "Bad")</f>
        <v>Good</v>
      </c>
      <c r="J2207" t="str">
        <f>LEFT(Ramen_Ratings[[#This Row],[Top Ten]],4)</f>
        <v/>
      </c>
      <c r="K2207" t="str">
        <f>IF(Ramen_Ratings[[#This Row],[Top Ten]]="", "",RIGHT(Ramen_Ratings[[#This Row],[Top Ten]],LEN(Ramen_Ratings[[#This Row],[Top Ten]])-6))</f>
        <v/>
      </c>
    </row>
    <row r="2208" spans="1:11" x14ac:dyDescent="0.25">
      <c r="A2208">
        <v>2086</v>
      </c>
      <c r="B2208" t="s">
        <v>15</v>
      </c>
      <c r="C2208" t="s">
        <v>643</v>
      </c>
      <c r="D2208" t="s">
        <v>13</v>
      </c>
      <c r="E2208" t="s">
        <v>46</v>
      </c>
      <c r="F2208" t="str">
        <f>VLOOKUP(Ramen_Ratings[[#This Row],[Country]],Country_Region[#All],2,FALSE)</f>
        <v>Asia</v>
      </c>
      <c r="G2208">
        <v>5</v>
      </c>
      <c r="H2208" t="str" cm="1">
        <f t="array" ref="H2208">_xlfn.IFS(Ramen_Ratings[[#This Row],[Stars]] = "Unrated", "NA",Ramen_Ratings[[#This Row],[Stars]]&gt;=4, "Good", Ramen_Ratings[[#This Row],[Stars]]&gt;2.5, "Fair", Ramen_Ratings[[#This Row],[Stars]] &gt;= 0, "Bad")</f>
        <v>Good</v>
      </c>
      <c r="J2208" t="str">
        <f>LEFT(Ramen_Ratings[[#This Row],[Top Ten]],4)</f>
        <v/>
      </c>
      <c r="K2208" t="str">
        <f>IF(Ramen_Ratings[[#This Row],[Top Ten]]="", "",RIGHT(Ramen_Ratings[[#This Row],[Top Ten]],LEN(Ramen_Ratings[[#This Row],[Top Ten]])-6))</f>
        <v/>
      </c>
    </row>
    <row r="2209" spans="1:11" x14ac:dyDescent="0.25">
      <c r="A2209">
        <v>2085</v>
      </c>
      <c r="B2209" t="s">
        <v>445</v>
      </c>
      <c r="C2209" t="s">
        <v>644</v>
      </c>
      <c r="D2209" t="s">
        <v>44</v>
      </c>
      <c r="E2209" t="s">
        <v>46</v>
      </c>
      <c r="F2209" t="str">
        <f>VLOOKUP(Ramen_Ratings[[#This Row],[Country]],Country_Region[#All],2,FALSE)</f>
        <v>Asia</v>
      </c>
      <c r="G2209">
        <v>5</v>
      </c>
      <c r="H2209" t="str" cm="1">
        <f t="array" ref="H2209">_xlfn.IFS(Ramen_Ratings[[#This Row],[Stars]] = "Unrated", "NA",Ramen_Ratings[[#This Row],[Stars]]&gt;=4, "Good", Ramen_Ratings[[#This Row],[Stars]]&gt;2.5, "Fair", Ramen_Ratings[[#This Row],[Stars]] &gt;= 0, "Bad")</f>
        <v>Good</v>
      </c>
      <c r="J2209" t="str">
        <f>LEFT(Ramen_Ratings[[#This Row],[Top Ten]],4)</f>
        <v/>
      </c>
      <c r="K2209" t="str">
        <f>IF(Ramen_Ratings[[#This Row],[Top Ten]]="", "",RIGHT(Ramen_Ratings[[#This Row],[Top Ten]],LEN(Ramen_Ratings[[#This Row],[Top Ten]])-6))</f>
        <v/>
      </c>
    </row>
    <row r="2210" spans="1:11" x14ac:dyDescent="0.25">
      <c r="A2210">
        <v>2084</v>
      </c>
      <c r="B2210" t="s">
        <v>15</v>
      </c>
      <c r="C2210" t="s">
        <v>645</v>
      </c>
      <c r="D2210" t="s">
        <v>13</v>
      </c>
      <c r="E2210" t="s">
        <v>46</v>
      </c>
      <c r="F2210" t="str">
        <f>VLOOKUP(Ramen_Ratings[[#This Row],[Country]],Country_Region[#All],2,FALSE)</f>
        <v>Asia</v>
      </c>
      <c r="G2210">
        <v>5</v>
      </c>
      <c r="H2210" t="str" cm="1">
        <f t="array" ref="H2210">_xlfn.IFS(Ramen_Ratings[[#This Row],[Stars]] = "Unrated", "NA",Ramen_Ratings[[#This Row],[Stars]]&gt;=4, "Good", Ramen_Ratings[[#This Row],[Stars]]&gt;2.5, "Fair", Ramen_Ratings[[#This Row],[Stars]] &gt;= 0, "Bad")</f>
        <v>Good</v>
      </c>
      <c r="J2210" t="str">
        <f>LEFT(Ramen_Ratings[[#This Row],[Top Ten]],4)</f>
        <v/>
      </c>
      <c r="K2210" t="str">
        <f>IF(Ramen_Ratings[[#This Row],[Top Ten]]="", "",RIGHT(Ramen_Ratings[[#This Row],[Top Ten]],LEN(Ramen_Ratings[[#This Row],[Top Ten]])-6))</f>
        <v/>
      </c>
    </row>
    <row r="2211" spans="1:11" x14ac:dyDescent="0.25">
      <c r="A2211">
        <v>2083</v>
      </c>
      <c r="B2211" t="s">
        <v>15</v>
      </c>
      <c r="C2211" t="s">
        <v>646</v>
      </c>
      <c r="D2211" t="s">
        <v>13</v>
      </c>
      <c r="E2211" t="s">
        <v>46</v>
      </c>
      <c r="F2211" t="str">
        <f>VLOOKUP(Ramen_Ratings[[#This Row],[Country]],Country_Region[#All],2,FALSE)</f>
        <v>Asia</v>
      </c>
      <c r="G2211">
        <v>5</v>
      </c>
      <c r="H2211" t="str" cm="1">
        <f t="array" ref="H2211">_xlfn.IFS(Ramen_Ratings[[#This Row],[Stars]] = "Unrated", "NA",Ramen_Ratings[[#This Row],[Stars]]&gt;=4, "Good", Ramen_Ratings[[#This Row],[Stars]]&gt;2.5, "Fair", Ramen_Ratings[[#This Row],[Stars]] &gt;= 0, "Bad")</f>
        <v>Good</v>
      </c>
      <c r="J2211" t="str">
        <f>LEFT(Ramen_Ratings[[#This Row],[Top Ten]],4)</f>
        <v/>
      </c>
      <c r="K2211" t="str">
        <f>IF(Ramen_Ratings[[#This Row],[Top Ten]]="", "",RIGHT(Ramen_Ratings[[#This Row],[Top Ten]],LEN(Ramen_Ratings[[#This Row],[Top Ten]])-6))</f>
        <v/>
      </c>
    </row>
    <row r="2212" spans="1:11" x14ac:dyDescent="0.25">
      <c r="A2212">
        <v>2082</v>
      </c>
      <c r="B2212" t="s">
        <v>15</v>
      </c>
      <c r="C2212" t="s">
        <v>647</v>
      </c>
      <c r="D2212" t="s">
        <v>9</v>
      </c>
      <c r="E2212" t="s">
        <v>46</v>
      </c>
      <c r="F2212" t="str">
        <f>VLOOKUP(Ramen_Ratings[[#This Row],[Country]],Country_Region[#All],2,FALSE)</f>
        <v>Asia</v>
      </c>
      <c r="G2212">
        <v>4</v>
      </c>
      <c r="H2212" t="str" cm="1">
        <f t="array" ref="H2212">_xlfn.IFS(Ramen_Ratings[[#This Row],[Stars]] = "Unrated", "NA",Ramen_Ratings[[#This Row],[Stars]]&gt;=4, "Good", Ramen_Ratings[[#This Row],[Stars]]&gt;2.5, "Fair", Ramen_Ratings[[#This Row],[Stars]] &gt;= 0, "Bad")</f>
        <v>Good</v>
      </c>
      <c r="J2212" t="str">
        <f>LEFT(Ramen_Ratings[[#This Row],[Top Ten]],4)</f>
        <v/>
      </c>
      <c r="K2212" t="str">
        <f>IF(Ramen_Ratings[[#This Row],[Top Ten]]="", "",RIGHT(Ramen_Ratings[[#This Row],[Top Ten]],LEN(Ramen_Ratings[[#This Row],[Top Ten]])-6))</f>
        <v/>
      </c>
    </row>
    <row r="2213" spans="1:11" x14ac:dyDescent="0.25">
      <c r="A2213">
        <v>2081</v>
      </c>
      <c r="B2213" t="s">
        <v>15</v>
      </c>
      <c r="C2213" t="s">
        <v>648</v>
      </c>
      <c r="D2213" t="s">
        <v>9</v>
      </c>
      <c r="E2213" t="s">
        <v>46</v>
      </c>
      <c r="F2213" t="str">
        <f>VLOOKUP(Ramen_Ratings[[#This Row],[Country]],Country_Region[#All],2,FALSE)</f>
        <v>Asia</v>
      </c>
      <c r="G2213">
        <v>4</v>
      </c>
      <c r="H2213" t="str" cm="1">
        <f t="array" ref="H2213">_xlfn.IFS(Ramen_Ratings[[#This Row],[Stars]] = "Unrated", "NA",Ramen_Ratings[[#This Row],[Stars]]&gt;=4, "Good", Ramen_Ratings[[#This Row],[Stars]]&gt;2.5, "Fair", Ramen_Ratings[[#This Row],[Stars]] &gt;= 0, "Bad")</f>
        <v>Good</v>
      </c>
      <c r="J2213" t="str">
        <f>LEFT(Ramen_Ratings[[#This Row],[Top Ten]],4)</f>
        <v/>
      </c>
      <c r="K2213" t="str">
        <f>IF(Ramen_Ratings[[#This Row],[Top Ten]]="", "",RIGHT(Ramen_Ratings[[#This Row],[Top Ten]],LEN(Ramen_Ratings[[#This Row],[Top Ten]])-6))</f>
        <v/>
      </c>
    </row>
    <row r="2214" spans="1:11" x14ac:dyDescent="0.25">
      <c r="A2214">
        <v>2080</v>
      </c>
      <c r="B2214" t="s">
        <v>445</v>
      </c>
      <c r="C2214" t="s">
        <v>649</v>
      </c>
      <c r="D2214" t="s">
        <v>13</v>
      </c>
      <c r="E2214" t="s">
        <v>46</v>
      </c>
      <c r="F2214" t="str">
        <f>VLOOKUP(Ramen_Ratings[[#This Row],[Country]],Country_Region[#All],2,FALSE)</f>
        <v>Asia</v>
      </c>
      <c r="G2214">
        <v>4</v>
      </c>
      <c r="H2214" t="str" cm="1">
        <f t="array" ref="H2214">_xlfn.IFS(Ramen_Ratings[[#This Row],[Stars]] = "Unrated", "NA",Ramen_Ratings[[#This Row],[Stars]]&gt;=4, "Good", Ramen_Ratings[[#This Row],[Stars]]&gt;2.5, "Fair", Ramen_Ratings[[#This Row],[Stars]] &gt;= 0, "Bad")</f>
        <v>Good</v>
      </c>
      <c r="J2214" t="str">
        <f>LEFT(Ramen_Ratings[[#This Row],[Top Ten]],4)</f>
        <v/>
      </c>
      <c r="K2214" t="str">
        <f>IF(Ramen_Ratings[[#This Row],[Top Ten]]="", "",RIGHT(Ramen_Ratings[[#This Row],[Top Ten]],LEN(Ramen_Ratings[[#This Row],[Top Ten]])-6))</f>
        <v/>
      </c>
    </row>
    <row r="2215" spans="1:11" x14ac:dyDescent="0.25">
      <c r="A2215">
        <v>2079</v>
      </c>
      <c r="B2215" t="s">
        <v>15</v>
      </c>
      <c r="C2215" t="s">
        <v>650</v>
      </c>
      <c r="D2215" t="s">
        <v>9</v>
      </c>
      <c r="E2215" t="s">
        <v>46</v>
      </c>
      <c r="F2215" t="str">
        <f>VLOOKUP(Ramen_Ratings[[#This Row],[Country]],Country_Region[#All],2,FALSE)</f>
        <v>Asia</v>
      </c>
      <c r="G2215">
        <v>5</v>
      </c>
      <c r="H2215" t="str" cm="1">
        <f t="array" ref="H2215">_xlfn.IFS(Ramen_Ratings[[#This Row],[Stars]] = "Unrated", "NA",Ramen_Ratings[[#This Row],[Stars]]&gt;=4, "Good", Ramen_Ratings[[#This Row],[Stars]]&gt;2.5, "Fair", Ramen_Ratings[[#This Row],[Stars]] &gt;= 0, "Bad")</f>
        <v>Good</v>
      </c>
      <c r="J2215" t="str">
        <f>LEFT(Ramen_Ratings[[#This Row],[Top Ten]],4)</f>
        <v/>
      </c>
      <c r="K2215" t="str">
        <f>IF(Ramen_Ratings[[#This Row],[Top Ten]]="", "",RIGHT(Ramen_Ratings[[#This Row],[Top Ten]],LEN(Ramen_Ratings[[#This Row],[Top Ten]])-6))</f>
        <v/>
      </c>
    </row>
    <row r="2216" spans="1:11" x14ac:dyDescent="0.25">
      <c r="A2216">
        <v>2078</v>
      </c>
      <c r="B2216" t="s">
        <v>15</v>
      </c>
      <c r="C2216" t="s">
        <v>651</v>
      </c>
      <c r="D2216" t="s">
        <v>9</v>
      </c>
      <c r="E2216" t="s">
        <v>46</v>
      </c>
      <c r="F2216" t="str">
        <f>VLOOKUP(Ramen_Ratings[[#This Row],[Country]],Country_Region[#All],2,FALSE)</f>
        <v>Asia</v>
      </c>
      <c r="G2216">
        <v>4</v>
      </c>
      <c r="H2216" t="str" cm="1">
        <f t="array" ref="H2216">_xlfn.IFS(Ramen_Ratings[[#This Row],[Stars]] = "Unrated", "NA",Ramen_Ratings[[#This Row],[Stars]]&gt;=4, "Good", Ramen_Ratings[[#This Row],[Stars]]&gt;2.5, "Fair", Ramen_Ratings[[#This Row],[Stars]] &gt;= 0, "Bad")</f>
        <v>Good</v>
      </c>
      <c r="J2216" t="str">
        <f>LEFT(Ramen_Ratings[[#This Row],[Top Ten]],4)</f>
        <v/>
      </c>
      <c r="K2216" t="str">
        <f>IF(Ramen_Ratings[[#This Row],[Top Ten]]="", "",RIGHT(Ramen_Ratings[[#This Row],[Top Ten]],LEN(Ramen_Ratings[[#This Row],[Top Ten]])-6))</f>
        <v/>
      </c>
    </row>
    <row r="2217" spans="1:11" x14ac:dyDescent="0.25">
      <c r="A2217">
        <v>2077</v>
      </c>
      <c r="B2217" t="s">
        <v>15</v>
      </c>
      <c r="C2217" t="s">
        <v>652</v>
      </c>
      <c r="D2217" t="s">
        <v>9</v>
      </c>
      <c r="E2217" t="s">
        <v>46</v>
      </c>
      <c r="F2217" t="str">
        <f>VLOOKUP(Ramen_Ratings[[#This Row],[Country]],Country_Region[#All],2,FALSE)</f>
        <v>Asia</v>
      </c>
      <c r="G2217">
        <v>5</v>
      </c>
      <c r="H2217" t="str" cm="1">
        <f t="array" ref="H2217">_xlfn.IFS(Ramen_Ratings[[#This Row],[Stars]] = "Unrated", "NA",Ramen_Ratings[[#This Row],[Stars]]&gt;=4, "Good", Ramen_Ratings[[#This Row],[Stars]]&gt;2.5, "Fair", Ramen_Ratings[[#This Row],[Stars]] &gt;= 0, "Bad")</f>
        <v>Good</v>
      </c>
      <c r="J2217" t="str">
        <f>LEFT(Ramen_Ratings[[#This Row],[Top Ten]],4)</f>
        <v/>
      </c>
      <c r="K2217" t="str">
        <f>IF(Ramen_Ratings[[#This Row],[Top Ten]]="", "",RIGHT(Ramen_Ratings[[#This Row],[Top Ten]],LEN(Ramen_Ratings[[#This Row],[Top Ten]])-6))</f>
        <v/>
      </c>
    </row>
    <row r="2218" spans="1:11" x14ac:dyDescent="0.25">
      <c r="A2218">
        <v>2076</v>
      </c>
      <c r="B2218" t="s">
        <v>15</v>
      </c>
      <c r="C2218" t="s">
        <v>653</v>
      </c>
      <c r="D2218" t="s">
        <v>44</v>
      </c>
      <c r="E2218" t="s">
        <v>46</v>
      </c>
      <c r="F2218" t="str">
        <f>VLOOKUP(Ramen_Ratings[[#This Row],[Country]],Country_Region[#All],2,FALSE)</f>
        <v>Asia</v>
      </c>
      <c r="G2218">
        <v>3.75</v>
      </c>
      <c r="H2218" t="str" cm="1">
        <f t="array" ref="H2218">_xlfn.IFS(Ramen_Ratings[[#This Row],[Stars]] = "Unrated", "NA",Ramen_Ratings[[#This Row],[Stars]]&gt;=4, "Good", Ramen_Ratings[[#This Row],[Stars]]&gt;2.5, "Fair", Ramen_Ratings[[#This Row],[Stars]] &gt;= 0, "Bad")</f>
        <v>Fair</v>
      </c>
      <c r="J2218" t="str">
        <f>LEFT(Ramen_Ratings[[#This Row],[Top Ten]],4)</f>
        <v/>
      </c>
      <c r="K2218" t="str">
        <f>IF(Ramen_Ratings[[#This Row],[Top Ten]]="", "",RIGHT(Ramen_Ratings[[#This Row],[Top Ten]],LEN(Ramen_Ratings[[#This Row],[Top Ten]])-6))</f>
        <v/>
      </c>
    </row>
    <row r="2219" spans="1:11" x14ac:dyDescent="0.25">
      <c r="A2219">
        <v>2069</v>
      </c>
      <c r="B2219" t="s">
        <v>588</v>
      </c>
      <c r="C2219" t="s">
        <v>662</v>
      </c>
      <c r="D2219" t="s">
        <v>13</v>
      </c>
      <c r="E2219" t="s">
        <v>46</v>
      </c>
      <c r="F2219" t="str">
        <f>VLOOKUP(Ramen_Ratings[[#This Row],[Country]],Country_Region[#All],2,FALSE)</f>
        <v>Asia</v>
      </c>
      <c r="G2219">
        <v>3.75</v>
      </c>
      <c r="H2219" t="str" cm="1">
        <f t="array" ref="H2219">_xlfn.IFS(Ramen_Ratings[[#This Row],[Stars]] = "Unrated", "NA",Ramen_Ratings[[#This Row],[Stars]]&gt;=4, "Good", Ramen_Ratings[[#This Row],[Stars]]&gt;2.5, "Fair", Ramen_Ratings[[#This Row],[Stars]] &gt;= 0, "Bad")</f>
        <v>Fair</v>
      </c>
      <c r="J2219" t="str">
        <f>LEFT(Ramen_Ratings[[#This Row],[Top Ten]],4)</f>
        <v/>
      </c>
      <c r="K2219" t="str">
        <f>IF(Ramen_Ratings[[#This Row],[Top Ten]]="", "",RIGHT(Ramen_Ratings[[#This Row],[Top Ten]],LEN(Ramen_Ratings[[#This Row],[Top Ten]])-6))</f>
        <v/>
      </c>
    </row>
    <row r="2220" spans="1:11" x14ac:dyDescent="0.25">
      <c r="A2220">
        <v>2065</v>
      </c>
      <c r="B2220" t="s">
        <v>590</v>
      </c>
      <c r="C2220" t="s">
        <v>666</v>
      </c>
      <c r="D2220" t="s">
        <v>13</v>
      </c>
      <c r="E2220" t="s">
        <v>46</v>
      </c>
      <c r="F2220" t="str">
        <f>VLOOKUP(Ramen_Ratings[[#This Row],[Country]],Country_Region[#All],2,FALSE)</f>
        <v>Asia</v>
      </c>
      <c r="G2220">
        <v>3</v>
      </c>
      <c r="H2220" t="str" cm="1">
        <f t="array" ref="H2220">_xlfn.IFS(Ramen_Ratings[[#This Row],[Stars]] = "Unrated", "NA",Ramen_Ratings[[#This Row],[Stars]]&gt;=4, "Good", Ramen_Ratings[[#This Row],[Stars]]&gt;2.5, "Fair", Ramen_Ratings[[#This Row],[Stars]] &gt;= 0, "Bad")</f>
        <v>Fair</v>
      </c>
      <c r="J2220" t="str">
        <f>LEFT(Ramen_Ratings[[#This Row],[Top Ten]],4)</f>
        <v/>
      </c>
      <c r="K2220" t="str">
        <f>IF(Ramen_Ratings[[#This Row],[Top Ten]]="", "",RIGHT(Ramen_Ratings[[#This Row],[Top Ten]],LEN(Ramen_Ratings[[#This Row],[Top Ten]])-6))</f>
        <v/>
      </c>
    </row>
    <row r="2221" spans="1:11" x14ac:dyDescent="0.25">
      <c r="A2221">
        <v>2063</v>
      </c>
      <c r="B2221" t="s">
        <v>668</v>
      </c>
      <c r="C2221" t="s">
        <v>669</v>
      </c>
      <c r="D2221" t="s">
        <v>13</v>
      </c>
      <c r="E2221" t="s">
        <v>46</v>
      </c>
      <c r="F2221" t="str">
        <f>VLOOKUP(Ramen_Ratings[[#This Row],[Country]],Country_Region[#All],2,FALSE)</f>
        <v>Asia</v>
      </c>
      <c r="G2221">
        <v>3.25</v>
      </c>
      <c r="H2221" t="str" cm="1">
        <f t="array" ref="H2221">_xlfn.IFS(Ramen_Ratings[[#This Row],[Stars]] = "Unrated", "NA",Ramen_Ratings[[#This Row],[Stars]]&gt;=4, "Good", Ramen_Ratings[[#This Row],[Stars]]&gt;2.5, "Fair", Ramen_Ratings[[#This Row],[Stars]] &gt;= 0, "Bad")</f>
        <v>Fair</v>
      </c>
      <c r="J2221" t="str">
        <f>LEFT(Ramen_Ratings[[#This Row],[Top Ten]],4)</f>
        <v/>
      </c>
      <c r="K2221" t="str">
        <f>IF(Ramen_Ratings[[#This Row],[Top Ten]]="", "",RIGHT(Ramen_Ratings[[#This Row],[Top Ten]],LEN(Ramen_Ratings[[#This Row],[Top Ten]])-6))</f>
        <v/>
      </c>
    </row>
    <row r="2222" spans="1:11" x14ac:dyDescent="0.25">
      <c r="A2222">
        <v>2061</v>
      </c>
      <c r="B2222" t="s">
        <v>326</v>
      </c>
      <c r="C2222" t="s">
        <v>671</v>
      </c>
      <c r="D2222" t="s">
        <v>30</v>
      </c>
      <c r="E2222" t="s">
        <v>46</v>
      </c>
      <c r="F2222" t="str">
        <f>VLOOKUP(Ramen_Ratings[[#This Row],[Country]],Country_Region[#All],2,FALSE)</f>
        <v>Asia</v>
      </c>
      <c r="G2222">
        <v>4.25</v>
      </c>
      <c r="H2222" t="str" cm="1">
        <f t="array" ref="H2222">_xlfn.IFS(Ramen_Ratings[[#This Row],[Stars]] = "Unrated", "NA",Ramen_Ratings[[#This Row],[Stars]]&gt;=4, "Good", Ramen_Ratings[[#This Row],[Stars]]&gt;2.5, "Fair", Ramen_Ratings[[#This Row],[Stars]] &gt;= 0, "Bad")</f>
        <v>Good</v>
      </c>
      <c r="J2222" t="str">
        <f>LEFT(Ramen_Ratings[[#This Row],[Top Ten]],4)</f>
        <v/>
      </c>
      <c r="K2222" t="str">
        <f>IF(Ramen_Ratings[[#This Row],[Top Ten]]="", "",RIGHT(Ramen_Ratings[[#This Row],[Top Ten]],LEN(Ramen_Ratings[[#This Row],[Top Ten]])-6))</f>
        <v/>
      </c>
    </row>
    <row r="2223" spans="1:11" x14ac:dyDescent="0.25">
      <c r="A2223">
        <v>2059</v>
      </c>
      <c r="B2223" t="s">
        <v>590</v>
      </c>
      <c r="C2223" t="s">
        <v>673</v>
      </c>
      <c r="D2223" t="s">
        <v>13</v>
      </c>
      <c r="E2223" t="s">
        <v>46</v>
      </c>
      <c r="F2223" t="str">
        <f>VLOOKUP(Ramen_Ratings[[#This Row],[Country]],Country_Region[#All],2,FALSE)</f>
        <v>Asia</v>
      </c>
      <c r="G2223">
        <v>2.5</v>
      </c>
      <c r="H2223" t="str" cm="1">
        <f t="array" ref="H2223">_xlfn.IFS(Ramen_Ratings[[#This Row],[Stars]] = "Unrated", "NA",Ramen_Ratings[[#This Row],[Stars]]&gt;=4, "Good", Ramen_Ratings[[#This Row],[Stars]]&gt;2.5, "Fair", Ramen_Ratings[[#This Row],[Stars]] &gt;= 0, "Bad")</f>
        <v>Bad</v>
      </c>
      <c r="J2223" t="str">
        <f>LEFT(Ramen_Ratings[[#This Row],[Top Ten]],4)</f>
        <v/>
      </c>
      <c r="K2223" t="str">
        <f>IF(Ramen_Ratings[[#This Row],[Top Ten]]="", "",RIGHT(Ramen_Ratings[[#This Row],[Top Ten]],LEN(Ramen_Ratings[[#This Row],[Top Ten]])-6))</f>
        <v/>
      </c>
    </row>
    <row r="2224" spans="1:11" x14ac:dyDescent="0.25">
      <c r="A2224">
        <v>2044</v>
      </c>
      <c r="B2224" t="s">
        <v>588</v>
      </c>
      <c r="C2224" t="s">
        <v>690</v>
      </c>
      <c r="D2224" t="s">
        <v>9</v>
      </c>
      <c r="E2224" t="s">
        <v>46</v>
      </c>
      <c r="F2224" t="str">
        <f>VLOOKUP(Ramen_Ratings[[#This Row],[Country]],Country_Region[#All],2,FALSE)</f>
        <v>Asia</v>
      </c>
      <c r="G2224">
        <v>3</v>
      </c>
      <c r="H2224" t="str" cm="1">
        <f t="array" ref="H2224">_xlfn.IFS(Ramen_Ratings[[#This Row],[Stars]] = "Unrated", "NA",Ramen_Ratings[[#This Row],[Stars]]&gt;=4, "Good", Ramen_Ratings[[#This Row],[Stars]]&gt;2.5, "Fair", Ramen_Ratings[[#This Row],[Stars]] &gt;= 0, "Bad")</f>
        <v>Fair</v>
      </c>
      <c r="J2224" t="str">
        <f>LEFT(Ramen_Ratings[[#This Row],[Top Ten]],4)</f>
        <v/>
      </c>
      <c r="K2224" t="str">
        <f>IF(Ramen_Ratings[[#This Row],[Top Ten]]="", "",RIGHT(Ramen_Ratings[[#This Row],[Top Ten]],LEN(Ramen_Ratings[[#This Row],[Top Ten]])-6))</f>
        <v/>
      </c>
    </row>
    <row r="2225" spans="1:11" x14ac:dyDescent="0.25">
      <c r="A2225">
        <v>2032</v>
      </c>
      <c r="B2225" t="s">
        <v>326</v>
      </c>
      <c r="C2225" t="s">
        <v>705</v>
      </c>
      <c r="D2225" t="s">
        <v>44</v>
      </c>
      <c r="E2225" t="s">
        <v>46</v>
      </c>
      <c r="F2225" t="str">
        <f>VLOOKUP(Ramen_Ratings[[#This Row],[Country]],Country_Region[#All],2,FALSE)</f>
        <v>Asia</v>
      </c>
      <c r="G2225">
        <v>3.75</v>
      </c>
      <c r="H2225" t="str" cm="1">
        <f t="array" ref="H2225">_xlfn.IFS(Ramen_Ratings[[#This Row],[Stars]] = "Unrated", "NA",Ramen_Ratings[[#This Row],[Stars]]&gt;=4, "Good", Ramen_Ratings[[#This Row],[Stars]]&gt;2.5, "Fair", Ramen_Ratings[[#This Row],[Stars]] &gt;= 0, "Bad")</f>
        <v>Fair</v>
      </c>
      <c r="J2225" t="str">
        <f>LEFT(Ramen_Ratings[[#This Row],[Top Ten]],4)</f>
        <v/>
      </c>
      <c r="K2225" t="str">
        <f>IF(Ramen_Ratings[[#This Row],[Top Ten]]="", "",RIGHT(Ramen_Ratings[[#This Row],[Top Ten]],LEN(Ramen_Ratings[[#This Row],[Top Ten]])-6))</f>
        <v/>
      </c>
    </row>
    <row r="2226" spans="1:11" x14ac:dyDescent="0.25">
      <c r="A2226">
        <v>2006</v>
      </c>
      <c r="B2226" t="s">
        <v>326</v>
      </c>
      <c r="C2226" t="s">
        <v>737</v>
      </c>
      <c r="D2226" t="s">
        <v>44</v>
      </c>
      <c r="E2226" t="s">
        <v>46</v>
      </c>
      <c r="F2226" t="str">
        <f>VLOOKUP(Ramen_Ratings[[#This Row],[Country]],Country_Region[#All],2,FALSE)</f>
        <v>Asia</v>
      </c>
      <c r="G2226">
        <v>3.75</v>
      </c>
      <c r="H2226" t="str" cm="1">
        <f t="array" ref="H2226">_xlfn.IFS(Ramen_Ratings[[#This Row],[Stars]] = "Unrated", "NA",Ramen_Ratings[[#This Row],[Stars]]&gt;=4, "Good", Ramen_Ratings[[#This Row],[Stars]]&gt;2.5, "Fair", Ramen_Ratings[[#This Row],[Stars]] &gt;= 0, "Bad")</f>
        <v>Fair</v>
      </c>
      <c r="J2226" t="str">
        <f>LEFT(Ramen_Ratings[[#This Row],[Top Ten]],4)</f>
        <v/>
      </c>
      <c r="K2226" t="str">
        <f>IF(Ramen_Ratings[[#This Row],[Top Ten]]="", "",RIGHT(Ramen_Ratings[[#This Row],[Top Ten]],LEN(Ramen_Ratings[[#This Row],[Top Ten]])-6))</f>
        <v/>
      </c>
    </row>
    <row r="2227" spans="1:11" x14ac:dyDescent="0.25">
      <c r="A2227">
        <v>1984</v>
      </c>
      <c r="B2227" t="s">
        <v>15</v>
      </c>
      <c r="C2227" t="s">
        <v>759</v>
      </c>
      <c r="D2227" t="s">
        <v>9</v>
      </c>
      <c r="E2227" t="s">
        <v>46</v>
      </c>
      <c r="F2227" t="str">
        <f>VLOOKUP(Ramen_Ratings[[#This Row],[Country]],Country_Region[#All],2,FALSE)</f>
        <v>Asia</v>
      </c>
      <c r="G2227">
        <v>5</v>
      </c>
      <c r="H2227" t="str" cm="1">
        <f t="array" ref="H2227">_xlfn.IFS(Ramen_Ratings[[#This Row],[Stars]] = "Unrated", "NA",Ramen_Ratings[[#This Row],[Stars]]&gt;=4, "Good", Ramen_Ratings[[#This Row],[Stars]]&gt;2.5, "Fair", Ramen_Ratings[[#This Row],[Stars]] &gt;= 0, "Bad")</f>
        <v>Good</v>
      </c>
      <c r="J2227" t="str">
        <f>LEFT(Ramen_Ratings[[#This Row],[Top Ten]],4)</f>
        <v/>
      </c>
      <c r="K2227" t="str">
        <f>IF(Ramen_Ratings[[#This Row],[Top Ten]]="", "",RIGHT(Ramen_Ratings[[#This Row],[Top Ten]],LEN(Ramen_Ratings[[#This Row],[Top Ten]])-6))</f>
        <v/>
      </c>
    </row>
    <row r="2228" spans="1:11" x14ac:dyDescent="0.25">
      <c r="A2228">
        <v>1972</v>
      </c>
      <c r="B2228" t="s">
        <v>588</v>
      </c>
      <c r="C2228" t="s">
        <v>773</v>
      </c>
      <c r="D2228" t="s">
        <v>13</v>
      </c>
      <c r="E2228" t="s">
        <v>46</v>
      </c>
      <c r="F2228" t="str">
        <f>VLOOKUP(Ramen_Ratings[[#This Row],[Country]],Country_Region[#All],2,FALSE)</f>
        <v>Asia</v>
      </c>
      <c r="G2228">
        <v>2.75</v>
      </c>
      <c r="H2228" t="str" cm="1">
        <f t="array" ref="H2228">_xlfn.IFS(Ramen_Ratings[[#This Row],[Stars]] = "Unrated", "NA",Ramen_Ratings[[#This Row],[Stars]]&gt;=4, "Good", Ramen_Ratings[[#This Row],[Stars]]&gt;2.5, "Fair", Ramen_Ratings[[#This Row],[Stars]] &gt;= 0, "Bad")</f>
        <v>Fair</v>
      </c>
      <c r="J2228" t="str">
        <f>LEFT(Ramen_Ratings[[#This Row],[Top Ten]],4)</f>
        <v/>
      </c>
      <c r="K2228" t="str">
        <f>IF(Ramen_Ratings[[#This Row],[Top Ten]]="", "",RIGHT(Ramen_Ratings[[#This Row],[Top Ten]],LEN(Ramen_Ratings[[#This Row],[Top Ten]])-6))</f>
        <v/>
      </c>
    </row>
    <row r="2229" spans="1:11" x14ac:dyDescent="0.25">
      <c r="A2229">
        <v>1660</v>
      </c>
      <c r="B2229" t="s">
        <v>188</v>
      </c>
      <c r="C2229" t="s">
        <v>1136</v>
      </c>
      <c r="D2229" t="s">
        <v>13</v>
      </c>
      <c r="E2229" t="s">
        <v>46</v>
      </c>
      <c r="F2229" t="str">
        <f>VLOOKUP(Ramen_Ratings[[#This Row],[Country]],Country_Region[#All],2,FALSE)</f>
        <v>Asia</v>
      </c>
      <c r="G2229">
        <v>3</v>
      </c>
      <c r="H2229" t="str" cm="1">
        <f t="array" ref="H2229">_xlfn.IFS(Ramen_Ratings[[#This Row],[Stars]] = "Unrated", "NA",Ramen_Ratings[[#This Row],[Stars]]&gt;=4, "Good", Ramen_Ratings[[#This Row],[Stars]]&gt;2.5, "Fair", Ramen_Ratings[[#This Row],[Stars]] &gt;= 0, "Bad")</f>
        <v>Fair</v>
      </c>
      <c r="J2229" t="str">
        <f>LEFT(Ramen_Ratings[[#This Row],[Top Ten]],4)</f>
        <v/>
      </c>
      <c r="K2229" t="str">
        <f>IF(Ramen_Ratings[[#This Row],[Top Ten]]="", "",RIGHT(Ramen_Ratings[[#This Row],[Top Ten]],LEN(Ramen_Ratings[[#This Row],[Top Ten]])-6))</f>
        <v/>
      </c>
    </row>
    <row r="2230" spans="1:11" x14ac:dyDescent="0.25">
      <c r="A2230">
        <v>1605</v>
      </c>
      <c r="B2230" t="s">
        <v>15</v>
      </c>
      <c r="C2230" t="s">
        <v>1208</v>
      </c>
      <c r="D2230" t="s">
        <v>13</v>
      </c>
      <c r="E2230" t="s">
        <v>46</v>
      </c>
      <c r="F2230" t="str">
        <f>VLOOKUP(Ramen_Ratings[[#This Row],[Country]],Country_Region[#All],2,FALSE)</f>
        <v>Asia</v>
      </c>
      <c r="G2230">
        <v>3.5</v>
      </c>
      <c r="H2230" t="str" cm="1">
        <f t="array" ref="H2230">_xlfn.IFS(Ramen_Ratings[[#This Row],[Stars]] = "Unrated", "NA",Ramen_Ratings[[#This Row],[Stars]]&gt;=4, "Good", Ramen_Ratings[[#This Row],[Stars]]&gt;2.5, "Fair", Ramen_Ratings[[#This Row],[Stars]] &gt;= 0, "Bad")</f>
        <v>Fair</v>
      </c>
      <c r="J2230" t="str">
        <f>LEFT(Ramen_Ratings[[#This Row],[Top Ten]],4)</f>
        <v/>
      </c>
      <c r="K2230" t="str">
        <f>IF(Ramen_Ratings[[#This Row],[Top Ten]]="", "",RIGHT(Ramen_Ratings[[#This Row],[Top Ten]],LEN(Ramen_Ratings[[#This Row],[Top Ten]])-6))</f>
        <v/>
      </c>
    </row>
    <row r="2231" spans="1:11" x14ac:dyDescent="0.25">
      <c r="A2231">
        <v>1546</v>
      </c>
      <c r="B2231" t="s">
        <v>15</v>
      </c>
      <c r="C2231" t="s">
        <v>1278</v>
      </c>
      <c r="D2231" t="s">
        <v>13</v>
      </c>
      <c r="E2231" t="s">
        <v>46</v>
      </c>
      <c r="F2231" t="str">
        <f>VLOOKUP(Ramen_Ratings[[#This Row],[Country]],Country_Region[#All],2,FALSE)</f>
        <v>Asia</v>
      </c>
      <c r="G2231">
        <v>3.5</v>
      </c>
      <c r="H2231" t="str" cm="1">
        <f t="array" ref="H2231">_xlfn.IFS(Ramen_Ratings[[#This Row],[Stars]] = "Unrated", "NA",Ramen_Ratings[[#This Row],[Stars]]&gt;=4, "Good", Ramen_Ratings[[#This Row],[Stars]]&gt;2.5, "Fair", Ramen_Ratings[[#This Row],[Stars]] &gt;= 0, "Bad")</f>
        <v>Fair</v>
      </c>
      <c r="J2231" t="str">
        <f>LEFT(Ramen_Ratings[[#This Row],[Top Ten]],4)</f>
        <v/>
      </c>
      <c r="K2231" t="str">
        <f>IF(Ramen_Ratings[[#This Row],[Top Ten]]="", "",RIGHT(Ramen_Ratings[[#This Row],[Top Ten]],LEN(Ramen_Ratings[[#This Row],[Top Ten]])-6))</f>
        <v/>
      </c>
    </row>
    <row r="2232" spans="1:11" x14ac:dyDescent="0.25">
      <c r="A2232">
        <v>1538</v>
      </c>
      <c r="B2232" t="s">
        <v>188</v>
      </c>
      <c r="C2232" t="s">
        <v>1287</v>
      </c>
      <c r="D2232" t="s">
        <v>13</v>
      </c>
      <c r="E2232" t="s">
        <v>46</v>
      </c>
      <c r="F2232" t="str">
        <f>VLOOKUP(Ramen_Ratings[[#This Row],[Country]],Country_Region[#All],2,FALSE)</f>
        <v>Asia</v>
      </c>
      <c r="G2232">
        <v>4.5</v>
      </c>
      <c r="H2232" t="str" cm="1">
        <f t="array" ref="H2232">_xlfn.IFS(Ramen_Ratings[[#This Row],[Stars]] = "Unrated", "NA",Ramen_Ratings[[#This Row],[Stars]]&gt;=4, "Good", Ramen_Ratings[[#This Row],[Stars]]&gt;2.5, "Fair", Ramen_Ratings[[#This Row],[Stars]] &gt;= 0, "Bad")</f>
        <v>Good</v>
      </c>
      <c r="J2232" t="str">
        <f>LEFT(Ramen_Ratings[[#This Row],[Top Ten]],4)</f>
        <v/>
      </c>
      <c r="K2232" t="str">
        <f>IF(Ramen_Ratings[[#This Row],[Top Ten]]="", "",RIGHT(Ramen_Ratings[[#This Row],[Top Ten]],LEN(Ramen_Ratings[[#This Row],[Top Ten]])-6))</f>
        <v/>
      </c>
    </row>
    <row r="2233" spans="1:11" x14ac:dyDescent="0.25">
      <c r="A2233">
        <v>1535</v>
      </c>
      <c r="B2233" t="s">
        <v>188</v>
      </c>
      <c r="C2233" t="s">
        <v>1290</v>
      </c>
      <c r="D2233" t="s">
        <v>13</v>
      </c>
      <c r="E2233" t="s">
        <v>46</v>
      </c>
      <c r="F2233" t="str">
        <f>VLOOKUP(Ramen_Ratings[[#This Row],[Country]],Country_Region[#All],2,FALSE)</f>
        <v>Asia</v>
      </c>
      <c r="G2233">
        <v>3.5</v>
      </c>
      <c r="H2233" t="str" cm="1">
        <f t="array" ref="H2233">_xlfn.IFS(Ramen_Ratings[[#This Row],[Stars]] = "Unrated", "NA",Ramen_Ratings[[#This Row],[Stars]]&gt;=4, "Good", Ramen_Ratings[[#This Row],[Stars]]&gt;2.5, "Fair", Ramen_Ratings[[#This Row],[Stars]] &gt;= 0, "Bad")</f>
        <v>Fair</v>
      </c>
      <c r="J2233" t="str">
        <f>LEFT(Ramen_Ratings[[#This Row],[Top Ten]],4)</f>
        <v/>
      </c>
      <c r="K2233" t="str">
        <f>IF(Ramen_Ratings[[#This Row],[Top Ten]]="", "",RIGHT(Ramen_Ratings[[#This Row],[Top Ten]],LEN(Ramen_Ratings[[#This Row],[Top Ten]])-6))</f>
        <v/>
      </c>
    </row>
    <row r="2234" spans="1:11" x14ac:dyDescent="0.25">
      <c r="A2234">
        <v>1512</v>
      </c>
      <c r="B2234" t="s">
        <v>1317</v>
      </c>
      <c r="C2234" t="s">
        <v>1318</v>
      </c>
      <c r="D2234" t="s">
        <v>13</v>
      </c>
      <c r="E2234" t="s">
        <v>46</v>
      </c>
      <c r="F2234" t="str">
        <f>VLOOKUP(Ramen_Ratings[[#This Row],[Country]],Country_Region[#All],2,FALSE)</f>
        <v>Asia</v>
      </c>
      <c r="G2234">
        <v>1.75</v>
      </c>
      <c r="H2234" t="str" cm="1">
        <f t="array" ref="H2234">_xlfn.IFS(Ramen_Ratings[[#This Row],[Stars]] = "Unrated", "NA",Ramen_Ratings[[#This Row],[Stars]]&gt;=4, "Good", Ramen_Ratings[[#This Row],[Stars]]&gt;2.5, "Fair", Ramen_Ratings[[#This Row],[Stars]] &gt;= 0, "Bad")</f>
        <v>Bad</v>
      </c>
      <c r="J2234" t="str">
        <f>LEFT(Ramen_Ratings[[#This Row],[Top Ten]],4)</f>
        <v/>
      </c>
      <c r="K2234" t="str">
        <f>IF(Ramen_Ratings[[#This Row],[Top Ten]]="", "",RIGHT(Ramen_Ratings[[#This Row],[Top Ten]],LEN(Ramen_Ratings[[#This Row],[Top Ten]])-6))</f>
        <v/>
      </c>
    </row>
    <row r="2235" spans="1:11" x14ac:dyDescent="0.25">
      <c r="A2235">
        <v>1510</v>
      </c>
      <c r="B2235" t="s">
        <v>343</v>
      </c>
      <c r="C2235" t="s">
        <v>1320</v>
      </c>
      <c r="D2235" t="s">
        <v>13</v>
      </c>
      <c r="E2235" t="s">
        <v>46</v>
      </c>
      <c r="F2235" t="str">
        <f>VLOOKUP(Ramen_Ratings[[#This Row],[Country]],Country_Region[#All],2,FALSE)</f>
        <v>Asia</v>
      </c>
      <c r="G2235">
        <v>3.25</v>
      </c>
      <c r="H2235" t="str" cm="1">
        <f t="array" ref="H2235">_xlfn.IFS(Ramen_Ratings[[#This Row],[Stars]] = "Unrated", "NA",Ramen_Ratings[[#This Row],[Stars]]&gt;=4, "Good", Ramen_Ratings[[#This Row],[Stars]]&gt;2.5, "Fair", Ramen_Ratings[[#This Row],[Stars]] &gt;= 0, "Bad")</f>
        <v>Fair</v>
      </c>
      <c r="J2235" t="str">
        <f>LEFT(Ramen_Ratings[[#This Row],[Top Ten]],4)</f>
        <v/>
      </c>
      <c r="K2235" t="str">
        <f>IF(Ramen_Ratings[[#This Row],[Top Ten]]="", "",RIGHT(Ramen_Ratings[[#This Row],[Top Ten]],LEN(Ramen_Ratings[[#This Row],[Top Ten]])-6))</f>
        <v/>
      </c>
    </row>
    <row r="2236" spans="1:11" x14ac:dyDescent="0.25">
      <c r="A2236">
        <v>1483</v>
      </c>
      <c r="B2236" t="s">
        <v>590</v>
      </c>
      <c r="C2236" t="s">
        <v>1347</v>
      </c>
      <c r="D2236" t="s">
        <v>13</v>
      </c>
      <c r="E2236" t="s">
        <v>46</v>
      </c>
      <c r="F2236" t="str">
        <f>VLOOKUP(Ramen_Ratings[[#This Row],[Country]],Country_Region[#All],2,FALSE)</f>
        <v>Asia</v>
      </c>
      <c r="G2236">
        <v>4</v>
      </c>
      <c r="H2236" t="str" cm="1">
        <f t="array" ref="H2236">_xlfn.IFS(Ramen_Ratings[[#This Row],[Stars]] = "Unrated", "NA",Ramen_Ratings[[#This Row],[Stars]]&gt;=4, "Good", Ramen_Ratings[[#This Row],[Stars]]&gt;2.5, "Fair", Ramen_Ratings[[#This Row],[Stars]] &gt;= 0, "Bad")</f>
        <v>Good</v>
      </c>
      <c r="J2236" t="str">
        <f>LEFT(Ramen_Ratings[[#This Row],[Top Ten]],4)</f>
        <v/>
      </c>
      <c r="K2236" t="str">
        <f>IF(Ramen_Ratings[[#This Row],[Top Ten]]="", "",RIGHT(Ramen_Ratings[[#This Row],[Top Ten]],LEN(Ramen_Ratings[[#This Row],[Top Ten]])-6))</f>
        <v/>
      </c>
    </row>
    <row r="2237" spans="1:11" x14ac:dyDescent="0.25">
      <c r="A2237">
        <v>1437</v>
      </c>
      <c r="B2237" t="s">
        <v>343</v>
      </c>
      <c r="C2237" t="s">
        <v>1391</v>
      </c>
      <c r="D2237" t="s">
        <v>13</v>
      </c>
      <c r="E2237" t="s">
        <v>46</v>
      </c>
      <c r="F2237" t="str">
        <f>VLOOKUP(Ramen_Ratings[[#This Row],[Country]],Country_Region[#All],2,FALSE)</f>
        <v>Asia</v>
      </c>
      <c r="G2237">
        <v>3</v>
      </c>
      <c r="H2237" t="str" cm="1">
        <f t="array" ref="H2237">_xlfn.IFS(Ramen_Ratings[[#This Row],[Stars]] = "Unrated", "NA",Ramen_Ratings[[#This Row],[Stars]]&gt;=4, "Good", Ramen_Ratings[[#This Row],[Stars]]&gt;2.5, "Fair", Ramen_Ratings[[#This Row],[Stars]] &gt;= 0, "Bad")</f>
        <v>Fair</v>
      </c>
      <c r="J2237" t="str">
        <f>LEFT(Ramen_Ratings[[#This Row],[Top Ten]],4)</f>
        <v/>
      </c>
      <c r="K2237" t="str">
        <f>IF(Ramen_Ratings[[#This Row],[Top Ten]]="", "",RIGHT(Ramen_Ratings[[#This Row],[Top Ten]],LEN(Ramen_Ratings[[#This Row],[Top Ten]])-6))</f>
        <v/>
      </c>
    </row>
    <row r="2238" spans="1:11" x14ac:dyDescent="0.25">
      <c r="A2238">
        <v>1415</v>
      </c>
      <c r="B2238" t="s">
        <v>1317</v>
      </c>
      <c r="C2238" t="s">
        <v>1413</v>
      </c>
      <c r="D2238" t="s">
        <v>13</v>
      </c>
      <c r="E2238" t="s">
        <v>46</v>
      </c>
      <c r="F2238" t="str">
        <f>VLOOKUP(Ramen_Ratings[[#This Row],[Country]],Country_Region[#All],2,FALSE)</f>
        <v>Asia</v>
      </c>
      <c r="G2238">
        <v>0.5</v>
      </c>
      <c r="H2238" t="str" cm="1">
        <f t="array" ref="H2238">_xlfn.IFS(Ramen_Ratings[[#This Row],[Stars]] = "Unrated", "NA",Ramen_Ratings[[#This Row],[Stars]]&gt;=4, "Good", Ramen_Ratings[[#This Row],[Stars]]&gt;2.5, "Fair", Ramen_Ratings[[#This Row],[Stars]] &gt;= 0, "Bad")</f>
        <v>Bad</v>
      </c>
      <c r="J2238" t="str">
        <f>LEFT(Ramen_Ratings[[#This Row],[Top Ten]],4)</f>
        <v/>
      </c>
      <c r="K2238" t="str">
        <f>IF(Ramen_Ratings[[#This Row],[Top Ten]]="", "",RIGHT(Ramen_Ratings[[#This Row],[Top Ten]],LEN(Ramen_Ratings[[#This Row],[Top Ten]])-6))</f>
        <v/>
      </c>
    </row>
    <row r="2239" spans="1:11" x14ac:dyDescent="0.25">
      <c r="A2239">
        <v>1412</v>
      </c>
      <c r="B2239" t="s">
        <v>1317</v>
      </c>
      <c r="C2239" t="s">
        <v>1416</v>
      </c>
      <c r="D2239" t="s">
        <v>13</v>
      </c>
      <c r="E2239" t="s">
        <v>46</v>
      </c>
      <c r="F2239" t="str">
        <f>VLOOKUP(Ramen_Ratings[[#This Row],[Country]],Country_Region[#All],2,FALSE)</f>
        <v>Asia</v>
      </c>
      <c r="G2239">
        <v>4</v>
      </c>
      <c r="H2239" t="str" cm="1">
        <f t="array" ref="H2239">_xlfn.IFS(Ramen_Ratings[[#This Row],[Stars]] = "Unrated", "NA",Ramen_Ratings[[#This Row],[Stars]]&gt;=4, "Good", Ramen_Ratings[[#This Row],[Stars]]&gt;2.5, "Fair", Ramen_Ratings[[#This Row],[Stars]] &gt;= 0, "Bad")</f>
        <v>Good</v>
      </c>
      <c r="J2239" t="str">
        <f>LEFT(Ramen_Ratings[[#This Row],[Top Ten]],4)</f>
        <v/>
      </c>
      <c r="K2239" t="str">
        <f>IF(Ramen_Ratings[[#This Row],[Top Ten]]="", "",RIGHT(Ramen_Ratings[[#This Row],[Top Ten]],LEN(Ramen_Ratings[[#This Row],[Top Ten]])-6))</f>
        <v/>
      </c>
    </row>
    <row r="2240" spans="1:11" x14ac:dyDescent="0.25">
      <c r="A2240">
        <v>1365</v>
      </c>
      <c r="B2240" t="s">
        <v>590</v>
      </c>
      <c r="C2240" t="s">
        <v>1474</v>
      </c>
      <c r="D2240" t="s">
        <v>44</v>
      </c>
      <c r="E2240" t="s">
        <v>46</v>
      </c>
      <c r="F2240" t="str">
        <f>VLOOKUP(Ramen_Ratings[[#This Row],[Country]],Country_Region[#All],2,FALSE)</f>
        <v>Asia</v>
      </c>
      <c r="G2240">
        <v>3.5</v>
      </c>
      <c r="H2240" t="str" cm="1">
        <f t="array" ref="H2240">_xlfn.IFS(Ramen_Ratings[[#This Row],[Stars]] = "Unrated", "NA",Ramen_Ratings[[#This Row],[Stars]]&gt;=4, "Good", Ramen_Ratings[[#This Row],[Stars]]&gt;2.5, "Fair", Ramen_Ratings[[#This Row],[Stars]] &gt;= 0, "Bad")</f>
        <v>Fair</v>
      </c>
      <c r="J2240" t="str">
        <f>LEFT(Ramen_Ratings[[#This Row],[Top Ten]],4)</f>
        <v/>
      </c>
      <c r="K2240" t="str">
        <f>IF(Ramen_Ratings[[#This Row],[Top Ten]]="", "",RIGHT(Ramen_Ratings[[#This Row],[Top Ten]],LEN(Ramen_Ratings[[#This Row],[Top Ten]])-6))</f>
        <v/>
      </c>
    </row>
    <row r="2241" spans="1:11" x14ac:dyDescent="0.25">
      <c r="A2241">
        <v>1363</v>
      </c>
      <c r="B2241" t="s">
        <v>188</v>
      </c>
      <c r="C2241" t="s">
        <v>1477</v>
      </c>
      <c r="D2241" t="s">
        <v>13</v>
      </c>
      <c r="E2241" t="s">
        <v>46</v>
      </c>
      <c r="F2241" t="str">
        <f>VLOOKUP(Ramen_Ratings[[#This Row],[Country]],Country_Region[#All],2,FALSE)</f>
        <v>Asia</v>
      </c>
      <c r="G2241">
        <v>2.75</v>
      </c>
      <c r="H2241" t="str" cm="1">
        <f t="array" ref="H2241">_xlfn.IFS(Ramen_Ratings[[#This Row],[Stars]] = "Unrated", "NA",Ramen_Ratings[[#This Row],[Stars]]&gt;=4, "Good", Ramen_Ratings[[#This Row],[Stars]]&gt;2.5, "Fair", Ramen_Ratings[[#This Row],[Stars]] &gt;= 0, "Bad")</f>
        <v>Fair</v>
      </c>
      <c r="J2241" t="str">
        <f>LEFT(Ramen_Ratings[[#This Row],[Top Ten]],4)</f>
        <v/>
      </c>
      <c r="K2241" t="str">
        <f>IF(Ramen_Ratings[[#This Row],[Top Ten]]="", "",RIGHT(Ramen_Ratings[[#This Row],[Top Ten]],LEN(Ramen_Ratings[[#This Row],[Top Ten]])-6))</f>
        <v/>
      </c>
    </row>
    <row r="2242" spans="1:11" x14ac:dyDescent="0.25">
      <c r="A2242">
        <v>1304</v>
      </c>
      <c r="B2242" t="s">
        <v>15</v>
      </c>
      <c r="C2242" t="s">
        <v>1540</v>
      </c>
      <c r="D2242" t="s">
        <v>13</v>
      </c>
      <c r="E2242" t="s">
        <v>46</v>
      </c>
      <c r="F2242" t="str">
        <f>VLOOKUP(Ramen_Ratings[[#This Row],[Country]],Country_Region[#All],2,FALSE)</f>
        <v>Asia</v>
      </c>
      <c r="G2242">
        <v>4.75</v>
      </c>
      <c r="H2242" t="str" cm="1">
        <f t="array" ref="H2242">_xlfn.IFS(Ramen_Ratings[[#This Row],[Stars]] = "Unrated", "NA",Ramen_Ratings[[#This Row],[Stars]]&gt;=4, "Good", Ramen_Ratings[[#This Row],[Stars]]&gt;2.5, "Fair", Ramen_Ratings[[#This Row],[Stars]] &gt;= 0, "Bad")</f>
        <v>Good</v>
      </c>
      <c r="J2242" t="str">
        <f>LEFT(Ramen_Ratings[[#This Row],[Top Ten]],4)</f>
        <v/>
      </c>
      <c r="K2242" t="str">
        <f>IF(Ramen_Ratings[[#This Row],[Top Ten]]="", "",RIGHT(Ramen_Ratings[[#This Row],[Top Ten]],LEN(Ramen_Ratings[[#This Row],[Top Ten]])-6))</f>
        <v/>
      </c>
    </row>
    <row r="2243" spans="1:11" x14ac:dyDescent="0.25">
      <c r="A2243">
        <v>1301</v>
      </c>
      <c r="B2243" t="s">
        <v>343</v>
      </c>
      <c r="C2243" t="s">
        <v>1544</v>
      </c>
      <c r="D2243" t="s">
        <v>13</v>
      </c>
      <c r="E2243" t="s">
        <v>46</v>
      </c>
      <c r="F2243" t="str">
        <f>VLOOKUP(Ramen_Ratings[[#This Row],[Country]],Country_Region[#All],2,FALSE)</f>
        <v>Asia</v>
      </c>
      <c r="G2243">
        <v>3.25</v>
      </c>
      <c r="H2243" t="str" cm="1">
        <f t="array" ref="H2243">_xlfn.IFS(Ramen_Ratings[[#This Row],[Stars]] = "Unrated", "NA",Ramen_Ratings[[#This Row],[Stars]]&gt;=4, "Good", Ramen_Ratings[[#This Row],[Stars]]&gt;2.5, "Fair", Ramen_Ratings[[#This Row],[Stars]] &gt;= 0, "Bad")</f>
        <v>Fair</v>
      </c>
      <c r="J2243" t="str">
        <f>LEFT(Ramen_Ratings[[#This Row],[Top Ten]],4)</f>
        <v/>
      </c>
      <c r="K2243" t="str">
        <f>IF(Ramen_Ratings[[#This Row],[Top Ten]]="", "",RIGHT(Ramen_Ratings[[#This Row],[Top Ten]],LEN(Ramen_Ratings[[#This Row],[Top Ten]])-6))</f>
        <v/>
      </c>
    </row>
    <row r="2244" spans="1:11" x14ac:dyDescent="0.25">
      <c r="A2244">
        <v>1288</v>
      </c>
      <c r="B2244" t="s">
        <v>188</v>
      </c>
      <c r="C2244" t="s">
        <v>1559</v>
      </c>
      <c r="D2244" t="s">
        <v>44</v>
      </c>
      <c r="E2244" t="s">
        <v>46</v>
      </c>
      <c r="F2244" t="str">
        <f>VLOOKUP(Ramen_Ratings[[#This Row],[Country]],Country_Region[#All],2,FALSE)</f>
        <v>Asia</v>
      </c>
      <c r="G2244">
        <v>3.75</v>
      </c>
      <c r="H2244" t="str" cm="1">
        <f t="array" ref="H2244">_xlfn.IFS(Ramen_Ratings[[#This Row],[Stars]] = "Unrated", "NA",Ramen_Ratings[[#This Row],[Stars]]&gt;=4, "Good", Ramen_Ratings[[#This Row],[Stars]]&gt;2.5, "Fair", Ramen_Ratings[[#This Row],[Stars]] &gt;= 0, "Bad")</f>
        <v>Fair</v>
      </c>
      <c r="J2244" t="str">
        <f>LEFT(Ramen_Ratings[[#This Row],[Top Ten]],4)</f>
        <v/>
      </c>
      <c r="K2244" t="str">
        <f>IF(Ramen_Ratings[[#This Row],[Top Ten]]="", "",RIGHT(Ramen_Ratings[[#This Row],[Top Ten]],LEN(Ramen_Ratings[[#This Row],[Top Ten]])-6))</f>
        <v/>
      </c>
    </row>
    <row r="2245" spans="1:11" x14ac:dyDescent="0.25">
      <c r="A2245">
        <v>1269</v>
      </c>
      <c r="B2245" t="s">
        <v>1317</v>
      </c>
      <c r="C2245" t="s">
        <v>1581</v>
      </c>
      <c r="D2245" t="s">
        <v>13</v>
      </c>
      <c r="E2245" t="s">
        <v>46</v>
      </c>
      <c r="F2245" t="str">
        <f>VLOOKUP(Ramen_Ratings[[#This Row],[Country]],Country_Region[#All],2,FALSE)</f>
        <v>Asia</v>
      </c>
      <c r="G2245">
        <v>2.5</v>
      </c>
      <c r="H2245" t="str" cm="1">
        <f t="array" ref="H2245">_xlfn.IFS(Ramen_Ratings[[#This Row],[Stars]] = "Unrated", "NA",Ramen_Ratings[[#This Row],[Stars]]&gt;=4, "Good", Ramen_Ratings[[#This Row],[Stars]]&gt;2.5, "Fair", Ramen_Ratings[[#This Row],[Stars]] &gt;= 0, "Bad")</f>
        <v>Bad</v>
      </c>
      <c r="J2245" t="str">
        <f>LEFT(Ramen_Ratings[[#This Row],[Top Ten]],4)</f>
        <v/>
      </c>
      <c r="K2245" t="str">
        <f>IF(Ramen_Ratings[[#This Row],[Top Ten]]="", "",RIGHT(Ramen_Ratings[[#This Row],[Top Ten]],LEN(Ramen_Ratings[[#This Row],[Top Ten]])-6))</f>
        <v/>
      </c>
    </row>
    <row r="2246" spans="1:11" x14ac:dyDescent="0.25">
      <c r="A2246">
        <v>1254</v>
      </c>
      <c r="B2246" t="s">
        <v>590</v>
      </c>
      <c r="C2246" t="s">
        <v>1598</v>
      </c>
      <c r="D2246" t="s">
        <v>44</v>
      </c>
      <c r="E2246" t="s">
        <v>46</v>
      </c>
      <c r="F2246" t="str">
        <f>VLOOKUP(Ramen_Ratings[[#This Row],[Country]],Country_Region[#All],2,FALSE)</f>
        <v>Asia</v>
      </c>
      <c r="G2246">
        <v>2.75</v>
      </c>
      <c r="H2246" t="str" cm="1">
        <f t="array" ref="H2246">_xlfn.IFS(Ramen_Ratings[[#This Row],[Stars]] = "Unrated", "NA",Ramen_Ratings[[#This Row],[Stars]]&gt;=4, "Good", Ramen_Ratings[[#This Row],[Stars]]&gt;2.5, "Fair", Ramen_Ratings[[#This Row],[Stars]] &gt;= 0, "Bad")</f>
        <v>Fair</v>
      </c>
      <c r="J2246" t="str">
        <f>LEFT(Ramen_Ratings[[#This Row],[Top Ten]],4)</f>
        <v/>
      </c>
      <c r="K2246" t="str">
        <f>IF(Ramen_Ratings[[#This Row],[Top Ten]]="", "",RIGHT(Ramen_Ratings[[#This Row],[Top Ten]],LEN(Ramen_Ratings[[#This Row],[Top Ten]])-6))</f>
        <v/>
      </c>
    </row>
    <row r="2247" spans="1:11" x14ac:dyDescent="0.25">
      <c r="A2247">
        <v>1245</v>
      </c>
      <c r="B2247" t="s">
        <v>188</v>
      </c>
      <c r="C2247" t="s">
        <v>1607</v>
      </c>
      <c r="D2247" t="s">
        <v>13</v>
      </c>
      <c r="E2247" t="s">
        <v>46</v>
      </c>
      <c r="F2247" t="str">
        <f>VLOOKUP(Ramen_Ratings[[#This Row],[Country]],Country_Region[#All],2,FALSE)</f>
        <v>Asia</v>
      </c>
      <c r="G2247">
        <v>3.5</v>
      </c>
      <c r="H2247" t="str" cm="1">
        <f t="array" ref="H2247">_xlfn.IFS(Ramen_Ratings[[#This Row],[Stars]] = "Unrated", "NA",Ramen_Ratings[[#This Row],[Stars]]&gt;=4, "Good", Ramen_Ratings[[#This Row],[Stars]]&gt;2.5, "Fair", Ramen_Ratings[[#This Row],[Stars]] &gt;= 0, "Bad")</f>
        <v>Fair</v>
      </c>
      <c r="J2247" t="str">
        <f>LEFT(Ramen_Ratings[[#This Row],[Top Ten]],4)</f>
        <v/>
      </c>
      <c r="K2247" t="str">
        <f>IF(Ramen_Ratings[[#This Row],[Top Ten]]="", "",RIGHT(Ramen_Ratings[[#This Row],[Top Ten]],LEN(Ramen_Ratings[[#This Row],[Top Ten]])-6))</f>
        <v/>
      </c>
    </row>
    <row r="2248" spans="1:11" x14ac:dyDescent="0.25">
      <c r="A2248">
        <v>1243</v>
      </c>
      <c r="B2248" t="s">
        <v>15</v>
      </c>
      <c r="C2248" t="s">
        <v>1609</v>
      </c>
      <c r="D2248" t="s">
        <v>13</v>
      </c>
      <c r="E2248" t="s">
        <v>46</v>
      </c>
      <c r="F2248" t="str">
        <f>VLOOKUP(Ramen_Ratings[[#This Row],[Country]],Country_Region[#All],2,FALSE)</f>
        <v>Asia</v>
      </c>
      <c r="G2248">
        <v>1.75</v>
      </c>
      <c r="H2248" t="str" cm="1">
        <f t="array" ref="H2248">_xlfn.IFS(Ramen_Ratings[[#This Row],[Stars]] = "Unrated", "NA",Ramen_Ratings[[#This Row],[Stars]]&gt;=4, "Good", Ramen_Ratings[[#This Row],[Stars]]&gt;2.5, "Fair", Ramen_Ratings[[#This Row],[Stars]] &gt;= 0, "Bad")</f>
        <v>Bad</v>
      </c>
      <c r="J2248" t="str">
        <f>LEFT(Ramen_Ratings[[#This Row],[Top Ten]],4)</f>
        <v/>
      </c>
      <c r="K2248" t="str">
        <f>IF(Ramen_Ratings[[#This Row],[Top Ten]]="", "",RIGHT(Ramen_Ratings[[#This Row],[Top Ten]],LEN(Ramen_Ratings[[#This Row],[Top Ten]])-6))</f>
        <v/>
      </c>
    </row>
    <row r="2249" spans="1:11" x14ac:dyDescent="0.25">
      <c r="A2249">
        <v>1235</v>
      </c>
      <c r="B2249" t="s">
        <v>15</v>
      </c>
      <c r="C2249" t="s">
        <v>1618</v>
      </c>
      <c r="D2249" t="s">
        <v>13</v>
      </c>
      <c r="E2249" t="s">
        <v>46</v>
      </c>
      <c r="F2249" t="str">
        <f>VLOOKUP(Ramen_Ratings[[#This Row],[Country]],Country_Region[#All],2,FALSE)</f>
        <v>Asia</v>
      </c>
      <c r="G2249">
        <v>3.75</v>
      </c>
      <c r="H2249" t="str" cm="1">
        <f t="array" ref="H2249">_xlfn.IFS(Ramen_Ratings[[#This Row],[Stars]] = "Unrated", "NA",Ramen_Ratings[[#This Row],[Stars]]&gt;=4, "Good", Ramen_Ratings[[#This Row],[Stars]]&gt;2.5, "Fair", Ramen_Ratings[[#This Row],[Stars]] &gt;= 0, "Bad")</f>
        <v>Fair</v>
      </c>
      <c r="J2249" t="str">
        <f>LEFT(Ramen_Ratings[[#This Row],[Top Ten]],4)</f>
        <v/>
      </c>
      <c r="K2249" t="str">
        <f>IF(Ramen_Ratings[[#This Row],[Top Ten]]="", "",RIGHT(Ramen_Ratings[[#This Row],[Top Ten]],LEN(Ramen_Ratings[[#This Row],[Top Ten]])-6))</f>
        <v/>
      </c>
    </row>
    <row r="2250" spans="1:11" x14ac:dyDescent="0.25">
      <c r="A2250">
        <v>1217</v>
      </c>
      <c r="B2250" t="s">
        <v>588</v>
      </c>
      <c r="C2250" t="s">
        <v>1638</v>
      </c>
      <c r="D2250" t="s">
        <v>9</v>
      </c>
      <c r="E2250" t="s">
        <v>46</v>
      </c>
      <c r="F2250" t="str">
        <f>VLOOKUP(Ramen_Ratings[[#This Row],[Country]],Country_Region[#All],2,FALSE)</f>
        <v>Asia</v>
      </c>
      <c r="G2250">
        <v>3.5</v>
      </c>
      <c r="H2250" t="str" cm="1">
        <f t="array" ref="H2250">_xlfn.IFS(Ramen_Ratings[[#This Row],[Stars]] = "Unrated", "NA",Ramen_Ratings[[#This Row],[Stars]]&gt;=4, "Good", Ramen_Ratings[[#This Row],[Stars]]&gt;2.5, "Fair", Ramen_Ratings[[#This Row],[Stars]] &gt;= 0, "Bad")</f>
        <v>Fair</v>
      </c>
      <c r="J2250" t="str">
        <f>LEFT(Ramen_Ratings[[#This Row],[Top Ten]],4)</f>
        <v/>
      </c>
      <c r="K2250" t="str">
        <f>IF(Ramen_Ratings[[#This Row],[Top Ten]]="", "",RIGHT(Ramen_Ratings[[#This Row],[Top Ten]],LEN(Ramen_Ratings[[#This Row],[Top Ten]])-6))</f>
        <v/>
      </c>
    </row>
    <row r="2251" spans="1:11" x14ac:dyDescent="0.25">
      <c r="A2251">
        <v>1211</v>
      </c>
      <c r="B2251" t="s">
        <v>15</v>
      </c>
      <c r="C2251" t="s">
        <v>1645</v>
      </c>
      <c r="D2251" t="s">
        <v>44</v>
      </c>
      <c r="E2251" t="s">
        <v>46</v>
      </c>
      <c r="F2251" t="str">
        <f>VLOOKUP(Ramen_Ratings[[#This Row],[Country]],Country_Region[#All],2,FALSE)</f>
        <v>Asia</v>
      </c>
      <c r="G2251">
        <v>3</v>
      </c>
      <c r="H2251" t="str" cm="1">
        <f t="array" ref="H2251">_xlfn.IFS(Ramen_Ratings[[#This Row],[Stars]] = "Unrated", "NA",Ramen_Ratings[[#This Row],[Stars]]&gt;=4, "Good", Ramen_Ratings[[#This Row],[Stars]]&gt;2.5, "Fair", Ramen_Ratings[[#This Row],[Stars]] &gt;= 0, "Bad")</f>
        <v>Fair</v>
      </c>
      <c r="J2251" t="str">
        <f>LEFT(Ramen_Ratings[[#This Row],[Top Ten]],4)</f>
        <v/>
      </c>
      <c r="K2251" t="str">
        <f>IF(Ramen_Ratings[[#This Row],[Top Ten]]="", "",RIGHT(Ramen_Ratings[[#This Row],[Top Ten]],LEN(Ramen_Ratings[[#This Row],[Top Ten]])-6))</f>
        <v/>
      </c>
    </row>
    <row r="2252" spans="1:11" x14ac:dyDescent="0.25">
      <c r="A2252">
        <v>1158</v>
      </c>
      <c r="B2252" t="s">
        <v>15</v>
      </c>
      <c r="C2252" t="s">
        <v>1700</v>
      </c>
      <c r="D2252" t="s">
        <v>44</v>
      </c>
      <c r="E2252" t="s">
        <v>46</v>
      </c>
      <c r="F2252" t="str">
        <f>VLOOKUP(Ramen_Ratings[[#This Row],[Country]],Country_Region[#All],2,FALSE)</f>
        <v>Asia</v>
      </c>
      <c r="G2252">
        <v>4</v>
      </c>
      <c r="H2252" t="str" cm="1">
        <f t="array" ref="H2252">_xlfn.IFS(Ramen_Ratings[[#This Row],[Stars]] = "Unrated", "NA",Ramen_Ratings[[#This Row],[Stars]]&gt;=4, "Good", Ramen_Ratings[[#This Row],[Stars]]&gt;2.5, "Fair", Ramen_Ratings[[#This Row],[Stars]] &gt;= 0, "Bad")</f>
        <v>Good</v>
      </c>
      <c r="J2252" t="str">
        <f>LEFT(Ramen_Ratings[[#This Row],[Top Ten]],4)</f>
        <v/>
      </c>
      <c r="K2252" t="str">
        <f>IF(Ramen_Ratings[[#This Row],[Top Ten]]="", "",RIGHT(Ramen_Ratings[[#This Row],[Top Ten]],LEN(Ramen_Ratings[[#This Row],[Top Ten]])-6))</f>
        <v/>
      </c>
    </row>
    <row r="2253" spans="1:11" x14ac:dyDescent="0.25">
      <c r="A2253">
        <v>1133</v>
      </c>
      <c r="B2253" t="s">
        <v>326</v>
      </c>
      <c r="C2253" t="s">
        <v>1727</v>
      </c>
      <c r="D2253" t="s">
        <v>13</v>
      </c>
      <c r="E2253" t="s">
        <v>46</v>
      </c>
      <c r="F2253" t="str">
        <f>VLOOKUP(Ramen_Ratings[[#This Row],[Country]],Country_Region[#All],2,FALSE)</f>
        <v>Asia</v>
      </c>
      <c r="G2253">
        <v>3.75</v>
      </c>
      <c r="H2253" t="str" cm="1">
        <f t="array" ref="H2253">_xlfn.IFS(Ramen_Ratings[[#This Row],[Stars]] = "Unrated", "NA",Ramen_Ratings[[#This Row],[Stars]]&gt;=4, "Good", Ramen_Ratings[[#This Row],[Stars]]&gt;2.5, "Fair", Ramen_Ratings[[#This Row],[Stars]] &gt;= 0, "Bad")</f>
        <v>Fair</v>
      </c>
      <c r="J2253" t="str">
        <f>LEFT(Ramen_Ratings[[#This Row],[Top Ten]],4)</f>
        <v/>
      </c>
      <c r="K2253" t="str">
        <f>IF(Ramen_Ratings[[#This Row],[Top Ten]]="", "",RIGHT(Ramen_Ratings[[#This Row],[Top Ten]],LEN(Ramen_Ratings[[#This Row],[Top Ten]])-6))</f>
        <v/>
      </c>
    </row>
    <row r="2254" spans="1:11" x14ac:dyDescent="0.25">
      <c r="A2254">
        <v>1107</v>
      </c>
      <c r="B2254" t="s">
        <v>15</v>
      </c>
      <c r="C2254" t="s">
        <v>1756</v>
      </c>
      <c r="D2254" t="s">
        <v>44</v>
      </c>
      <c r="E2254" t="s">
        <v>46</v>
      </c>
      <c r="F2254" t="str">
        <f>VLOOKUP(Ramen_Ratings[[#This Row],[Country]],Country_Region[#All],2,FALSE)</f>
        <v>Asia</v>
      </c>
      <c r="G2254">
        <v>3.5</v>
      </c>
      <c r="H2254" t="str" cm="1">
        <f t="array" ref="H2254">_xlfn.IFS(Ramen_Ratings[[#This Row],[Stars]] = "Unrated", "NA",Ramen_Ratings[[#This Row],[Stars]]&gt;=4, "Good", Ramen_Ratings[[#This Row],[Stars]]&gt;2.5, "Fair", Ramen_Ratings[[#This Row],[Stars]] &gt;= 0, "Bad")</f>
        <v>Fair</v>
      </c>
      <c r="J2254" t="str">
        <f>LEFT(Ramen_Ratings[[#This Row],[Top Ten]],4)</f>
        <v/>
      </c>
      <c r="K2254" t="str">
        <f>IF(Ramen_Ratings[[#This Row],[Top Ten]]="", "",RIGHT(Ramen_Ratings[[#This Row],[Top Ten]],LEN(Ramen_Ratings[[#This Row],[Top Ten]])-6))</f>
        <v/>
      </c>
    </row>
    <row r="2255" spans="1:11" x14ac:dyDescent="0.25">
      <c r="A2255">
        <v>1050</v>
      </c>
      <c r="B2255" t="s">
        <v>343</v>
      </c>
      <c r="C2255" t="s">
        <v>1816</v>
      </c>
      <c r="D2255" t="s">
        <v>13</v>
      </c>
      <c r="E2255" t="s">
        <v>46</v>
      </c>
      <c r="F2255" t="str">
        <f>VLOOKUP(Ramen_Ratings[[#This Row],[Country]],Country_Region[#All],2,FALSE)</f>
        <v>Asia</v>
      </c>
      <c r="G2255">
        <v>3</v>
      </c>
      <c r="H2255" t="str" cm="1">
        <f t="array" ref="H2255">_xlfn.IFS(Ramen_Ratings[[#This Row],[Stars]] = "Unrated", "NA",Ramen_Ratings[[#This Row],[Stars]]&gt;=4, "Good", Ramen_Ratings[[#This Row],[Stars]]&gt;2.5, "Fair", Ramen_Ratings[[#This Row],[Stars]] &gt;= 0, "Bad")</f>
        <v>Fair</v>
      </c>
      <c r="J2255" t="str">
        <f>LEFT(Ramen_Ratings[[#This Row],[Top Ten]],4)</f>
        <v/>
      </c>
      <c r="K2255" t="str">
        <f>IF(Ramen_Ratings[[#This Row],[Top Ten]]="", "",RIGHT(Ramen_Ratings[[#This Row],[Top Ten]],LEN(Ramen_Ratings[[#This Row],[Top Ten]])-6))</f>
        <v/>
      </c>
    </row>
    <row r="2256" spans="1:11" x14ac:dyDescent="0.25">
      <c r="A2256">
        <v>1007</v>
      </c>
      <c r="B2256" t="s">
        <v>15</v>
      </c>
      <c r="C2256" t="s">
        <v>1858</v>
      </c>
      <c r="D2256" t="s">
        <v>44</v>
      </c>
      <c r="E2256" t="s">
        <v>46</v>
      </c>
      <c r="F2256" t="str">
        <f>VLOOKUP(Ramen_Ratings[[#This Row],[Country]],Country_Region[#All],2,FALSE)</f>
        <v>Asia</v>
      </c>
      <c r="G2256">
        <v>4.5</v>
      </c>
      <c r="H2256" t="str" cm="1">
        <f t="array" ref="H2256">_xlfn.IFS(Ramen_Ratings[[#This Row],[Stars]] = "Unrated", "NA",Ramen_Ratings[[#This Row],[Stars]]&gt;=4, "Good", Ramen_Ratings[[#This Row],[Stars]]&gt;2.5, "Fair", Ramen_Ratings[[#This Row],[Stars]] &gt;= 0, "Bad")</f>
        <v>Good</v>
      </c>
      <c r="J2256" t="str">
        <f>LEFT(Ramen_Ratings[[#This Row],[Top Ten]],4)</f>
        <v/>
      </c>
      <c r="K2256" t="str">
        <f>IF(Ramen_Ratings[[#This Row],[Top Ten]]="", "",RIGHT(Ramen_Ratings[[#This Row],[Top Ten]],LEN(Ramen_Ratings[[#This Row],[Top Ten]])-6))</f>
        <v/>
      </c>
    </row>
    <row r="2257" spans="1:11" x14ac:dyDescent="0.25">
      <c r="A2257">
        <v>770</v>
      </c>
      <c r="B2257" t="s">
        <v>2114</v>
      </c>
      <c r="C2257" t="s">
        <v>2084</v>
      </c>
      <c r="D2257" t="s">
        <v>13</v>
      </c>
      <c r="E2257" t="s">
        <v>46</v>
      </c>
      <c r="F2257" t="str">
        <f>VLOOKUP(Ramen_Ratings[[#This Row],[Country]],Country_Region[#All],2,FALSE)</f>
        <v>Asia</v>
      </c>
      <c r="G2257">
        <v>3.5</v>
      </c>
      <c r="H2257" t="str" cm="1">
        <f t="array" ref="H2257">_xlfn.IFS(Ramen_Ratings[[#This Row],[Stars]] = "Unrated", "NA",Ramen_Ratings[[#This Row],[Stars]]&gt;=4, "Good", Ramen_Ratings[[#This Row],[Stars]]&gt;2.5, "Fair", Ramen_Ratings[[#This Row],[Stars]] &gt;= 0, "Bad")</f>
        <v>Fair</v>
      </c>
      <c r="J2257" t="str">
        <f>LEFT(Ramen_Ratings[[#This Row],[Top Ten]],4)</f>
        <v/>
      </c>
      <c r="K2257" t="str">
        <f>IF(Ramen_Ratings[[#This Row],[Top Ten]]="", "",RIGHT(Ramen_Ratings[[#This Row],[Top Ten]],LEN(Ramen_Ratings[[#This Row],[Top Ten]])-6))</f>
        <v/>
      </c>
    </row>
    <row r="2258" spans="1:11" x14ac:dyDescent="0.25">
      <c r="A2258">
        <v>712</v>
      </c>
      <c r="B2258" t="s">
        <v>590</v>
      </c>
      <c r="C2258" t="s">
        <v>2174</v>
      </c>
      <c r="D2258" t="s">
        <v>44</v>
      </c>
      <c r="E2258" t="s">
        <v>46</v>
      </c>
      <c r="F2258" t="str">
        <f>VLOOKUP(Ramen_Ratings[[#This Row],[Country]],Country_Region[#All],2,FALSE)</f>
        <v>Asia</v>
      </c>
      <c r="G2258">
        <v>3.25</v>
      </c>
      <c r="H2258" t="str" cm="1">
        <f t="array" ref="H2258">_xlfn.IFS(Ramen_Ratings[[#This Row],[Stars]] = "Unrated", "NA",Ramen_Ratings[[#This Row],[Stars]]&gt;=4, "Good", Ramen_Ratings[[#This Row],[Stars]]&gt;2.5, "Fair", Ramen_Ratings[[#This Row],[Stars]] &gt;= 0, "Bad")</f>
        <v>Fair</v>
      </c>
      <c r="J2258" t="str">
        <f>LEFT(Ramen_Ratings[[#This Row],[Top Ten]],4)</f>
        <v/>
      </c>
      <c r="K2258" t="str">
        <f>IF(Ramen_Ratings[[#This Row],[Top Ten]]="", "",RIGHT(Ramen_Ratings[[#This Row],[Top Ten]],LEN(Ramen_Ratings[[#This Row],[Top Ten]])-6))</f>
        <v/>
      </c>
    </row>
    <row r="2259" spans="1:11" x14ac:dyDescent="0.25">
      <c r="A2259">
        <v>687</v>
      </c>
      <c r="B2259" t="s">
        <v>15</v>
      </c>
      <c r="C2259" t="s">
        <v>2204</v>
      </c>
      <c r="D2259" t="s">
        <v>9</v>
      </c>
      <c r="E2259" t="s">
        <v>46</v>
      </c>
      <c r="F2259" t="str">
        <f>VLOOKUP(Ramen_Ratings[[#This Row],[Country]],Country_Region[#All],2,FALSE)</f>
        <v>Asia</v>
      </c>
      <c r="G2259">
        <v>3.75</v>
      </c>
      <c r="H2259" t="str" cm="1">
        <f t="array" ref="H2259">_xlfn.IFS(Ramen_Ratings[[#This Row],[Stars]] = "Unrated", "NA",Ramen_Ratings[[#This Row],[Stars]]&gt;=4, "Good", Ramen_Ratings[[#This Row],[Stars]]&gt;2.5, "Fair", Ramen_Ratings[[#This Row],[Stars]] &gt;= 0, "Bad")</f>
        <v>Fair</v>
      </c>
      <c r="J2259" t="str">
        <f>LEFT(Ramen_Ratings[[#This Row],[Top Ten]],4)</f>
        <v/>
      </c>
      <c r="K2259" t="str">
        <f>IF(Ramen_Ratings[[#This Row],[Top Ten]]="", "",RIGHT(Ramen_Ratings[[#This Row],[Top Ten]],LEN(Ramen_Ratings[[#This Row],[Top Ten]])-6))</f>
        <v/>
      </c>
    </row>
    <row r="2260" spans="1:11" x14ac:dyDescent="0.25">
      <c r="A2260">
        <v>614</v>
      </c>
      <c r="B2260" t="s">
        <v>445</v>
      </c>
      <c r="C2260" t="s">
        <v>2278</v>
      </c>
      <c r="D2260" t="s">
        <v>13</v>
      </c>
      <c r="E2260" t="s">
        <v>46</v>
      </c>
      <c r="F2260" t="str">
        <f>VLOOKUP(Ramen_Ratings[[#This Row],[Country]],Country_Region[#All],2,FALSE)</f>
        <v>Asia</v>
      </c>
      <c r="G2260">
        <v>2.5</v>
      </c>
      <c r="H2260" t="str" cm="1">
        <f t="array" ref="H2260">_xlfn.IFS(Ramen_Ratings[[#This Row],[Stars]] = "Unrated", "NA",Ramen_Ratings[[#This Row],[Stars]]&gt;=4, "Good", Ramen_Ratings[[#This Row],[Stars]]&gt;2.5, "Fair", Ramen_Ratings[[#This Row],[Stars]] &gt;= 0, "Bad")</f>
        <v>Bad</v>
      </c>
      <c r="J2260" t="str">
        <f>LEFT(Ramen_Ratings[[#This Row],[Top Ten]],4)</f>
        <v/>
      </c>
      <c r="K2260" t="str">
        <f>IF(Ramen_Ratings[[#This Row],[Top Ten]]="", "",RIGHT(Ramen_Ratings[[#This Row],[Top Ten]],LEN(Ramen_Ratings[[#This Row],[Top Ten]])-6))</f>
        <v/>
      </c>
    </row>
    <row r="2261" spans="1:11" x14ac:dyDescent="0.25">
      <c r="A2261">
        <v>532</v>
      </c>
      <c r="B2261" t="s">
        <v>588</v>
      </c>
      <c r="C2261" t="s">
        <v>2359</v>
      </c>
      <c r="D2261" t="s">
        <v>13</v>
      </c>
      <c r="E2261" t="s">
        <v>46</v>
      </c>
      <c r="F2261" t="str">
        <f>VLOOKUP(Ramen_Ratings[[#This Row],[Country]],Country_Region[#All],2,FALSE)</f>
        <v>Asia</v>
      </c>
      <c r="G2261">
        <v>4.25</v>
      </c>
      <c r="H2261" t="str" cm="1">
        <f t="array" ref="H2261">_xlfn.IFS(Ramen_Ratings[[#This Row],[Stars]] = "Unrated", "NA",Ramen_Ratings[[#This Row],[Stars]]&gt;=4, "Good", Ramen_Ratings[[#This Row],[Stars]]&gt;2.5, "Fair", Ramen_Ratings[[#This Row],[Stars]] &gt;= 0, "Bad")</f>
        <v>Good</v>
      </c>
      <c r="J2261" t="str">
        <f>LEFT(Ramen_Ratings[[#This Row],[Top Ten]],4)</f>
        <v/>
      </c>
      <c r="K2261" t="str">
        <f>IF(Ramen_Ratings[[#This Row],[Top Ten]]="", "",RIGHT(Ramen_Ratings[[#This Row],[Top Ten]],LEN(Ramen_Ratings[[#This Row],[Top Ten]])-6))</f>
        <v/>
      </c>
    </row>
    <row r="2262" spans="1:11" x14ac:dyDescent="0.25">
      <c r="A2262">
        <v>524</v>
      </c>
      <c r="B2262" t="s">
        <v>15</v>
      </c>
      <c r="C2262" t="s">
        <v>2366</v>
      </c>
      <c r="D2262" t="s">
        <v>9</v>
      </c>
      <c r="E2262" t="s">
        <v>46</v>
      </c>
      <c r="F2262" t="str">
        <f>VLOOKUP(Ramen_Ratings[[#This Row],[Country]],Country_Region[#All],2,FALSE)</f>
        <v>Asia</v>
      </c>
      <c r="G2262">
        <v>3.75</v>
      </c>
      <c r="H2262" t="str" cm="1">
        <f t="array" ref="H2262">_xlfn.IFS(Ramen_Ratings[[#This Row],[Stars]] = "Unrated", "NA",Ramen_Ratings[[#This Row],[Stars]]&gt;=4, "Good", Ramen_Ratings[[#This Row],[Stars]]&gt;2.5, "Fair", Ramen_Ratings[[#This Row],[Stars]] &gt;= 0, "Bad")</f>
        <v>Fair</v>
      </c>
      <c r="J2262" t="str">
        <f>LEFT(Ramen_Ratings[[#This Row],[Top Ten]],4)</f>
        <v/>
      </c>
      <c r="K2262" t="str">
        <f>IF(Ramen_Ratings[[#This Row],[Top Ten]]="", "",RIGHT(Ramen_Ratings[[#This Row],[Top Ten]],LEN(Ramen_Ratings[[#This Row],[Top Ten]])-6))</f>
        <v/>
      </c>
    </row>
    <row r="2263" spans="1:11" x14ac:dyDescent="0.25">
      <c r="A2263">
        <v>488</v>
      </c>
      <c r="B2263" t="s">
        <v>2114</v>
      </c>
      <c r="C2263" t="s">
        <v>2396</v>
      </c>
      <c r="D2263" t="s">
        <v>44</v>
      </c>
      <c r="E2263" t="s">
        <v>46</v>
      </c>
      <c r="F2263" t="str">
        <f>VLOOKUP(Ramen_Ratings[[#This Row],[Country]],Country_Region[#All],2,FALSE)</f>
        <v>Asia</v>
      </c>
      <c r="G2263">
        <v>3.5</v>
      </c>
      <c r="H2263" t="str" cm="1">
        <f t="array" ref="H2263">_xlfn.IFS(Ramen_Ratings[[#This Row],[Stars]] = "Unrated", "NA",Ramen_Ratings[[#This Row],[Stars]]&gt;=4, "Good", Ramen_Ratings[[#This Row],[Stars]]&gt;2.5, "Fair", Ramen_Ratings[[#This Row],[Stars]] &gt;= 0, "Bad")</f>
        <v>Fair</v>
      </c>
      <c r="J2263" t="str">
        <f>LEFT(Ramen_Ratings[[#This Row],[Top Ten]],4)</f>
        <v/>
      </c>
      <c r="K2263" t="str">
        <f>IF(Ramen_Ratings[[#This Row],[Top Ten]]="", "",RIGHT(Ramen_Ratings[[#This Row],[Top Ten]],LEN(Ramen_Ratings[[#This Row],[Top Ten]])-6))</f>
        <v/>
      </c>
    </row>
    <row r="2264" spans="1:11" x14ac:dyDescent="0.25">
      <c r="A2264">
        <v>487</v>
      </c>
      <c r="B2264" t="s">
        <v>2114</v>
      </c>
      <c r="C2264" t="s">
        <v>2397</v>
      </c>
      <c r="D2264" t="s">
        <v>44</v>
      </c>
      <c r="E2264" t="s">
        <v>46</v>
      </c>
      <c r="F2264" t="str">
        <f>VLOOKUP(Ramen_Ratings[[#This Row],[Country]],Country_Region[#All],2,FALSE)</f>
        <v>Asia</v>
      </c>
      <c r="G2264">
        <v>2.75</v>
      </c>
      <c r="H2264" t="str" cm="1">
        <f t="array" ref="H2264">_xlfn.IFS(Ramen_Ratings[[#This Row],[Stars]] = "Unrated", "NA",Ramen_Ratings[[#This Row],[Stars]]&gt;=4, "Good", Ramen_Ratings[[#This Row],[Stars]]&gt;2.5, "Fair", Ramen_Ratings[[#This Row],[Stars]] &gt;= 0, "Bad")</f>
        <v>Fair</v>
      </c>
      <c r="J2264" t="str">
        <f>LEFT(Ramen_Ratings[[#This Row],[Top Ten]],4)</f>
        <v/>
      </c>
      <c r="K2264" t="str">
        <f>IF(Ramen_Ratings[[#This Row],[Top Ten]]="", "",RIGHT(Ramen_Ratings[[#This Row],[Top Ten]],LEN(Ramen_Ratings[[#This Row],[Top Ten]])-6))</f>
        <v/>
      </c>
    </row>
    <row r="2265" spans="1:11" x14ac:dyDescent="0.25">
      <c r="A2265">
        <v>446</v>
      </c>
      <c r="B2265" t="s">
        <v>2432</v>
      </c>
      <c r="C2265" t="s">
        <v>2433</v>
      </c>
      <c r="D2265" t="s">
        <v>44</v>
      </c>
      <c r="E2265" t="s">
        <v>46</v>
      </c>
      <c r="F2265" t="str">
        <f>VLOOKUP(Ramen_Ratings[[#This Row],[Country]],Country_Region[#All],2,FALSE)</f>
        <v>Asia</v>
      </c>
      <c r="G2265">
        <v>2.25</v>
      </c>
      <c r="H2265" t="str" cm="1">
        <f t="array" ref="H2265">_xlfn.IFS(Ramen_Ratings[[#This Row],[Stars]] = "Unrated", "NA",Ramen_Ratings[[#This Row],[Stars]]&gt;=4, "Good", Ramen_Ratings[[#This Row],[Stars]]&gt;2.5, "Fair", Ramen_Ratings[[#This Row],[Stars]] &gt;= 0, "Bad")</f>
        <v>Bad</v>
      </c>
      <c r="J2265" t="str">
        <f>LEFT(Ramen_Ratings[[#This Row],[Top Ten]],4)</f>
        <v/>
      </c>
      <c r="K2265" t="str">
        <f>IF(Ramen_Ratings[[#This Row],[Top Ten]]="", "",RIGHT(Ramen_Ratings[[#This Row],[Top Ten]],LEN(Ramen_Ratings[[#This Row],[Top Ten]])-6))</f>
        <v/>
      </c>
    </row>
    <row r="2266" spans="1:11" x14ac:dyDescent="0.25">
      <c r="A2266">
        <v>414</v>
      </c>
      <c r="B2266" t="s">
        <v>588</v>
      </c>
      <c r="C2266" t="s">
        <v>2468</v>
      </c>
      <c r="D2266" t="s">
        <v>13</v>
      </c>
      <c r="E2266" t="s">
        <v>46</v>
      </c>
      <c r="F2266" t="str">
        <f>VLOOKUP(Ramen_Ratings[[#This Row],[Country]],Country_Region[#All],2,FALSE)</f>
        <v>Asia</v>
      </c>
      <c r="G2266">
        <v>2.5</v>
      </c>
      <c r="H2266" t="str" cm="1">
        <f t="array" ref="H2266">_xlfn.IFS(Ramen_Ratings[[#This Row],[Stars]] = "Unrated", "NA",Ramen_Ratings[[#This Row],[Stars]]&gt;=4, "Good", Ramen_Ratings[[#This Row],[Stars]]&gt;2.5, "Fair", Ramen_Ratings[[#This Row],[Stars]] &gt;= 0, "Bad")</f>
        <v>Bad</v>
      </c>
      <c r="J2266" t="str">
        <f>LEFT(Ramen_Ratings[[#This Row],[Top Ten]],4)</f>
        <v/>
      </c>
      <c r="K2266" t="str">
        <f>IF(Ramen_Ratings[[#This Row],[Top Ten]]="", "",RIGHT(Ramen_Ratings[[#This Row],[Top Ten]],LEN(Ramen_Ratings[[#This Row],[Top Ten]])-6))</f>
        <v/>
      </c>
    </row>
    <row r="2267" spans="1:11" x14ac:dyDescent="0.25">
      <c r="A2267">
        <v>402</v>
      </c>
      <c r="B2267" t="s">
        <v>2432</v>
      </c>
      <c r="C2267" t="s">
        <v>2481</v>
      </c>
      <c r="D2267" t="s">
        <v>44</v>
      </c>
      <c r="E2267" t="s">
        <v>46</v>
      </c>
      <c r="F2267" t="str">
        <f>VLOOKUP(Ramen_Ratings[[#This Row],[Country]],Country_Region[#All],2,FALSE)</f>
        <v>Asia</v>
      </c>
      <c r="G2267">
        <v>3</v>
      </c>
      <c r="H2267" t="str" cm="1">
        <f t="array" ref="H2267">_xlfn.IFS(Ramen_Ratings[[#This Row],[Stars]] = "Unrated", "NA",Ramen_Ratings[[#This Row],[Stars]]&gt;=4, "Good", Ramen_Ratings[[#This Row],[Stars]]&gt;2.5, "Fair", Ramen_Ratings[[#This Row],[Stars]] &gt;= 0, "Bad")</f>
        <v>Fair</v>
      </c>
      <c r="J2267" t="str">
        <f>LEFT(Ramen_Ratings[[#This Row],[Top Ten]],4)</f>
        <v/>
      </c>
      <c r="K2267" t="str">
        <f>IF(Ramen_Ratings[[#This Row],[Top Ten]]="", "",RIGHT(Ramen_Ratings[[#This Row],[Top Ten]],LEN(Ramen_Ratings[[#This Row],[Top Ten]])-6))</f>
        <v/>
      </c>
    </row>
    <row r="2268" spans="1:11" x14ac:dyDescent="0.25">
      <c r="A2268">
        <v>400</v>
      </c>
      <c r="B2268" t="s">
        <v>15</v>
      </c>
      <c r="C2268" t="s">
        <v>2483</v>
      </c>
      <c r="D2268" t="s">
        <v>9</v>
      </c>
      <c r="E2268" t="s">
        <v>46</v>
      </c>
      <c r="F2268" t="str">
        <f>VLOOKUP(Ramen_Ratings[[#This Row],[Country]],Country_Region[#All],2,FALSE)</f>
        <v>Asia</v>
      </c>
      <c r="G2268">
        <v>4.25</v>
      </c>
      <c r="H2268" t="str" cm="1">
        <f t="array" ref="H2268">_xlfn.IFS(Ramen_Ratings[[#This Row],[Stars]] = "Unrated", "NA",Ramen_Ratings[[#This Row],[Stars]]&gt;=4, "Good", Ramen_Ratings[[#This Row],[Stars]]&gt;2.5, "Fair", Ramen_Ratings[[#This Row],[Stars]] &gt;= 0, "Bad")</f>
        <v>Good</v>
      </c>
      <c r="J2268" t="str">
        <f>LEFT(Ramen_Ratings[[#This Row],[Top Ten]],4)</f>
        <v/>
      </c>
      <c r="K2268" t="str">
        <f>IF(Ramen_Ratings[[#This Row],[Top Ten]]="", "",RIGHT(Ramen_Ratings[[#This Row],[Top Ten]],LEN(Ramen_Ratings[[#This Row],[Top Ten]])-6))</f>
        <v/>
      </c>
    </row>
    <row r="2269" spans="1:11" x14ac:dyDescent="0.25">
      <c r="A2269">
        <v>377</v>
      </c>
      <c r="B2269" t="s">
        <v>188</v>
      </c>
      <c r="C2269" t="s">
        <v>2507</v>
      </c>
      <c r="D2269" t="s">
        <v>44</v>
      </c>
      <c r="E2269" t="s">
        <v>46</v>
      </c>
      <c r="F2269" t="str">
        <f>VLOOKUP(Ramen_Ratings[[#This Row],[Country]],Country_Region[#All],2,FALSE)</f>
        <v>Asia</v>
      </c>
      <c r="G2269">
        <v>4</v>
      </c>
      <c r="H2269" t="str" cm="1">
        <f t="array" ref="H2269">_xlfn.IFS(Ramen_Ratings[[#This Row],[Stars]] = "Unrated", "NA",Ramen_Ratings[[#This Row],[Stars]]&gt;=4, "Good", Ramen_Ratings[[#This Row],[Stars]]&gt;2.5, "Fair", Ramen_Ratings[[#This Row],[Stars]] &gt;= 0, "Bad")</f>
        <v>Good</v>
      </c>
      <c r="J2269" t="str">
        <f>LEFT(Ramen_Ratings[[#This Row],[Top Ten]],4)</f>
        <v/>
      </c>
      <c r="K2269" t="str">
        <f>IF(Ramen_Ratings[[#This Row],[Top Ten]]="", "",RIGHT(Ramen_Ratings[[#This Row],[Top Ten]],LEN(Ramen_Ratings[[#This Row],[Top Ten]])-6))</f>
        <v/>
      </c>
    </row>
    <row r="2270" spans="1:11" x14ac:dyDescent="0.25">
      <c r="A2270">
        <v>376</v>
      </c>
      <c r="B2270" t="s">
        <v>188</v>
      </c>
      <c r="C2270" t="s">
        <v>2508</v>
      </c>
      <c r="D2270" t="s">
        <v>44</v>
      </c>
      <c r="E2270" t="s">
        <v>46</v>
      </c>
      <c r="F2270" t="str">
        <f>VLOOKUP(Ramen_Ratings[[#This Row],[Country]],Country_Region[#All],2,FALSE)</f>
        <v>Asia</v>
      </c>
      <c r="G2270">
        <v>2.75</v>
      </c>
      <c r="H2270" t="str" cm="1">
        <f t="array" ref="H2270">_xlfn.IFS(Ramen_Ratings[[#This Row],[Stars]] = "Unrated", "NA",Ramen_Ratings[[#This Row],[Stars]]&gt;=4, "Good", Ramen_Ratings[[#This Row],[Stars]]&gt;2.5, "Fair", Ramen_Ratings[[#This Row],[Stars]] &gt;= 0, "Bad")</f>
        <v>Fair</v>
      </c>
      <c r="J2270" t="str">
        <f>LEFT(Ramen_Ratings[[#This Row],[Top Ten]],4)</f>
        <v/>
      </c>
      <c r="K2270" t="str">
        <f>IF(Ramen_Ratings[[#This Row],[Top Ten]]="", "",RIGHT(Ramen_Ratings[[#This Row],[Top Ten]],LEN(Ramen_Ratings[[#This Row],[Top Ten]])-6))</f>
        <v/>
      </c>
    </row>
    <row r="2271" spans="1:11" x14ac:dyDescent="0.25">
      <c r="A2271">
        <v>370</v>
      </c>
      <c r="B2271" t="s">
        <v>445</v>
      </c>
      <c r="C2271" t="s">
        <v>2513</v>
      </c>
      <c r="D2271" t="s">
        <v>13</v>
      </c>
      <c r="E2271" t="s">
        <v>46</v>
      </c>
      <c r="F2271" t="str">
        <f>VLOOKUP(Ramen_Ratings[[#This Row],[Country]],Country_Region[#All],2,FALSE)</f>
        <v>Asia</v>
      </c>
      <c r="G2271">
        <v>5</v>
      </c>
      <c r="H2271" t="str" cm="1">
        <f t="array" ref="H2271">_xlfn.IFS(Ramen_Ratings[[#This Row],[Stars]] = "Unrated", "NA",Ramen_Ratings[[#This Row],[Stars]]&gt;=4, "Good", Ramen_Ratings[[#This Row],[Stars]]&gt;2.5, "Fair", Ramen_Ratings[[#This Row],[Stars]] &gt;= 0, "Bad")</f>
        <v>Good</v>
      </c>
      <c r="J2271" t="str">
        <f>LEFT(Ramen_Ratings[[#This Row],[Top Ten]],4)</f>
        <v/>
      </c>
      <c r="K2271" t="str">
        <f>IF(Ramen_Ratings[[#This Row],[Top Ten]]="", "",RIGHT(Ramen_Ratings[[#This Row],[Top Ten]],LEN(Ramen_Ratings[[#This Row],[Top Ten]])-6))</f>
        <v/>
      </c>
    </row>
    <row r="2272" spans="1:11" x14ac:dyDescent="0.25">
      <c r="A2272">
        <v>364</v>
      </c>
      <c r="B2272" t="s">
        <v>2432</v>
      </c>
      <c r="C2272" t="s">
        <v>2520</v>
      </c>
      <c r="D2272" t="s">
        <v>44</v>
      </c>
      <c r="E2272" t="s">
        <v>46</v>
      </c>
      <c r="F2272" t="str">
        <f>VLOOKUP(Ramen_Ratings[[#This Row],[Country]],Country_Region[#All],2,FALSE)</f>
        <v>Asia</v>
      </c>
      <c r="G2272">
        <v>2.5</v>
      </c>
      <c r="H2272" t="str" cm="1">
        <f t="array" ref="H2272">_xlfn.IFS(Ramen_Ratings[[#This Row],[Stars]] = "Unrated", "NA",Ramen_Ratings[[#This Row],[Stars]]&gt;=4, "Good", Ramen_Ratings[[#This Row],[Stars]]&gt;2.5, "Fair", Ramen_Ratings[[#This Row],[Stars]] &gt;= 0, "Bad")</f>
        <v>Bad</v>
      </c>
      <c r="J2272" t="str">
        <f>LEFT(Ramen_Ratings[[#This Row],[Top Ten]],4)</f>
        <v/>
      </c>
      <c r="K2272" t="str">
        <f>IF(Ramen_Ratings[[#This Row],[Top Ten]]="", "",RIGHT(Ramen_Ratings[[#This Row],[Top Ten]],LEN(Ramen_Ratings[[#This Row],[Top Ten]])-6))</f>
        <v/>
      </c>
    </row>
    <row r="2273" spans="1:11" x14ac:dyDescent="0.25">
      <c r="A2273">
        <v>358</v>
      </c>
      <c r="B2273" t="s">
        <v>588</v>
      </c>
      <c r="C2273" t="s">
        <v>2527</v>
      </c>
      <c r="D2273" t="s">
        <v>13</v>
      </c>
      <c r="E2273" t="s">
        <v>46</v>
      </c>
      <c r="F2273" t="str">
        <f>VLOOKUP(Ramen_Ratings[[#This Row],[Country]],Country_Region[#All],2,FALSE)</f>
        <v>Asia</v>
      </c>
      <c r="G2273">
        <v>3.75</v>
      </c>
      <c r="H2273" t="str" cm="1">
        <f t="array" ref="H2273">_xlfn.IFS(Ramen_Ratings[[#This Row],[Stars]] = "Unrated", "NA",Ramen_Ratings[[#This Row],[Stars]]&gt;=4, "Good", Ramen_Ratings[[#This Row],[Stars]]&gt;2.5, "Fair", Ramen_Ratings[[#This Row],[Stars]] &gt;= 0, "Bad")</f>
        <v>Fair</v>
      </c>
      <c r="J2273" t="str">
        <f>LEFT(Ramen_Ratings[[#This Row],[Top Ten]],4)</f>
        <v/>
      </c>
      <c r="K2273" t="str">
        <f>IF(Ramen_Ratings[[#This Row],[Top Ten]]="", "",RIGHT(Ramen_Ratings[[#This Row],[Top Ten]],LEN(Ramen_Ratings[[#This Row],[Top Ten]])-6))</f>
        <v/>
      </c>
    </row>
    <row r="2274" spans="1:11" x14ac:dyDescent="0.25">
      <c r="A2274">
        <v>296</v>
      </c>
      <c r="B2274" t="s">
        <v>15</v>
      </c>
      <c r="C2274" t="s">
        <v>2585</v>
      </c>
      <c r="D2274" t="s">
        <v>9</v>
      </c>
      <c r="E2274" t="s">
        <v>46</v>
      </c>
      <c r="F2274" t="str">
        <f>VLOOKUP(Ramen_Ratings[[#This Row],[Country]],Country_Region[#All],2,FALSE)</f>
        <v>Asia</v>
      </c>
      <c r="G2274">
        <v>3.25</v>
      </c>
      <c r="H2274" t="str" cm="1">
        <f t="array" ref="H2274">_xlfn.IFS(Ramen_Ratings[[#This Row],[Stars]] = "Unrated", "NA",Ramen_Ratings[[#This Row],[Stars]]&gt;=4, "Good", Ramen_Ratings[[#This Row],[Stars]]&gt;2.5, "Fair", Ramen_Ratings[[#This Row],[Stars]] &gt;= 0, "Bad")</f>
        <v>Fair</v>
      </c>
      <c r="J2274" t="str">
        <f>LEFT(Ramen_Ratings[[#This Row],[Top Ten]],4)</f>
        <v/>
      </c>
      <c r="K2274" t="str">
        <f>IF(Ramen_Ratings[[#This Row],[Top Ten]]="", "",RIGHT(Ramen_Ratings[[#This Row],[Top Ten]],LEN(Ramen_Ratings[[#This Row],[Top Ten]])-6))</f>
        <v/>
      </c>
    </row>
    <row r="2275" spans="1:11" x14ac:dyDescent="0.25">
      <c r="A2275">
        <v>290</v>
      </c>
      <c r="B2275" t="s">
        <v>588</v>
      </c>
      <c r="C2275" t="s">
        <v>2592</v>
      </c>
      <c r="D2275" t="s">
        <v>13</v>
      </c>
      <c r="E2275" t="s">
        <v>46</v>
      </c>
      <c r="F2275" t="str">
        <f>VLOOKUP(Ramen_Ratings[[#This Row],[Country]],Country_Region[#All],2,FALSE)</f>
        <v>Asia</v>
      </c>
      <c r="G2275">
        <v>3</v>
      </c>
      <c r="H2275" t="str" cm="1">
        <f t="array" ref="H2275">_xlfn.IFS(Ramen_Ratings[[#This Row],[Stars]] = "Unrated", "NA",Ramen_Ratings[[#This Row],[Stars]]&gt;=4, "Good", Ramen_Ratings[[#This Row],[Stars]]&gt;2.5, "Fair", Ramen_Ratings[[#This Row],[Stars]] &gt;= 0, "Bad")</f>
        <v>Fair</v>
      </c>
      <c r="J2275" t="str">
        <f>LEFT(Ramen_Ratings[[#This Row],[Top Ten]],4)</f>
        <v/>
      </c>
      <c r="K2275" t="str">
        <f>IF(Ramen_Ratings[[#This Row],[Top Ten]]="", "",RIGHT(Ramen_Ratings[[#This Row],[Top Ten]],LEN(Ramen_Ratings[[#This Row],[Top Ten]])-6))</f>
        <v/>
      </c>
    </row>
    <row r="2276" spans="1:11" x14ac:dyDescent="0.25">
      <c r="A2276">
        <v>284</v>
      </c>
      <c r="B2276" t="s">
        <v>15</v>
      </c>
      <c r="C2276" t="s">
        <v>406</v>
      </c>
      <c r="D2276" t="s">
        <v>9</v>
      </c>
      <c r="E2276" t="s">
        <v>46</v>
      </c>
      <c r="F2276" t="str">
        <f>VLOOKUP(Ramen_Ratings[[#This Row],[Country]],Country_Region[#All],2,FALSE)</f>
        <v>Asia</v>
      </c>
      <c r="G2276">
        <v>4.5</v>
      </c>
      <c r="H2276" t="str" cm="1">
        <f t="array" ref="H2276">_xlfn.IFS(Ramen_Ratings[[#This Row],[Stars]] = "Unrated", "NA",Ramen_Ratings[[#This Row],[Stars]]&gt;=4, "Good", Ramen_Ratings[[#This Row],[Stars]]&gt;2.5, "Fair", Ramen_Ratings[[#This Row],[Stars]] &gt;= 0, "Bad")</f>
        <v>Good</v>
      </c>
      <c r="J2276" t="str">
        <f>LEFT(Ramen_Ratings[[#This Row],[Top Ten]],4)</f>
        <v/>
      </c>
      <c r="K2276" t="str">
        <f>IF(Ramen_Ratings[[#This Row],[Top Ten]]="", "",RIGHT(Ramen_Ratings[[#This Row],[Top Ten]],LEN(Ramen_Ratings[[#This Row],[Top Ten]])-6))</f>
        <v/>
      </c>
    </row>
    <row r="2277" spans="1:11" x14ac:dyDescent="0.25">
      <c r="A2277">
        <v>282</v>
      </c>
      <c r="B2277" t="s">
        <v>588</v>
      </c>
      <c r="C2277" t="s">
        <v>2598</v>
      </c>
      <c r="D2277" t="s">
        <v>13</v>
      </c>
      <c r="E2277" t="s">
        <v>46</v>
      </c>
      <c r="F2277" t="str">
        <f>VLOOKUP(Ramen_Ratings[[#This Row],[Country]],Country_Region[#All],2,FALSE)</f>
        <v>Asia</v>
      </c>
      <c r="G2277">
        <v>4.25</v>
      </c>
      <c r="H2277" t="str" cm="1">
        <f t="array" ref="H2277">_xlfn.IFS(Ramen_Ratings[[#This Row],[Stars]] = "Unrated", "NA",Ramen_Ratings[[#This Row],[Stars]]&gt;=4, "Good", Ramen_Ratings[[#This Row],[Stars]]&gt;2.5, "Fair", Ramen_Ratings[[#This Row],[Stars]] &gt;= 0, "Bad")</f>
        <v>Good</v>
      </c>
      <c r="J2277" t="str">
        <f>LEFT(Ramen_Ratings[[#This Row],[Top Ten]],4)</f>
        <v/>
      </c>
      <c r="K2277" t="str">
        <f>IF(Ramen_Ratings[[#This Row],[Top Ten]]="", "",RIGHT(Ramen_Ratings[[#This Row],[Top Ten]],LEN(Ramen_Ratings[[#This Row],[Top Ten]])-6))</f>
        <v/>
      </c>
    </row>
    <row r="2278" spans="1:11" x14ac:dyDescent="0.25">
      <c r="A2278">
        <v>165</v>
      </c>
      <c r="B2278" t="s">
        <v>588</v>
      </c>
      <c r="C2278" t="s">
        <v>2709</v>
      </c>
      <c r="D2278" t="s">
        <v>13</v>
      </c>
      <c r="E2278" t="s">
        <v>46</v>
      </c>
      <c r="F2278" t="str">
        <f>VLOOKUP(Ramen_Ratings[[#This Row],[Country]],Country_Region[#All],2,FALSE)</f>
        <v>Asia</v>
      </c>
      <c r="G2278">
        <v>3.5</v>
      </c>
      <c r="H2278" t="str" cm="1">
        <f t="array" ref="H2278">_xlfn.IFS(Ramen_Ratings[[#This Row],[Stars]] = "Unrated", "NA",Ramen_Ratings[[#This Row],[Stars]]&gt;=4, "Good", Ramen_Ratings[[#This Row],[Stars]]&gt;2.5, "Fair", Ramen_Ratings[[#This Row],[Stars]] &gt;= 0, "Bad")</f>
        <v>Fair</v>
      </c>
      <c r="J2278" t="str">
        <f>LEFT(Ramen_Ratings[[#This Row],[Top Ten]],4)</f>
        <v/>
      </c>
      <c r="K2278" t="str">
        <f>IF(Ramen_Ratings[[#This Row],[Top Ten]]="", "",RIGHT(Ramen_Ratings[[#This Row],[Top Ten]],LEN(Ramen_Ratings[[#This Row],[Top Ten]])-6))</f>
        <v/>
      </c>
    </row>
    <row r="2279" spans="1:11" x14ac:dyDescent="0.25">
      <c r="A2279">
        <v>122</v>
      </c>
      <c r="B2279" t="s">
        <v>588</v>
      </c>
      <c r="C2279" t="s">
        <v>2754</v>
      </c>
      <c r="D2279" t="s">
        <v>13</v>
      </c>
      <c r="E2279" t="s">
        <v>46</v>
      </c>
      <c r="F2279" t="str">
        <f>VLOOKUP(Ramen_Ratings[[#This Row],[Country]],Country_Region[#All],2,FALSE)</f>
        <v>Asia</v>
      </c>
      <c r="G2279">
        <v>4</v>
      </c>
      <c r="H2279" t="str" cm="1">
        <f t="array" ref="H2279">_xlfn.IFS(Ramen_Ratings[[#This Row],[Stars]] = "Unrated", "NA",Ramen_Ratings[[#This Row],[Stars]]&gt;=4, "Good", Ramen_Ratings[[#This Row],[Stars]]&gt;2.5, "Fair", Ramen_Ratings[[#This Row],[Stars]] &gt;= 0, "Bad")</f>
        <v>Good</v>
      </c>
      <c r="J2279" t="str">
        <f>LEFT(Ramen_Ratings[[#This Row],[Top Ten]],4)</f>
        <v/>
      </c>
      <c r="K2279" t="str">
        <f>IF(Ramen_Ratings[[#This Row],[Top Ten]]="", "",RIGHT(Ramen_Ratings[[#This Row],[Top Ten]],LEN(Ramen_Ratings[[#This Row],[Top Ten]])-6))</f>
        <v/>
      </c>
    </row>
    <row r="2280" spans="1:11" x14ac:dyDescent="0.25">
      <c r="A2280">
        <v>57</v>
      </c>
      <c r="B2280" t="s">
        <v>588</v>
      </c>
      <c r="C2280" t="s">
        <v>2808</v>
      </c>
      <c r="D2280" t="s">
        <v>30</v>
      </c>
      <c r="E2280" t="s">
        <v>46</v>
      </c>
      <c r="F2280" t="str">
        <f>VLOOKUP(Ramen_Ratings[[#This Row],[Country]],Country_Region[#All],2,FALSE)</f>
        <v>Asia</v>
      </c>
      <c r="G2280">
        <v>3</v>
      </c>
      <c r="H2280" t="str" cm="1">
        <f t="array" ref="H2280">_xlfn.IFS(Ramen_Ratings[[#This Row],[Stars]] = "Unrated", "NA",Ramen_Ratings[[#This Row],[Stars]]&gt;=4, "Good", Ramen_Ratings[[#This Row],[Stars]]&gt;2.5, "Fair", Ramen_Ratings[[#This Row],[Stars]] &gt;= 0, "Bad")</f>
        <v>Fair</v>
      </c>
      <c r="J2280" t="str">
        <f>LEFT(Ramen_Ratings[[#This Row],[Top Ten]],4)</f>
        <v/>
      </c>
      <c r="K2280" t="str">
        <f>IF(Ramen_Ratings[[#This Row],[Top Ten]]="", "",RIGHT(Ramen_Ratings[[#This Row],[Top Ten]],LEN(Ramen_Ratings[[#This Row],[Top Ten]])-6))</f>
        <v/>
      </c>
    </row>
    <row r="2281" spans="1:11" x14ac:dyDescent="0.25">
      <c r="A2281">
        <v>56</v>
      </c>
      <c r="B2281" t="s">
        <v>588</v>
      </c>
      <c r="C2281" t="s">
        <v>2809</v>
      </c>
      <c r="D2281" t="s">
        <v>13</v>
      </c>
      <c r="E2281" t="s">
        <v>46</v>
      </c>
      <c r="F2281" t="str">
        <f>VLOOKUP(Ramen_Ratings[[#This Row],[Country]],Country_Region[#All],2,FALSE)</f>
        <v>Asia</v>
      </c>
      <c r="G2281">
        <v>1</v>
      </c>
      <c r="H2281" t="str" cm="1">
        <f t="array" ref="H2281">_xlfn.IFS(Ramen_Ratings[[#This Row],[Stars]] = "Unrated", "NA",Ramen_Ratings[[#This Row],[Stars]]&gt;=4, "Good", Ramen_Ratings[[#This Row],[Stars]]&gt;2.5, "Fair", Ramen_Ratings[[#This Row],[Stars]] &gt;= 0, "Bad")</f>
        <v>Bad</v>
      </c>
      <c r="J2281" t="str">
        <f>LEFT(Ramen_Ratings[[#This Row],[Top Ten]],4)</f>
        <v/>
      </c>
      <c r="K2281" t="str">
        <f>IF(Ramen_Ratings[[#This Row],[Top Ten]]="", "",RIGHT(Ramen_Ratings[[#This Row],[Top Ten]],LEN(Ramen_Ratings[[#This Row],[Top Ten]])-6))</f>
        <v/>
      </c>
    </row>
    <row r="2282" spans="1:11" x14ac:dyDescent="0.25">
      <c r="A2282">
        <v>1012</v>
      </c>
      <c r="B2282" t="s">
        <v>811</v>
      </c>
      <c r="C2282" t="s">
        <v>1852</v>
      </c>
      <c r="D2282" t="s">
        <v>13</v>
      </c>
      <c r="E2282" t="s">
        <v>1853</v>
      </c>
      <c r="F2282" t="str">
        <f>VLOOKUP(Ramen_Ratings[[#This Row],[Country]],Country_Region[#All],2,FALSE)</f>
        <v>Europe</v>
      </c>
      <c r="G2282">
        <v>3.5</v>
      </c>
      <c r="H2282" t="str" cm="1">
        <f t="array" ref="H2282">_xlfn.IFS(Ramen_Ratings[[#This Row],[Stars]] = "Unrated", "NA",Ramen_Ratings[[#This Row],[Stars]]&gt;=4, "Good", Ramen_Ratings[[#This Row],[Stars]]&gt;2.5, "Fair", Ramen_Ratings[[#This Row],[Stars]] &gt;= 0, "Bad")</f>
        <v>Fair</v>
      </c>
      <c r="J2282" t="str">
        <f>LEFT(Ramen_Ratings[[#This Row],[Top Ten]],4)</f>
        <v/>
      </c>
      <c r="K2282" t="str">
        <f>IF(Ramen_Ratings[[#This Row],[Top Ten]]="", "",RIGHT(Ramen_Ratings[[#This Row],[Top Ten]],LEN(Ramen_Ratings[[#This Row],[Top Ten]])-6))</f>
        <v/>
      </c>
    </row>
    <row r="2283" spans="1:11" x14ac:dyDescent="0.25">
      <c r="A2283">
        <v>993</v>
      </c>
      <c r="B2283" t="s">
        <v>811</v>
      </c>
      <c r="C2283" t="s">
        <v>1872</v>
      </c>
      <c r="D2283" t="s">
        <v>13</v>
      </c>
      <c r="E2283" t="s">
        <v>1853</v>
      </c>
      <c r="F2283" t="str">
        <f>VLOOKUP(Ramen_Ratings[[#This Row],[Country]],Country_Region[#All],2,FALSE)</f>
        <v>Europe</v>
      </c>
      <c r="G2283">
        <v>3.5</v>
      </c>
      <c r="H2283" t="str" cm="1">
        <f t="array" ref="H2283">_xlfn.IFS(Ramen_Ratings[[#This Row],[Stars]] = "Unrated", "NA",Ramen_Ratings[[#This Row],[Stars]]&gt;=4, "Good", Ramen_Ratings[[#This Row],[Stars]]&gt;2.5, "Fair", Ramen_Ratings[[#This Row],[Stars]] &gt;= 0, "Bad")</f>
        <v>Fair</v>
      </c>
      <c r="J2283" t="str">
        <f>LEFT(Ramen_Ratings[[#This Row],[Top Ten]],4)</f>
        <v/>
      </c>
      <c r="K2283" t="str">
        <f>IF(Ramen_Ratings[[#This Row],[Top Ten]]="", "",RIGHT(Ramen_Ratings[[#This Row],[Top Ten]],LEN(Ramen_Ratings[[#This Row],[Top Ten]])-6))</f>
        <v/>
      </c>
    </row>
    <row r="2284" spans="1:11" x14ac:dyDescent="0.25">
      <c r="A2284">
        <v>544</v>
      </c>
      <c r="B2284" t="s">
        <v>811</v>
      </c>
      <c r="C2284" t="s">
        <v>2350</v>
      </c>
      <c r="D2284" t="s">
        <v>13</v>
      </c>
      <c r="E2284" t="s">
        <v>1853</v>
      </c>
      <c r="F2284" t="str">
        <f>VLOOKUP(Ramen_Ratings[[#This Row],[Country]],Country_Region[#All],2,FALSE)</f>
        <v>Europe</v>
      </c>
      <c r="G2284">
        <v>3.5</v>
      </c>
      <c r="H2284" t="str" cm="1">
        <f t="array" ref="H2284">_xlfn.IFS(Ramen_Ratings[[#This Row],[Stars]] = "Unrated", "NA",Ramen_Ratings[[#This Row],[Stars]]&gt;=4, "Good", Ramen_Ratings[[#This Row],[Stars]]&gt;2.5, "Fair", Ramen_Ratings[[#This Row],[Stars]] &gt;= 0, "Bad")</f>
        <v>Fair</v>
      </c>
      <c r="J2284" t="str">
        <f>LEFT(Ramen_Ratings[[#This Row],[Top Ten]],4)</f>
        <v/>
      </c>
      <c r="K2284" t="str">
        <f>IF(Ramen_Ratings[[#This Row],[Top Ten]]="", "",RIGHT(Ramen_Ratings[[#This Row],[Top Ten]],LEN(Ramen_Ratings[[#This Row],[Top Ten]])-6))</f>
        <v/>
      </c>
    </row>
    <row r="2285" spans="1:11" x14ac:dyDescent="0.25">
      <c r="A2285">
        <v>528</v>
      </c>
      <c r="B2285" t="s">
        <v>811</v>
      </c>
      <c r="C2285" t="s">
        <v>2362</v>
      </c>
      <c r="D2285" t="s">
        <v>13</v>
      </c>
      <c r="E2285" t="s">
        <v>1853</v>
      </c>
      <c r="F2285" t="str">
        <f>VLOOKUP(Ramen_Ratings[[#This Row],[Country]],Country_Region[#All],2,FALSE)</f>
        <v>Europe</v>
      </c>
      <c r="G2285">
        <v>3.75</v>
      </c>
      <c r="H2285" t="str" cm="1">
        <f t="array" ref="H2285">_xlfn.IFS(Ramen_Ratings[[#This Row],[Stars]] = "Unrated", "NA",Ramen_Ratings[[#This Row],[Stars]]&gt;=4, "Good", Ramen_Ratings[[#This Row],[Stars]]&gt;2.5, "Fair", Ramen_Ratings[[#This Row],[Stars]] &gt;= 0, "Bad")</f>
        <v>Fair</v>
      </c>
      <c r="J2285" t="str">
        <f>LEFT(Ramen_Ratings[[#This Row],[Top Ten]],4)</f>
        <v/>
      </c>
      <c r="K2285" t="str">
        <f>IF(Ramen_Ratings[[#This Row],[Top Ten]]="", "",RIGHT(Ramen_Ratings[[#This Row],[Top Ten]],LEN(Ramen_Ratings[[#This Row],[Top Ten]])-6))</f>
        <v/>
      </c>
    </row>
    <row r="2286" spans="1:11" x14ac:dyDescent="0.25">
      <c r="A2286">
        <v>2554</v>
      </c>
      <c r="B2286" t="s">
        <v>63</v>
      </c>
      <c r="C2286" t="s">
        <v>64</v>
      </c>
      <c r="D2286" t="s">
        <v>13</v>
      </c>
      <c r="E2286" t="s">
        <v>65</v>
      </c>
      <c r="F2286" t="str">
        <f>VLOOKUP(Ramen_Ratings[[#This Row],[Country]],Country_Region[#All],2,FALSE)</f>
        <v>Asia</v>
      </c>
      <c r="G2286">
        <v>3.5</v>
      </c>
      <c r="H2286" t="str" cm="1">
        <f t="array" ref="H2286">_xlfn.IFS(Ramen_Ratings[[#This Row],[Stars]] = "Unrated", "NA",Ramen_Ratings[[#This Row],[Stars]]&gt;=4, "Good", Ramen_Ratings[[#This Row],[Stars]]&gt;2.5, "Fair", Ramen_Ratings[[#This Row],[Stars]] &gt;= 0, "Bad")</f>
        <v>Fair</v>
      </c>
      <c r="J2286" t="str">
        <f>LEFT(Ramen_Ratings[[#This Row],[Top Ten]],4)</f>
        <v/>
      </c>
      <c r="K2286" t="str">
        <f>IF(Ramen_Ratings[[#This Row],[Top Ten]]="", "",RIGHT(Ramen_Ratings[[#This Row],[Top Ten]],LEN(Ramen_Ratings[[#This Row],[Top Ten]])-6))</f>
        <v/>
      </c>
    </row>
    <row r="2287" spans="1:11" x14ac:dyDescent="0.25">
      <c r="A2287">
        <v>2536</v>
      </c>
      <c r="B2287" t="s">
        <v>92</v>
      </c>
      <c r="C2287" t="s">
        <v>93</v>
      </c>
      <c r="D2287" t="s">
        <v>13</v>
      </c>
      <c r="E2287" t="s">
        <v>65</v>
      </c>
      <c r="F2287" t="str">
        <f>VLOOKUP(Ramen_Ratings[[#This Row],[Country]],Country_Region[#All],2,FALSE)</f>
        <v>Asia</v>
      </c>
      <c r="G2287">
        <v>3.5</v>
      </c>
      <c r="H2287" t="str" cm="1">
        <f t="array" ref="H2287">_xlfn.IFS(Ramen_Ratings[[#This Row],[Stars]] = "Unrated", "NA",Ramen_Ratings[[#This Row],[Stars]]&gt;=4, "Good", Ramen_Ratings[[#This Row],[Stars]]&gt;2.5, "Fair", Ramen_Ratings[[#This Row],[Stars]] &gt;= 0, "Bad")</f>
        <v>Fair</v>
      </c>
      <c r="J2287" t="str">
        <f>LEFT(Ramen_Ratings[[#This Row],[Top Ten]],4)</f>
        <v/>
      </c>
      <c r="K2287" t="str">
        <f>IF(Ramen_Ratings[[#This Row],[Top Ten]]="", "",RIGHT(Ramen_Ratings[[#This Row],[Top Ten]],LEN(Ramen_Ratings[[#This Row],[Top Ten]])-6))</f>
        <v/>
      </c>
    </row>
    <row r="2288" spans="1:11" x14ac:dyDescent="0.25">
      <c r="A2288">
        <v>2498</v>
      </c>
      <c r="B2288" t="s">
        <v>15</v>
      </c>
      <c r="C2288" t="s">
        <v>148</v>
      </c>
      <c r="D2288" t="s">
        <v>13</v>
      </c>
      <c r="E2288" t="s">
        <v>149</v>
      </c>
      <c r="F2288" t="str">
        <f>VLOOKUP(Ramen_Ratings[[#This Row],[Country]],Country_Region[#All],2,FALSE)</f>
        <v>Europe</v>
      </c>
      <c r="G2288">
        <v>3.75</v>
      </c>
      <c r="H2288" t="str" cm="1">
        <f t="array" ref="H2288">_xlfn.IFS(Ramen_Ratings[[#This Row],[Stars]] = "Unrated", "NA",Ramen_Ratings[[#This Row],[Stars]]&gt;=4, "Good", Ramen_Ratings[[#This Row],[Stars]]&gt;2.5, "Fair", Ramen_Ratings[[#This Row],[Stars]] &gt;= 0, "Bad")</f>
        <v>Fair</v>
      </c>
      <c r="J2288" t="str">
        <f>LEFT(Ramen_Ratings[[#This Row],[Top Ten]],4)</f>
        <v/>
      </c>
      <c r="K2288" t="str">
        <f>IF(Ramen_Ratings[[#This Row],[Top Ten]]="", "",RIGHT(Ramen_Ratings[[#This Row],[Top Ten]],LEN(Ramen_Ratings[[#This Row],[Top Ten]])-6))</f>
        <v/>
      </c>
    </row>
    <row r="2289" spans="1:11" x14ac:dyDescent="0.25">
      <c r="A2289">
        <v>2497</v>
      </c>
      <c r="B2289" t="s">
        <v>15</v>
      </c>
      <c r="C2289" t="s">
        <v>150</v>
      </c>
      <c r="D2289" t="s">
        <v>9</v>
      </c>
      <c r="E2289" t="s">
        <v>149</v>
      </c>
      <c r="F2289" t="str">
        <f>VLOOKUP(Ramen_Ratings[[#This Row],[Country]],Country_Region[#All],2,FALSE)</f>
        <v>Europe</v>
      </c>
      <c r="G2289">
        <v>3.75</v>
      </c>
      <c r="H2289" t="str" cm="1">
        <f t="array" ref="H2289">_xlfn.IFS(Ramen_Ratings[[#This Row],[Stars]] = "Unrated", "NA",Ramen_Ratings[[#This Row],[Stars]]&gt;=4, "Good", Ramen_Ratings[[#This Row],[Stars]]&gt;2.5, "Fair", Ramen_Ratings[[#This Row],[Stars]] &gt;= 0, "Bad")</f>
        <v>Fair</v>
      </c>
      <c r="J2289" t="str">
        <f>LEFT(Ramen_Ratings[[#This Row],[Top Ten]],4)</f>
        <v/>
      </c>
      <c r="K2289" t="str">
        <f>IF(Ramen_Ratings[[#This Row],[Top Ten]]="", "",RIGHT(Ramen_Ratings[[#This Row],[Top Ten]],LEN(Ramen_Ratings[[#This Row],[Top Ten]])-6))</f>
        <v/>
      </c>
    </row>
    <row r="2290" spans="1:11" x14ac:dyDescent="0.25">
      <c r="A2290">
        <v>2496</v>
      </c>
      <c r="B2290" t="s">
        <v>15</v>
      </c>
      <c r="C2290" t="s">
        <v>151</v>
      </c>
      <c r="D2290" t="s">
        <v>13</v>
      </c>
      <c r="E2290" t="s">
        <v>149</v>
      </c>
      <c r="F2290" t="str">
        <f>VLOOKUP(Ramen_Ratings[[#This Row],[Country]],Country_Region[#All],2,FALSE)</f>
        <v>Europe</v>
      </c>
      <c r="G2290">
        <v>4.5</v>
      </c>
      <c r="H2290" t="str" cm="1">
        <f t="array" ref="H2290">_xlfn.IFS(Ramen_Ratings[[#This Row],[Stars]] = "Unrated", "NA",Ramen_Ratings[[#This Row],[Stars]]&gt;=4, "Good", Ramen_Ratings[[#This Row],[Stars]]&gt;2.5, "Fair", Ramen_Ratings[[#This Row],[Stars]] &gt;= 0, "Bad")</f>
        <v>Good</v>
      </c>
      <c r="J2290" t="str">
        <f>LEFT(Ramen_Ratings[[#This Row],[Top Ten]],4)</f>
        <v/>
      </c>
      <c r="K2290" t="str">
        <f>IF(Ramen_Ratings[[#This Row],[Top Ten]]="", "",RIGHT(Ramen_Ratings[[#This Row],[Top Ten]],LEN(Ramen_Ratings[[#This Row],[Top Ten]])-6))</f>
        <v/>
      </c>
    </row>
    <row r="2291" spans="1:11" x14ac:dyDescent="0.25">
      <c r="A2291">
        <v>2495</v>
      </c>
      <c r="B2291" t="s">
        <v>15</v>
      </c>
      <c r="C2291" t="s">
        <v>152</v>
      </c>
      <c r="D2291" t="s">
        <v>9</v>
      </c>
      <c r="E2291" t="s">
        <v>149</v>
      </c>
      <c r="F2291" t="str">
        <f>VLOOKUP(Ramen_Ratings[[#This Row],[Country]],Country_Region[#All],2,FALSE)</f>
        <v>Europe</v>
      </c>
      <c r="G2291">
        <v>3.75</v>
      </c>
      <c r="H2291" t="str" cm="1">
        <f t="array" ref="H2291">_xlfn.IFS(Ramen_Ratings[[#This Row],[Stars]] = "Unrated", "NA",Ramen_Ratings[[#This Row],[Stars]]&gt;=4, "Good", Ramen_Ratings[[#This Row],[Stars]]&gt;2.5, "Fair", Ramen_Ratings[[#This Row],[Stars]] &gt;= 0, "Bad")</f>
        <v>Fair</v>
      </c>
      <c r="J2291" t="str">
        <f>LEFT(Ramen_Ratings[[#This Row],[Top Ten]],4)</f>
        <v/>
      </c>
      <c r="K2291" t="str">
        <f>IF(Ramen_Ratings[[#This Row],[Top Ten]]="", "",RIGHT(Ramen_Ratings[[#This Row],[Top Ten]],LEN(Ramen_Ratings[[#This Row],[Top Ten]])-6))</f>
        <v/>
      </c>
    </row>
    <row r="2292" spans="1:11" x14ac:dyDescent="0.25">
      <c r="A2292">
        <v>2494</v>
      </c>
      <c r="B2292" t="s">
        <v>15</v>
      </c>
      <c r="C2292" t="s">
        <v>153</v>
      </c>
      <c r="D2292" t="s">
        <v>13</v>
      </c>
      <c r="E2292" t="s">
        <v>149</v>
      </c>
      <c r="F2292" t="str">
        <f>VLOOKUP(Ramen_Ratings[[#This Row],[Country]],Country_Region[#All],2,FALSE)</f>
        <v>Europe</v>
      </c>
      <c r="G2292">
        <v>3.5</v>
      </c>
      <c r="H2292" t="str" cm="1">
        <f t="array" ref="H2292">_xlfn.IFS(Ramen_Ratings[[#This Row],[Stars]] = "Unrated", "NA",Ramen_Ratings[[#This Row],[Stars]]&gt;=4, "Good", Ramen_Ratings[[#This Row],[Stars]]&gt;2.5, "Fair", Ramen_Ratings[[#This Row],[Stars]] &gt;= 0, "Bad")</f>
        <v>Fair</v>
      </c>
      <c r="J2292" t="str">
        <f>LEFT(Ramen_Ratings[[#This Row],[Top Ten]],4)</f>
        <v/>
      </c>
      <c r="K2292" t="str">
        <f>IF(Ramen_Ratings[[#This Row],[Top Ten]]="", "",RIGHT(Ramen_Ratings[[#This Row],[Top Ten]],LEN(Ramen_Ratings[[#This Row],[Top Ten]])-6))</f>
        <v/>
      </c>
    </row>
    <row r="2293" spans="1:11" x14ac:dyDescent="0.25">
      <c r="A2293">
        <v>2493</v>
      </c>
      <c r="B2293" t="s">
        <v>15</v>
      </c>
      <c r="C2293" t="s">
        <v>154</v>
      </c>
      <c r="D2293" t="s">
        <v>9</v>
      </c>
      <c r="E2293" t="s">
        <v>149</v>
      </c>
      <c r="F2293" t="str">
        <f>VLOOKUP(Ramen_Ratings[[#This Row],[Country]],Country_Region[#All],2,FALSE)</f>
        <v>Europe</v>
      </c>
      <c r="G2293">
        <v>3.75</v>
      </c>
      <c r="H2293" t="str" cm="1">
        <f t="array" ref="H2293">_xlfn.IFS(Ramen_Ratings[[#This Row],[Stars]] = "Unrated", "NA",Ramen_Ratings[[#This Row],[Stars]]&gt;=4, "Good", Ramen_Ratings[[#This Row],[Stars]]&gt;2.5, "Fair", Ramen_Ratings[[#This Row],[Stars]] &gt;= 0, "Bad")</f>
        <v>Fair</v>
      </c>
      <c r="J2293" t="str">
        <f>LEFT(Ramen_Ratings[[#This Row],[Top Ten]],4)</f>
        <v/>
      </c>
      <c r="K2293" t="str">
        <f>IF(Ramen_Ratings[[#This Row],[Top Ten]]="", "",RIGHT(Ramen_Ratings[[#This Row],[Top Ten]],LEN(Ramen_Ratings[[#This Row],[Top Ten]])-6))</f>
        <v/>
      </c>
    </row>
    <row r="2294" spans="1:11" x14ac:dyDescent="0.25">
      <c r="A2294">
        <v>2491</v>
      </c>
      <c r="B2294" t="s">
        <v>15</v>
      </c>
      <c r="C2294" t="s">
        <v>157</v>
      </c>
      <c r="D2294" t="s">
        <v>9</v>
      </c>
      <c r="E2294" t="s">
        <v>149</v>
      </c>
      <c r="F2294" t="str">
        <f>VLOOKUP(Ramen_Ratings[[#This Row],[Country]],Country_Region[#All],2,FALSE)</f>
        <v>Europe</v>
      </c>
      <c r="G2294">
        <v>5</v>
      </c>
      <c r="H2294" t="str" cm="1">
        <f t="array" ref="H2294">_xlfn.IFS(Ramen_Ratings[[#This Row],[Stars]] = "Unrated", "NA",Ramen_Ratings[[#This Row],[Stars]]&gt;=4, "Good", Ramen_Ratings[[#This Row],[Stars]]&gt;2.5, "Fair", Ramen_Ratings[[#This Row],[Stars]] &gt;= 0, "Bad")</f>
        <v>Good</v>
      </c>
      <c r="J2294" t="str">
        <f>LEFT(Ramen_Ratings[[#This Row],[Top Ten]],4)</f>
        <v/>
      </c>
      <c r="K2294" t="str">
        <f>IF(Ramen_Ratings[[#This Row],[Top Ten]]="", "",RIGHT(Ramen_Ratings[[#This Row],[Top Ten]],LEN(Ramen_Ratings[[#This Row],[Top Ten]])-6))</f>
        <v/>
      </c>
    </row>
    <row r="2295" spans="1:11" x14ac:dyDescent="0.25">
      <c r="A2295">
        <v>2490</v>
      </c>
      <c r="B2295" t="s">
        <v>15</v>
      </c>
      <c r="C2295" t="s">
        <v>158</v>
      </c>
      <c r="D2295" t="s">
        <v>13</v>
      </c>
      <c r="E2295" t="s">
        <v>149</v>
      </c>
      <c r="F2295" t="str">
        <f>VLOOKUP(Ramen_Ratings[[#This Row],[Country]],Country_Region[#All],2,FALSE)</f>
        <v>Europe</v>
      </c>
      <c r="G2295">
        <v>3.5</v>
      </c>
      <c r="H2295" t="str" cm="1">
        <f t="array" ref="H2295">_xlfn.IFS(Ramen_Ratings[[#This Row],[Stars]] = "Unrated", "NA",Ramen_Ratings[[#This Row],[Stars]]&gt;=4, "Good", Ramen_Ratings[[#This Row],[Stars]]&gt;2.5, "Fair", Ramen_Ratings[[#This Row],[Stars]] &gt;= 0, "Bad")</f>
        <v>Fair</v>
      </c>
      <c r="J2295" t="str">
        <f>LEFT(Ramen_Ratings[[#This Row],[Top Ten]],4)</f>
        <v/>
      </c>
      <c r="K2295" t="str">
        <f>IF(Ramen_Ratings[[#This Row],[Top Ten]]="", "",RIGHT(Ramen_Ratings[[#This Row],[Top Ten]],LEN(Ramen_Ratings[[#This Row],[Top Ten]])-6))</f>
        <v/>
      </c>
    </row>
    <row r="2296" spans="1:11" x14ac:dyDescent="0.25">
      <c r="A2296">
        <v>2489</v>
      </c>
      <c r="B2296" t="s">
        <v>15</v>
      </c>
      <c r="C2296" t="s">
        <v>159</v>
      </c>
      <c r="D2296" t="s">
        <v>9</v>
      </c>
      <c r="E2296" t="s">
        <v>149</v>
      </c>
      <c r="F2296" t="str">
        <f>VLOOKUP(Ramen_Ratings[[#This Row],[Country]],Country_Region[#All],2,FALSE)</f>
        <v>Europe</v>
      </c>
      <c r="G2296">
        <v>3</v>
      </c>
      <c r="H2296" t="str" cm="1">
        <f t="array" ref="H2296">_xlfn.IFS(Ramen_Ratings[[#This Row],[Stars]] = "Unrated", "NA",Ramen_Ratings[[#This Row],[Stars]]&gt;=4, "Good", Ramen_Ratings[[#This Row],[Stars]]&gt;2.5, "Fair", Ramen_Ratings[[#This Row],[Stars]] &gt;= 0, "Bad")</f>
        <v>Fair</v>
      </c>
      <c r="J2296" t="str">
        <f>LEFT(Ramen_Ratings[[#This Row],[Top Ten]],4)</f>
        <v/>
      </c>
      <c r="K2296" t="str">
        <f>IF(Ramen_Ratings[[#This Row],[Top Ten]]="", "",RIGHT(Ramen_Ratings[[#This Row],[Top Ten]],LEN(Ramen_Ratings[[#This Row],[Top Ten]])-6))</f>
        <v/>
      </c>
    </row>
    <row r="2297" spans="1:11" x14ac:dyDescent="0.25">
      <c r="A2297">
        <v>2488</v>
      </c>
      <c r="B2297" t="s">
        <v>15</v>
      </c>
      <c r="C2297" t="s">
        <v>160</v>
      </c>
      <c r="D2297" t="s">
        <v>13</v>
      </c>
      <c r="E2297" t="s">
        <v>149</v>
      </c>
      <c r="F2297" t="str">
        <f>VLOOKUP(Ramen_Ratings[[#This Row],[Country]],Country_Region[#All],2,FALSE)</f>
        <v>Europe</v>
      </c>
      <c r="G2297">
        <v>3.75</v>
      </c>
      <c r="H2297" t="str" cm="1">
        <f t="array" ref="H2297">_xlfn.IFS(Ramen_Ratings[[#This Row],[Stars]] = "Unrated", "NA",Ramen_Ratings[[#This Row],[Stars]]&gt;=4, "Good", Ramen_Ratings[[#This Row],[Stars]]&gt;2.5, "Fair", Ramen_Ratings[[#This Row],[Stars]] &gt;= 0, "Bad")</f>
        <v>Fair</v>
      </c>
      <c r="J2297" t="str">
        <f>LEFT(Ramen_Ratings[[#This Row],[Top Ten]],4)</f>
        <v/>
      </c>
      <c r="K2297" t="str">
        <f>IF(Ramen_Ratings[[#This Row],[Top Ten]]="", "",RIGHT(Ramen_Ratings[[#This Row],[Top Ten]],LEN(Ramen_Ratings[[#This Row],[Top Ten]])-6))</f>
        <v/>
      </c>
    </row>
    <row r="2298" spans="1:11" x14ac:dyDescent="0.25">
      <c r="A2298">
        <v>2487</v>
      </c>
      <c r="B2298" t="s">
        <v>15</v>
      </c>
      <c r="C2298" t="s">
        <v>161</v>
      </c>
      <c r="D2298" t="s">
        <v>9</v>
      </c>
      <c r="E2298" t="s">
        <v>149</v>
      </c>
      <c r="F2298" t="str">
        <f>VLOOKUP(Ramen_Ratings[[#This Row],[Country]],Country_Region[#All],2,FALSE)</f>
        <v>Europe</v>
      </c>
      <c r="G2298">
        <v>4.5</v>
      </c>
      <c r="H2298" t="str" cm="1">
        <f t="array" ref="H2298">_xlfn.IFS(Ramen_Ratings[[#This Row],[Stars]] = "Unrated", "NA",Ramen_Ratings[[#This Row],[Stars]]&gt;=4, "Good", Ramen_Ratings[[#This Row],[Stars]]&gt;2.5, "Fair", Ramen_Ratings[[#This Row],[Stars]] &gt;= 0, "Bad")</f>
        <v>Good</v>
      </c>
      <c r="J2298" t="str">
        <f>LEFT(Ramen_Ratings[[#This Row],[Top Ten]],4)</f>
        <v/>
      </c>
      <c r="K2298" t="str">
        <f>IF(Ramen_Ratings[[#This Row],[Top Ten]]="", "",RIGHT(Ramen_Ratings[[#This Row],[Top Ten]],LEN(Ramen_Ratings[[#This Row],[Top Ten]])-6))</f>
        <v/>
      </c>
    </row>
    <row r="2299" spans="1:11" x14ac:dyDescent="0.25">
      <c r="A2299">
        <v>2486</v>
      </c>
      <c r="B2299" t="s">
        <v>15</v>
      </c>
      <c r="C2299" t="s">
        <v>162</v>
      </c>
      <c r="D2299" t="s">
        <v>13</v>
      </c>
      <c r="E2299" t="s">
        <v>149</v>
      </c>
      <c r="F2299" t="str">
        <f>VLOOKUP(Ramen_Ratings[[#This Row],[Country]],Country_Region[#All],2,FALSE)</f>
        <v>Europe</v>
      </c>
      <c r="G2299">
        <v>3.5</v>
      </c>
      <c r="H2299" t="str" cm="1">
        <f t="array" ref="H2299">_xlfn.IFS(Ramen_Ratings[[#This Row],[Stars]] = "Unrated", "NA",Ramen_Ratings[[#This Row],[Stars]]&gt;=4, "Good", Ramen_Ratings[[#This Row],[Stars]]&gt;2.5, "Fair", Ramen_Ratings[[#This Row],[Stars]] &gt;= 0, "Bad")</f>
        <v>Fair</v>
      </c>
      <c r="J2299" t="str">
        <f>LEFT(Ramen_Ratings[[#This Row],[Top Ten]],4)</f>
        <v/>
      </c>
      <c r="K2299" t="str">
        <f>IF(Ramen_Ratings[[#This Row],[Top Ten]]="", "",RIGHT(Ramen_Ratings[[#This Row],[Top Ten]],LEN(Ramen_Ratings[[#This Row],[Top Ten]])-6))</f>
        <v/>
      </c>
    </row>
    <row r="2300" spans="1:11" x14ac:dyDescent="0.25">
      <c r="A2300">
        <v>2485</v>
      </c>
      <c r="B2300" t="s">
        <v>15</v>
      </c>
      <c r="C2300" t="s">
        <v>163</v>
      </c>
      <c r="D2300" t="s">
        <v>9</v>
      </c>
      <c r="E2300" t="s">
        <v>149</v>
      </c>
      <c r="F2300" t="str">
        <f>VLOOKUP(Ramen_Ratings[[#This Row],[Country]],Country_Region[#All],2,FALSE)</f>
        <v>Europe</v>
      </c>
      <c r="G2300">
        <v>3</v>
      </c>
      <c r="H2300" t="str" cm="1">
        <f t="array" ref="H2300">_xlfn.IFS(Ramen_Ratings[[#This Row],[Stars]] = "Unrated", "NA",Ramen_Ratings[[#This Row],[Stars]]&gt;=4, "Good", Ramen_Ratings[[#This Row],[Stars]]&gt;2.5, "Fair", Ramen_Ratings[[#This Row],[Stars]] &gt;= 0, "Bad")</f>
        <v>Fair</v>
      </c>
      <c r="J2300" t="str">
        <f>LEFT(Ramen_Ratings[[#This Row],[Top Ten]],4)</f>
        <v/>
      </c>
      <c r="K2300" t="str">
        <f>IF(Ramen_Ratings[[#This Row],[Top Ten]]="", "",RIGHT(Ramen_Ratings[[#This Row],[Top Ten]],LEN(Ramen_Ratings[[#This Row],[Top Ten]])-6))</f>
        <v/>
      </c>
    </row>
    <row r="2301" spans="1:11" x14ac:dyDescent="0.25">
      <c r="A2301">
        <v>2484</v>
      </c>
      <c r="B2301" t="s">
        <v>15</v>
      </c>
      <c r="C2301" t="s">
        <v>164</v>
      </c>
      <c r="D2301" t="s">
        <v>13</v>
      </c>
      <c r="E2301" t="s">
        <v>149</v>
      </c>
      <c r="F2301" t="str">
        <f>VLOOKUP(Ramen_Ratings[[#This Row],[Country]],Country_Region[#All],2,FALSE)</f>
        <v>Europe</v>
      </c>
      <c r="G2301">
        <v>4</v>
      </c>
      <c r="H2301" t="str" cm="1">
        <f t="array" ref="H2301">_xlfn.IFS(Ramen_Ratings[[#This Row],[Stars]] = "Unrated", "NA",Ramen_Ratings[[#This Row],[Stars]]&gt;=4, "Good", Ramen_Ratings[[#This Row],[Stars]]&gt;2.5, "Fair", Ramen_Ratings[[#This Row],[Stars]] &gt;= 0, "Bad")</f>
        <v>Good</v>
      </c>
      <c r="J2301" t="str">
        <f>LEFT(Ramen_Ratings[[#This Row],[Top Ten]],4)</f>
        <v/>
      </c>
      <c r="K2301" t="str">
        <f>IF(Ramen_Ratings[[#This Row],[Top Ten]]="", "",RIGHT(Ramen_Ratings[[#This Row],[Top Ten]],LEN(Ramen_Ratings[[#This Row],[Top Ten]])-6))</f>
        <v/>
      </c>
    </row>
    <row r="2302" spans="1:11" x14ac:dyDescent="0.25">
      <c r="A2302">
        <v>1975</v>
      </c>
      <c r="B2302" t="s">
        <v>15</v>
      </c>
      <c r="C2302" t="s">
        <v>770</v>
      </c>
      <c r="D2302" t="s">
        <v>13</v>
      </c>
      <c r="E2302" t="s">
        <v>149</v>
      </c>
      <c r="F2302" t="str">
        <f>VLOOKUP(Ramen_Ratings[[#This Row],[Country]],Country_Region[#All],2,FALSE)</f>
        <v>Europe</v>
      </c>
      <c r="G2302">
        <v>3.25</v>
      </c>
      <c r="H2302" t="str" cm="1">
        <f t="array" ref="H2302">_xlfn.IFS(Ramen_Ratings[[#This Row],[Stars]] = "Unrated", "NA",Ramen_Ratings[[#This Row],[Stars]]&gt;=4, "Good", Ramen_Ratings[[#This Row],[Stars]]&gt;2.5, "Fair", Ramen_Ratings[[#This Row],[Stars]] &gt;= 0, "Bad")</f>
        <v>Fair</v>
      </c>
      <c r="J2302" t="str">
        <f>LEFT(Ramen_Ratings[[#This Row],[Top Ten]],4)</f>
        <v/>
      </c>
      <c r="K2302" t="str">
        <f>IF(Ramen_Ratings[[#This Row],[Top Ten]]="", "",RIGHT(Ramen_Ratings[[#This Row],[Top Ten]],LEN(Ramen_Ratings[[#This Row],[Top Ten]])-6))</f>
        <v/>
      </c>
    </row>
    <row r="2303" spans="1:11" x14ac:dyDescent="0.25">
      <c r="A2303">
        <v>1916</v>
      </c>
      <c r="B2303" t="s">
        <v>15</v>
      </c>
      <c r="C2303" t="s">
        <v>841</v>
      </c>
      <c r="D2303" t="s">
        <v>13</v>
      </c>
      <c r="E2303" t="s">
        <v>149</v>
      </c>
      <c r="F2303" t="str">
        <f>VLOOKUP(Ramen_Ratings[[#This Row],[Country]],Country_Region[#All],2,FALSE)</f>
        <v>Europe</v>
      </c>
      <c r="G2303">
        <v>3</v>
      </c>
      <c r="H2303" t="str" cm="1">
        <f t="array" ref="H2303">_xlfn.IFS(Ramen_Ratings[[#This Row],[Stars]] = "Unrated", "NA",Ramen_Ratings[[#This Row],[Stars]]&gt;=4, "Good", Ramen_Ratings[[#This Row],[Stars]]&gt;2.5, "Fair", Ramen_Ratings[[#This Row],[Stars]] &gt;= 0, "Bad")</f>
        <v>Fair</v>
      </c>
      <c r="J2303" t="str">
        <f>LEFT(Ramen_Ratings[[#This Row],[Top Ten]],4)</f>
        <v/>
      </c>
      <c r="K2303" t="str">
        <f>IF(Ramen_Ratings[[#This Row],[Top Ten]]="", "",RIGHT(Ramen_Ratings[[#This Row],[Top Ten]],LEN(Ramen_Ratings[[#This Row],[Top Ten]])-6))</f>
        <v/>
      </c>
    </row>
    <row r="2304" spans="1:11" x14ac:dyDescent="0.25">
      <c r="A2304">
        <v>1869</v>
      </c>
      <c r="B2304" t="s">
        <v>15</v>
      </c>
      <c r="C2304" t="s">
        <v>893</v>
      </c>
      <c r="D2304" t="s">
        <v>13</v>
      </c>
      <c r="E2304" t="s">
        <v>149</v>
      </c>
      <c r="F2304" t="str">
        <f>VLOOKUP(Ramen_Ratings[[#This Row],[Country]],Country_Region[#All],2,FALSE)</f>
        <v>Europe</v>
      </c>
      <c r="G2304">
        <v>3.5</v>
      </c>
      <c r="H2304" t="str" cm="1">
        <f t="array" ref="H2304">_xlfn.IFS(Ramen_Ratings[[#This Row],[Stars]] = "Unrated", "NA",Ramen_Ratings[[#This Row],[Stars]]&gt;=4, "Good", Ramen_Ratings[[#This Row],[Stars]]&gt;2.5, "Fair", Ramen_Ratings[[#This Row],[Stars]] &gt;= 0, "Bad")</f>
        <v>Fair</v>
      </c>
      <c r="J2304" t="str">
        <f>LEFT(Ramen_Ratings[[#This Row],[Top Ten]],4)</f>
        <v/>
      </c>
      <c r="K2304" t="str">
        <f>IF(Ramen_Ratings[[#This Row],[Top Ten]]="", "",RIGHT(Ramen_Ratings[[#This Row],[Top Ten]],LEN(Ramen_Ratings[[#This Row],[Top Ten]])-6))</f>
        <v/>
      </c>
    </row>
    <row r="2305" spans="1:11" x14ac:dyDescent="0.25">
      <c r="A2305">
        <v>1813</v>
      </c>
      <c r="B2305" t="s">
        <v>15</v>
      </c>
      <c r="C2305" t="s">
        <v>961</v>
      </c>
      <c r="D2305" t="s">
        <v>13</v>
      </c>
      <c r="E2305" t="s">
        <v>149</v>
      </c>
      <c r="F2305" t="str">
        <f>VLOOKUP(Ramen_Ratings[[#This Row],[Country]],Country_Region[#All],2,FALSE)</f>
        <v>Europe</v>
      </c>
      <c r="G2305">
        <v>4.25</v>
      </c>
      <c r="H2305" t="str" cm="1">
        <f t="array" ref="H2305">_xlfn.IFS(Ramen_Ratings[[#This Row],[Stars]] = "Unrated", "NA",Ramen_Ratings[[#This Row],[Stars]]&gt;=4, "Good", Ramen_Ratings[[#This Row],[Stars]]&gt;2.5, "Fair", Ramen_Ratings[[#This Row],[Stars]] &gt;= 0, "Bad")</f>
        <v>Good</v>
      </c>
      <c r="J2305" t="str">
        <f>LEFT(Ramen_Ratings[[#This Row],[Top Ten]],4)</f>
        <v/>
      </c>
      <c r="K2305" t="str">
        <f>IF(Ramen_Ratings[[#This Row],[Top Ten]]="", "",RIGHT(Ramen_Ratings[[#This Row],[Top Ten]],LEN(Ramen_Ratings[[#This Row],[Top Ten]])-6))</f>
        <v/>
      </c>
    </row>
    <row r="2306" spans="1:11" x14ac:dyDescent="0.25">
      <c r="A2306">
        <v>1733</v>
      </c>
      <c r="B2306" t="s">
        <v>823</v>
      </c>
      <c r="C2306" t="s">
        <v>708</v>
      </c>
      <c r="D2306" t="s">
        <v>13</v>
      </c>
      <c r="E2306" t="s">
        <v>149</v>
      </c>
      <c r="F2306" t="str">
        <f>VLOOKUP(Ramen_Ratings[[#This Row],[Country]],Country_Region[#All],2,FALSE)</f>
        <v>Europe</v>
      </c>
      <c r="G2306">
        <v>3.75</v>
      </c>
      <c r="H2306" t="str" cm="1">
        <f t="array" ref="H2306">_xlfn.IFS(Ramen_Ratings[[#This Row],[Stars]] = "Unrated", "NA",Ramen_Ratings[[#This Row],[Stars]]&gt;=4, "Good", Ramen_Ratings[[#This Row],[Stars]]&gt;2.5, "Fair", Ramen_Ratings[[#This Row],[Stars]] &gt;= 0, "Bad")</f>
        <v>Fair</v>
      </c>
      <c r="J2306" t="str">
        <f>LEFT(Ramen_Ratings[[#This Row],[Top Ten]],4)</f>
        <v/>
      </c>
      <c r="K2306" t="str">
        <f>IF(Ramen_Ratings[[#This Row],[Top Ten]]="", "",RIGHT(Ramen_Ratings[[#This Row],[Top Ten]],LEN(Ramen_Ratings[[#This Row],[Top Ten]])-6))</f>
        <v/>
      </c>
    </row>
    <row r="2307" spans="1:11" x14ac:dyDescent="0.25">
      <c r="A2307">
        <v>1637</v>
      </c>
      <c r="B2307" t="s">
        <v>970</v>
      </c>
      <c r="C2307" t="s">
        <v>1171</v>
      </c>
      <c r="D2307" t="s">
        <v>13</v>
      </c>
      <c r="E2307" t="s">
        <v>149</v>
      </c>
      <c r="F2307" t="str">
        <f>VLOOKUP(Ramen_Ratings[[#This Row],[Country]],Country_Region[#All],2,FALSE)</f>
        <v>Europe</v>
      </c>
      <c r="G2307">
        <v>3</v>
      </c>
      <c r="H2307" t="str" cm="1">
        <f t="array" ref="H2307">_xlfn.IFS(Ramen_Ratings[[#This Row],[Stars]] = "Unrated", "NA",Ramen_Ratings[[#This Row],[Stars]]&gt;=4, "Good", Ramen_Ratings[[#This Row],[Stars]]&gt;2.5, "Fair", Ramen_Ratings[[#This Row],[Stars]] &gt;= 0, "Bad")</f>
        <v>Fair</v>
      </c>
      <c r="J2307" t="str">
        <f>LEFT(Ramen_Ratings[[#This Row],[Top Ten]],4)</f>
        <v/>
      </c>
      <c r="K2307" t="str">
        <f>IF(Ramen_Ratings[[#This Row],[Top Ten]]="", "",RIGHT(Ramen_Ratings[[#This Row],[Top Ten]],LEN(Ramen_Ratings[[#This Row],[Top Ten]])-6))</f>
        <v/>
      </c>
    </row>
    <row r="2308" spans="1:11" x14ac:dyDescent="0.25">
      <c r="A2308">
        <v>1490</v>
      </c>
      <c r="B2308" t="s">
        <v>15</v>
      </c>
      <c r="C2308" t="s">
        <v>1341</v>
      </c>
      <c r="D2308" t="s">
        <v>9</v>
      </c>
      <c r="E2308" t="s">
        <v>149</v>
      </c>
      <c r="F2308" t="str">
        <f>VLOOKUP(Ramen_Ratings[[#This Row],[Country]],Country_Region[#All],2,FALSE)</f>
        <v>Europe</v>
      </c>
      <c r="G2308">
        <v>3.5</v>
      </c>
      <c r="H2308" t="str" cm="1">
        <f t="array" ref="H2308">_xlfn.IFS(Ramen_Ratings[[#This Row],[Stars]] = "Unrated", "NA",Ramen_Ratings[[#This Row],[Stars]]&gt;=4, "Good", Ramen_Ratings[[#This Row],[Stars]]&gt;2.5, "Fair", Ramen_Ratings[[#This Row],[Stars]] &gt;= 0, "Bad")</f>
        <v>Fair</v>
      </c>
      <c r="J2308" t="str">
        <f>LEFT(Ramen_Ratings[[#This Row],[Top Ten]],4)</f>
        <v/>
      </c>
      <c r="K2308" t="str">
        <f>IF(Ramen_Ratings[[#This Row],[Top Ten]]="", "",RIGHT(Ramen_Ratings[[#This Row],[Top Ten]],LEN(Ramen_Ratings[[#This Row],[Top Ten]])-6))</f>
        <v/>
      </c>
    </row>
    <row r="2309" spans="1:11" x14ac:dyDescent="0.25">
      <c r="A2309">
        <v>1476</v>
      </c>
      <c r="B2309" t="s">
        <v>970</v>
      </c>
      <c r="C2309" t="s">
        <v>1354</v>
      </c>
      <c r="D2309" t="s">
        <v>13</v>
      </c>
      <c r="E2309" t="s">
        <v>149</v>
      </c>
      <c r="F2309" t="str">
        <f>VLOOKUP(Ramen_Ratings[[#This Row],[Country]],Country_Region[#All],2,FALSE)</f>
        <v>Europe</v>
      </c>
      <c r="G2309">
        <v>3.5</v>
      </c>
      <c r="H2309" t="str" cm="1">
        <f t="array" ref="H2309">_xlfn.IFS(Ramen_Ratings[[#This Row],[Stars]] = "Unrated", "NA",Ramen_Ratings[[#This Row],[Stars]]&gt;=4, "Good", Ramen_Ratings[[#This Row],[Stars]]&gt;2.5, "Fair", Ramen_Ratings[[#This Row],[Stars]] &gt;= 0, "Bad")</f>
        <v>Fair</v>
      </c>
      <c r="J2309" t="str">
        <f>LEFT(Ramen_Ratings[[#This Row],[Top Ten]],4)</f>
        <v/>
      </c>
      <c r="K2309" t="str">
        <f>IF(Ramen_Ratings[[#This Row],[Top Ten]]="", "",RIGHT(Ramen_Ratings[[#This Row],[Top Ten]],LEN(Ramen_Ratings[[#This Row],[Top Ten]])-6))</f>
        <v/>
      </c>
    </row>
    <row r="2310" spans="1:11" x14ac:dyDescent="0.25">
      <c r="A2310">
        <v>1469</v>
      </c>
      <c r="B2310" t="s">
        <v>800</v>
      </c>
      <c r="C2310" t="s">
        <v>1362</v>
      </c>
      <c r="D2310" t="s">
        <v>13</v>
      </c>
      <c r="E2310" t="s">
        <v>149</v>
      </c>
      <c r="F2310" t="str">
        <f>VLOOKUP(Ramen_Ratings[[#This Row],[Country]],Country_Region[#All],2,FALSE)</f>
        <v>Europe</v>
      </c>
      <c r="G2310">
        <v>3.25</v>
      </c>
      <c r="H2310" t="str" cm="1">
        <f t="array" ref="H2310">_xlfn.IFS(Ramen_Ratings[[#This Row],[Stars]] = "Unrated", "NA",Ramen_Ratings[[#This Row],[Stars]]&gt;=4, "Good", Ramen_Ratings[[#This Row],[Stars]]&gt;2.5, "Fair", Ramen_Ratings[[#This Row],[Stars]] &gt;= 0, "Bad")</f>
        <v>Fair</v>
      </c>
      <c r="J2310" t="str">
        <f>LEFT(Ramen_Ratings[[#This Row],[Top Ten]],4)</f>
        <v/>
      </c>
      <c r="K2310" t="str">
        <f>IF(Ramen_Ratings[[#This Row],[Top Ten]]="", "",RIGHT(Ramen_Ratings[[#This Row],[Top Ten]],LEN(Ramen_Ratings[[#This Row],[Top Ten]])-6))</f>
        <v/>
      </c>
    </row>
    <row r="2311" spans="1:11" x14ac:dyDescent="0.25">
      <c r="A2311">
        <v>1465</v>
      </c>
      <c r="B2311" t="s">
        <v>970</v>
      </c>
      <c r="C2311" t="s">
        <v>1367</v>
      </c>
      <c r="D2311" t="s">
        <v>13</v>
      </c>
      <c r="E2311" t="s">
        <v>149</v>
      </c>
      <c r="F2311" t="str">
        <f>VLOOKUP(Ramen_Ratings[[#This Row],[Country]],Country_Region[#All],2,FALSE)</f>
        <v>Europe</v>
      </c>
      <c r="G2311">
        <v>3.5</v>
      </c>
      <c r="H2311" t="str" cm="1">
        <f t="array" ref="H2311">_xlfn.IFS(Ramen_Ratings[[#This Row],[Stars]] = "Unrated", "NA",Ramen_Ratings[[#This Row],[Stars]]&gt;=4, "Good", Ramen_Ratings[[#This Row],[Stars]]&gt;2.5, "Fair", Ramen_Ratings[[#This Row],[Stars]] &gt;= 0, "Bad")</f>
        <v>Fair</v>
      </c>
      <c r="J2311" t="str">
        <f>LEFT(Ramen_Ratings[[#This Row],[Top Ten]],4)</f>
        <v/>
      </c>
      <c r="K2311" t="str">
        <f>IF(Ramen_Ratings[[#This Row],[Top Ten]]="", "",RIGHT(Ramen_Ratings[[#This Row],[Top Ten]],LEN(Ramen_Ratings[[#This Row],[Top Ten]])-6))</f>
        <v/>
      </c>
    </row>
    <row r="2312" spans="1:11" x14ac:dyDescent="0.25">
      <c r="A2312">
        <v>1368</v>
      </c>
      <c r="B2312" t="s">
        <v>15</v>
      </c>
      <c r="C2312" t="s">
        <v>1470</v>
      </c>
      <c r="D2312" t="s">
        <v>9</v>
      </c>
      <c r="E2312" t="s">
        <v>149</v>
      </c>
      <c r="F2312" t="str">
        <f>VLOOKUP(Ramen_Ratings[[#This Row],[Country]],Country_Region[#All],2,FALSE)</f>
        <v>Europe</v>
      </c>
      <c r="G2312">
        <v>3</v>
      </c>
      <c r="H2312" t="str" cm="1">
        <f t="array" ref="H2312">_xlfn.IFS(Ramen_Ratings[[#This Row],[Stars]] = "Unrated", "NA",Ramen_Ratings[[#This Row],[Stars]]&gt;=4, "Good", Ramen_Ratings[[#This Row],[Stars]]&gt;2.5, "Fair", Ramen_Ratings[[#This Row],[Stars]] &gt;= 0, "Bad")</f>
        <v>Fair</v>
      </c>
      <c r="J2312" t="str">
        <f>LEFT(Ramen_Ratings[[#This Row],[Top Ten]],4)</f>
        <v/>
      </c>
      <c r="K2312" t="str">
        <f>IF(Ramen_Ratings[[#This Row],[Top Ten]]="", "",RIGHT(Ramen_Ratings[[#This Row],[Top Ten]],LEN(Ramen_Ratings[[#This Row],[Top Ten]])-6))</f>
        <v/>
      </c>
    </row>
    <row r="2313" spans="1:11" x14ac:dyDescent="0.25">
      <c r="A2313">
        <v>1222</v>
      </c>
      <c r="B2313" t="s">
        <v>15</v>
      </c>
      <c r="C2313" t="s">
        <v>1633</v>
      </c>
      <c r="D2313" t="s">
        <v>9</v>
      </c>
      <c r="E2313" t="s">
        <v>149</v>
      </c>
      <c r="F2313" t="str">
        <f>VLOOKUP(Ramen_Ratings[[#This Row],[Country]],Country_Region[#All],2,FALSE)</f>
        <v>Europe</v>
      </c>
      <c r="G2313">
        <v>3.75</v>
      </c>
      <c r="H2313" t="str" cm="1">
        <f t="array" ref="H2313">_xlfn.IFS(Ramen_Ratings[[#This Row],[Stars]] = "Unrated", "NA",Ramen_Ratings[[#This Row],[Stars]]&gt;=4, "Good", Ramen_Ratings[[#This Row],[Stars]]&gt;2.5, "Fair", Ramen_Ratings[[#This Row],[Stars]] &gt;= 0, "Bad")</f>
        <v>Fair</v>
      </c>
      <c r="J2313" t="str">
        <f>LEFT(Ramen_Ratings[[#This Row],[Top Ten]],4)</f>
        <v/>
      </c>
      <c r="K2313" t="str">
        <f>IF(Ramen_Ratings[[#This Row],[Top Ten]]="", "",RIGHT(Ramen_Ratings[[#This Row],[Top Ten]],LEN(Ramen_Ratings[[#This Row],[Top Ten]])-6))</f>
        <v/>
      </c>
    </row>
    <row r="2314" spans="1:11" x14ac:dyDescent="0.25">
      <c r="A2314">
        <v>1193</v>
      </c>
      <c r="B2314" t="s">
        <v>15</v>
      </c>
      <c r="C2314" t="s">
        <v>1664</v>
      </c>
      <c r="D2314" t="s">
        <v>9</v>
      </c>
      <c r="E2314" t="s">
        <v>149</v>
      </c>
      <c r="F2314" t="str">
        <f>VLOOKUP(Ramen_Ratings[[#This Row],[Country]],Country_Region[#All],2,FALSE)</f>
        <v>Europe</v>
      </c>
      <c r="G2314">
        <v>3.75</v>
      </c>
      <c r="H2314" t="str" cm="1">
        <f t="array" ref="H2314">_xlfn.IFS(Ramen_Ratings[[#This Row],[Stars]] = "Unrated", "NA",Ramen_Ratings[[#This Row],[Stars]]&gt;=4, "Good", Ramen_Ratings[[#This Row],[Stars]]&gt;2.5, "Fair", Ramen_Ratings[[#This Row],[Stars]] &gt;= 0, "Bad")</f>
        <v>Fair</v>
      </c>
      <c r="J2314" t="str">
        <f>LEFT(Ramen_Ratings[[#This Row],[Top Ten]],4)</f>
        <v/>
      </c>
      <c r="K2314" t="str">
        <f>IF(Ramen_Ratings[[#This Row],[Top Ten]]="", "",RIGHT(Ramen_Ratings[[#This Row],[Top Ten]],LEN(Ramen_Ratings[[#This Row],[Top Ten]])-6))</f>
        <v/>
      </c>
    </row>
    <row r="2315" spans="1:11" x14ac:dyDescent="0.25">
      <c r="A2315">
        <v>1905</v>
      </c>
      <c r="B2315" t="s">
        <v>855</v>
      </c>
      <c r="C2315" t="s">
        <v>856</v>
      </c>
      <c r="D2315" t="s">
        <v>13</v>
      </c>
      <c r="E2315" t="s">
        <v>857</v>
      </c>
      <c r="F2315" t="str">
        <f>VLOOKUP(Ramen_Ratings[[#This Row],[Country]],Country_Region[#All],2,FALSE)</f>
        <v>Europe</v>
      </c>
      <c r="G2315">
        <v>3.5</v>
      </c>
      <c r="H2315" t="str" cm="1">
        <f t="array" ref="H2315">_xlfn.IFS(Ramen_Ratings[[#This Row],[Stars]] = "Unrated", "NA",Ramen_Ratings[[#This Row],[Stars]]&gt;=4, "Good", Ramen_Ratings[[#This Row],[Stars]]&gt;2.5, "Fair", Ramen_Ratings[[#This Row],[Stars]] &gt;= 0, "Bad")</f>
        <v>Fair</v>
      </c>
      <c r="J2315" t="str">
        <f>LEFT(Ramen_Ratings[[#This Row],[Top Ten]],4)</f>
        <v/>
      </c>
      <c r="K2315" t="str">
        <f>IF(Ramen_Ratings[[#This Row],[Top Ten]]="", "",RIGHT(Ramen_Ratings[[#This Row],[Top Ten]],LEN(Ramen_Ratings[[#This Row],[Top Ten]])-6))</f>
        <v/>
      </c>
    </row>
    <row r="2316" spans="1:11" x14ac:dyDescent="0.25">
      <c r="A2316">
        <v>1764</v>
      </c>
      <c r="B2316" t="s">
        <v>855</v>
      </c>
      <c r="C2316" t="s">
        <v>1016</v>
      </c>
      <c r="D2316" t="s">
        <v>13</v>
      </c>
      <c r="E2316" t="s">
        <v>857</v>
      </c>
      <c r="F2316" t="str">
        <f>VLOOKUP(Ramen_Ratings[[#This Row],[Country]],Country_Region[#All],2,FALSE)</f>
        <v>Europe</v>
      </c>
      <c r="G2316">
        <v>3.75</v>
      </c>
      <c r="H2316" t="str" cm="1">
        <f t="array" ref="H2316">_xlfn.IFS(Ramen_Ratings[[#This Row],[Stars]] = "Unrated", "NA",Ramen_Ratings[[#This Row],[Stars]]&gt;=4, "Good", Ramen_Ratings[[#This Row],[Stars]]&gt;2.5, "Fair", Ramen_Ratings[[#This Row],[Stars]] &gt;= 0, "Bad")</f>
        <v>Fair</v>
      </c>
      <c r="J2316" t="str">
        <f>LEFT(Ramen_Ratings[[#This Row],[Top Ten]],4)</f>
        <v/>
      </c>
      <c r="K2316" t="str">
        <f>IF(Ramen_Ratings[[#This Row],[Top Ten]]="", "",RIGHT(Ramen_Ratings[[#This Row],[Top Ten]],LEN(Ramen_Ratings[[#This Row],[Top Ten]])-6))</f>
        <v/>
      </c>
    </row>
    <row r="2317" spans="1:11" x14ac:dyDescent="0.25">
      <c r="A2317">
        <v>1724</v>
      </c>
      <c r="B2317" t="s">
        <v>855</v>
      </c>
      <c r="C2317" t="s">
        <v>1058</v>
      </c>
      <c r="D2317" t="s">
        <v>13</v>
      </c>
      <c r="E2317" t="s">
        <v>857</v>
      </c>
      <c r="F2317" t="str">
        <f>VLOOKUP(Ramen_Ratings[[#This Row],[Country]],Country_Region[#All],2,FALSE)</f>
        <v>Europe</v>
      </c>
      <c r="G2317">
        <v>3.5</v>
      </c>
      <c r="H2317" t="str" cm="1">
        <f t="array" ref="H2317">_xlfn.IFS(Ramen_Ratings[[#This Row],[Stars]] = "Unrated", "NA",Ramen_Ratings[[#This Row],[Stars]]&gt;=4, "Good", Ramen_Ratings[[#This Row],[Stars]]&gt;2.5, "Fair", Ramen_Ratings[[#This Row],[Stars]] &gt;= 0, "Bad")</f>
        <v>Fair</v>
      </c>
      <c r="J2317" t="str">
        <f>LEFT(Ramen_Ratings[[#This Row],[Top Ten]],4)</f>
        <v/>
      </c>
      <c r="K2317" t="str">
        <f>IF(Ramen_Ratings[[#This Row],[Top Ten]]="", "",RIGHT(Ramen_Ratings[[#This Row],[Top Ten]],LEN(Ramen_Ratings[[#This Row],[Top Ten]])-6))</f>
        <v/>
      </c>
    </row>
    <row r="2318" spans="1:11" x14ac:dyDescent="0.25">
      <c r="A2318">
        <v>2396</v>
      </c>
      <c r="B2318" t="s">
        <v>132</v>
      </c>
      <c r="C2318" t="s">
        <v>279</v>
      </c>
      <c r="D2318" t="s">
        <v>13</v>
      </c>
      <c r="E2318" t="s">
        <v>280</v>
      </c>
      <c r="F2318" t="str">
        <f>VLOOKUP(Ramen_Ratings[[#This Row],[Country]],Country_Region[#All],2,FALSE)</f>
        <v>Oceania</v>
      </c>
      <c r="G2318">
        <v>3.25</v>
      </c>
      <c r="H2318" t="str" cm="1">
        <f t="array" ref="H2318">_xlfn.IFS(Ramen_Ratings[[#This Row],[Stars]] = "Unrated", "NA",Ramen_Ratings[[#This Row],[Stars]]&gt;=4, "Good", Ramen_Ratings[[#This Row],[Stars]]&gt;2.5, "Fair", Ramen_Ratings[[#This Row],[Stars]] &gt;= 0, "Bad")</f>
        <v>Fair</v>
      </c>
      <c r="J2318" t="str">
        <f>LEFT(Ramen_Ratings[[#This Row],[Top Ten]],4)</f>
        <v/>
      </c>
      <c r="K2318" t="str">
        <f>IF(Ramen_Ratings[[#This Row],[Top Ten]]="", "",RIGHT(Ramen_Ratings[[#This Row],[Top Ten]],LEN(Ramen_Ratings[[#This Row],[Top Ten]])-6))</f>
        <v/>
      </c>
    </row>
    <row r="2319" spans="1:11" x14ac:dyDescent="0.25">
      <c r="A2319">
        <v>2386</v>
      </c>
      <c r="B2319" t="s">
        <v>132</v>
      </c>
      <c r="C2319" t="s">
        <v>292</v>
      </c>
      <c r="D2319" t="s">
        <v>13</v>
      </c>
      <c r="E2319" t="s">
        <v>280</v>
      </c>
      <c r="F2319" t="str">
        <f>VLOOKUP(Ramen_Ratings[[#This Row],[Country]],Country_Region[#All],2,FALSE)</f>
        <v>Oceania</v>
      </c>
      <c r="G2319">
        <v>4</v>
      </c>
      <c r="H2319" t="str" cm="1">
        <f t="array" ref="H2319">_xlfn.IFS(Ramen_Ratings[[#This Row],[Stars]] = "Unrated", "NA",Ramen_Ratings[[#This Row],[Stars]]&gt;=4, "Good", Ramen_Ratings[[#This Row],[Stars]]&gt;2.5, "Fair", Ramen_Ratings[[#This Row],[Stars]] &gt;= 0, "Bad")</f>
        <v>Good</v>
      </c>
      <c r="J2319" t="str">
        <f>LEFT(Ramen_Ratings[[#This Row],[Top Ten]],4)</f>
        <v/>
      </c>
      <c r="K2319" t="str">
        <f>IF(Ramen_Ratings[[#This Row],[Top Ten]]="", "",RIGHT(Ramen_Ratings[[#This Row],[Top Ten]],LEN(Ramen_Ratings[[#This Row],[Top Ten]])-6))</f>
        <v/>
      </c>
    </row>
    <row r="2320" spans="1:11" x14ac:dyDescent="0.25">
      <c r="A2320">
        <v>899</v>
      </c>
      <c r="B2320" t="s">
        <v>1974</v>
      </c>
      <c r="C2320" t="s">
        <v>1975</v>
      </c>
      <c r="D2320" t="s">
        <v>13</v>
      </c>
      <c r="E2320" t="s">
        <v>280</v>
      </c>
      <c r="F2320" t="str">
        <f>VLOOKUP(Ramen_Ratings[[#This Row],[Country]],Country_Region[#All],2,FALSE)</f>
        <v>Oceania</v>
      </c>
      <c r="G2320">
        <v>4.25</v>
      </c>
      <c r="H2320" t="str" cm="1">
        <f t="array" ref="H2320">_xlfn.IFS(Ramen_Ratings[[#This Row],[Stars]] = "Unrated", "NA",Ramen_Ratings[[#This Row],[Stars]]&gt;=4, "Good", Ramen_Ratings[[#This Row],[Stars]]&gt;2.5, "Fair", Ramen_Ratings[[#This Row],[Stars]] &gt;= 0, "Bad")</f>
        <v>Good</v>
      </c>
      <c r="J2320" t="str">
        <f>LEFT(Ramen_Ratings[[#This Row],[Top Ten]],4)</f>
        <v/>
      </c>
      <c r="K2320" t="str">
        <f>IF(Ramen_Ratings[[#This Row],[Top Ten]]="", "",RIGHT(Ramen_Ratings[[#This Row],[Top Ten]],LEN(Ramen_Ratings[[#This Row],[Top Ten]])-6))</f>
        <v/>
      </c>
    </row>
    <row r="2321" spans="1:11" x14ac:dyDescent="0.25">
      <c r="A2321">
        <v>897</v>
      </c>
      <c r="B2321" t="s">
        <v>1974</v>
      </c>
      <c r="C2321" t="s">
        <v>1978</v>
      </c>
      <c r="D2321" t="s">
        <v>13</v>
      </c>
      <c r="E2321" t="s">
        <v>280</v>
      </c>
      <c r="F2321" t="str">
        <f>VLOOKUP(Ramen_Ratings[[#This Row],[Country]],Country_Region[#All],2,FALSE)</f>
        <v>Oceania</v>
      </c>
      <c r="G2321">
        <v>4</v>
      </c>
      <c r="H2321" t="str" cm="1">
        <f t="array" ref="H2321">_xlfn.IFS(Ramen_Ratings[[#This Row],[Stars]] = "Unrated", "NA",Ramen_Ratings[[#This Row],[Stars]]&gt;=4, "Good", Ramen_Ratings[[#This Row],[Stars]]&gt;2.5, "Fair", Ramen_Ratings[[#This Row],[Stars]] &gt;= 0, "Bad")</f>
        <v>Good</v>
      </c>
      <c r="J2321" t="str">
        <f>LEFT(Ramen_Ratings[[#This Row],[Top Ten]],4)</f>
        <v/>
      </c>
      <c r="K2321" t="str">
        <f>IF(Ramen_Ratings[[#This Row],[Top Ten]]="", "",RIGHT(Ramen_Ratings[[#This Row],[Top Ten]],LEN(Ramen_Ratings[[#This Row],[Top Ten]])-6))</f>
        <v/>
      </c>
    </row>
    <row r="2322" spans="1:11" x14ac:dyDescent="0.25">
      <c r="A2322">
        <v>1100</v>
      </c>
      <c r="B2322" t="s">
        <v>1762</v>
      </c>
      <c r="C2322" t="s">
        <v>1763</v>
      </c>
      <c r="D2322" t="s">
        <v>13</v>
      </c>
      <c r="E2322" t="s">
        <v>1764</v>
      </c>
      <c r="F2322" t="str">
        <f>VLOOKUP(Ramen_Ratings[[#This Row],[Country]],Country_Region[#All],2,FALSE)</f>
        <v>Europe</v>
      </c>
      <c r="G2322">
        <v>3.75</v>
      </c>
      <c r="H2322" t="str" cm="1">
        <f t="array" ref="H2322">_xlfn.IFS(Ramen_Ratings[[#This Row],[Stars]] = "Unrated", "NA",Ramen_Ratings[[#This Row],[Stars]]&gt;=4, "Good", Ramen_Ratings[[#This Row],[Stars]]&gt;2.5, "Fair", Ramen_Ratings[[#This Row],[Stars]] &gt;= 0, "Bad")</f>
        <v>Fair</v>
      </c>
      <c r="J2322" t="str">
        <f>LEFT(Ramen_Ratings[[#This Row],[Top Ten]],4)</f>
        <v/>
      </c>
      <c r="K2322" t="str">
        <f>IF(Ramen_Ratings[[#This Row],[Top Ten]]="", "",RIGHT(Ramen_Ratings[[#This Row],[Top Ten]],LEN(Ramen_Ratings[[#This Row],[Top Ten]])-6))</f>
        <v/>
      </c>
    </row>
    <row r="2323" spans="1:11" x14ac:dyDescent="0.25">
      <c r="A2323">
        <v>1099</v>
      </c>
      <c r="B2323" t="s">
        <v>1762</v>
      </c>
      <c r="C2323" t="s">
        <v>1765</v>
      </c>
      <c r="D2323" t="s">
        <v>13</v>
      </c>
      <c r="E2323" t="s">
        <v>1764</v>
      </c>
      <c r="F2323" t="str">
        <f>VLOOKUP(Ramen_Ratings[[#This Row],[Country]],Country_Region[#All],2,FALSE)</f>
        <v>Europe</v>
      </c>
      <c r="G2323">
        <v>3.25</v>
      </c>
      <c r="H2323" t="str" cm="1">
        <f t="array" ref="H2323">_xlfn.IFS(Ramen_Ratings[[#This Row],[Stars]] = "Unrated", "NA",Ramen_Ratings[[#This Row],[Stars]]&gt;=4, "Good", Ramen_Ratings[[#This Row],[Stars]]&gt;2.5, "Fair", Ramen_Ratings[[#This Row],[Stars]] &gt;= 0, "Bad")</f>
        <v>Fair</v>
      </c>
      <c r="J2323" t="str">
        <f>LEFT(Ramen_Ratings[[#This Row],[Top Ten]],4)</f>
        <v/>
      </c>
      <c r="K2323" t="str">
        <f>IF(Ramen_Ratings[[#This Row],[Top Ten]]="", "",RIGHT(Ramen_Ratings[[#This Row],[Top Ten]],LEN(Ramen_Ratings[[#This Row],[Top Ten]])-6))</f>
        <v/>
      </c>
    </row>
    <row r="2324" spans="1:11" x14ac:dyDescent="0.25">
      <c r="A2324">
        <v>797</v>
      </c>
      <c r="B2324" t="s">
        <v>2087</v>
      </c>
      <c r="C2324" t="s">
        <v>2070</v>
      </c>
      <c r="D2324" t="s">
        <v>13</v>
      </c>
      <c r="E2324" t="s">
        <v>2088</v>
      </c>
      <c r="F2324" t="str">
        <f>VLOOKUP(Ramen_Ratings[[#This Row],[Country]],Country_Region[#All],2,FALSE)</f>
        <v>Middle East</v>
      </c>
      <c r="G2324">
        <v>3.75</v>
      </c>
      <c r="H2324" t="str" cm="1">
        <f t="array" ref="H2324">_xlfn.IFS(Ramen_Ratings[[#This Row],[Stars]] = "Unrated", "NA",Ramen_Ratings[[#This Row],[Stars]]&gt;=4, "Good", Ramen_Ratings[[#This Row],[Stars]]&gt;2.5, "Fair", Ramen_Ratings[[#This Row],[Stars]] &gt;= 0, "Bad")</f>
        <v>Fair</v>
      </c>
      <c r="J2324" t="str">
        <f>LEFT(Ramen_Ratings[[#This Row],[Top Ten]],4)</f>
        <v/>
      </c>
      <c r="K2324" t="str">
        <f>IF(Ramen_Ratings[[#This Row],[Top Ten]]="", "",RIGHT(Ramen_Ratings[[#This Row],[Top Ten]],LEN(Ramen_Ratings[[#This Row],[Top Ten]])-6))</f>
        <v/>
      </c>
    </row>
    <row r="2325" spans="1:11" x14ac:dyDescent="0.25">
      <c r="A2325">
        <v>742</v>
      </c>
      <c r="B2325" t="s">
        <v>2087</v>
      </c>
      <c r="C2325" t="s">
        <v>2143</v>
      </c>
      <c r="D2325" t="s">
        <v>13</v>
      </c>
      <c r="E2325" t="s">
        <v>2088</v>
      </c>
      <c r="F2325" t="str">
        <f>VLOOKUP(Ramen_Ratings[[#This Row],[Country]],Country_Region[#All],2,FALSE)</f>
        <v>Middle East</v>
      </c>
      <c r="G2325">
        <v>3.25</v>
      </c>
      <c r="H2325" t="str" cm="1">
        <f t="array" ref="H2325">_xlfn.IFS(Ramen_Ratings[[#This Row],[Stars]] = "Unrated", "NA",Ramen_Ratings[[#This Row],[Stars]]&gt;=4, "Good", Ramen_Ratings[[#This Row],[Stars]]&gt;2.5, "Fair", Ramen_Ratings[[#This Row],[Stars]] &gt;= 0, "Bad")</f>
        <v>Fair</v>
      </c>
      <c r="J2325" t="str">
        <f>LEFT(Ramen_Ratings[[#This Row],[Top Ten]],4)</f>
        <v/>
      </c>
      <c r="K2325" t="str">
        <f>IF(Ramen_Ratings[[#This Row],[Top Ten]]="", "",RIGHT(Ramen_Ratings[[#This Row],[Top Ten]],LEN(Ramen_Ratings[[#This Row],[Top Ten]])-6))</f>
        <v/>
      </c>
    </row>
    <row r="2326" spans="1:11" x14ac:dyDescent="0.25">
      <c r="A2326">
        <v>720</v>
      </c>
      <c r="B2326" t="s">
        <v>2087</v>
      </c>
      <c r="C2326" t="s">
        <v>2166</v>
      </c>
      <c r="D2326" t="s">
        <v>13</v>
      </c>
      <c r="E2326" t="s">
        <v>2088</v>
      </c>
      <c r="F2326" t="str">
        <f>VLOOKUP(Ramen_Ratings[[#This Row],[Country]],Country_Region[#All],2,FALSE)</f>
        <v>Middle East</v>
      </c>
      <c r="G2326">
        <v>3.75</v>
      </c>
      <c r="H2326" t="str" cm="1">
        <f t="array" ref="H2326">_xlfn.IFS(Ramen_Ratings[[#This Row],[Stars]] = "Unrated", "NA",Ramen_Ratings[[#This Row],[Stars]]&gt;=4, "Good", Ramen_Ratings[[#This Row],[Stars]]&gt;2.5, "Fair", Ramen_Ratings[[#This Row],[Stars]] &gt;= 0, "Bad")</f>
        <v>Fair</v>
      </c>
      <c r="J2326" t="str">
        <f>LEFT(Ramen_Ratings[[#This Row],[Top Ten]],4)</f>
        <v/>
      </c>
      <c r="K2326" t="str">
        <f>IF(Ramen_Ratings[[#This Row],[Top Ten]]="", "",RIGHT(Ramen_Ratings[[#This Row],[Top Ten]],LEN(Ramen_Ratings[[#This Row],[Top Ten]])-6))</f>
        <v/>
      </c>
    </row>
    <row r="2327" spans="1:11" x14ac:dyDescent="0.25">
      <c r="A2327">
        <v>1429</v>
      </c>
      <c r="B2327" t="s">
        <v>15</v>
      </c>
      <c r="C2327" t="s">
        <v>1398</v>
      </c>
      <c r="D2327" t="s">
        <v>13</v>
      </c>
      <c r="E2327" t="s">
        <v>1399</v>
      </c>
      <c r="F2327" t="str">
        <f>VLOOKUP(Ramen_Ratings[[#This Row],[Country]],Country_Region[#All],2,FALSE)</f>
        <v>South America</v>
      </c>
      <c r="G2327">
        <v>3.5</v>
      </c>
      <c r="H2327" t="str" cm="1">
        <f t="array" ref="H2327">_xlfn.IFS(Ramen_Ratings[[#This Row],[Stars]] = "Unrated", "NA",Ramen_Ratings[[#This Row],[Stars]]&gt;=4, "Good", Ramen_Ratings[[#This Row],[Stars]]&gt;2.5, "Fair", Ramen_Ratings[[#This Row],[Stars]] &gt;= 0, "Bad")</f>
        <v>Fair</v>
      </c>
      <c r="J2327" t="str">
        <f>LEFT(Ramen_Ratings[[#This Row],[Top Ten]],4)</f>
        <v/>
      </c>
      <c r="K2327" t="str">
        <f>IF(Ramen_Ratings[[#This Row],[Top Ten]]="", "",RIGHT(Ramen_Ratings[[#This Row],[Top Ten]],LEN(Ramen_Ratings[[#This Row],[Top Ten]])-6))</f>
        <v/>
      </c>
    </row>
    <row r="2328" spans="1:11" x14ac:dyDescent="0.25">
      <c r="A2328">
        <v>1292</v>
      </c>
      <c r="B2328" t="s">
        <v>15</v>
      </c>
      <c r="C2328" t="s">
        <v>1555</v>
      </c>
      <c r="D2328" t="s">
        <v>9</v>
      </c>
      <c r="E2328" t="s">
        <v>1399</v>
      </c>
      <c r="F2328" t="str">
        <f>VLOOKUP(Ramen_Ratings[[#This Row],[Country]],Country_Region[#All],2,FALSE)</f>
        <v>South America</v>
      </c>
      <c r="G2328">
        <v>3</v>
      </c>
      <c r="H2328" t="str" cm="1">
        <f t="array" ref="H2328">_xlfn.IFS(Ramen_Ratings[[#This Row],[Stars]] = "Unrated", "NA",Ramen_Ratings[[#This Row],[Stars]]&gt;=4, "Good", Ramen_Ratings[[#This Row],[Stars]]&gt;2.5, "Fair", Ramen_Ratings[[#This Row],[Stars]] &gt;= 0, "Bad")</f>
        <v>Fair</v>
      </c>
      <c r="J2328" t="str">
        <f>LEFT(Ramen_Ratings[[#This Row],[Top Ten]],4)</f>
        <v/>
      </c>
      <c r="K2328" t="str">
        <f>IF(Ramen_Ratings[[#This Row],[Top Ten]]="", "",RIGHT(Ramen_Ratings[[#This Row],[Top Ten]],LEN(Ramen_Ratings[[#This Row],[Top Ten]])-6))</f>
        <v/>
      </c>
    </row>
    <row r="2329" spans="1:11" x14ac:dyDescent="0.25">
      <c r="A2329">
        <v>1249</v>
      </c>
      <c r="B2329" t="s">
        <v>15</v>
      </c>
      <c r="C2329" t="s">
        <v>1603</v>
      </c>
      <c r="D2329" t="s">
        <v>9</v>
      </c>
      <c r="E2329" t="s">
        <v>1399</v>
      </c>
      <c r="F2329" t="str">
        <f>VLOOKUP(Ramen_Ratings[[#This Row],[Country]],Country_Region[#All],2,FALSE)</f>
        <v>South America</v>
      </c>
      <c r="G2329">
        <v>2.75</v>
      </c>
      <c r="H2329" t="str" cm="1">
        <f t="array" ref="H2329">_xlfn.IFS(Ramen_Ratings[[#This Row],[Stars]] = "Unrated", "NA",Ramen_Ratings[[#This Row],[Stars]]&gt;=4, "Good", Ramen_Ratings[[#This Row],[Stars]]&gt;2.5, "Fair", Ramen_Ratings[[#This Row],[Stars]] &gt;= 0, "Bad")</f>
        <v>Fair</v>
      </c>
      <c r="J2329" t="str">
        <f>LEFT(Ramen_Ratings[[#This Row],[Top Ten]],4)</f>
        <v/>
      </c>
      <c r="K2329" t="str">
        <f>IF(Ramen_Ratings[[#This Row],[Top Ten]]="", "",RIGHT(Ramen_Ratings[[#This Row],[Top Ten]],LEN(Ramen_Ratings[[#This Row],[Top Ten]])-6))</f>
        <v/>
      </c>
    </row>
    <row r="2330" spans="1:11" x14ac:dyDescent="0.25">
      <c r="A2330">
        <v>1233</v>
      </c>
      <c r="B2330" t="s">
        <v>15</v>
      </c>
      <c r="C2330" t="s">
        <v>1620</v>
      </c>
      <c r="D2330" t="s">
        <v>13</v>
      </c>
      <c r="E2330" t="s">
        <v>1399</v>
      </c>
      <c r="F2330" t="str">
        <f>VLOOKUP(Ramen_Ratings[[#This Row],[Country]],Country_Region[#All],2,FALSE)</f>
        <v>South America</v>
      </c>
      <c r="G2330">
        <v>3.25</v>
      </c>
      <c r="H2330" t="str" cm="1">
        <f t="array" ref="H2330">_xlfn.IFS(Ramen_Ratings[[#This Row],[Stars]] = "Unrated", "NA",Ramen_Ratings[[#This Row],[Stars]]&gt;=4, "Good", Ramen_Ratings[[#This Row],[Stars]]&gt;2.5, "Fair", Ramen_Ratings[[#This Row],[Stars]] &gt;= 0, "Bad")</f>
        <v>Fair</v>
      </c>
      <c r="J2330" t="str">
        <f>LEFT(Ramen_Ratings[[#This Row],[Top Ten]],4)</f>
        <v/>
      </c>
      <c r="K2330" t="str">
        <f>IF(Ramen_Ratings[[#This Row],[Top Ten]]="", "",RIGHT(Ramen_Ratings[[#This Row],[Top Ten]],LEN(Ramen_Ratings[[#This Row],[Top Ten]])-6))</f>
        <v/>
      </c>
    </row>
    <row r="2331" spans="1:11" x14ac:dyDescent="0.25">
      <c r="A2331">
        <v>1204</v>
      </c>
      <c r="B2331" t="s">
        <v>15</v>
      </c>
      <c r="C2331" t="s">
        <v>1653</v>
      </c>
      <c r="D2331" t="s">
        <v>9</v>
      </c>
      <c r="E2331" t="s">
        <v>1399</v>
      </c>
      <c r="F2331" t="str">
        <f>VLOOKUP(Ramen_Ratings[[#This Row],[Country]],Country_Region[#All],2,FALSE)</f>
        <v>South America</v>
      </c>
      <c r="G2331">
        <v>3.5</v>
      </c>
      <c r="H2331" t="str" cm="1">
        <f t="array" ref="H2331">_xlfn.IFS(Ramen_Ratings[[#This Row],[Stars]] = "Unrated", "NA",Ramen_Ratings[[#This Row],[Stars]]&gt;=4, "Good", Ramen_Ratings[[#This Row],[Stars]]&gt;2.5, "Fair", Ramen_Ratings[[#This Row],[Stars]] &gt;= 0, "Bad")</f>
        <v>Fair</v>
      </c>
      <c r="J2331" t="str">
        <f>LEFT(Ramen_Ratings[[#This Row],[Top Ten]],4)</f>
        <v/>
      </c>
      <c r="K2331" t="str">
        <f>IF(Ramen_Ratings[[#This Row],[Top Ten]]="", "",RIGHT(Ramen_Ratings[[#This Row],[Top Ten]],LEN(Ramen_Ratings[[#This Row],[Top Ten]])-6))</f>
        <v/>
      </c>
    </row>
    <row r="2332" spans="1:11" x14ac:dyDescent="0.25">
      <c r="A2332">
        <v>1186</v>
      </c>
      <c r="B2332" t="s">
        <v>15</v>
      </c>
      <c r="C2332" t="s">
        <v>1672</v>
      </c>
      <c r="D2332" t="s">
        <v>13</v>
      </c>
      <c r="E2332" t="s">
        <v>1399</v>
      </c>
      <c r="F2332" t="str">
        <f>VLOOKUP(Ramen_Ratings[[#This Row],[Country]],Country_Region[#All],2,FALSE)</f>
        <v>South America</v>
      </c>
      <c r="G2332">
        <v>3.75</v>
      </c>
      <c r="H2332" t="str" cm="1">
        <f t="array" ref="H2332">_xlfn.IFS(Ramen_Ratings[[#This Row],[Stars]] = "Unrated", "NA",Ramen_Ratings[[#This Row],[Stars]]&gt;=4, "Good", Ramen_Ratings[[#This Row],[Stars]]&gt;2.5, "Fair", Ramen_Ratings[[#This Row],[Stars]] &gt;= 0, "Bad")</f>
        <v>Fair</v>
      </c>
      <c r="J2332" t="str">
        <f>LEFT(Ramen_Ratings[[#This Row],[Top Ten]],4)</f>
        <v/>
      </c>
      <c r="K2332" t="str">
        <f>IF(Ramen_Ratings[[#This Row],[Top Ten]]="", "",RIGHT(Ramen_Ratings[[#This Row],[Top Ten]],LEN(Ramen_Ratings[[#This Row],[Top Ten]])-6))</f>
        <v/>
      </c>
    </row>
    <row r="2333" spans="1:11" x14ac:dyDescent="0.25">
      <c r="A2333">
        <v>1689</v>
      </c>
      <c r="B2333" t="s">
        <v>1098</v>
      </c>
      <c r="C2333" t="s">
        <v>1100</v>
      </c>
      <c r="D2333" t="s">
        <v>13</v>
      </c>
      <c r="E2333" t="s">
        <v>79</v>
      </c>
      <c r="F2333" t="str">
        <f>VLOOKUP(Ramen_Ratings[[#This Row],[Country]],Country_Region[#All],2,FALSE)</f>
        <v>Asia</v>
      </c>
      <c r="G2333">
        <v>5</v>
      </c>
      <c r="H2333" t="str" cm="1">
        <f t="array" ref="H2333">_xlfn.IFS(Ramen_Ratings[[#This Row],[Stars]] = "Unrated", "NA",Ramen_Ratings[[#This Row],[Stars]]&gt;=4, "Good", Ramen_Ratings[[#This Row],[Stars]]&gt;2.5, "Fair", Ramen_Ratings[[#This Row],[Stars]] &gt;= 0, "Bad")</f>
        <v>Good</v>
      </c>
      <c r="I2333" t="s">
        <v>1101</v>
      </c>
      <c r="J2333" t="str">
        <f>LEFT(Ramen_Ratings[[#This Row],[Top Ten]],4)</f>
        <v>2016</v>
      </c>
      <c r="K2333" t="str">
        <f>IF(Ramen_Ratings[[#This Row],[Top Ten]]="", "",RIGHT(Ramen_Ratings[[#This Row],[Top Ten]],LEN(Ramen_Ratings[[#This Row],[Top Ten]])-6))</f>
        <v>7</v>
      </c>
    </row>
    <row r="2334" spans="1:11" x14ac:dyDescent="0.25">
      <c r="A2334">
        <v>2547</v>
      </c>
      <c r="B2334" t="s">
        <v>77</v>
      </c>
      <c r="C2334" t="s">
        <v>78</v>
      </c>
      <c r="D2334" t="s">
        <v>44</v>
      </c>
      <c r="E2334" t="s">
        <v>79</v>
      </c>
      <c r="F2334" t="str">
        <f>VLOOKUP(Ramen_Ratings[[#This Row],[Country]],Country_Region[#All],2,FALSE)</f>
        <v>Asia</v>
      </c>
      <c r="G2334">
        <v>4</v>
      </c>
      <c r="H2334" t="str" cm="1">
        <f t="array" ref="H2334">_xlfn.IFS(Ramen_Ratings[[#This Row],[Stars]] = "Unrated", "NA",Ramen_Ratings[[#This Row],[Stars]]&gt;=4, "Good", Ramen_Ratings[[#This Row],[Stars]]&gt;2.5, "Fair", Ramen_Ratings[[#This Row],[Stars]] &gt;= 0, "Bad")</f>
        <v>Good</v>
      </c>
      <c r="J2334" t="str">
        <f>LEFT(Ramen_Ratings[[#This Row],[Top Ten]],4)</f>
        <v/>
      </c>
      <c r="K2334" t="str">
        <f>IF(Ramen_Ratings[[#This Row],[Top Ten]]="", "",RIGHT(Ramen_Ratings[[#This Row],[Top Ten]],LEN(Ramen_Ratings[[#This Row],[Top Ten]])-6))</f>
        <v/>
      </c>
    </row>
    <row r="2335" spans="1:11" x14ac:dyDescent="0.25">
      <c r="A2335">
        <v>2531</v>
      </c>
      <c r="B2335" t="s">
        <v>99</v>
      </c>
      <c r="C2335" t="s">
        <v>100</v>
      </c>
      <c r="D2335" t="s">
        <v>13</v>
      </c>
      <c r="E2335" t="s">
        <v>79</v>
      </c>
      <c r="F2335" t="str">
        <f>VLOOKUP(Ramen_Ratings[[#This Row],[Country]],Country_Region[#All],2,FALSE)</f>
        <v>Asia</v>
      </c>
      <c r="G2335">
        <v>4.25</v>
      </c>
      <c r="H2335" t="str" cm="1">
        <f t="array" ref="H2335">_xlfn.IFS(Ramen_Ratings[[#This Row],[Stars]] = "Unrated", "NA",Ramen_Ratings[[#This Row],[Stars]]&gt;=4, "Good", Ramen_Ratings[[#This Row],[Stars]]&gt;2.5, "Fair", Ramen_Ratings[[#This Row],[Stars]] &gt;= 0, "Bad")</f>
        <v>Good</v>
      </c>
      <c r="J2335" t="str">
        <f>LEFT(Ramen_Ratings[[#This Row],[Top Ten]],4)</f>
        <v/>
      </c>
      <c r="K2335" t="str">
        <f>IF(Ramen_Ratings[[#This Row],[Top Ten]]="", "",RIGHT(Ramen_Ratings[[#This Row],[Top Ten]],LEN(Ramen_Ratings[[#This Row],[Top Ten]])-6))</f>
        <v/>
      </c>
    </row>
    <row r="2336" spans="1:11" x14ac:dyDescent="0.25">
      <c r="A2336">
        <v>2503</v>
      </c>
      <c r="B2336" t="s">
        <v>77</v>
      </c>
      <c r="C2336" t="s">
        <v>140</v>
      </c>
      <c r="D2336" t="s">
        <v>44</v>
      </c>
      <c r="E2336" t="s">
        <v>79</v>
      </c>
      <c r="F2336" t="str">
        <f>VLOOKUP(Ramen_Ratings[[#This Row],[Country]],Country_Region[#All],2,FALSE)</f>
        <v>Asia</v>
      </c>
      <c r="G2336">
        <v>0</v>
      </c>
      <c r="H2336" t="str" cm="1">
        <f t="array" ref="H2336">_xlfn.IFS(Ramen_Ratings[[#This Row],[Stars]] = "Unrated", "NA",Ramen_Ratings[[#This Row],[Stars]]&gt;=4, "Good", Ramen_Ratings[[#This Row],[Stars]]&gt;2.5, "Fair", Ramen_Ratings[[#This Row],[Stars]] &gt;= 0, "Bad")</f>
        <v>Bad</v>
      </c>
      <c r="J2336" t="str">
        <f>LEFT(Ramen_Ratings[[#This Row],[Top Ten]],4)</f>
        <v/>
      </c>
      <c r="K2336" t="str">
        <f>IF(Ramen_Ratings[[#This Row],[Top Ten]]="", "",RIGHT(Ramen_Ratings[[#This Row],[Top Ten]],LEN(Ramen_Ratings[[#This Row],[Top Ten]])-6))</f>
        <v/>
      </c>
    </row>
    <row r="2337" spans="1:11" x14ac:dyDescent="0.25">
      <c r="A2337">
        <v>2465</v>
      </c>
      <c r="B2337" t="s">
        <v>15</v>
      </c>
      <c r="C2337" t="s">
        <v>190</v>
      </c>
      <c r="D2337" t="s">
        <v>9</v>
      </c>
      <c r="E2337" t="s">
        <v>79</v>
      </c>
      <c r="F2337" t="str">
        <f>VLOOKUP(Ramen_Ratings[[#This Row],[Country]],Country_Region[#All],2,FALSE)</f>
        <v>Asia</v>
      </c>
      <c r="G2337">
        <v>3.75</v>
      </c>
      <c r="H2337" t="str" cm="1">
        <f t="array" ref="H2337">_xlfn.IFS(Ramen_Ratings[[#This Row],[Stars]] = "Unrated", "NA",Ramen_Ratings[[#This Row],[Stars]]&gt;=4, "Good", Ramen_Ratings[[#This Row],[Stars]]&gt;2.5, "Fair", Ramen_Ratings[[#This Row],[Stars]] &gt;= 0, "Bad")</f>
        <v>Fair</v>
      </c>
      <c r="J2337" t="str">
        <f>LEFT(Ramen_Ratings[[#This Row],[Top Ten]],4)</f>
        <v/>
      </c>
      <c r="K2337" t="str">
        <f>IF(Ramen_Ratings[[#This Row],[Top Ten]]="", "",RIGHT(Ramen_Ratings[[#This Row],[Top Ten]],LEN(Ramen_Ratings[[#This Row],[Top Ten]])-6))</f>
        <v/>
      </c>
    </row>
    <row r="2338" spans="1:11" x14ac:dyDescent="0.25">
      <c r="A2338">
        <v>2440</v>
      </c>
      <c r="B2338" t="s">
        <v>218</v>
      </c>
      <c r="C2338" t="s">
        <v>219</v>
      </c>
      <c r="D2338" t="s">
        <v>13</v>
      </c>
      <c r="E2338" t="s">
        <v>79</v>
      </c>
      <c r="F2338" t="str">
        <f>VLOOKUP(Ramen_Ratings[[#This Row],[Country]],Country_Region[#All],2,FALSE)</f>
        <v>Asia</v>
      </c>
      <c r="G2338">
        <v>4.5</v>
      </c>
      <c r="H2338" t="str" cm="1">
        <f t="array" ref="H2338">_xlfn.IFS(Ramen_Ratings[[#This Row],[Stars]] = "Unrated", "NA",Ramen_Ratings[[#This Row],[Stars]]&gt;=4, "Good", Ramen_Ratings[[#This Row],[Stars]]&gt;2.5, "Fair", Ramen_Ratings[[#This Row],[Stars]] &gt;= 0, "Bad")</f>
        <v>Good</v>
      </c>
      <c r="J2338" t="str">
        <f>LEFT(Ramen_Ratings[[#This Row],[Top Ten]],4)</f>
        <v/>
      </c>
      <c r="K2338" t="str">
        <f>IF(Ramen_Ratings[[#This Row],[Top Ten]]="", "",RIGHT(Ramen_Ratings[[#This Row],[Top Ten]],LEN(Ramen_Ratings[[#This Row],[Top Ten]])-6))</f>
        <v/>
      </c>
    </row>
    <row r="2339" spans="1:11" x14ac:dyDescent="0.25">
      <c r="A2339">
        <v>2420</v>
      </c>
      <c r="B2339" t="s">
        <v>15</v>
      </c>
      <c r="C2339" t="s">
        <v>247</v>
      </c>
      <c r="D2339" t="s">
        <v>9</v>
      </c>
      <c r="E2339" t="s">
        <v>79</v>
      </c>
      <c r="F2339" t="str">
        <f>VLOOKUP(Ramen_Ratings[[#This Row],[Country]],Country_Region[#All],2,FALSE)</f>
        <v>Asia</v>
      </c>
      <c r="G2339">
        <v>3.75</v>
      </c>
      <c r="H2339" t="str" cm="1">
        <f t="array" ref="H2339">_xlfn.IFS(Ramen_Ratings[[#This Row],[Stars]] = "Unrated", "NA",Ramen_Ratings[[#This Row],[Stars]]&gt;=4, "Good", Ramen_Ratings[[#This Row],[Stars]]&gt;2.5, "Fair", Ramen_Ratings[[#This Row],[Stars]] &gt;= 0, "Bad")</f>
        <v>Fair</v>
      </c>
      <c r="J2339" t="str">
        <f>LEFT(Ramen_Ratings[[#This Row],[Top Ten]],4)</f>
        <v/>
      </c>
      <c r="K2339" t="str">
        <f>IF(Ramen_Ratings[[#This Row],[Top Ten]]="", "",RIGHT(Ramen_Ratings[[#This Row],[Top Ten]],LEN(Ramen_Ratings[[#This Row],[Top Ten]])-6))</f>
        <v/>
      </c>
    </row>
    <row r="2340" spans="1:11" x14ac:dyDescent="0.25">
      <c r="A2340">
        <v>2416</v>
      </c>
      <c r="B2340" t="s">
        <v>252</v>
      </c>
      <c r="C2340" t="s">
        <v>253</v>
      </c>
      <c r="D2340" t="s">
        <v>44</v>
      </c>
      <c r="E2340" t="s">
        <v>79</v>
      </c>
      <c r="F2340" t="str">
        <f>VLOOKUP(Ramen_Ratings[[#This Row],[Country]],Country_Region[#All],2,FALSE)</f>
        <v>Asia</v>
      </c>
      <c r="G2340">
        <v>4.25</v>
      </c>
      <c r="H2340" t="str" cm="1">
        <f t="array" ref="H2340">_xlfn.IFS(Ramen_Ratings[[#This Row],[Stars]] = "Unrated", "NA",Ramen_Ratings[[#This Row],[Stars]]&gt;=4, "Good", Ramen_Ratings[[#This Row],[Stars]]&gt;2.5, "Fair", Ramen_Ratings[[#This Row],[Stars]] &gt;= 0, "Bad")</f>
        <v>Good</v>
      </c>
      <c r="J2340" t="str">
        <f>LEFT(Ramen_Ratings[[#This Row],[Top Ten]],4)</f>
        <v/>
      </c>
      <c r="K2340" t="str">
        <f>IF(Ramen_Ratings[[#This Row],[Top Ten]]="", "",RIGHT(Ramen_Ratings[[#This Row],[Top Ten]],LEN(Ramen_Ratings[[#This Row],[Top Ten]])-6))</f>
        <v/>
      </c>
    </row>
    <row r="2341" spans="1:11" x14ac:dyDescent="0.25">
      <c r="A2341">
        <v>2406</v>
      </c>
      <c r="B2341" t="s">
        <v>77</v>
      </c>
      <c r="C2341" t="s">
        <v>266</v>
      </c>
      <c r="D2341" t="s">
        <v>13</v>
      </c>
      <c r="E2341" t="s">
        <v>79</v>
      </c>
      <c r="F2341" t="str">
        <f>VLOOKUP(Ramen_Ratings[[#This Row],[Country]],Country_Region[#All],2,FALSE)</f>
        <v>Asia</v>
      </c>
      <c r="G2341">
        <v>0.25</v>
      </c>
      <c r="H2341" t="str" cm="1">
        <f t="array" ref="H2341">_xlfn.IFS(Ramen_Ratings[[#This Row],[Stars]] = "Unrated", "NA",Ramen_Ratings[[#This Row],[Stars]]&gt;=4, "Good", Ramen_Ratings[[#This Row],[Stars]]&gt;2.5, "Fair", Ramen_Ratings[[#This Row],[Stars]] &gt;= 0, "Bad")</f>
        <v>Bad</v>
      </c>
      <c r="J2341" t="str">
        <f>LEFT(Ramen_Ratings[[#This Row],[Top Ten]],4)</f>
        <v/>
      </c>
      <c r="K2341" t="str">
        <f>IF(Ramen_Ratings[[#This Row],[Top Ten]]="", "",RIGHT(Ramen_Ratings[[#This Row],[Top Ten]],LEN(Ramen_Ratings[[#This Row],[Top Ten]])-6))</f>
        <v/>
      </c>
    </row>
    <row r="2342" spans="1:11" x14ac:dyDescent="0.25">
      <c r="A2342">
        <v>2401</v>
      </c>
      <c r="B2342" t="s">
        <v>272</v>
      </c>
      <c r="C2342" t="s">
        <v>273</v>
      </c>
      <c r="D2342" t="s">
        <v>44</v>
      </c>
      <c r="E2342" t="s">
        <v>79</v>
      </c>
      <c r="F2342" t="str">
        <f>VLOOKUP(Ramen_Ratings[[#This Row],[Country]],Country_Region[#All],2,FALSE)</f>
        <v>Asia</v>
      </c>
      <c r="G2342">
        <v>5</v>
      </c>
      <c r="H2342" t="str" cm="1">
        <f t="array" ref="H2342">_xlfn.IFS(Ramen_Ratings[[#This Row],[Stars]] = "Unrated", "NA",Ramen_Ratings[[#This Row],[Stars]]&gt;=4, "Good", Ramen_Ratings[[#This Row],[Stars]]&gt;2.5, "Fair", Ramen_Ratings[[#This Row],[Stars]] &gt;= 0, "Bad")</f>
        <v>Good</v>
      </c>
      <c r="J2342" t="str">
        <f>LEFT(Ramen_Ratings[[#This Row],[Top Ten]],4)</f>
        <v/>
      </c>
      <c r="K2342" t="str">
        <f>IF(Ramen_Ratings[[#This Row],[Top Ten]]="", "",RIGHT(Ramen_Ratings[[#This Row],[Top Ten]],LEN(Ramen_Ratings[[#This Row],[Top Ten]])-6))</f>
        <v/>
      </c>
    </row>
    <row r="2343" spans="1:11" x14ac:dyDescent="0.25">
      <c r="A2343">
        <v>2398</v>
      </c>
      <c r="B2343" t="s">
        <v>276</v>
      </c>
      <c r="C2343" t="s">
        <v>277</v>
      </c>
      <c r="D2343" t="s">
        <v>30</v>
      </c>
      <c r="E2343" t="s">
        <v>79</v>
      </c>
      <c r="F2343" t="str">
        <f>VLOOKUP(Ramen_Ratings[[#This Row],[Country]],Country_Region[#All],2,FALSE)</f>
        <v>Asia</v>
      </c>
      <c r="G2343">
        <v>1</v>
      </c>
      <c r="H2343" t="str" cm="1">
        <f t="array" ref="H2343">_xlfn.IFS(Ramen_Ratings[[#This Row],[Stars]] = "Unrated", "NA",Ramen_Ratings[[#This Row],[Stars]]&gt;=4, "Good", Ramen_Ratings[[#This Row],[Stars]]&gt;2.5, "Fair", Ramen_Ratings[[#This Row],[Stars]] &gt;= 0, "Bad")</f>
        <v>Bad</v>
      </c>
      <c r="J2343" t="str">
        <f>LEFT(Ramen_Ratings[[#This Row],[Top Ten]],4)</f>
        <v/>
      </c>
      <c r="K2343" t="str">
        <f>IF(Ramen_Ratings[[#This Row],[Top Ten]]="", "",RIGHT(Ramen_Ratings[[#This Row],[Top Ten]],LEN(Ramen_Ratings[[#This Row],[Top Ten]])-6))</f>
        <v/>
      </c>
    </row>
    <row r="2344" spans="1:11" x14ac:dyDescent="0.25">
      <c r="A2344">
        <v>2395</v>
      </c>
      <c r="B2344" t="s">
        <v>218</v>
      </c>
      <c r="C2344" t="s">
        <v>281</v>
      </c>
      <c r="D2344" t="s">
        <v>13</v>
      </c>
      <c r="E2344" t="s">
        <v>79</v>
      </c>
      <c r="F2344" t="str">
        <f>VLOOKUP(Ramen_Ratings[[#This Row],[Country]],Country_Region[#All],2,FALSE)</f>
        <v>Asia</v>
      </c>
      <c r="G2344">
        <v>4.25</v>
      </c>
      <c r="H2344" t="str" cm="1">
        <f t="array" ref="H2344">_xlfn.IFS(Ramen_Ratings[[#This Row],[Stars]] = "Unrated", "NA",Ramen_Ratings[[#This Row],[Stars]]&gt;=4, "Good", Ramen_Ratings[[#This Row],[Stars]]&gt;2.5, "Fair", Ramen_Ratings[[#This Row],[Stars]] &gt;= 0, "Bad")</f>
        <v>Good</v>
      </c>
      <c r="J2344" t="str">
        <f>LEFT(Ramen_Ratings[[#This Row],[Top Ten]],4)</f>
        <v/>
      </c>
      <c r="K2344" t="str">
        <f>IF(Ramen_Ratings[[#This Row],[Top Ten]]="", "",RIGHT(Ramen_Ratings[[#This Row],[Top Ten]],LEN(Ramen_Ratings[[#This Row],[Top Ten]])-6))</f>
        <v/>
      </c>
    </row>
    <row r="2345" spans="1:11" x14ac:dyDescent="0.25">
      <c r="A2345">
        <v>2388</v>
      </c>
      <c r="B2345" t="s">
        <v>289</v>
      </c>
      <c r="C2345" t="s">
        <v>290</v>
      </c>
      <c r="D2345" t="s">
        <v>13</v>
      </c>
      <c r="E2345" t="s">
        <v>79</v>
      </c>
      <c r="F2345" t="str">
        <f>VLOOKUP(Ramen_Ratings[[#This Row],[Country]],Country_Region[#All],2,FALSE)</f>
        <v>Asia</v>
      </c>
      <c r="G2345">
        <v>4.25</v>
      </c>
      <c r="H2345" t="str" cm="1">
        <f t="array" ref="H2345">_xlfn.IFS(Ramen_Ratings[[#This Row],[Stars]] = "Unrated", "NA",Ramen_Ratings[[#This Row],[Stars]]&gt;=4, "Good", Ramen_Ratings[[#This Row],[Stars]]&gt;2.5, "Fair", Ramen_Ratings[[#This Row],[Stars]] &gt;= 0, "Bad")</f>
        <v>Good</v>
      </c>
      <c r="J2345" t="str">
        <f>LEFT(Ramen_Ratings[[#This Row],[Top Ten]],4)</f>
        <v/>
      </c>
      <c r="K2345" t="str">
        <f>IF(Ramen_Ratings[[#This Row],[Top Ten]]="", "",RIGHT(Ramen_Ratings[[#This Row],[Top Ten]],LEN(Ramen_Ratings[[#This Row],[Top Ten]])-6))</f>
        <v/>
      </c>
    </row>
    <row r="2346" spans="1:11" x14ac:dyDescent="0.25">
      <c r="A2346">
        <v>2384</v>
      </c>
      <c r="B2346" t="s">
        <v>77</v>
      </c>
      <c r="C2346" t="s">
        <v>294</v>
      </c>
      <c r="D2346" t="s">
        <v>13</v>
      </c>
      <c r="E2346" t="s">
        <v>79</v>
      </c>
      <c r="F2346" t="str">
        <f>VLOOKUP(Ramen_Ratings[[#This Row],[Country]],Country_Region[#All],2,FALSE)</f>
        <v>Asia</v>
      </c>
      <c r="G2346">
        <v>4.25</v>
      </c>
      <c r="H2346" t="str" cm="1">
        <f t="array" ref="H2346">_xlfn.IFS(Ramen_Ratings[[#This Row],[Stars]] = "Unrated", "NA",Ramen_Ratings[[#This Row],[Stars]]&gt;=4, "Good", Ramen_Ratings[[#This Row],[Stars]]&gt;2.5, "Fair", Ramen_Ratings[[#This Row],[Stars]] &gt;= 0, "Bad")</f>
        <v>Good</v>
      </c>
      <c r="J2346" t="str">
        <f>LEFT(Ramen_Ratings[[#This Row],[Top Ten]],4)</f>
        <v/>
      </c>
      <c r="K2346" t="str">
        <f>IF(Ramen_Ratings[[#This Row],[Top Ten]]="", "",RIGHT(Ramen_Ratings[[#This Row],[Top Ten]],LEN(Ramen_Ratings[[#This Row],[Top Ten]])-6))</f>
        <v/>
      </c>
    </row>
    <row r="2347" spans="1:11" x14ac:dyDescent="0.25">
      <c r="A2347">
        <v>2372</v>
      </c>
      <c r="B2347" t="s">
        <v>307</v>
      </c>
      <c r="C2347" t="s">
        <v>308</v>
      </c>
      <c r="D2347" t="s">
        <v>44</v>
      </c>
      <c r="E2347" t="s">
        <v>79</v>
      </c>
      <c r="F2347" t="str">
        <f>VLOOKUP(Ramen_Ratings[[#This Row],[Country]],Country_Region[#All],2,FALSE)</f>
        <v>Asia</v>
      </c>
      <c r="G2347">
        <v>4</v>
      </c>
      <c r="H2347" t="str" cm="1">
        <f t="array" ref="H2347">_xlfn.IFS(Ramen_Ratings[[#This Row],[Stars]] = "Unrated", "NA",Ramen_Ratings[[#This Row],[Stars]]&gt;=4, "Good", Ramen_Ratings[[#This Row],[Stars]]&gt;2.5, "Fair", Ramen_Ratings[[#This Row],[Stars]] &gt;= 0, "Bad")</f>
        <v>Good</v>
      </c>
      <c r="J2347" t="str">
        <f>LEFT(Ramen_Ratings[[#This Row],[Top Ten]],4)</f>
        <v/>
      </c>
      <c r="K2347" t="str">
        <f>IF(Ramen_Ratings[[#This Row],[Top Ten]]="", "",RIGHT(Ramen_Ratings[[#This Row],[Top Ten]],LEN(Ramen_Ratings[[#This Row],[Top Ten]])-6))</f>
        <v/>
      </c>
    </row>
    <row r="2348" spans="1:11" x14ac:dyDescent="0.25">
      <c r="A2348">
        <v>2362</v>
      </c>
      <c r="B2348" t="s">
        <v>319</v>
      </c>
      <c r="C2348" t="s">
        <v>320</v>
      </c>
      <c r="D2348" t="s">
        <v>44</v>
      </c>
      <c r="E2348" t="s">
        <v>79</v>
      </c>
      <c r="F2348" t="str">
        <f>VLOOKUP(Ramen_Ratings[[#This Row],[Country]],Country_Region[#All],2,FALSE)</f>
        <v>Asia</v>
      </c>
      <c r="G2348">
        <v>4</v>
      </c>
      <c r="H2348" t="str" cm="1">
        <f t="array" ref="H2348">_xlfn.IFS(Ramen_Ratings[[#This Row],[Stars]] = "Unrated", "NA",Ramen_Ratings[[#This Row],[Stars]]&gt;=4, "Good", Ramen_Ratings[[#This Row],[Stars]]&gt;2.5, "Fair", Ramen_Ratings[[#This Row],[Stars]] &gt;= 0, "Bad")</f>
        <v>Good</v>
      </c>
      <c r="J2348" t="str">
        <f>LEFT(Ramen_Ratings[[#This Row],[Top Ten]],4)</f>
        <v/>
      </c>
      <c r="K2348" t="str">
        <f>IF(Ramen_Ratings[[#This Row],[Top Ten]]="", "",RIGHT(Ramen_Ratings[[#This Row],[Top Ten]],LEN(Ramen_Ratings[[#This Row],[Top Ten]])-6))</f>
        <v/>
      </c>
    </row>
    <row r="2349" spans="1:11" x14ac:dyDescent="0.25">
      <c r="A2349">
        <v>2358</v>
      </c>
      <c r="B2349" t="s">
        <v>272</v>
      </c>
      <c r="C2349" t="s">
        <v>325</v>
      </c>
      <c r="D2349" t="s">
        <v>44</v>
      </c>
      <c r="E2349" t="s">
        <v>79</v>
      </c>
      <c r="F2349" t="str">
        <f>VLOOKUP(Ramen_Ratings[[#This Row],[Country]],Country_Region[#All],2,FALSE)</f>
        <v>Asia</v>
      </c>
      <c r="G2349">
        <v>4</v>
      </c>
      <c r="H2349" t="str" cm="1">
        <f t="array" ref="H2349">_xlfn.IFS(Ramen_Ratings[[#This Row],[Stars]] = "Unrated", "NA",Ramen_Ratings[[#This Row],[Stars]]&gt;=4, "Good", Ramen_Ratings[[#This Row],[Stars]]&gt;2.5, "Fair", Ramen_Ratings[[#This Row],[Stars]] &gt;= 0, "Bad")</f>
        <v>Good</v>
      </c>
      <c r="J2349" t="str">
        <f>LEFT(Ramen_Ratings[[#This Row],[Top Ten]],4)</f>
        <v/>
      </c>
      <c r="K2349" t="str">
        <f>IF(Ramen_Ratings[[#This Row],[Top Ten]]="", "",RIGHT(Ramen_Ratings[[#This Row],[Top Ten]],LEN(Ramen_Ratings[[#This Row],[Top Ten]])-6))</f>
        <v/>
      </c>
    </row>
    <row r="2350" spans="1:11" x14ac:dyDescent="0.25">
      <c r="A2350">
        <v>2328</v>
      </c>
      <c r="B2350" t="s">
        <v>365</v>
      </c>
      <c r="C2350" t="s">
        <v>366</v>
      </c>
      <c r="D2350" t="s">
        <v>13</v>
      </c>
      <c r="E2350" t="s">
        <v>79</v>
      </c>
      <c r="F2350" t="str">
        <f>VLOOKUP(Ramen_Ratings[[#This Row],[Country]],Country_Region[#All],2,FALSE)</f>
        <v>Asia</v>
      </c>
      <c r="G2350">
        <v>3</v>
      </c>
      <c r="H2350" t="str" cm="1">
        <f t="array" ref="H2350">_xlfn.IFS(Ramen_Ratings[[#This Row],[Stars]] = "Unrated", "NA",Ramen_Ratings[[#This Row],[Stars]]&gt;=4, "Good", Ramen_Ratings[[#This Row],[Stars]]&gt;2.5, "Fair", Ramen_Ratings[[#This Row],[Stars]] &gt;= 0, "Bad")</f>
        <v>Fair</v>
      </c>
      <c r="J2350" t="str">
        <f>LEFT(Ramen_Ratings[[#This Row],[Top Ten]],4)</f>
        <v/>
      </c>
      <c r="K2350" t="str">
        <f>IF(Ramen_Ratings[[#This Row],[Top Ten]]="", "",RIGHT(Ramen_Ratings[[#This Row],[Top Ten]],LEN(Ramen_Ratings[[#This Row],[Top Ten]])-6))</f>
        <v/>
      </c>
    </row>
    <row r="2351" spans="1:11" x14ac:dyDescent="0.25">
      <c r="A2351">
        <v>2297</v>
      </c>
      <c r="B2351" t="s">
        <v>319</v>
      </c>
      <c r="C2351" t="s">
        <v>404</v>
      </c>
      <c r="D2351" t="s">
        <v>44</v>
      </c>
      <c r="E2351" t="s">
        <v>79</v>
      </c>
      <c r="F2351" t="str">
        <f>VLOOKUP(Ramen_Ratings[[#This Row],[Country]],Country_Region[#All],2,FALSE)</f>
        <v>Asia</v>
      </c>
      <c r="G2351">
        <v>3</v>
      </c>
      <c r="H2351" t="str" cm="1">
        <f t="array" ref="H2351">_xlfn.IFS(Ramen_Ratings[[#This Row],[Stars]] = "Unrated", "NA",Ramen_Ratings[[#This Row],[Stars]]&gt;=4, "Good", Ramen_Ratings[[#This Row],[Stars]]&gt;2.5, "Fair", Ramen_Ratings[[#This Row],[Stars]] &gt;= 0, "Bad")</f>
        <v>Fair</v>
      </c>
      <c r="J2351" t="str">
        <f>LEFT(Ramen_Ratings[[#This Row],[Top Ten]],4)</f>
        <v/>
      </c>
      <c r="K2351" t="str">
        <f>IF(Ramen_Ratings[[#This Row],[Top Ten]]="", "",RIGHT(Ramen_Ratings[[#This Row],[Top Ten]],LEN(Ramen_Ratings[[#This Row],[Top Ten]])-6))</f>
        <v/>
      </c>
    </row>
    <row r="2352" spans="1:11" x14ac:dyDescent="0.25">
      <c r="A2352">
        <v>2295</v>
      </c>
      <c r="B2352" t="s">
        <v>15</v>
      </c>
      <c r="C2352" t="s">
        <v>406</v>
      </c>
      <c r="D2352" t="s">
        <v>9</v>
      </c>
      <c r="E2352" t="s">
        <v>79</v>
      </c>
      <c r="F2352" t="str">
        <f>VLOOKUP(Ramen_Ratings[[#This Row],[Country]],Country_Region[#All],2,FALSE)</f>
        <v>Asia</v>
      </c>
      <c r="G2352">
        <v>4</v>
      </c>
      <c r="H2352" t="str" cm="1">
        <f t="array" ref="H2352">_xlfn.IFS(Ramen_Ratings[[#This Row],[Stars]] = "Unrated", "NA",Ramen_Ratings[[#This Row],[Stars]]&gt;=4, "Good", Ramen_Ratings[[#This Row],[Stars]]&gt;2.5, "Fair", Ramen_Ratings[[#This Row],[Stars]] &gt;= 0, "Bad")</f>
        <v>Good</v>
      </c>
      <c r="J2352" t="str">
        <f>LEFT(Ramen_Ratings[[#This Row],[Top Ten]],4)</f>
        <v/>
      </c>
      <c r="K2352" t="str">
        <f>IF(Ramen_Ratings[[#This Row],[Top Ten]]="", "",RIGHT(Ramen_Ratings[[#This Row],[Top Ten]],LEN(Ramen_Ratings[[#This Row],[Top Ten]])-6))</f>
        <v/>
      </c>
    </row>
    <row r="2353" spans="1:11" x14ac:dyDescent="0.25">
      <c r="A2353">
        <v>2292</v>
      </c>
      <c r="B2353" t="s">
        <v>272</v>
      </c>
      <c r="C2353" t="s">
        <v>409</v>
      </c>
      <c r="D2353" t="s">
        <v>13</v>
      </c>
      <c r="E2353" t="s">
        <v>79</v>
      </c>
      <c r="F2353" t="str">
        <f>VLOOKUP(Ramen_Ratings[[#This Row],[Country]],Country_Region[#All],2,FALSE)</f>
        <v>Asia</v>
      </c>
      <c r="G2353">
        <v>5</v>
      </c>
      <c r="H2353" t="str" cm="1">
        <f t="array" ref="H2353">_xlfn.IFS(Ramen_Ratings[[#This Row],[Stars]] = "Unrated", "NA",Ramen_Ratings[[#This Row],[Stars]]&gt;=4, "Good", Ramen_Ratings[[#This Row],[Stars]]&gt;2.5, "Fair", Ramen_Ratings[[#This Row],[Stars]] &gt;= 0, "Bad")</f>
        <v>Good</v>
      </c>
      <c r="J2353" t="str">
        <f>LEFT(Ramen_Ratings[[#This Row],[Top Ten]],4)</f>
        <v/>
      </c>
      <c r="K2353" t="str">
        <f>IF(Ramen_Ratings[[#This Row],[Top Ten]]="", "",RIGHT(Ramen_Ratings[[#This Row],[Top Ten]],LEN(Ramen_Ratings[[#This Row],[Top Ten]])-6))</f>
        <v/>
      </c>
    </row>
    <row r="2354" spans="1:11" x14ac:dyDescent="0.25">
      <c r="A2354">
        <v>2287</v>
      </c>
      <c r="B2354" t="s">
        <v>218</v>
      </c>
      <c r="C2354" t="s">
        <v>414</v>
      </c>
      <c r="D2354" t="s">
        <v>13</v>
      </c>
      <c r="E2354" t="s">
        <v>79</v>
      </c>
      <c r="F2354" t="str">
        <f>VLOOKUP(Ramen_Ratings[[#This Row],[Country]],Country_Region[#All],2,FALSE)</f>
        <v>Asia</v>
      </c>
      <c r="G2354">
        <v>0</v>
      </c>
      <c r="H2354" t="str" cm="1">
        <f t="array" ref="H2354">_xlfn.IFS(Ramen_Ratings[[#This Row],[Stars]] = "Unrated", "NA",Ramen_Ratings[[#This Row],[Stars]]&gt;=4, "Good", Ramen_Ratings[[#This Row],[Stars]]&gt;2.5, "Fair", Ramen_Ratings[[#This Row],[Stars]] &gt;= 0, "Bad")</f>
        <v>Bad</v>
      </c>
      <c r="J2354" t="str">
        <f>LEFT(Ramen_Ratings[[#This Row],[Top Ten]],4)</f>
        <v/>
      </c>
      <c r="K2354" t="str">
        <f>IF(Ramen_Ratings[[#This Row],[Top Ten]]="", "",RIGHT(Ramen_Ratings[[#This Row],[Top Ten]],LEN(Ramen_Ratings[[#This Row],[Top Ten]])-6))</f>
        <v/>
      </c>
    </row>
    <row r="2355" spans="1:11" x14ac:dyDescent="0.25">
      <c r="A2355">
        <v>2280</v>
      </c>
      <c r="B2355" t="s">
        <v>272</v>
      </c>
      <c r="C2355" t="s">
        <v>421</v>
      </c>
      <c r="D2355" t="s">
        <v>13</v>
      </c>
      <c r="E2355" t="s">
        <v>79</v>
      </c>
      <c r="F2355" t="str">
        <f>VLOOKUP(Ramen_Ratings[[#This Row],[Country]],Country_Region[#All],2,FALSE)</f>
        <v>Asia</v>
      </c>
      <c r="G2355">
        <v>4</v>
      </c>
      <c r="H2355" t="str" cm="1">
        <f t="array" ref="H2355">_xlfn.IFS(Ramen_Ratings[[#This Row],[Stars]] = "Unrated", "NA",Ramen_Ratings[[#This Row],[Stars]]&gt;=4, "Good", Ramen_Ratings[[#This Row],[Stars]]&gt;2.5, "Fair", Ramen_Ratings[[#This Row],[Stars]] &gt;= 0, "Bad")</f>
        <v>Good</v>
      </c>
      <c r="J2355" t="str">
        <f>LEFT(Ramen_Ratings[[#This Row],[Top Ten]],4)</f>
        <v/>
      </c>
      <c r="K2355" t="str">
        <f>IF(Ramen_Ratings[[#This Row],[Top Ten]]="", "",RIGHT(Ramen_Ratings[[#This Row],[Top Ten]],LEN(Ramen_Ratings[[#This Row],[Top Ten]])-6))</f>
        <v/>
      </c>
    </row>
    <row r="2356" spans="1:11" x14ac:dyDescent="0.25">
      <c r="A2356">
        <v>2275</v>
      </c>
      <c r="B2356" t="s">
        <v>426</v>
      </c>
      <c r="C2356" t="s">
        <v>253</v>
      </c>
      <c r="D2356" t="s">
        <v>13</v>
      </c>
      <c r="E2356" t="s">
        <v>79</v>
      </c>
      <c r="F2356" t="str">
        <f>VLOOKUP(Ramen_Ratings[[#This Row],[Country]],Country_Region[#All],2,FALSE)</f>
        <v>Asia</v>
      </c>
      <c r="G2356">
        <v>4</v>
      </c>
      <c r="H2356" t="str" cm="1">
        <f t="array" ref="H2356">_xlfn.IFS(Ramen_Ratings[[#This Row],[Stars]] = "Unrated", "NA",Ramen_Ratings[[#This Row],[Stars]]&gt;=4, "Good", Ramen_Ratings[[#This Row],[Stars]]&gt;2.5, "Fair", Ramen_Ratings[[#This Row],[Stars]] &gt;= 0, "Bad")</f>
        <v>Good</v>
      </c>
      <c r="J2356" t="str">
        <f>LEFT(Ramen_Ratings[[#This Row],[Top Ten]],4)</f>
        <v/>
      </c>
      <c r="K2356" t="str">
        <f>IF(Ramen_Ratings[[#This Row],[Top Ten]]="", "",RIGHT(Ramen_Ratings[[#This Row],[Top Ten]],LEN(Ramen_Ratings[[#This Row],[Top Ten]])-6))</f>
        <v/>
      </c>
    </row>
    <row r="2357" spans="1:11" x14ac:dyDescent="0.25">
      <c r="A2357">
        <v>2271</v>
      </c>
      <c r="B2357" t="s">
        <v>272</v>
      </c>
      <c r="C2357" t="s">
        <v>273</v>
      </c>
      <c r="D2357" t="s">
        <v>13</v>
      </c>
      <c r="E2357" t="s">
        <v>79</v>
      </c>
      <c r="F2357" t="str">
        <f>VLOOKUP(Ramen_Ratings[[#This Row],[Country]],Country_Region[#All],2,FALSE)</f>
        <v>Asia</v>
      </c>
      <c r="G2357">
        <v>5</v>
      </c>
      <c r="H2357" t="str" cm="1">
        <f t="array" ref="H2357">_xlfn.IFS(Ramen_Ratings[[#This Row],[Stars]] = "Unrated", "NA",Ramen_Ratings[[#This Row],[Stars]]&gt;=4, "Good", Ramen_Ratings[[#This Row],[Stars]]&gt;2.5, "Fair", Ramen_Ratings[[#This Row],[Stars]] &gt;= 0, "Bad")</f>
        <v>Good</v>
      </c>
      <c r="J2357" t="str">
        <f>LEFT(Ramen_Ratings[[#This Row],[Top Ten]],4)</f>
        <v/>
      </c>
      <c r="K2357" t="str">
        <f>IF(Ramen_Ratings[[#This Row],[Top Ten]]="", "",RIGHT(Ramen_Ratings[[#This Row],[Top Ten]],LEN(Ramen_Ratings[[#This Row],[Top Ten]])-6))</f>
        <v/>
      </c>
    </row>
    <row r="2358" spans="1:11" x14ac:dyDescent="0.25">
      <c r="A2358">
        <v>2263</v>
      </c>
      <c r="B2358" t="s">
        <v>272</v>
      </c>
      <c r="C2358" t="s">
        <v>438</v>
      </c>
      <c r="D2358" t="s">
        <v>13</v>
      </c>
      <c r="E2358" t="s">
        <v>79</v>
      </c>
      <c r="F2358" t="str">
        <f>VLOOKUP(Ramen_Ratings[[#This Row],[Country]],Country_Region[#All],2,FALSE)</f>
        <v>Asia</v>
      </c>
      <c r="G2358">
        <v>4</v>
      </c>
      <c r="H2358" t="str" cm="1">
        <f t="array" ref="H2358">_xlfn.IFS(Ramen_Ratings[[#This Row],[Stars]] = "Unrated", "NA",Ramen_Ratings[[#This Row],[Stars]]&gt;=4, "Good", Ramen_Ratings[[#This Row],[Stars]]&gt;2.5, "Fair", Ramen_Ratings[[#This Row],[Stars]] &gt;= 0, "Bad")</f>
        <v>Good</v>
      </c>
      <c r="J2358" t="str">
        <f>LEFT(Ramen_Ratings[[#This Row],[Top Ten]],4)</f>
        <v/>
      </c>
      <c r="K2358" t="str">
        <f>IF(Ramen_Ratings[[#This Row],[Top Ten]]="", "",RIGHT(Ramen_Ratings[[#This Row],[Top Ten]],LEN(Ramen_Ratings[[#This Row],[Top Ten]])-6))</f>
        <v/>
      </c>
    </row>
    <row r="2359" spans="1:11" x14ac:dyDescent="0.25">
      <c r="A2359">
        <v>2186</v>
      </c>
      <c r="B2359" t="s">
        <v>218</v>
      </c>
      <c r="C2359" t="s">
        <v>531</v>
      </c>
      <c r="D2359" t="s">
        <v>13</v>
      </c>
      <c r="E2359" t="s">
        <v>79</v>
      </c>
      <c r="F2359" t="str">
        <f>VLOOKUP(Ramen_Ratings[[#This Row],[Country]],Country_Region[#All],2,FALSE)</f>
        <v>Asia</v>
      </c>
      <c r="G2359">
        <v>4</v>
      </c>
      <c r="H2359" t="str" cm="1">
        <f t="array" ref="H2359">_xlfn.IFS(Ramen_Ratings[[#This Row],[Stars]] = "Unrated", "NA",Ramen_Ratings[[#This Row],[Stars]]&gt;=4, "Good", Ramen_Ratings[[#This Row],[Stars]]&gt;2.5, "Fair", Ramen_Ratings[[#This Row],[Stars]] &gt;= 0, "Bad")</f>
        <v>Good</v>
      </c>
      <c r="J2359" t="str">
        <f>LEFT(Ramen_Ratings[[#This Row],[Top Ten]],4)</f>
        <v/>
      </c>
      <c r="K2359" t="str">
        <f>IF(Ramen_Ratings[[#This Row],[Top Ten]]="", "",RIGHT(Ramen_Ratings[[#This Row],[Top Ten]],LEN(Ramen_Ratings[[#This Row],[Top Ten]])-6))</f>
        <v/>
      </c>
    </row>
    <row r="2360" spans="1:11" x14ac:dyDescent="0.25">
      <c r="A2360">
        <v>2166</v>
      </c>
      <c r="B2360" t="s">
        <v>426</v>
      </c>
      <c r="C2360" t="s">
        <v>553</v>
      </c>
      <c r="D2360" t="s">
        <v>13</v>
      </c>
      <c r="E2360" t="s">
        <v>79</v>
      </c>
      <c r="F2360" t="str">
        <f>VLOOKUP(Ramen_Ratings[[#This Row],[Country]],Country_Region[#All],2,FALSE)</f>
        <v>Asia</v>
      </c>
      <c r="G2360">
        <v>4</v>
      </c>
      <c r="H2360" t="str" cm="1">
        <f t="array" ref="H2360">_xlfn.IFS(Ramen_Ratings[[#This Row],[Stars]] = "Unrated", "NA",Ramen_Ratings[[#This Row],[Stars]]&gt;=4, "Good", Ramen_Ratings[[#This Row],[Stars]]&gt;2.5, "Fair", Ramen_Ratings[[#This Row],[Stars]] &gt;= 0, "Bad")</f>
        <v>Good</v>
      </c>
      <c r="J2360" t="str">
        <f>LEFT(Ramen_Ratings[[#This Row],[Top Ten]],4)</f>
        <v/>
      </c>
      <c r="K2360" t="str">
        <f>IF(Ramen_Ratings[[#This Row],[Top Ten]]="", "",RIGHT(Ramen_Ratings[[#This Row],[Top Ten]],LEN(Ramen_Ratings[[#This Row],[Top Ten]])-6))</f>
        <v/>
      </c>
    </row>
    <row r="2361" spans="1:11" x14ac:dyDescent="0.25">
      <c r="A2361">
        <v>2157</v>
      </c>
      <c r="B2361" t="s">
        <v>218</v>
      </c>
      <c r="C2361" t="s">
        <v>564</v>
      </c>
      <c r="D2361" t="s">
        <v>13</v>
      </c>
      <c r="E2361" t="s">
        <v>79</v>
      </c>
      <c r="F2361" t="str">
        <f>VLOOKUP(Ramen_Ratings[[#This Row],[Country]],Country_Region[#All],2,FALSE)</f>
        <v>Asia</v>
      </c>
      <c r="G2361">
        <v>4</v>
      </c>
      <c r="H2361" t="str" cm="1">
        <f t="array" ref="H2361">_xlfn.IFS(Ramen_Ratings[[#This Row],[Stars]] = "Unrated", "NA",Ramen_Ratings[[#This Row],[Stars]]&gt;=4, "Good", Ramen_Ratings[[#This Row],[Stars]]&gt;2.5, "Fair", Ramen_Ratings[[#This Row],[Stars]] &gt;= 0, "Bad")</f>
        <v>Good</v>
      </c>
      <c r="J2361" t="str">
        <f>LEFT(Ramen_Ratings[[#This Row],[Top Ten]],4)</f>
        <v/>
      </c>
      <c r="K2361" t="str">
        <f>IF(Ramen_Ratings[[#This Row],[Top Ten]]="", "",RIGHT(Ramen_Ratings[[#This Row],[Top Ten]],LEN(Ramen_Ratings[[#This Row],[Top Ten]])-6))</f>
        <v/>
      </c>
    </row>
    <row r="2362" spans="1:11" x14ac:dyDescent="0.25">
      <c r="A2362">
        <v>2051</v>
      </c>
      <c r="B2362" t="s">
        <v>218</v>
      </c>
      <c r="C2362" t="s">
        <v>683</v>
      </c>
      <c r="D2362" t="s">
        <v>13</v>
      </c>
      <c r="E2362" t="s">
        <v>79</v>
      </c>
      <c r="F2362" t="str">
        <f>VLOOKUP(Ramen_Ratings[[#This Row],[Country]],Country_Region[#All],2,FALSE)</f>
        <v>Asia</v>
      </c>
      <c r="G2362">
        <v>3.5</v>
      </c>
      <c r="H2362" t="str" cm="1">
        <f t="array" ref="H2362">_xlfn.IFS(Ramen_Ratings[[#This Row],[Stars]] = "Unrated", "NA",Ramen_Ratings[[#This Row],[Stars]]&gt;=4, "Good", Ramen_Ratings[[#This Row],[Stars]]&gt;2.5, "Fair", Ramen_Ratings[[#This Row],[Stars]] &gt;= 0, "Bad")</f>
        <v>Fair</v>
      </c>
      <c r="J2362" t="str">
        <f>LEFT(Ramen_Ratings[[#This Row],[Top Ten]],4)</f>
        <v/>
      </c>
      <c r="K2362" t="str">
        <f>IF(Ramen_Ratings[[#This Row],[Top Ten]]="", "",RIGHT(Ramen_Ratings[[#This Row],[Top Ten]],LEN(Ramen_Ratings[[#This Row],[Top Ten]])-6))</f>
        <v/>
      </c>
    </row>
    <row r="2363" spans="1:11" x14ac:dyDescent="0.25">
      <c r="A2363">
        <v>2041</v>
      </c>
      <c r="B2363" t="s">
        <v>218</v>
      </c>
      <c r="C2363" t="s">
        <v>694</v>
      </c>
      <c r="D2363" t="s">
        <v>13</v>
      </c>
      <c r="E2363" t="s">
        <v>79</v>
      </c>
      <c r="F2363" t="str">
        <f>VLOOKUP(Ramen_Ratings[[#This Row],[Country]],Country_Region[#All],2,FALSE)</f>
        <v>Asia</v>
      </c>
      <c r="G2363">
        <v>4.5</v>
      </c>
      <c r="H2363" t="str" cm="1">
        <f t="array" ref="H2363">_xlfn.IFS(Ramen_Ratings[[#This Row],[Stars]] = "Unrated", "NA",Ramen_Ratings[[#This Row],[Stars]]&gt;=4, "Good", Ramen_Ratings[[#This Row],[Stars]]&gt;2.5, "Fair", Ramen_Ratings[[#This Row],[Stars]] &gt;= 0, "Bad")</f>
        <v>Good</v>
      </c>
      <c r="J2363" t="str">
        <f>LEFT(Ramen_Ratings[[#This Row],[Top Ten]],4)</f>
        <v/>
      </c>
      <c r="K2363" t="str">
        <f>IF(Ramen_Ratings[[#This Row],[Top Ten]]="", "",RIGHT(Ramen_Ratings[[#This Row],[Top Ten]],LEN(Ramen_Ratings[[#This Row],[Top Ten]])-6))</f>
        <v/>
      </c>
    </row>
    <row r="2364" spans="1:11" x14ac:dyDescent="0.25">
      <c r="A2364">
        <v>2020</v>
      </c>
      <c r="B2364" t="s">
        <v>224</v>
      </c>
      <c r="C2364" t="s">
        <v>718</v>
      </c>
      <c r="D2364" t="s">
        <v>13</v>
      </c>
      <c r="E2364" t="s">
        <v>79</v>
      </c>
      <c r="F2364" t="str">
        <f>VLOOKUP(Ramen_Ratings[[#This Row],[Country]],Country_Region[#All],2,FALSE)</f>
        <v>Asia</v>
      </c>
      <c r="G2364">
        <v>3.5</v>
      </c>
      <c r="H2364" t="str" cm="1">
        <f t="array" ref="H2364">_xlfn.IFS(Ramen_Ratings[[#This Row],[Stars]] = "Unrated", "NA",Ramen_Ratings[[#This Row],[Stars]]&gt;=4, "Good", Ramen_Ratings[[#This Row],[Stars]]&gt;2.5, "Fair", Ramen_Ratings[[#This Row],[Stars]] &gt;= 0, "Bad")</f>
        <v>Fair</v>
      </c>
      <c r="J2364" t="str">
        <f>LEFT(Ramen_Ratings[[#This Row],[Top Ten]],4)</f>
        <v/>
      </c>
      <c r="K2364" t="str">
        <f>IF(Ramen_Ratings[[#This Row],[Top Ten]]="", "",RIGHT(Ramen_Ratings[[#This Row],[Top Ten]],LEN(Ramen_Ratings[[#This Row],[Top Ten]])-6))</f>
        <v/>
      </c>
    </row>
    <row r="2365" spans="1:11" x14ac:dyDescent="0.25">
      <c r="A2365">
        <v>2008</v>
      </c>
      <c r="B2365" t="s">
        <v>272</v>
      </c>
      <c r="C2365" t="s">
        <v>734</v>
      </c>
      <c r="D2365" t="s">
        <v>44</v>
      </c>
      <c r="E2365" t="s">
        <v>79</v>
      </c>
      <c r="F2365" t="str">
        <f>VLOOKUP(Ramen_Ratings[[#This Row],[Country]],Country_Region[#All],2,FALSE)</f>
        <v>Asia</v>
      </c>
      <c r="G2365">
        <v>3.5</v>
      </c>
      <c r="H2365" t="str" cm="1">
        <f t="array" ref="H2365">_xlfn.IFS(Ramen_Ratings[[#This Row],[Stars]] = "Unrated", "NA",Ramen_Ratings[[#This Row],[Stars]]&gt;=4, "Good", Ramen_Ratings[[#This Row],[Stars]]&gt;2.5, "Fair", Ramen_Ratings[[#This Row],[Stars]] &gt;= 0, "Bad")</f>
        <v>Fair</v>
      </c>
      <c r="J2365" t="str">
        <f>LEFT(Ramen_Ratings[[#This Row],[Top Ten]],4)</f>
        <v/>
      </c>
      <c r="K2365" t="str">
        <f>IF(Ramen_Ratings[[#This Row],[Top Ten]]="", "",RIGHT(Ramen_Ratings[[#This Row],[Top Ten]],LEN(Ramen_Ratings[[#This Row],[Top Ten]])-6))</f>
        <v/>
      </c>
    </row>
    <row r="2366" spans="1:11" x14ac:dyDescent="0.25">
      <c r="A2366">
        <v>1982</v>
      </c>
      <c r="B2366" t="s">
        <v>218</v>
      </c>
      <c r="C2366" t="s">
        <v>761</v>
      </c>
      <c r="D2366" t="s">
        <v>13</v>
      </c>
      <c r="E2366" t="s">
        <v>79</v>
      </c>
      <c r="F2366" t="str">
        <f>VLOOKUP(Ramen_Ratings[[#This Row],[Country]],Country_Region[#All],2,FALSE)</f>
        <v>Asia</v>
      </c>
      <c r="G2366">
        <v>4</v>
      </c>
      <c r="H2366" t="str" cm="1">
        <f t="array" ref="H2366">_xlfn.IFS(Ramen_Ratings[[#This Row],[Stars]] = "Unrated", "NA",Ramen_Ratings[[#This Row],[Stars]]&gt;=4, "Good", Ramen_Ratings[[#This Row],[Stars]]&gt;2.5, "Fair", Ramen_Ratings[[#This Row],[Stars]] &gt;= 0, "Bad")</f>
        <v>Good</v>
      </c>
      <c r="J2366" t="str">
        <f>LEFT(Ramen_Ratings[[#This Row],[Top Ten]],4)</f>
        <v/>
      </c>
      <c r="K2366" t="str">
        <f>IF(Ramen_Ratings[[#This Row],[Top Ten]]="", "",RIGHT(Ramen_Ratings[[#This Row],[Top Ten]],LEN(Ramen_Ratings[[#This Row],[Top Ten]])-6))</f>
        <v/>
      </c>
    </row>
    <row r="2367" spans="1:11" x14ac:dyDescent="0.25">
      <c r="A2367">
        <v>1948</v>
      </c>
      <c r="B2367" t="s">
        <v>272</v>
      </c>
      <c r="C2367" t="s">
        <v>802</v>
      </c>
      <c r="D2367" t="s">
        <v>13</v>
      </c>
      <c r="E2367" t="s">
        <v>79</v>
      </c>
      <c r="F2367" t="str">
        <f>VLOOKUP(Ramen_Ratings[[#This Row],[Country]],Country_Region[#All],2,FALSE)</f>
        <v>Asia</v>
      </c>
      <c r="G2367">
        <v>1.5</v>
      </c>
      <c r="H2367" t="str" cm="1">
        <f t="array" ref="H2367">_xlfn.IFS(Ramen_Ratings[[#This Row],[Stars]] = "Unrated", "NA",Ramen_Ratings[[#This Row],[Stars]]&gt;=4, "Good", Ramen_Ratings[[#This Row],[Stars]]&gt;2.5, "Fair", Ramen_Ratings[[#This Row],[Stars]] &gt;= 0, "Bad")</f>
        <v>Bad</v>
      </c>
      <c r="J2367" t="str">
        <f>LEFT(Ramen_Ratings[[#This Row],[Top Ten]],4)</f>
        <v/>
      </c>
      <c r="K2367" t="str">
        <f>IF(Ramen_Ratings[[#This Row],[Top Ten]]="", "",RIGHT(Ramen_Ratings[[#This Row],[Top Ten]],LEN(Ramen_Ratings[[#This Row],[Top Ten]])-6))</f>
        <v/>
      </c>
    </row>
    <row r="2368" spans="1:11" x14ac:dyDescent="0.25">
      <c r="A2368">
        <v>1924</v>
      </c>
      <c r="B2368" t="s">
        <v>272</v>
      </c>
      <c r="C2368" t="s">
        <v>832</v>
      </c>
      <c r="D2368" t="s">
        <v>13</v>
      </c>
      <c r="E2368" t="s">
        <v>79</v>
      </c>
      <c r="F2368" t="str">
        <f>VLOOKUP(Ramen_Ratings[[#This Row],[Country]],Country_Region[#All],2,FALSE)</f>
        <v>Asia</v>
      </c>
      <c r="G2368">
        <v>3.5</v>
      </c>
      <c r="H2368" t="str" cm="1">
        <f t="array" ref="H2368">_xlfn.IFS(Ramen_Ratings[[#This Row],[Stars]] = "Unrated", "NA",Ramen_Ratings[[#This Row],[Stars]]&gt;=4, "Good", Ramen_Ratings[[#This Row],[Stars]]&gt;2.5, "Fair", Ramen_Ratings[[#This Row],[Stars]] &gt;= 0, "Bad")</f>
        <v>Fair</v>
      </c>
      <c r="J2368" t="str">
        <f>LEFT(Ramen_Ratings[[#This Row],[Top Ten]],4)</f>
        <v/>
      </c>
      <c r="K2368" t="str">
        <f>IF(Ramen_Ratings[[#This Row],[Top Ten]]="", "",RIGHT(Ramen_Ratings[[#This Row],[Top Ten]],LEN(Ramen_Ratings[[#This Row],[Top Ten]])-6))</f>
        <v/>
      </c>
    </row>
    <row r="2369" spans="1:11" x14ac:dyDescent="0.25">
      <c r="A2369">
        <v>1898</v>
      </c>
      <c r="B2369" t="s">
        <v>218</v>
      </c>
      <c r="C2369" t="s">
        <v>865</v>
      </c>
      <c r="D2369" t="s">
        <v>44</v>
      </c>
      <c r="E2369" t="s">
        <v>79</v>
      </c>
      <c r="F2369" t="str">
        <f>VLOOKUP(Ramen_Ratings[[#This Row],[Country]],Country_Region[#All],2,FALSE)</f>
        <v>Asia</v>
      </c>
      <c r="G2369">
        <v>3</v>
      </c>
      <c r="H2369" t="str" cm="1">
        <f t="array" ref="H2369">_xlfn.IFS(Ramen_Ratings[[#This Row],[Stars]] = "Unrated", "NA",Ramen_Ratings[[#This Row],[Stars]]&gt;=4, "Good", Ramen_Ratings[[#This Row],[Stars]]&gt;2.5, "Fair", Ramen_Ratings[[#This Row],[Stars]] &gt;= 0, "Bad")</f>
        <v>Fair</v>
      </c>
      <c r="J2369" t="str">
        <f>LEFT(Ramen_Ratings[[#This Row],[Top Ten]],4)</f>
        <v/>
      </c>
      <c r="K2369" t="str">
        <f>IF(Ramen_Ratings[[#This Row],[Top Ten]]="", "",RIGHT(Ramen_Ratings[[#This Row],[Top Ten]],LEN(Ramen_Ratings[[#This Row],[Top Ten]])-6))</f>
        <v/>
      </c>
    </row>
    <row r="2370" spans="1:11" x14ac:dyDescent="0.25">
      <c r="A2370">
        <v>1863</v>
      </c>
      <c r="B2370" t="s">
        <v>900</v>
      </c>
      <c r="C2370" t="s">
        <v>901</v>
      </c>
      <c r="D2370" t="s">
        <v>13</v>
      </c>
      <c r="E2370" t="s">
        <v>79</v>
      </c>
      <c r="F2370" t="str">
        <f>VLOOKUP(Ramen_Ratings[[#This Row],[Country]],Country_Region[#All],2,FALSE)</f>
        <v>Asia</v>
      </c>
      <c r="G2370">
        <v>0</v>
      </c>
      <c r="H2370" t="str" cm="1">
        <f t="array" ref="H2370">_xlfn.IFS(Ramen_Ratings[[#This Row],[Stars]] = "Unrated", "NA",Ramen_Ratings[[#This Row],[Stars]]&gt;=4, "Good", Ramen_Ratings[[#This Row],[Stars]]&gt;2.5, "Fair", Ramen_Ratings[[#This Row],[Stars]] &gt;= 0, "Bad")</f>
        <v>Bad</v>
      </c>
      <c r="J2370" t="str">
        <f>LEFT(Ramen_Ratings[[#This Row],[Top Ten]],4)</f>
        <v/>
      </c>
      <c r="K2370" t="str">
        <f>IF(Ramen_Ratings[[#This Row],[Top Ten]]="", "",RIGHT(Ramen_Ratings[[#This Row],[Top Ten]],LEN(Ramen_Ratings[[#This Row],[Top Ten]])-6))</f>
        <v/>
      </c>
    </row>
    <row r="2371" spans="1:11" x14ac:dyDescent="0.25">
      <c r="A2371">
        <v>1825</v>
      </c>
      <c r="B2371" t="s">
        <v>272</v>
      </c>
      <c r="C2371" t="s">
        <v>945</v>
      </c>
      <c r="D2371" t="s">
        <v>13</v>
      </c>
      <c r="E2371" t="s">
        <v>79</v>
      </c>
      <c r="F2371" t="str">
        <f>VLOOKUP(Ramen_Ratings[[#This Row],[Country]],Country_Region[#All],2,FALSE)</f>
        <v>Asia</v>
      </c>
      <c r="G2371">
        <v>4.5</v>
      </c>
      <c r="H2371" t="str" cm="1">
        <f t="array" ref="H2371">_xlfn.IFS(Ramen_Ratings[[#This Row],[Stars]] = "Unrated", "NA",Ramen_Ratings[[#This Row],[Stars]]&gt;=4, "Good", Ramen_Ratings[[#This Row],[Stars]]&gt;2.5, "Fair", Ramen_Ratings[[#This Row],[Stars]] &gt;= 0, "Bad")</f>
        <v>Good</v>
      </c>
      <c r="J2371" t="str">
        <f>LEFT(Ramen_Ratings[[#This Row],[Top Ten]],4)</f>
        <v/>
      </c>
      <c r="K2371" t="str">
        <f>IF(Ramen_Ratings[[#This Row],[Top Ten]]="", "",RIGHT(Ramen_Ratings[[#This Row],[Top Ten]],LEN(Ramen_Ratings[[#This Row],[Top Ten]])-6))</f>
        <v/>
      </c>
    </row>
    <row r="2372" spans="1:11" x14ac:dyDescent="0.25">
      <c r="A2372">
        <v>1812</v>
      </c>
      <c r="B2372" t="s">
        <v>218</v>
      </c>
      <c r="C2372" t="s">
        <v>962</v>
      </c>
      <c r="D2372" t="s">
        <v>44</v>
      </c>
      <c r="E2372" t="s">
        <v>79</v>
      </c>
      <c r="F2372" t="str">
        <f>VLOOKUP(Ramen_Ratings[[#This Row],[Country]],Country_Region[#All],2,FALSE)</f>
        <v>Asia</v>
      </c>
      <c r="G2372">
        <v>4.25</v>
      </c>
      <c r="H2372" t="str" cm="1">
        <f t="array" ref="H2372">_xlfn.IFS(Ramen_Ratings[[#This Row],[Stars]] = "Unrated", "NA",Ramen_Ratings[[#This Row],[Stars]]&gt;=4, "Good", Ramen_Ratings[[#This Row],[Stars]]&gt;2.5, "Fair", Ramen_Ratings[[#This Row],[Stars]] &gt;= 0, "Bad")</f>
        <v>Good</v>
      </c>
      <c r="J2372" t="str">
        <f>LEFT(Ramen_Ratings[[#This Row],[Top Ten]],4)</f>
        <v/>
      </c>
      <c r="K2372" t="str">
        <f>IF(Ramen_Ratings[[#This Row],[Top Ten]]="", "",RIGHT(Ramen_Ratings[[#This Row],[Top Ten]],LEN(Ramen_Ratings[[#This Row],[Top Ten]])-6))</f>
        <v/>
      </c>
    </row>
    <row r="2373" spans="1:11" x14ac:dyDescent="0.25">
      <c r="A2373">
        <v>1801</v>
      </c>
      <c r="B2373" t="s">
        <v>900</v>
      </c>
      <c r="C2373" t="s">
        <v>974</v>
      </c>
      <c r="D2373" t="s">
        <v>13</v>
      </c>
      <c r="E2373" t="s">
        <v>79</v>
      </c>
      <c r="F2373" t="str">
        <f>VLOOKUP(Ramen_Ratings[[#This Row],[Country]],Country_Region[#All],2,FALSE)</f>
        <v>Asia</v>
      </c>
      <c r="G2373">
        <v>3.75</v>
      </c>
      <c r="H2373" t="str" cm="1">
        <f t="array" ref="H2373">_xlfn.IFS(Ramen_Ratings[[#This Row],[Stars]] = "Unrated", "NA",Ramen_Ratings[[#This Row],[Stars]]&gt;=4, "Good", Ramen_Ratings[[#This Row],[Stars]]&gt;2.5, "Fair", Ramen_Ratings[[#This Row],[Stars]] &gt;= 0, "Bad")</f>
        <v>Fair</v>
      </c>
      <c r="J2373" t="str">
        <f>LEFT(Ramen_Ratings[[#This Row],[Top Ten]],4)</f>
        <v/>
      </c>
      <c r="K2373" t="str">
        <f>IF(Ramen_Ratings[[#This Row],[Top Ten]]="", "",RIGHT(Ramen_Ratings[[#This Row],[Top Ten]],LEN(Ramen_Ratings[[#This Row],[Top Ten]])-6))</f>
        <v/>
      </c>
    </row>
    <row r="2374" spans="1:11" x14ac:dyDescent="0.25">
      <c r="A2374">
        <v>1778</v>
      </c>
      <c r="B2374" t="s">
        <v>426</v>
      </c>
      <c r="C2374" t="s">
        <v>1002</v>
      </c>
      <c r="D2374" t="s">
        <v>13</v>
      </c>
      <c r="E2374" t="s">
        <v>79</v>
      </c>
      <c r="F2374" t="str">
        <f>VLOOKUP(Ramen_Ratings[[#This Row],[Country]],Country_Region[#All],2,FALSE)</f>
        <v>Asia</v>
      </c>
      <c r="G2374">
        <v>5</v>
      </c>
      <c r="H2374" t="str" cm="1">
        <f t="array" ref="H2374">_xlfn.IFS(Ramen_Ratings[[#This Row],[Stars]] = "Unrated", "NA",Ramen_Ratings[[#This Row],[Stars]]&gt;=4, "Good", Ramen_Ratings[[#This Row],[Stars]]&gt;2.5, "Fair", Ramen_Ratings[[#This Row],[Stars]] &gt;= 0, "Bad")</f>
        <v>Good</v>
      </c>
      <c r="J2374" t="str">
        <f>LEFT(Ramen_Ratings[[#This Row],[Top Ten]],4)</f>
        <v/>
      </c>
      <c r="K2374" t="str">
        <f>IF(Ramen_Ratings[[#This Row],[Top Ten]]="", "",RIGHT(Ramen_Ratings[[#This Row],[Top Ten]],LEN(Ramen_Ratings[[#This Row],[Top Ten]])-6))</f>
        <v/>
      </c>
    </row>
    <row r="2375" spans="1:11" x14ac:dyDescent="0.25">
      <c r="A2375">
        <v>1777</v>
      </c>
      <c r="B2375" t="s">
        <v>426</v>
      </c>
      <c r="C2375" t="s">
        <v>1003</v>
      </c>
      <c r="D2375" t="s">
        <v>44</v>
      </c>
      <c r="E2375" t="s">
        <v>79</v>
      </c>
      <c r="F2375" t="str">
        <f>VLOOKUP(Ramen_Ratings[[#This Row],[Country]],Country_Region[#All],2,FALSE)</f>
        <v>Asia</v>
      </c>
      <c r="G2375">
        <v>3.5</v>
      </c>
      <c r="H2375" t="str" cm="1">
        <f t="array" ref="H2375">_xlfn.IFS(Ramen_Ratings[[#This Row],[Stars]] = "Unrated", "NA",Ramen_Ratings[[#This Row],[Stars]]&gt;=4, "Good", Ramen_Ratings[[#This Row],[Stars]]&gt;2.5, "Fair", Ramen_Ratings[[#This Row],[Stars]] &gt;= 0, "Bad")</f>
        <v>Fair</v>
      </c>
      <c r="J2375" t="str">
        <f>LEFT(Ramen_Ratings[[#This Row],[Top Ten]],4)</f>
        <v/>
      </c>
      <c r="K2375" t="str">
        <f>IF(Ramen_Ratings[[#This Row],[Top Ten]]="", "",RIGHT(Ramen_Ratings[[#This Row],[Top Ten]],LEN(Ramen_Ratings[[#This Row],[Top Ten]])-6))</f>
        <v/>
      </c>
    </row>
    <row r="2376" spans="1:11" x14ac:dyDescent="0.25">
      <c r="A2376">
        <v>1776</v>
      </c>
      <c r="B2376" t="s">
        <v>426</v>
      </c>
      <c r="C2376" t="s">
        <v>1004</v>
      </c>
      <c r="D2376" t="s">
        <v>44</v>
      </c>
      <c r="E2376" t="s">
        <v>79</v>
      </c>
      <c r="F2376" t="str">
        <f>VLOOKUP(Ramen_Ratings[[#This Row],[Country]],Country_Region[#All],2,FALSE)</f>
        <v>Asia</v>
      </c>
      <c r="G2376">
        <v>5</v>
      </c>
      <c r="H2376" t="str" cm="1">
        <f t="array" ref="H2376">_xlfn.IFS(Ramen_Ratings[[#This Row],[Stars]] = "Unrated", "NA",Ramen_Ratings[[#This Row],[Stars]]&gt;=4, "Good", Ramen_Ratings[[#This Row],[Stars]]&gt;2.5, "Fair", Ramen_Ratings[[#This Row],[Stars]] &gt;= 0, "Bad")</f>
        <v>Good</v>
      </c>
      <c r="J2376" t="str">
        <f>LEFT(Ramen_Ratings[[#This Row],[Top Ten]],4)</f>
        <v/>
      </c>
      <c r="K2376" t="str">
        <f>IF(Ramen_Ratings[[#This Row],[Top Ten]]="", "",RIGHT(Ramen_Ratings[[#This Row],[Top Ten]],LEN(Ramen_Ratings[[#This Row],[Top Ten]])-6))</f>
        <v/>
      </c>
    </row>
    <row r="2377" spans="1:11" x14ac:dyDescent="0.25">
      <c r="A2377">
        <v>1775</v>
      </c>
      <c r="B2377" t="s">
        <v>426</v>
      </c>
      <c r="C2377" t="s">
        <v>1005</v>
      </c>
      <c r="D2377" t="s">
        <v>44</v>
      </c>
      <c r="E2377" t="s">
        <v>79</v>
      </c>
      <c r="F2377" t="str">
        <f>VLOOKUP(Ramen_Ratings[[#This Row],[Country]],Country_Region[#All],2,FALSE)</f>
        <v>Asia</v>
      </c>
      <c r="G2377">
        <v>4.25</v>
      </c>
      <c r="H2377" t="str" cm="1">
        <f t="array" ref="H2377">_xlfn.IFS(Ramen_Ratings[[#This Row],[Stars]] = "Unrated", "NA",Ramen_Ratings[[#This Row],[Stars]]&gt;=4, "Good", Ramen_Ratings[[#This Row],[Stars]]&gt;2.5, "Fair", Ramen_Ratings[[#This Row],[Stars]] &gt;= 0, "Bad")</f>
        <v>Good</v>
      </c>
      <c r="J2377" t="str">
        <f>LEFT(Ramen_Ratings[[#This Row],[Top Ten]],4)</f>
        <v/>
      </c>
      <c r="K2377" t="str">
        <f>IF(Ramen_Ratings[[#This Row],[Top Ten]]="", "",RIGHT(Ramen_Ratings[[#This Row],[Top Ten]],LEN(Ramen_Ratings[[#This Row],[Top Ten]])-6))</f>
        <v/>
      </c>
    </row>
    <row r="2378" spans="1:11" x14ac:dyDescent="0.25">
      <c r="A2378">
        <v>1774</v>
      </c>
      <c r="B2378" t="s">
        <v>426</v>
      </c>
      <c r="C2378" t="s">
        <v>1006</v>
      </c>
      <c r="D2378" t="s">
        <v>13</v>
      </c>
      <c r="E2378" t="s">
        <v>79</v>
      </c>
      <c r="F2378" t="str">
        <f>VLOOKUP(Ramen_Ratings[[#This Row],[Country]],Country_Region[#All],2,FALSE)</f>
        <v>Asia</v>
      </c>
      <c r="G2378">
        <v>5</v>
      </c>
      <c r="H2378" t="str" cm="1">
        <f t="array" ref="H2378">_xlfn.IFS(Ramen_Ratings[[#This Row],[Stars]] = "Unrated", "NA",Ramen_Ratings[[#This Row],[Stars]]&gt;=4, "Good", Ramen_Ratings[[#This Row],[Stars]]&gt;2.5, "Fair", Ramen_Ratings[[#This Row],[Stars]] &gt;= 0, "Bad")</f>
        <v>Good</v>
      </c>
      <c r="J2378" t="str">
        <f>LEFT(Ramen_Ratings[[#This Row],[Top Ten]],4)</f>
        <v/>
      </c>
      <c r="K2378" t="str">
        <f>IF(Ramen_Ratings[[#This Row],[Top Ten]]="", "",RIGHT(Ramen_Ratings[[#This Row],[Top Ten]],LEN(Ramen_Ratings[[#This Row],[Top Ten]])-6))</f>
        <v/>
      </c>
    </row>
    <row r="2379" spans="1:11" x14ac:dyDescent="0.25">
      <c r="A2379">
        <v>1773</v>
      </c>
      <c r="B2379" t="s">
        <v>426</v>
      </c>
      <c r="C2379" t="s">
        <v>1007</v>
      </c>
      <c r="D2379" t="s">
        <v>44</v>
      </c>
      <c r="E2379" t="s">
        <v>79</v>
      </c>
      <c r="F2379" t="str">
        <f>VLOOKUP(Ramen_Ratings[[#This Row],[Country]],Country_Region[#All],2,FALSE)</f>
        <v>Asia</v>
      </c>
      <c r="G2379">
        <v>4</v>
      </c>
      <c r="H2379" t="str" cm="1">
        <f t="array" ref="H2379">_xlfn.IFS(Ramen_Ratings[[#This Row],[Stars]] = "Unrated", "NA",Ramen_Ratings[[#This Row],[Stars]]&gt;=4, "Good", Ramen_Ratings[[#This Row],[Stars]]&gt;2.5, "Fair", Ramen_Ratings[[#This Row],[Stars]] &gt;= 0, "Bad")</f>
        <v>Good</v>
      </c>
      <c r="J2379" t="str">
        <f>LEFT(Ramen_Ratings[[#This Row],[Top Ten]],4)</f>
        <v/>
      </c>
      <c r="K2379" t="str">
        <f>IF(Ramen_Ratings[[#This Row],[Top Ten]]="", "",RIGHT(Ramen_Ratings[[#This Row],[Top Ten]],LEN(Ramen_Ratings[[#This Row],[Top Ten]])-6))</f>
        <v/>
      </c>
    </row>
    <row r="2380" spans="1:11" x14ac:dyDescent="0.25">
      <c r="A2380">
        <v>1772</v>
      </c>
      <c r="B2380" t="s">
        <v>426</v>
      </c>
      <c r="C2380" t="s">
        <v>1008</v>
      </c>
      <c r="D2380" t="s">
        <v>13</v>
      </c>
      <c r="E2380" t="s">
        <v>79</v>
      </c>
      <c r="F2380" t="str">
        <f>VLOOKUP(Ramen_Ratings[[#This Row],[Country]],Country_Region[#All],2,FALSE)</f>
        <v>Asia</v>
      </c>
      <c r="G2380">
        <v>5</v>
      </c>
      <c r="H2380" t="str" cm="1">
        <f t="array" ref="H2380">_xlfn.IFS(Ramen_Ratings[[#This Row],[Stars]] = "Unrated", "NA",Ramen_Ratings[[#This Row],[Stars]]&gt;=4, "Good", Ramen_Ratings[[#This Row],[Stars]]&gt;2.5, "Fair", Ramen_Ratings[[#This Row],[Stars]] &gt;= 0, "Bad")</f>
        <v>Good</v>
      </c>
      <c r="J2380" t="str">
        <f>LEFT(Ramen_Ratings[[#This Row],[Top Ten]],4)</f>
        <v/>
      </c>
      <c r="K2380" t="str">
        <f>IF(Ramen_Ratings[[#This Row],[Top Ten]]="", "",RIGHT(Ramen_Ratings[[#This Row],[Top Ten]],LEN(Ramen_Ratings[[#This Row],[Top Ten]])-6))</f>
        <v/>
      </c>
    </row>
    <row r="2381" spans="1:11" x14ac:dyDescent="0.25">
      <c r="A2381">
        <v>1771</v>
      </c>
      <c r="B2381" t="s">
        <v>426</v>
      </c>
      <c r="C2381" t="s">
        <v>1009</v>
      </c>
      <c r="D2381" t="s">
        <v>44</v>
      </c>
      <c r="E2381" t="s">
        <v>79</v>
      </c>
      <c r="F2381" t="str">
        <f>VLOOKUP(Ramen_Ratings[[#This Row],[Country]],Country_Region[#All],2,FALSE)</f>
        <v>Asia</v>
      </c>
      <c r="G2381">
        <v>3.5</v>
      </c>
      <c r="H2381" t="str" cm="1">
        <f t="array" ref="H2381">_xlfn.IFS(Ramen_Ratings[[#This Row],[Stars]] = "Unrated", "NA",Ramen_Ratings[[#This Row],[Stars]]&gt;=4, "Good", Ramen_Ratings[[#This Row],[Stars]]&gt;2.5, "Fair", Ramen_Ratings[[#This Row],[Stars]] &gt;= 0, "Bad")</f>
        <v>Fair</v>
      </c>
      <c r="J2381" t="str">
        <f>LEFT(Ramen_Ratings[[#This Row],[Top Ten]],4)</f>
        <v/>
      </c>
      <c r="K2381" t="str">
        <f>IF(Ramen_Ratings[[#This Row],[Top Ten]]="", "",RIGHT(Ramen_Ratings[[#This Row],[Top Ten]],LEN(Ramen_Ratings[[#This Row],[Top Ten]])-6))</f>
        <v/>
      </c>
    </row>
    <row r="2382" spans="1:11" x14ac:dyDescent="0.25">
      <c r="A2382">
        <v>1770</v>
      </c>
      <c r="B2382" t="s">
        <v>426</v>
      </c>
      <c r="C2382" t="s">
        <v>1010</v>
      </c>
      <c r="D2382" t="s">
        <v>44</v>
      </c>
      <c r="E2382" t="s">
        <v>79</v>
      </c>
      <c r="F2382" t="str">
        <f>VLOOKUP(Ramen_Ratings[[#This Row],[Country]],Country_Region[#All],2,FALSE)</f>
        <v>Asia</v>
      </c>
      <c r="G2382">
        <v>4.5</v>
      </c>
      <c r="H2382" t="str" cm="1">
        <f t="array" ref="H2382">_xlfn.IFS(Ramen_Ratings[[#This Row],[Stars]] = "Unrated", "NA",Ramen_Ratings[[#This Row],[Stars]]&gt;=4, "Good", Ramen_Ratings[[#This Row],[Stars]]&gt;2.5, "Fair", Ramen_Ratings[[#This Row],[Stars]] &gt;= 0, "Bad")</f>
        <v>Good</v>
      </c>
      <c r="J2382" t="str">
        <f>LEFT(Ramen_Ratings[[#This Row],[Top Ten]],4)</f>
        <v/>
      </c>
      <c r="K2382" t="str">
        <f>IF(Ramen_Ratings[[#This Row],[Top Ten]]="", "",RIGHT(Ramen_Ratings[[#This Row],[Top Ten]],LEN(Ramen_Ratings[[#This Row],[Top Ten]])-6))</f>
        <v/>
      </c>
    </row>
    <row r="2383" spans="1:11" x14ac:dyDescent="0.25">
      <c r="A2383">
        <v>1740</v>
      </c>
      <c r="B2383" t="s">
        <v>218</v>
      </c>
      <c r="C2383" t="s">
        <v>1041</v>
      </c>
      <c r="D2383" t="s">
        <v>13</v>
      </c>
      <c r="E2383" t="s">
        <v>79</v>
      </c>
      <c r="F2383" t="str">
        <f>VLOOKUP(Ramen_Ratings[[#This Row],[Country]],Country_Region[#All],2,FALSE)</f>
        <v>Asia</v>
      </c>
      <c r="G2383">
        <v>4.25</v>
      </c>
      <c r="H2383" t="str" cm="1">
        <f t="array" ref="H2383">_xlfn.IFS(Ramen_Ratings[[#This Row],[Stars]] = "Unrated", "NA",Ramen_Ratings[[#This Row],[Stars]]&gt;=4, "Good", Ramen_Ratings[[#This Row],[Stars]]&gt;2.5, "Fair", Ramen_Ratings[[#This Row],[Stars]] &gt;= 0, "Bad")</f>
        <v>Good</v>
      </c>
      <c r="J2383" t="str">
        <f>LEFT(Ramen_Ratings[[#This Row],[Top Ten]],4)</f>
        <v/>
      </c>
      <c r="K2383" t="str">
        <f>IF(Ramen_Ratings[[#This Row],[Top Ten]]="", "",RIGHT(Ramen_Ratings[[#This Row],[Top Ten]],LEN(Ramen_Ratings[[#This Row],[Top Ten]])-6))</f>
        <v/>
      </c>
    </row>
    <row r="2384" spans="1:11" x14ac:dyDescent="0.25">
      <c r="A2384">
        <v>1735</v>
      </c>
      <c r="B2384" t="s">
        <v>218</v>
      </c>
      <c r="C2384" t="s">
        <v>694</v>
      </c>
      <c r="D2384" t="s">
        <v>44</v>
      </c>
      <c r="E2384" t="s">
        <v>79</v>
      </c>
      <c r="F2384" t="str">
        <f>VLOOKUP(Ramen_Ratings[[#This Row],[Country]],Country_Region[#All],2,FALSE)</f>
        <v>Asia</v>
      </c>
      <c r="G2384">
        <v>4</v>
      </c>
      <c r="H2384" t="str" cm="1">
        <f t="array" ref="H2384">_xlfn.IFS(Ramen_Ratings[[#This Row],[Stars]] = "Unrated", "NA",Ramen_Ratings[[#This Row],[Stars]]&gt;=4, "Good", Ramen_Ratings[[#This Row],[Stars]]&gt;2.5, "Fair", Ramen_Ratings[[#This Row],[Stars]] &gt;= 0, "Bad")</f>
        <v>Good</v>
      </c>
      <c r="J2384" t="str">
        <f>LEFT(Ramen_Ratings[[#This Row],[Top Ten]],4)</f>
        <v/>
      </c>
      <c r="K2384" t="str">
        <f>IF(Ramen_Ratings[[#This Row],[Top Ten]]="", "",RIGHT(Ramen_Ratings[[#This Row],[Top Ten]],LEN(Ramen_Ratings[[#This Row],[Top Ten]])-6))</f>
        <v/>
      </c>
    </row>
    <row r="2385" spans="1:11" x14ac:dyDescent="0.25">
      <c r="A2385">
        <v>1723</v>
      </c>
      <c r="B2385" t="s">
        <v>1059</v>
      </c>
      <c r="C2385" t="s">
        <v>1060</v>
      </c>
      <c r="D2385" t="s">
        <v>13</v>
      </c>
      <c r="E2385" t="s">
        <v>79</v>
      </c>
      <c r="F2385" t="str">
        <f>VLOOKUP(Ramen_Ratings[[#This Row],[Country]],Country_Region[#All],2,FALSE)</f>
        <v>Asia</v>
      </c>
      <c r="G2385">
        <v>3.75</v>
      </c>
      <c r="H2385" t="str" cm="1">
        <f t="array" ref="H2385">_xlfn.IFS(Ramen_Ratings[[#This Row],[Stars]] = "Unrated", "NA",Ramen_Ratings[[#This Row],[Stars]]&gt;=4, "Good", Ramen_Ratings[[#This Row],[Stars]]&gt;2.5, "Fair", Ramen_Ratings[[#This Row],[Stars]] &gt;= 0, "Bad")</f>
        <v>Fair</v>
      </c>
      <c r="J2385" t="str">
        <f>LEFT(Ramen_Ratings[[#This Row],[Top Ten]],4)</f>
        <v/>
      </c>
      <c r="K2385" t="str">
        <f>IF(Ramen_Ratings[[#This Row],[Top Ten]]="", "",RIGHT(Ramen_Ratings[[#This Row],[Top Ten]],LEN(Ramen_Ratings[[#This Row],[Top Ten]])-6))</f>
        <v/>
      </c>
    </row>
    <row r="2386" spans="1:11" x14ac:dyDescent="0.25">
      <c r="A2386">
        <v>1714</v>
      </c>
      <c r="B2386" t="s">
        <v>218</v>
      </c>
      <c r="C2386" t="s">
        <v>1071</v>
      </c>
      <c r="D2386" t="s">
        <v>13</v>
      </c>
      <c r="E2386" t="s">
        <v>79</v>
      </c>
      <c r="F2386" t="str">
        <f>VLOOKUP(Ramen_Ratings[[#This Row],[Country]],Country_Region[#All],2,FALSE)</f>
        <v>Asia</v>
      </c>
      <c r="G2386">
        <v>3.75</v>
      </c>
      <c r="H2386" t="str" cm="1">
        <f t="array" ref="H2386">_xlfn.IFS(Ramen_Ratings[[#This Row],[Stars]] = "Unrated", "NA",Ramen_Ratings[[#This Row],[Stars]]&gt;=4, "Good", Ramen_Ratings[[#This Row],[Stars]]&gt;2.5, "Fair", Ramen_Ratings[[#This Row],[Stars]] &gt;= 0, "Bad")</f>
        <v>Fair</v>
      </c>
      <c r="J2386" t="str">
        <f>LEFT(Ramen_Ratings[[#This Row],[Top Ten]],4)</f>
        <v/>
      </c>
      <c r="K2386" t="str">
        <f>IF(Ramen_Ratings[[#This Row],[Top Ten]]="", "",RIGHT(Ramen_Ratings[[#This Row],[Top Ten]],LEN(Ramen_Ratings[[#This Row],[Top Ten]])-6))</f>
        <v/>
      </c>
    </row>
    <row r="2387" spans="1:11" x14ac:dyDescent="0.25">
      <c r="A2387">
        <v>1704</v>
      </c>
      <c r="B2387" t="s">
        <v>1059</v>
      </c>
      <c r="C2387" t="s">
        <v>1084</v>
      </c>
      <c r="D2387" t="s">
        <v>13</v>
      </c>
      <c r="E2387" t="s">
        <v>79</v>
      </c>
      <c r="F2387" t="str">
        <f>VLOOKUP(Ramen_Ratings[[#This Row],[Country]],Country_Region[#All],2,FALSE)</f>
        <v>Asia</v>
      </c>
      <c r="G2387">
        <v>3.75</v>
      </c>
      <c r="H2387" t="str" cm="1">
        <f t="array" ref="H2387">_xlfn.IFS(Ramen_Ratings[[#This Row],[Stars]] = "Unrated", "NA",Ramen_Ratings[[#This Row],[Stars]]&gt;=4, "Good", Ramen_Ratings[[#This Row],[Stars]]&gt;2.5, "Fair", Ramen_Ratings[[#This Row],[Stars]] &gt;= 0, "Bad")</f>
        <v>Fair</v>
      </c>
      <c r="J2387" t="str">
        <f>LEFT(Ramen_Ratings[[#This Row],[Top Ten]],4)</f>
        <v/>
      </c>
      <c r="K2387" t="str">
        <f>IF(Ramen_Ratings[[#This Row],[Top Ten]]="", "",RIGHT(Ramen_Ratings[[#This Row],[Top Ten]],LEN(Ramen_Ratings[[#This Row],[Top Ten]])-6))</f>
        <v/>
      </c>
    </row>
    <row r="2388" spans="1:11" x14ac:dyDescent="0.25">
      <c r="A2388">
        <v>1690</v>
      </c>
      <c r="B2388" t="s">
        <v>1098</v>
      </c>
      <c r="C2388" t="s">
        <v>1099</v>
      </c>
      <c r="D2388" t="s">
        <v>44</v>
      </c>
      <c r="E2388" t="s">
        <v>79</v>
      </c>
      <c r="F2388" t="str">
        <f>VLOOKUP(Ramen_Ratings[[#This Row],[Country]],Country_Region[#All],2,FALSE)</f>
        <v>Asia</v>
      </c>
      <c r="G2388">
        <v>4</v>
      </c>
      <c r="H2388" t="str" cm="1">
        <f t="array" ref="H2388">_xlfn.IFS(Ramen_Ratings[[#This Row],[Stars]] = "Unrated", "NA",Ramen_Ratings[[#This Row],[Stars]]&gt;=4, "Good", Ramen_Ratings[[#This Row],[Stars]]&gt;2.5, "Fair", Ramen_Ratings[[#This Row],[Stars]] &gt;= 0, "Bad")</f>
        <v>Good</v>
      </c>
      <c r="J2388" t="str">
        <f>LEFT(Ramen_Ratings[[#This Row],[Top Ten]],4)</f>
        <v/>
      </c>
      <c r="K2388" t="str">
        <f>IF(Ramen_Ratings[[#This Row],[Top Ten]]="", "",RIGHT(Ramen_Ratings[[#This Row],[Top Ten]],LEN(Ramen_Ratings[[#This Row],[Top Ten]])-6))</f>
        <v/>
      </c>
    </row>
    <row r="2389" spans="1:11" x14ac:dyDescent="0.25">
      <c r="A2389">
        <v>1688</v>
      </c>
      <c r="B2389" t="s">
        <v>1098</v>
      </c>
      <c r="C2389" t="s">
        <v>1102</v>
      </c>
      <c r="D2389" t="s">
        <v>44</v>
      </c>
      <c r="E2389" t="s">
        <v>79</v>
      </c>
      <c r="F2389" t="str">
        <f>VLOOKUP(Ramen_Ratings[[#This Row],[Country]],Country_Region[#All],2,FALSE)</f>
        <v>Asia</v>
      </c>
      <c r="G2389">
        <v>3.75</v>
      </c>
      <c r="H2389" t="str" cm="1">
        <f t="array" ref="H2389">_xlfn.IFS(Ramen_Ratings[[#This Row],[Stars]] = "Unrated", "NA",Ramen_Ratings[[#This Row],[Stars]]&gt;=4, "Good", Ramen_Ratings[[#This Row],[Stars]]&gt;2.5, "Fair", Ramen_Ratings[[#This Row],[Stars]] &gt;= 0, "Bad")</f>
        <v>Fair</v>
      </c>
      <c r="J2389" t="str">
        <f>LEFT(Ramen_Ratings[[#This Row],[Top Ten]],4)</f>
        <v/>
      </c>
      <c r="K2389" t="str">
        <f>IF(Ramen_Ratings[[#This Row],[Top Ten]]="", "",RIGHT(Ramen_Ratings[[#This Row],[Top Ten]],LEN(Ramen_Ratings[[#This Row],[Top Ten]])-6))</f>
        <v/>
      </c>
    </row>
    <row r="2390" spans="1:11" x14ac:dyDescent="0.25">
      <c r="A2390">
        <v>1687</v>
      </c>
      <c r="B2390" t="s">
        <v>1098</v>
      </c>
      <c r="C2390" t="s">
        <v>1103</v>
      </c>
      <c r="D2390" t="s">
        <v>13</v>
      </c>
      <c r="E2390" t="s">
        <v>79</v>
      </c>
      <c r="F2390" t="str">
        <f>VLOOKUP(Ramen_Ratings[[#This Row],[Country]],Country_Region[#All],2,FALSE)</f>
        <v>Asia</v>
      </c>
      <c r="G2390">
        <v>3.75</v>
      </c>
      <c r="H2390" t="str" cm="1">
        <f t="array" ref="H2390">_xlfn.IFS(Ramen_Ratings[[#This Row],[Stars]] = "Unrated", "NA",Ramen_Ratings[[#This Row],[Stars]]&gt;=4, "Good", Ramen_Ratings[[#This Row],[Stars]]&gt;2.5, "Fair", Ramen_Ratings[[#This Row],[Stars]] &gt;= 0, "Bad")</f>
        <v>Fair</v>
      </c>
      <c r="J2390" t="str">
        <f>LEFT(Ramen_Ratings[[#This Row],[Top Ten]],4)</f>
        <v/>
      </c>
      <c r="K2390" t="str">
        <f>IF(Ramen_Ratings[[#This Row],[Top Ten]]="", "",RIGHT(Ramen_Ratings[[#This Row],[Top Ten]],LEN(Ramen_Ratings[[#This Row],[Top Ten]])-6))</f>
        <v/>
      </c>
    </row>
    <row r="2391" spans="1:11" x14ac:dyDescent="0.25">
      <c r="A2391">
        <v>1686</v>
      </c>
      <c r="B2391" t="s">
        <v>1098</v>
      </c>
      <c r="C2391" t="s">
        <v>1104</v>
      </c>
      <c r="D2391" t="s">
        <v>13</v>
      </c>
      <c r="E2391" t="s">
        <v>79</v>
      </c>
      <c r="F2391" t="str">
        <f>VLOOKUP(Ramen_Ratings[[#This Row],[Country]],Country_Region[#All],2,FALSE)</f>
        <v>Asia</v>
      </c>
      <c r="G2391">
        <v>3.5</v>
      </c>
      <c r="H2391" t="str" cm="1">
        <f t="array" ref="H2391">_xlfn.IFS(Ramen_Ratings[[#This Row],[Stars]] = "Unrated", "NA",Ramen_Ratings[[#This Row],[Stars]]&gt;=4, "Good", Ramen_Ratings[[#This Row],[Stars]]&gt;2.5, "Fair", Ramen_Ratings[[#This Row],[Stars]] &gt;= 0, "Bad")</f>
        <v>Fair</v>
      </c>
      <c r="J2391" t="str">
        <f>LEFT(Ramen_Ratings[[#This Row],[Top Ten]],4)</f>
        <v/>
      </c>
      <c r="K2391" t="str">
        <f>IF(Ramen_Ratings[[#This Row],[Top Ten]]="", "",RIGHT(Ramen_Ratings[[#This Row],[Top Ten]],LEN(Ramen_Ratings[[#This Row],[Top Ten]])-6))</f>
        <v/>
      </c>
    </row>
    <row r="2392" spans="1:11" x14ac:dyDescent="0.25">
      <c r="A2392">
        <v>1685</v>
      </c>
      <c r="B2392" t="s">
        <v>1098</v>
      </c>
      <c r="C2392" t="s">
        <v>1105</v>
      </c>
      <c r="D2392" t="s">
        <v>13</v>
      </c>
      <c r="E2392" t="s">
        <v>79</v>
      </c>
      <c r="F2392" t="str">
        <f>VLOOKUP(Ramen_Ratings[[#This Row],[Country]],Country_Region[#All],2,FALSE)</f>
        <v>Asia</v>
      </c>
      <c r="G2392">
        <v>4</v>
      </c>
      <c r="H2392" t="str" cm="1">
        <f t="array" ref="H2392">_xlfn.IFS(Ramen_Ratings[[#This Row],[Stars]] = "Unrated", "NA",Ramen_Ratings[[#This Row],[Stars]]&gt;=4, "Good", Ramen_Ratings[[#This Row],[Stars]]&gt;2.5, "Fair", Ramen_Ratings[[#This Row],[Stars]] &gt;= 0, "Bad")</f>
        <v>Good</v>
      </c>
      <c r="J2392" t="str">
        <f>LEFT(Ramen_Ratings[[#This Row],[Top Ten]],4)</f>
        <v/>
      </c>
      <c r="K2392" t="str">
        <f>IF(Ramen_Ratings[[#This Row],[Top Ten]]="", "",RIGHT(Ramen_Ratings[[#This Row],[Top Ten]],LEN(Ramen_Ratings[[#This Row],[Top Ten]])-6))</f>
        <v/>
      </c>
    </row>
    <row r="2393" spans="1:11" x14ac:dyDescent="0.25">
      <c r="A2393">
        <v>1684</v>
      </c>
      <c r="B2393" t="s">
        <v>1098</v>
      </c>
      <c r="C2393" t="s">
        <v>1106</v>
      </c>
      <c r="D2393" t="s">
        <v>44</v>
      </c>
      <c r="E2393" t="s">
        <v>79</v>
      </c>
      <c r="F2393" t="str">
        <f>VLOOKUP(Ramen_Ratings[[#This Row],[Country]],Country_Region[#All],2,FALSE)</f>
        <v>Asia</v>
      </c>
      <c r="G2393">
        <v>4.5</v>
      </c>
      <c r="H2393" t="str" cm="1">
        <f t="array" ref="H2393">_xlfn.IFS(Ramen_Ratings[[#This Row],[Stars]] = "Unrated", "NA",Ramen_Ratings[[#This Row],[Stars]]&gt;=4, "Good", Ramen_Ratings[[#This Row],[Stars]]&gt;2.5, "Fair", Ramen_Ratings[[#This Row],[Stars]] &gt;= 0, "Bad")</f>
        <v>Good</v>
      </c>
      <c r="J2393" t="str">
        <f>LEFT(Ramen_Ratings[[#This Row],[Top Ten]],4)</f>
        <v/>
      </c>
      <c r="K2393" t="str">
        <f>IF(Ramen_Ratings[[#This Row],[Top Ten]]="", "",RIGHT(Ramen_Ratings[[#This Row],[Top Ten]],LEN(Ramen_Ratings[[#This Row],[Top Ten]])-6))</f>
        <v/>
      </c>
    </row>
    <row r="2394" spans="1:11" x14ac:dyDescent="0.25">
      <c r="A2394">
        <v>1683</v>
      </c>
      <c r="B2394" t="s">
        <v>1098</v>
      </c>
      <c r="C2394" t="s">
        <v>1107</v>
      </c>
      <c r="D2394" t="s">
        <v>13</v>
      </c>
      <c r="E2394" t="s">
        <v>79</v>
      </c>
      <c r="F2394" t="str">
        <f>VLOOKUP(Ramen_Ratings[[#This Row],[Country]],Country_Region[#All],2,FALSE)</f>
        <v>Asia</v>
      </c>
      <c r="G2394">
        <v>5</v>
      </c>
      <c r="H2394" t="str" cm="1">
        <f t="array" ref="H2394">_xlfn.IFS(Ramen_Ratings[[#This Row],[Stars]] = "Unrated", "NA",Ramen_Ratings[[#This Row],[Stars]]&gt;=4, "Good", Ramen_Ratings[[#This Row],[Stars]]&gt;2.5, "Fair", Ramen_Ratings[[#This Row],[Stars]] &gt;= 0, "Bad")</f>
        <v>Good</v>
      </c>
      <c r="J2394" t="str">
        <f>LEFT(Ramen_Ratings[[#This Row],[Top Ten]],4)</f>
        <v/>
      </c>
      <c r="K2394" t="str">
        <f>IF(Ramen_Ratings[[#This Row],[Top Ten]]="", "",RIGHT(Ramen_Ratings[[#This Row],[Top Ten]],LEN(Ramen_Ratings[[#This Row],[Top Ten]])-6))</f>
        <v/>
      </c>
    </row>
    <row r="2395" spans="1:11" x14ac:dyDescent="0.25">
      <c r="A2395">
        <v>1682</v>
      </c>
      <c r="B2395" t="s">
        <v>1098</v>
      </c>
      <c r="C2395" t="s">
        <v>1099</v>
      </c>
      <c r="D2395" t="s">
        <v>13</v>
      </c>
      <c r="E2395" t="s">
        <v>79</v>
      </c>
      <c r="F2395" t="str">
        <f>VLOOKUP(Ramen_Ratings[[#This Row],[Country]],Country_Region[#All],2,FALSE)</f>
        <v>Asia</v>
      </c>
      <c r="G2395">
        <v>4</v>
      </c>
      <c r="H2395" t="str" cm="1">
        <f t="array" ref="H2395">_xlfn.IFS(Ramen_Ratings[[#This Row],[Stars]] = "Unrated", "NA",Ramen_Ratings[[#This Row],[Stars]]&gt;=4, "Good", Ramen_Ratings[[#This Row],[Stars]]&gt;2.5, "Fair", Ramen_Ratings[[#This Row],[Stars]] &gt;= 0, "Bad")</f>
        <v>Good</v>
      </c>
      <c r="J2395" t="str">
        <f>LEFT(Ramen_Ratings[[#This Row],[Top Ten]],4)</f>
        <v/>
      </c>
      <c r="K2395" t="str">
        <f>IF(Ramen_Ratings[[#This Row],[Top Ten]]="", "",RIGHT(Ramen_Ratings[[#This Row],[Top Ten]],LEN(Ramen_Ratings[[#This Row],[Top Ten]])-6))</f>
        <v/>
      </c>
    </row>
    <row r="2396" spans="1:11" x14ac:dyDescent="0.25">
      <c r="A2396">
        <v>1681</v>
      </c>
      <c r="B2396" t="s">
        <v>1098</v>
      </c>
      <c r="C2396" t="s">
        <v>1102</v>
      </c>
      <c r="D2396" t="s">
        <v>44</v>
      </c>
      <c r="E2396" t="s">
        <v>79</v>
      </c>
      <c r="F2396" t="str">
        <f>VLOOKUP(Ramen_Ratings[[#This Row],[Country]],Country_Region[#All],2,FALSE)</f>
        <v>Asia</v>
      </c>
      <c r="G2396">
        <v>3.75</v>
      </c>
      <c r="H2396" t="str" cm="1">
        <f t="array" ref="H2396">_xlfn.IFS(Ramen_Ratings[[#This Row],[Stars]] = "Unrated", "NA",Ramen_Ratings[[#This Row],[Stars]]&gt;=4, "Good", Ramen_Ratings[[#This Row],[Stars]]&gt;2.5, "Fair", Ramen_Ratings[[#This Row],[Stars]] &gt;= 0, "Bad")</f>
        <v>Fair</v>
      </c>
      <c r="J2396" t="str">
        <f>LEFT(Ramen_Ratings[[#This Row],[Top Ten]],4)</f>
        <v/>
      </c>
      <c r="K2396" t="str">
        <f>IF(Ramen_Ratings[[#This Row],[Top Ten]]="", "",RIGHT(Ramen_Ratings[[#This Row],[Top Ten]],LEN(Ramen_Ratings[[#This Row],[Top Ten]])-6))</f>
        <v/>
      </c>
    </row>
    <row r="2397" spans="1:11" x14ac:dyDescent="0.25">
      <c r="A2397">
        <v>1675</v>
      </c>
      <c r="B2397" t="s">
        <v>1059</v>
      </c>
      <c r="C2397" t="s">
        <v>1113</v>
      </c>
      <c r="D2397" t="s">
        <v>13</v>
      </c>
      <c r="E2397" t="s">
        <v>79</v>
      </c>
      <c r="F2397" t="str">
        <f>VLOOKUP(Ramen_Ratings[[#This Row],[Country]],Country_Region[#All],2,FALSE)</f>
        <v>Asia</v>
      </c>
      <c r="G2397">
        <v>4.5</v>
      </c>
      <c r="H2397" t="str" cm="1">
        <f t="array" ref="H2397">_xlfn.IFS(Ramen_Ratings[[#This Row],[Stars]] = "Unrated", "NA",Ramen_Ratings[[#This Row],[Stars]]&gt;=4, "Good", Ramen_Ratings[[#This Row],[Stars]]&gt;2.5, "Fair", Ramen_Ratings[[#This Row],[Stars]] &gt;= 0, "Bad")</f>
        <v>Good</v>
      </c>
      <c r="J2397" t="str">
        <f>LEFT(Ramen_Ratings[[#This Row],[Top Ten]],4)</f>
        <v/>
      </c>
      <c r="K2397" t="str">
        <f>IF(Ramen_Ratings[[#This Row],[Top Ten]]="", "",RIGHT(Ramen_Ratings[[#This Row],[Top Ten]],LEN(Ramen_Ratings[[#This Row],[Top Ten]])-6))</f>
        <v/>
      </c>
    </row>
    <row r="2398" spans="1:11" x14ac:dyDescent="0.25">
      <c r="A2398">
        <v>1661</v>
      </c>
      <c r="B2398" t="s">
        <v>1134</v>
      </c>
      <c r="C2398" t="s">
        <v>1135</v>
      </c>
      <c r="D2398" t="s">
        <v>9</v>
      </c>
      <c r="E2398" t="s">
        <v>79</v>
      </c>
      <c r="F2398" t="str">
        <f>VLOOKUP(Ramen_Ratings[[#This Row],[Country]],Country_Region[#All],2,FALSE)</f>
        <v>Asia</v>
      </c>
      <c r="G2398">
        <v>3.75</v>
      </c>
      <c r="H2398" t="str" cm="1">
        <f t="array" ref="H2398">_xlfn.IFS(Ramen_Ratings[[#This Row],[Stars]] = "Unrated", "NA",Ramen_Ratings[[#This Row],[Stars]]&gt;=4, "Good", Ramen_Ratings[[#This Row],[Stars]]&gt;2.5, "Fair", Ramen_Ratings[[#This Row],[Stars]] &gt;= 0, "Bad")</f>
        <v>Fair</v>
      </c>
      <c r="J2398" t="str">
        <f>LEFT(Ramen_Ratings[[#This Row],[Top Ten]],4)</f>
        <v/>
      </c>
      <c r="K2398" t="str">
        <f>IF(Ramen_Ratings[[#This Row],[Top Ten]]="", "",RIGHT(Ramen_Ratings[[#This Row],[Top Ten]],LEN(Ramen_Ratings[[#This Row],[Top Ten]])-6))</f>
        <v/>
      </c>
    </row>
    <row r="2399" spans="1:11" x14ac:dyDescent="0.25">
      <c r="A2399">
        <v>1655</v>
      </c>
      <c r="B2399" t="s">
        <v>900</v>
      </c>
      <c r="C2399" t="s">
        <v>1144</v>
      </c>
      <c r="D2399" t="s">
        <v>13</v>
      </c>
      <c r="E2399" t="s">
        <v>79</v>
      </c>
      <c r="F2399" t="str">
        <f>VLOOKUP(Ramen_Ratings[[#This Row],[Country]],Country_Region[#All],2,FALSE)</f>
        <v>Asia</v>
      </c>
      <c r="G2399">
        <v>3</v>
      </c>
      <c r="H2399" t="str" cm="1">
        <f t="array" ref="H2399">_xlfn.IFS(Ramen_Ratings[[#This Row],[Stars]] = "Unrated", "NA",Ramen_Ratings[[#This Row],[Stars]]&gt;=4, "Good", Ramen_Ratings[[#This Row],[Stars]]&gt;2.5, "Fair", Ramen_Ratings[[#This Row],[Stars]] &gt;= 0, "Bad")</f>
        <v>Fair</v>
      </c>
      <c r="J2399" t="str">
        <f>LEFT(Ramen_Ratings[[#This Row],[Top Ten]],4)</f>
        <v/>
      </c>
      <c r="K2399" t="str">
        <f>IF(Ramen_Ratings[[#This Row],[Top Ten]]="", "",RIGHT(Ramen_Ratings[[#This Row],[Top Ten]],LEN(Ramen_Ratings[[#This Row],[Top Ten]])-6))</f>
        <v/>
      </c>
    </row>
    <row r="2400" spans="1:11" x14ac:dyDescent="0.25">
      <c r="A2400">
        <v>1649</v>
      </c>
      <c r="B2400" t="s">
        <v>218</v>
      </c>
      <c r="C2400" t="s">
        <v>1151</v>
      </c>
      <c r="D2400" t="s">
        <v>13</v>
      </c>
      <c r="E2400" t="s">
        <v>79</v>
      </c>
      <c r="F2400" t="str">
        <f>VLOOKUP(Ramen_Ratings[[#This Row],[Country]],Country_Region[#All],2,FALSE)</f>
        <v>Asia</v>
      </c>
      <c r="G2400">
        <v>4.25</v>
      </c>
      <c r="H2400" t="str" cm="1">
        <f t="array" ref="H2400">_xlfn.IFS(Ramen_Ratings[[#This Row],[Stars]] = "Unrated", "NA",Ramen_Ratings[[#This Row],[Stars]]&gt;=4, "Good", Ramen_Ratings[[#This Row],[Stars]]&gt;2.5, "Fair", Ramen_Ratings[[#This Row],[Stars]] &gt;= 0, "Bad")</f>
        <v>Good</v>
      </c>
      <c r="J2400" t="str">
        <f>LEFT(Ramen_Ratings[[#This Row],[Top Ten]],4)</f>
        <v/>
      </c>
      <c r="K2400" t="str">
        <f>IF(Ramen_Ratings[[#This Row],[Top Ten]]="", "",RIGHT(Ramen_Ratings[[#This Row],[Top Ten]],LEN(Ramen_Ratings[[#This Row],[Top Ten]])-6))</f>
        <v/>
      </c>
    </row>
    <row r="2401" spans="1:11" x14ac:dyDescent="0.25">
      <c r="A2401">
        <v>1630</v>
      </c>
      <c r="B2401" t="s">
        <v>41</v>
      </c>
      <c r="C2401" t="s">
        <v>1178</v>
      </c>
      <c r="D2401" t="s">
        <v>44</v>
      </c>
      <c r="E2401" t="s">
        <v>79</v>
      </c>
      <c r="F2401" t="str">
        <f>VLOOKUP(Ramen_Ratings[[#This Row],[Country]],Country_Region[#All],2,FALSE)</f>
        <v>Asia</v>
      </c>
      <c r="G2401">
        <v>2.5</v>
      </c>
      <c r="H2401" t="str" cm="1">
        <f t="array" ref="H2401">_xlfn.IFS(Ramen_Ratings[[#This Row],[Stars]] = "Unrated", "NA",Ramen_Ratings[[#This Row],[Stars]]&gt;=4, "Good", Ramen_Ratings[[#This Row],[Stars]]&gt;2.5, "Fair", Ramen_Ratings[[#This Row],[Stars]] &gt;= 0, "Bad")</f>
        <v>Bad</v>
      </c>
      <c r="J2401" t="str">
        <f>LEFT(Ramen_Ratings[[#This Row],[Top Ten]],4)</f>
        <v/>
      </c>
      <c r="K2401" t="str">
        <f>IF(Ramen_Ratings[[#This Row],[Top Ten]]="", "",RIGHT(Ramen_Ratings[[#This Row],[Top Ten]],LEN(Ramen_Ratings[[#This Row],[Top Ten]])-6))</f>
        <v/>
      </c>
    </row>
    <row r="2402" spans="1:11" x14ac:dyDescent="0.25">
      <c r="A2402">
        <v>1624</v>
      </c>
      <c r="B2402" t="s">
        <v>1059</v>
      </c>
      <c r="C2402" t="s">
        <v>1184</v>
      </c>
      <c r="D2402" t="s">
        <v>13</v>
      </c>
      <c r="E2402" t="s">
        <v>79</v>
      </c>
      <c r="F2402" t="str">
        <f>VLOOKUP(Ramen_Ratings[[#This Row],[Country]],Country_Region[#All],2,FALSE)</f>
        <v>Asia</v>
      </c>
      <c r="G2402">
        <v>3</v>
      </c>
      <c r="H2402" t="str" cm="1">
        <f t="array" ref="H2402">_xlfn.IFS(Ramen_Ratings[[#This Row],[Stars]] = "Unrated", "NA",Ramen_Ratings[[#This Row],[Stars]]&gt;=4, "Good", Ramen_Ratings[[#This Row],[Stars]]&gt;2.5, "Fair", Ramen_Ratings[[#This Row],[Stars]] &gt;= 0, "Bad")</f>
        <v>Fair</v>
      </c>
      <c r="J2402" t="str">
        <f>LEFT(Ramen_Ratings[[#This Row],[Top Ten]],4)</f>
        <v/>
      </c>
      <c r="K2402" t="str">
        <f>IF(Ramen_Ratings[[#This Row],[Top Ten]]="", "",RIGHT(Ramen_Ratings[[#This Row],[Top Ten]],LEN(Ramen_Ratings[[#This Row],[Top Ten]])-6))</f>
        <v/>
      </c>
    </row>
    <row r="2403" spans="1:11" x14ac:dyDescent="0.25">
      <c r="A2403">
        <v>1616</v>
      </c>
      <c r="B2403" t="s">
        <v>1193</v>
      </c>
      <c r="C2403" t="s">
        <v>1194</v>
      </c>
      <c r="D2403" t="s">
        <v>13</v>
      </c>
      <c r="E2403" t="s">
        <v>79</v>
      </c>
      <c r="F2403" t="str">
        <f>VLOOKUP(Ramen_Ratings[[#This Row],[Country]],Country_Region[#All],2,FALSE)</f>
        <v>Asia</v>
      </c>
      <c r="G2403">
        <v>3.5</v>
      </c>
      <c r="H2403" t="str" cm="1">
        <f t="array" ref="H2403">_xlfn.IFS(Ramen_Ratings[[#This Row],[Stars]] = "Unrated", "NA",Ramen_Ratings[[#This Row],[Stars]]&gt;=4, "Good", Ramen_Ratings[[#This Row],[Stars]]&gt;2.5, "Fair", Ramen_Ratings[[#This Row],[Stars]] &gt;= 0, "Bad")</f>
        <v>Fair</v>
      </c>
      <c r="J2403" t="str">
        <f>LEFT(Ramen_Ratings[[#This Row],[Top Ten]],4)</f>
        <v/>
      </c>
      <c r="K2403" t="str">
        <f>IF(Ramen_Ratings[[#This Row],[Top Ten]]="", "",RIGHT(Ramen_Ratings[[#This Row],[Top Ten]],LEN(Ramen_Ratings[[#This Row],[Top Ten]])-6))</f>
        <v/>
      </c>
    </row>
    <row r="2404" spans="1:11" x14ac:dyDescent="0.25">
      <c r="A2404">
        <v>1615</v>
      </c>
      <c r="B2404" t="s">
        <v>1195</v>
      </c>
      <c r="C2404" t="s">
        <v>1196</v>
      </c>
      <c r="D2404" t="s">
        <v>13</v>
      </c>
      <c r="E2404" t="s">
        <v>79</v>
      </c>
      <c r="F2404" t="str">
        <f>VLOOKUP(Ramen_Ratings[[#This Row],[Country]],Country_Region[#All],2,FALSE)</f>
        <v>Asia</v>
      </c>
      <c r="G2404">
        <v>4</v>
      </c>
      <c r="H2404" t="str" cm="1">
        <f t="array" ref="H2404">_xlfn.IFS(Ramen_Ratings[[#This Row],[Stars]] = "Unrated", "NA",Ramen_Ratings[[#This Row],[Stars]]&gt;=4, "Good", Ramen_Ratings[[#This Row],[Stars]]&gt;2.5, "Fair", Ramen_Ratings[[#This Row],[Stars]] &gt;= 0, "Bad")</f>
        <v>Good</v>
      </c>
      <c r="J2404" t="str">
        <f>LEFT(Ramen_Ratings[[#This Row],[Top Ten]],4)</f>
        <v/>
      </c>
      <c r="K2404" t="str">
        <f>IF(Ramen_Ratings[[#This Row],[Top Ten]]="", "",RIGHT(Ramen_Ratings[[#This Row],[Top Ten]],LEN(Ramen_Ratings[[#This Row],[Top Ten]])-6))</f>
        <v/>
      </c>
    </row>
    <row r="2405" spans="1:11" x14ac:dyDescent="0.25">
      <c r="A2405">
        <v>1595</v>
      </c>
      <c r="B2405" t="s">
        <v>426</v>
      </c>
      <c r="C2405" t="s">
        <v>1220</v>
      </c>
      <c r="D2405" t="s">
        <v>13</v>
      </c>
      <c r="E2405" t="s">
        <v>79</v>
      </c>
      <c r="F2405" t="str">
        <f>VLOOKUP(Ramen_Ratings[[#This Row],[Country]],Country_Region[#All],2,FALSE)</f>
        <v>Asia</v>
      </c>
      <c r="G2405">
        <v>5</v>
      </c>
      <c r="H2405" t="str" cm="1">
        <f t="array" ref="H2405">_xlfn.IFS(Ramen_Ratings[[#This Row],[Stars]] = "Unrated", "NA",Ramen_Ratings[[#This Row],[Stars]]&gt;=4, "Good", Ramen_Ratings[[#This Row],[Stars]]&gt;2.5, "Fair", Ramen_Ratings[[#This Row],[Stars]] &gt;= 0, "Bad")</f>
        <v>Good</v>
      </c>
      <c r="J2405" t="str">
        <f>LEFT(Ramen_Ratings[[#This Row],[Top Ten]],4)</f>
        <v/>
      </c>
      <c r="K2405" t="str">
        <f>IF(Ramen_Ratings[[#This Row],[Top Ten]]="", "",RIGHT(Ramen_Ratings[[#This Row],[Top Ten]],LEN(Ramen_Ratings[[#This Row],[Top Ten]])-6))</f>
        <v/>
      </c>
    </row>
    <row r="2406" spans="1:11" x14ac:dyDescent="0.25">
      <c r="A2406">
        <v>1572</v>
      </c>
      <c r="B2406" t="s">
        <v>218</v>
      </c>
      <c r="C2406" t="s">
        <v>1247</v>
      </c>
      <c r="D2406" t="s">
        <v>13</v>
      </c>
      <c r="E2406" t="s">
        <v>79</v>
      </c>
      <c r="F2406" t="str">
        <f>VLOOKUP(Ramen_Ratings[[#This Row],[Country]],Country_Region[#All],2,FALSE)</f>
        <v>Asia</v>
      </c>
      <c r="G2406">
        <v>3.75</v>
      </c>
      <c r="H2406" t="str" cm="1">
        <f t="array" ref="H2406">_xlfn.IFS(Ramen_Ratings[[#This Row],[Stars]] = "Unrated", "NA",Ramen_Ratings[[#This Row],[Stars]]&gt;=4, "Good", Ramen_Ratings[[#This Row],[Stars]]&gt;2.5, "Fair", Ramen_Ratings[[#This Row],[Stars]] &gt;= 0, "Bad")</f>
        <v>Fair</v>
      </c>
      <c r="J2406" t="str">
        <f>LEFT(Ramen_Ratings[[#This Row],[Top Ten]],4)</f>
        <v/>
      </c>
      <c r="K2406" t="str">
        <f>IF(Ramen_Ratings[[#This Row],[Top Ten]]="", "",RIGHT(Ramen_Ratings[[#This Row],[Top Ten]],LEN(Ramen_Ratings[[#This Row],[Top Ten]])-6))</f>
        <v/>
      </c>
    </row>
    <row r="2407" spans="1:11" x14ac:dyDescent="0.25">
      <c r="A2407">
        <v>1559</v>
      </c>
      <c r="B2407" t="s">
        <v>218</v>
      </c>
      <c r="C2407" t="s">
        <v>1263</v>
      </c>
      <c r="D2407" t="s">
        <v>13</v>
      </c>
      <c r="E2407" t="s">
        <v>79</v>
      </c>
      <c r="F2407" t="str">
        <f>VLOOKUP(Ramen_Ratings[[#This Row],[Country]],Country_Region[#All],2,FALSE)</f>
        <v>Asia</v>
      </c>
      <c r="G2407">
        <v>4</v>
      </c>
      <c r="H2407" t="str" cm="1">
        <f t="array" ref="H2407">_xlfn.IFS(Ramen_Ratings[[#This Row],[Stars]] = "Unrated", "NA",Ramen_Ratings[[#This Row],[Stars]]&gt;=4, "Good", Ramen_Ratings[[#This Row],[Stars]]&gt;2.5, "Fair", Ramen_Ratings[[#This Row],[Stars]] &gt;= 0, "Bad")</f>
        <v>Good</v>
      </c>
      <c r="J2407" t="str">
        <f>LEFT(Ramen_Ratings[[#This Row],[Top Ten]],4)</f>
        <v/>
      </c>
      <c r="K2407" t="str">
        <f>IF(Ramen_Ratings[[#This Row],[Top Ten]]="", "",RIGHT(Ramen_Ratings[[#This Row],[Top Ten]],LEN(Ramen_Ratings[[#This Row],[Top Ten]])-6))</f>
        <v/>
      </c>
    </row>
    <row r="2408" spans="1:11" x14ac:dyDescent="0.25">
      <c r="A2408">
        <v>1540</v>
      </c>
      <c r="B2408" t="s">
        <v>1193</v>
      </c>
      <c r="C2408" t="s">
        <v>1285</v>
      </c>
      <c r="D2408" t="s">
        <v>13</v>
      </c>
      <c r="E2408" t="s">
        <v>79</v>
      </c>
      <c r="F2408" t="str">
        <f>VLOOKUP(Ramen_Ratings[[#This Row],[Country]],Country_Region[#All],2,FALSE)</f>
        <v>Asia</v>
      </c>
      <c r="G2408">
        <v>4.25</v>
      </c>
      <c r="H2408" t="str" cm="1">
        <f t="array" ref="H2408">_xlfn.IFS(Ramen_Ratings[[#This Row],[Stars]] = "Unrated", "NA",Ramen_Ratings[[#This Row],[Stars]]&gt;=4, "Good", Ramen_Ratings[[#This Row],[Stars]]&gt;2.5, "Fair", Ramen_Ratings[[#This Row],[Stars]] &gt;= 0, "Bad")</f>
        <v>Good</v>
      </c>
      <c r="J2408" t="str">
        <f>LEFT(Ramen_Ratings[[#This Row],[Top Ten]],4)</f>
        <v/>
      </c>
      <c r="K2408" t="str">
        <f>IF(Ramen_Ratings[[#This Row],[Top Ten]]="", "",RIGHT(Ramen_Ratings[[#This Row],[Top Ten]],LEN(Ramen_Ratings[[#This Row],[Top Ten]])-6))</f>
        <v/>
      </c>
    </row>
    <row r="2409" spans="1:11" x14ac:dyDescent="0.25">
      <c r="A2409">
        <v>1504</v>
      </c>
      <c r="B2409" t="s">
        <v>218</v>
      </c>
      <c r="C2409" t="s">
        <v>1327</v>
      </c>
      <c r="D2409" t="s">
        <v>13</v>
      </c>
      <c r="E2409" t="s">
        <v>79</v>
      </c>
      <c r="F2409" t="str">
        <f>VLOOKUP(Ramen_Ratings[[#This Row],[Country]],Country_Region[#All],2,FALSE)</f>
        <v>Asia</v>
      </c>
      <c r="G2409">
        <v>4.25</v>
      </c>
      <c r="H2409" t="str" cm="1">
        <f t="array" ref="H2409">_xlfn.IFS(Ramen_Ratings[[#This Row],[Stars]] = "Unrated", "NA",Ramen_Ratings[[#This Row],[Stars]]&gt;=4, "Good", Ramen_Ratings[[#This Row],[Stars]]&gt;2.5, "Fair", Ramen_Ratings[[#This Row],[Stars]] &gt;= 0, "Bad")</f>
        <v>Good</v>
      </c>
      <c r="J2409" t="str">
        <f>LEFT(Ramen_Ratings[[#This Row],[Top Ten]],4)</f>
        <v/>
      </c>
      <c r="K2409" t="str">
        <f>IF(Ramen_Ratings[[#This Row],[Top Ten]]="", "",RIGHT(Ramen_Ratings[[#This Row],[Top Ten]],LEN(Ramen_Ratings[[#This Row],[Top Ten]])-6))</f>
        <v/>
      </c>
    </row>
    <row r="2410" spans="1:11" x14ac:dyDescent="0.25">
      <c r="A2410">
        <v>1502</v>
      </c>
      <c r="B2410" t="s">
        <v>426</v>
      </c>
      <c r="C2410" t="s">
        <v>1329</v>
      </c>
      <c r="D2410" t="s">
        <v>13</v>
      </c>
      <c r="E2410" t="s">
        <v>79</v>
      </c>
      <c r="F2410" t="str">
        <f>VLOOKUP(Ramen_Ratings[[#This Row],[Country]],Country_Region[#All],2,FALSE)</f>
        <v>Asia</v>
      </c>
      <c r="G2410">
        <v>4</v>
      </c>
      <c r="H2410" t="str" cm="1">
        <f t="array" ref="H2410">_xlfn.IFS(Ramen_Ratings[[#This Row],[Stars]] = "Unrated", "NA",Ramen_Ratings[[#This Row],[Stars]]&gt;=4, "Good", Ramen_Ratings[[#This Row],[Stars]]&gt;2.5, "Fair", Ramen_Ratings[[#This Row],[Stars]] &gt;= 0, "Bad")</f>
        <v>Good</v>
      </c>
      <c r="J2410" t="str">
        <f>LEFT(Ramen_Ratings[[#This Row],[Top Ten]],4)</f>
        <v/>
      </c>
      <c r="K2410" t="str">
        <f>IF(Ramen_Ratings[[#This Row],[Top Ten]]="", "",RIGHT(Ramen_Ratings[[#This Row],[Top Ten]],LEN(Ramen_Ratings[[#This Row],[Top Ten]])-6))</f>
        <v/>
      </c>
    </row>
    <row r="2411" spans="1:11" x14ac:dyDescent="0.25">
      <c r="A2411">
        <v>1496</v>
      </c>
      <c r="B2411" t="s">
        <v>218</v>
      </c>
      <c r="C2411" t="s">
        <v>1335</v>
      </c>
      <c r="D2411" t="s">
        <v>13</v>
      </c>
      <c r="E2411" t="s">
        <v>79</v>
      </c>
      <c r="F2411" t="str">
        <f>VLOOKUP(Ramen_Ratings[[#This Row],[Country]],Country_Region[#All],2,FALSE)</f>
        <v>Asia</v>
      </c>
      <c r="G2411">
        <v>4.5</v>
      </c>
      <c r="H2411" t="str" cm="1">
        <f t="array" ref="H2411">_xlfn.IFS(Ramen_Ratings[[#This Row],[Stars]] = "Unrated", "NA",Ramen_Ratings[[#This Row],[Stars]]&gt;=4, "Good", Ramen_Ratings[[#This Row],[Stars]]&gt;2.5, "Fair", Ramen_Ratings[[#This Row],[Stars]] &gt;= 0, "Bad")</f>
        <v>Good</v>
      </c>
      <c r="J2411" t="str">
        <f>LEFT(Ramen_Ratings[[#This Row],[Top Ten]],4)</f>
        <v/>
      </c>
      <c r="K2411" t="str">
        <f>IF(Ramen_Ratings[[#This Row],[Top Ten]]="", "",RIGHT(Ramen_Ratings[[#This Row],[Top Ten]],LEN(Ramen_Ratings[[#This Row],[Top Ten]])-6))</f>
        <v/>
      </c>
    </row>
    <row r="2412" spans="1:11" x14ac:dyDescent="0.25">
      <c r="A2412">
        <v>1481</v>
      </c>
      <c r="B2412" t="s">
        <v>218</v>
      </c>
      <c r="C2412" t="s">
        <v>1349</v>
      </c>
      <c r="D2412" t="s">
        <v>13</v>
      </c>
      <c r="E2412" t="s">
        <v>79</v>
      </c>
      <c r="F2412" t="str">
        <f>VLOOKUP(Ramen_Ratings[[#This Row],[Country]],Country_Region[#All],2,FALSE)</f>
        <v>Asia</v>
      </c>
      <c r="G2412">
        <v>3.5</v>
      </c>
      <c r="H2412" t="str" cm="1">
        <f t="array" ref="H2412">_xlfn.IFS(Ramen_Ratings[[#This Row],[Stars]] = "Unrated", "NA",Ramen_Ratings[[#This Row],[Stars]]&gt;=4, "Good", Ramen_Ratings[[#This Row],[Stars]]&gt;2.5, "Fair", Ramen_Ratings[[#This Row],[Stars]] &gt;= 0, "Bad")</f>
        <v>Fair</v>
      </c>
      <c r="J2412" t="str">
        <f>LEFT(Ramen_Ratings[[#This Row],[Top Ten]],4)</f>
        <v/>
      </c>
      <c r="K2412" t="str">
        <f>IF(Ramen_Ratings[[#This Row],[Top Ten]]="", "",RIGHT(Ramen_Ratings[[#This Row],[Top Ten]],LEN(Ramen_Ratings[[#This Row],[Top Ten]])-6))</f>
        <v/>
      </c>
    </row>
    <row r="2413" spans="1:11" x14ac:dyDescent="0.25">
      <c r="A2413">
        <v>1436</v>
      </c>
      <c r="B2413" t="s">
        <v>1134</v>
      </c>
      <c r="C2413" t="s">
        <v>1392</v>
      </c>
      <c r="D2413" t="s">
        <v>9</v>
      </c>
      <c r="E2413" t="s">
        <v>79</v>
      </c>
      <c r="F2413" t="str">
        <f>VLOOKUP(Ramen_Ratings[[#This Row],[Country]],Country_Region[#All],2,FALSE)</f>
        <v>Asia</v>
      </c>
      <c r="G2413">
        <v>3.5</v>
      </c>
      <c r="H2413" t="str" cm="1">
        <f t="array" ref="H2413">_xlfn.IFS(Ramen_Ratings[[#This Row],[Stars]] = "Unrated", "NA",Ramen_Ratings[[#This Row],[Stars]]&gt;=4, "Good", Ramen_Ratings[[#This Row],[Stars]]&gt;2.5, "Fair", Ramen_Ratings[[#This Row],[Stars]] &gt;= 0, "Bad")</f>
        <v>Fair</v>
      </c>
      <c r="J2413" t="str">
        <f>LEFT(Ramen_Ratings[[#This Row],[Top Ten]],4)</f>
        <v/>
      </c>
      <c r="K2413" t="str">
        <f>IF(Ramen_Ratings[[#This Row],[Top Ten]]="", "",RIGHT(Ramen_Ratings[[#This Row],[Top Ten]],LEN(Ramen_Ratings[[#This Row],[Top Ten]])-6))</f>
        <v/>
      </c>
    </row>
    <row r="2414" spans="1:11" x14ac:dyDescent="0.25">
      <c r="A2414">
        <v>1421</v>
      </c>
      <c r="B2414" t="s">
        <v>41</v>
      </c>
      <c r="C2414" t="s">
        <v>1407</v>
      </c>
      <c r="D2414" t="s">
        <v>9</v>
      </c>
      <c r="E2414" t="s">
        <v>79</v>
      </c>
      <c r="F2414" t="str">
        <f>VLOOKUP(Ramen_Ratings[[#This Row],[Country]],Country_Region[#All],2,FALSE)</f>
        <v>Asia</v>
      </c>
      <c r="G2414">
        <v>2.75</v>
      </c>
      <c r="H2414" t="str" cm="1">
        <f t="array" ref="H2414">_xlfn.IFS(Ramen_Ratings[[#This Row],[Stars]] = "Unrated", "NA",Ramen_Ratings[[#This Row],[Stars]]&gt;=4, "Good", Ramen_Ratings[[#This Row],[Stars]]&gt;2.5, "Fair", Ramen_Ratings[[#This Row],[Stars]] &gt;= 0, "Bad")</f>
        <v>Fair</v>
      </c>
      <c r="J2414" t="str">
        <f>LEFT(Ramen_Ratings[[#This Row],[Top Ten]],4)</f>
        <v/>
      </c>
      <c r="K2414" t="str">
        <f>IF(Ramen_Ratings[[#This Row],[Top Ten]]="", "",RIGHT(Ramen_Ratings[[#This Row],[Top Ten]],LEN(Ramen_Ratings[[#This Row],[Top Ten]])-6))</f>
        <v/>
      </c>
    </row>
    <row r="2415" spans="1:11" x14ac:dyDescent="0.25">
      <c r="A2415">
        <v>1409</v>
      </c>
      <c r="B2415" t="s">
        <v>1059</v>
      </c>
      <c r="C2415" t="s">
        <v>1419</v>
      </c>
      <c r="D2415" t="s">
        <v>13</v>
      </c>
      <c r="E2415" t="s">
        <v>79</v>
      </c>
      <c r="F2415" t="str">
        <f>VLOOKUP(Ramen_Ratings[[#This Row],[Country]],Country_Region[#All],2,FALSE)</f>
        <v>Asia</v>
      </c>
      <c r="G2415">
        <v>3.5</v>
      </c>
      <c r="H2415" t="str" cm="1">
        <f t="array" ref="H2415">_xlfn.IFS(Ramen_Ratings[[#This Row],[Stars]] = "Unrated", "NA",Ramen_Ratings[[#This Row],[Stars]]&gt;=4, "Good", Ramen_Ratings[[#This Row],[Stars]]&gt;2.5, "Fair", Ramen_Ratings[[#This Row],[Stars]] &gt;= 0, "Bad")</f>
        <v>Fair</v>
      </c>
      <c r="J2415" t="str">
        <f>LEFT(Ramen_Ratings[[#This Row],[Top Ten]],4)</f>
        <v/>
      </c>
      <c r="K2415" t="str">
        <f>IF(Ramen_Ratings[[#This Row],[Top Ten]]="", "",RIGHT(Ramen_Ratings[[#This Row],[Top Ten]],LEN(Ramen_Ratings[[#This Row],[Top Ten]])-6))</f>
        <v/>
      </c>
    </row>
    <row r="2416" spans="1:11" x14ac:dyDescent="0.25">
      <c r="A2416">
        <v>1364</v>
      </c>
      <c r="B2416" t="s">
        <v>1475</v>
      </c>
      <c r="C2416" t="s">
        <v>1476</v>
      </c>
      <c r="D2416" t="s">
        <v>44</v>
      </c>
      <c r="E2416" t="s">
        <v>79</v>
      </c>
      <c r="F2416" t="str">
        <f>VLOOKUP(Ramen_Ratings[[#This Row],[Country]],Country_Region[#All],2,FALSE)</f>
        <v>Asia</v>
      </c>
      <c r="G2416">
        <v>1.75</v>
      </c>
      <c r="H2416" t="str" cm="1">
        <f t="array" ref="H2416">_xlfn.IFS(Ramen_Ratings[[#This Row],[Stars]] = "Unrated", "NA",Ramen_Ratings[[#This Row],[Stars]]&gt;=4, "Good", Ramen_Ratings[[#This Row],[Stars]]&gt;2.5, "Fair", Ramen_Ratings[[#This Row],[Stars]] &gt;= 0, "Bad")</f>
        <v>Bad</v>
      </c>
      <c r="J2416" t="str">
        <f>LEFT(Ramen_Ratings[[#This Row],[Top Ten]],4)</f>
        <v/>
      </c>
      <c r="K2416" t="str">
        <f>IF(Ramen_Ratings[[#This Row],[Top Ten]]="", "",RIGHT(Ramen_Ratings[[#This Row],[Top Ten]],LEN(Ramen_Ratings[[#This Row],[Top Ten]])-6))</f>
        <v/>
      </c>
    </row>
    <row r="2417" spans="1:11" x14ac:dyDescent="0.25">
      <c r="A2417">
        <v>1327</v>
      </c>
      <c r="B2417" t="s">
        <v>1516</v>
      </c>
      <c r="C2417" t="s">
        <v>1517</v>
      </c>
      <c r="D2417" t="s">
        <v>13</v>
      </c>
      <c r="E2417" t="s">
        <v>79</v>
      </c>
      <c r="F2417" t="str">
        <f>VLOOKUP(Ramen_Ratings[[#This Row],[Country]],Country_Region[#All],2,FALSE)</f>
        <v>Asia</v>
      </c>
      <c r="G2417">
        <v>3</v>
      </c>
      <c r="H2417" t="str" cm="1">
        <f t="array" ref="H2417">_xlfn.IFS(Ramen_Ratings[[#This Row],[Stars]] = "Unrated", "NA",Ramen_Ratings[[#This Row],[Stars]]&gt;=4, "Good", Ramen_Ratings[[#This Row],[Stars]]&gt;2.5, "Fair", Ramen_Ratings[[#This Row],[Stars]] &gt;= 0, "Bad")</f>
        <v>Fair</v>
      </c>
      <c r="J2417" t="str">
        <f>LEFT(Ramen_Ratings[[#This Row],[Top Ten]],4)</f>
        <v/>
      </c>
      <c r="K2417" t="str">
        <f>IF(Ramen_Ratings[[#This Row],[Top Ten]]="", "",RIGHT(Ramen_Ratings[[#This Row],[Top Ten]],LEN(Ramen_Ratings[[#This Row],[Top Ten]])-6))</f>
        <v/>
      </c>
    </row>
    <row r="2418" spans="1:11" x14ac:dyDescent="0.25">
      <c r="A2418">
        <v>1323</v>
      </c>
      <c r="B2418" t="s">
        <v>1475</v>
      </c>
      <c r="C2418" t="s">
        <v>1520</v>
      </c>
      <c r="D2418" t="s">
        <v>13</v>
      </c>
      <c r="E2418" t="s">
        <v>79</v>
      </c>
      <c r="F2418" t="str">
        <f>VLOOKUP(Ramen_Ratings[[#This Row],[Country]],Country_Region[#All],2,FALSE)</f>
        <v>Asia</v>
      </c>
      <c r="G2418">
        <v>2</v>
      </c>
      <c r="H2418" t="str" cm="1">
        <f t="array" ref="H2418">_xlfn.IFS(Ramen_Ratings[[#This Row],[Stars]] = "Unrated", "NA",Ramen_Ratings[[#This Row],[Stars]]&gt;=4, "Good", Ramen_Ratings[[#This Row],[Stars]]&gt;2.5, "Fair", Ramen_Ratings[[#This Row],[Stars]] &gt;= 0, "Bad")</f>
        <v>Bad</v>
      </c>
      <c r="J2418" t="str">
        <f>LEFT(Ramen_Ratings[[#This Row],[Top Ten]],4)</f>
        <v/>
      </c>
      <c r="K2418" t="str">
        <f>IF(Ramen_Ratings[[#This Row],[Top Ten]]="", "",RIGHT(Ramen_Ratings[[#This Row],[Top Ten]],LEN(Ramen_Ratings[[#This Row],[Top Ten]])-6))</f>
        <v/>
      </c>
    </row>
    <row r="2419" spans="1:11" x14ac:dyDescent="0.25">
      <c r="A2419">
        <v>1289</v>
      </c>
      <c r="B2419" t="s">
        <v>426</v>
      </c>
      <c r="C2419" t="s">
        <v>1558</v>
      </c>
      <c r="D2419" t="s">
        <v>13</v>
      </c>
      <c r="E2419" t="s">
        <v>79</v>
      </c>
      <c r="F2419" t="str">
        <f>VLOOKUP(Ramen_Ratings[[#This Row],[Country]],Country_Region[#All],2,FALSE)</f>
        <v>Asia</v>
      </c>
      <c r="G2419">
        <v>4</v>
      </c>
      <c r="H2419" t="str" cm="1">
        <f t="array" ref="H2419">_xlfn.IFS(Ramen_Ratings[[#This Row],[Stars]] = "Unrated", "NA",Ramen_Ratings[[#This Row],[Stars]]&gt;=4, "Good", Ramen_Ratings[[#This Row],[Stars]]&gt;2.5, "Fair", Ramen_Ratings[[#This Row],[Stars]] &gt;= 0, "Bad")</f>
        <v>Good</v>
      </c>
      <c r="J2419" t="str">
        <f>LEFT(Ramen_Ratings[[#This Row],[Top Ten]],4)</f>
        <v/>
      </c>
      <c r="K2419" t="str">
        <f>IF(Ramen_Ratings[[#This Row],[Top Ten]]="", "",RIGHT(Ramen_Ratings[[#This Row],[Top Ten]],LEN(Ramen_Ratings[[#This Row],[Top Ten]])-6))</f>
        <v/>
      </c>
    </row>
    <row r="2420" spans="1:11" x14ac:dyDescent="0.25">
      <c r="A2420">
        <v>1244</v>
      </c>
      <c r="B2420" t="s">
        <v>1516</v>
      </c>
      <c r="C2420" t="s">
        <v>1608</v>
      </c>
      <c r="D2420" t="s">
        <v>13</v>
      </c>
      <c r="E2420" t="s">
        <v>79</v>
      </c>
      <c r="F2420" t="str">
        <f>VLOOKUP(Ramen_Ratings[[#This Row],[Country]],Country_Region[#All],2,FALSE)</f>
        <v>Asia</v>
      </c>
      <c r="G2420">
        <v>3.75</v>
      </c>
      <c r="H2420" t="str" cm="1">
        <f t="array" ref="H2420">_xlfn.IFS(Ramen_Ratings[[#This Row],[Stars]] = "Unrated", "NA",Ramen_Ratings[[#This Row],[Stars]]&gt;=4, "Good", Ramen_Ratings[[#This Row],[Stars]]&gt;2.5, "Fair", Ramen_Ratings[[#This Row],[Stars]] &gt;= 0, "Bad")</f>
        <v>Fair</v>
      </c>
      <c r="J2420" t="str">
        <f>LEFT(Ramen_Ratings[[#This Row],[Top Ten]],4)</f>
        <v/>
      </c>
      <c r="K2420" t="str">
        <f>IF(Ramen_Ratings[[#This Row],[Top Ten]]="", "",RIGHT(Ramen_Ratings[[#This Row],[Top Ten]],LEN(Ramen_Ratings[[#This Row],[Top Ten]])-6))</f>
        <v/>
      </c>
    </row>
    <row r="2421" spans="1:11" x14ac:dyDescent="0.25">
      <c r="A2421">
        <v>1226</v>
      </c>
      <c r="B2421" t="s">
        <v>218</v>
      </c>
      <c r="C2421" t="s">
        <v>1628</v>
      </c>
      <c r="D2421" t="s">
        <v>44</v>
      </c>
      <c r="E2421" t="s">
        <v>79</v>
      </c>
      <c r="F2421" t="str">
        <f>VLOOKUP(Ramen_Ratings[[#This Row],[Country]],Country_Region[#All],2,FALSE)</f>
        <v>Asia</v>
      </c>
      <c r="G2421">
        <v>3.75</v>
      </c>
      <c r="H2421" t="str" cm="1">
        <f t="array" ref="H2421">_xlfn.IFS(Ramen_Ratings[[#This Row],[Stars]] = "Unrated", "NA",Ramen_Ratings[[#This Row],[Stars]]&gt;=4, "Good", Ramen_Ratings[[#This Row],[Stars]]&gt;2.5, "Fair", Ramen_Ratings[[#This Row],[Stars]] &gt;= 0, "Bad")</f>
        <v>Fair</v>
      </c>
      <c r="J2421" t="str">
        <f>LEFT(Ramen_Ratings[[#This Row],[Top Ten]],4)</f>
        <v/>
      </c>
      <c r="K2421" t="str">
        <f>IF(Ramen_Ratings[[#This Row],[Top Ten]]="", "",RIGHT(Ramen_Ratings[[#This Row],[Top Ten]],LEN(Ramen_Ratings[[#This Row],[Top Ten]])-6))</f>
        <v/>
      </c>
    </row>
    <row r="2422" spans="1:11" x14ac:dyDescent="0.25">
      <c r="A2422">
        <v>1218</v>
      </c>
      <c r="B2422" t="s">
        <v>188</v>
      </c>
      <c r="C2422" t="s">
        <v>1637</v>
      </c>
      <c r="D2422" t="s">
        <v>13</v>
      </c>
      <c r="E2422" t="s">
        <v>79</v>
      </c>
      <c r="F2422" t="str">
        <f>VLOOKUP(Ramen_Ratings[[#This Row],[Country]],Country_Region[#All],2,FALSE)</f>
        <v>Asia</v>
      </c>
      <c r="G2422">
        <v>3.75</v>
      </c>
      <c r="H2422" t="str" cm="1">
        <f t="array" ref="H2422">_xlfn.IFS(Ramen_Ratings[[#This Row],[Stars]] = "Unrated", "NA",Ramen_Ratings[[#This Row],[Stars]]&gt;=4, "Good", Ramen_Ratings[[#This Row],[Stars]]&gt;2.5, "Fair", Ramen_Ratings[[#This Row],[Stars]] &gt;= 0, "Bad")</f>
        <v>Fair</v>
      </c>
      <c r="J2422" t="str">
        <f>LEFT(Ramen_Ratings[[#This Row],[Top Ten]],4)</f>
        <v/>
      </c>
      <c r="K2422" t="str">
        <f>IF(Ramen_Ratings[[#This Row],[Top Ten]]="", "",RIGHT(Ramen_Ratings[[#This Row],[Top Ten]],LEN(Ramen_Ratings[[#This Row],[Top Ten]])-6))</f>
        <v/>
      </c>
    </row>
    <row r="2423" spans="1:11" x14ac:dyDescent="0.25">
      <c r="A2423">
        <v>1213</v>
      </c>
      <c r="B2423" t="s">
        <v>1642</v>
      </c>
      <c r="C2423" t="s">
        <v>1643</v>
      </c>
      <c r="D2423" t="s">
        <v>30</v>
      </c>
      <c r="E2423" t="s">
        <v>79</v>
      </c>
      <c r="F2423" t="str">
        <f>VLOOKUP(Ramen_Ratings[[#This Row],[Country]],Country_Region[#All],2,FALSE)</f>
        <v>Asia</v>
      </c>
      <c r="G2423">
        <v>0.5</v>
      </c>
      <c r="H2423" t="str" cm="1">
        <f t="array" ref="H2423">_xlfn.IFS(Ramen_Ratings[[#This Row],[Stars]] = "Unrated", "NA",Ramen_Ratings[[#This Row],[Stars]]&gt;=4, "Good", Ramen_Ratings[[#This Row],[Stars]]&gt;2.5, "Fair", Ramen_Ratings[[#This Row],[Stars]] &gt;= 0, "Bad")</f>
        <v>Bad</v>
      </c>
      <c r="J2423" t="str">
        <f>LEFT(Ramen_Ratings[[#This Row],[Top Ten]],4)</f>
        <v/>
      </c>
      <c r="K2423" t="str">
        <f>IF(Ramen_Ratings[[#This Row],[Top Ten]]="", "",RIGHT(Ramen_Ratings[[#This Row],[Top Ten]],LEN(Ramen_Ratings[[#This Row],[Top Ten]])-6))</f>
        <v/>
      </c>
    </row>
    <row r="2424" spans="1:11" x14ac:dyDescent="0.25">
      <c r="A2424">
        <v>1208</v>
      </c>
      <c r="B2424" t="s">
        <v>1475</v>
      </c>
      <c r="C2424" t="s">
        <v>1648</v>
      </c>
      <c r="D2424" t="s">
        <v>13</v>
      </c>
      <c r="E2424" t="s">
        <v>79</v>
      </c>
      <c r="F2424" t="str">
        <f>VLOOKUP(Ramen_Ratings[[#This Row],[Country]],Country_Region[#All],2,FALSE)</f>
        <v>Asia</v>
      </c>
      <c r="G2424">
        <v>3.5</v>
      </c>
      <c r="H2424" t="str" cm="1">
        <f t="array" ref="H2424">_xlfn.IFS(Ramen_Ratings[[#This Row],[Stars]] = "Unrated", "NA",Ramen_Ratings[[#This Row],[Stars]]&gt;=4, "Good", Ramen_Ratings[[#This Row],[Stars]]&gt;2.5, "Fair", Ramen_Ratings[[#This Row],[Stars]] &gt;= 0, "Bad")</f>
        <v>Fair</v>
      </c>
      <c r="J2424" t="str">
        <f>LEFT(Ramen_Ratings[[#This Row],[Top Ten]],4)</f>
        <v/>
      </c>
      <c r="K2424" t="str">
        <f>IF(Ramen_Ratings[[#This Row],[Top Ten]]="", "",RIGHT(Ramen_Ratings[[#This Row],[Top Ten]],LEN(Ramen_Ratings[[#This Row],[Top Ten]])-6))</f>
        <v/>
      </c>
    </row>
    <row r="2425" spans="1:11" x14ac:dyDescent="0.25">
      <c r="A2425">
        <v>1188</v>
      </c>
      <c r="B2425" t="s">
        <v>1134</v>
      </c>
      <c r="C2425" t="s">
        <v>1670</v>
      </c>
      <c r="D2425" t="s">
        <v>9</v>
      </c>
      <c r="E2425" t="s">
        <v>79</v>
      </c>
      <c r="F2425" t="str">
        <f>VLOOKUP(Ramen_Ratings[[#This Row],[Country]],Country_Region[#All],2,FALSE)</f>
        <v>Asia</v>
      </c>
      <c r="G2425">
        <v>3</v>
      </c>
      <c r="H2425" t="str" cm="1">
        <f t="array" ref="H2425">_xlfn.IFS(Ramen_Ratings[[#This Row],[Stars]] = "Unrated", "NA",Ramen_Ratings[[#This Row],[Stars]]&gt;=4, "Good", Ramen_Ratings[[#This Row],[Stars]]&gt;2.5, "Fair", Ramen_Ratings[[#This Row],[Stars]] &gt;= 0, "Bad")</f>
        <v>Fair</v>
      </c>
      <c r="J2425" t="str">
        <f>LEFT(Ramen_Ratings[[#This Row],[Top Ten]],4)</f>
        <v/>
      </c>
      <c r="K2425" t="str">
        <f>IF(Ramen_Ratings[[#This Row],[Top Ten]]="", "",RIGHT(Ramen_Ratings[[#This Row],[Top Ten]],LEN(Ramen_Ratings[[#This Row],[Top Ten]])-6))</f>
        <v/>
      </c>
    </row>
    <row r="2426" spans="1:11" x14ac:dyDescent="0.25">
      <c r="A2426">
        <v>1163</v>
      </c>
      <c r="B2426" t="s">
        <v>1317</v>
      </c>
      <c r="C2426" t="s">
        <v>1695</v>
      </c>
      <c r="D2426" t="s">
        <v>13</v>
      </c>
      <c r="E2426" t="s">
        <v>79</v>
      </c>
      <c r="F2426" t="str">
        <f>VLOOKUP(Ramen_Ratings[[#This Row],[Country]],Country_Region[#All],2,FALSE)</f>
        <v>Asia</v>
      </c>
      <c r="G2426">
        <v>3.25</v>
      </c>
      <c r="H2426" t="str" cm="1">
        <f t="array" ref="H2426">_xlfn.IFS(Ramen_Ratings[[#This Row],[Stars]] = "Unrated", "NA",Ramen_Ratings[[#This Row],[Stars]]&gt;=4, "Good", Ramen_Ratings[[#This Row],[Stars]]&gt;2.5, "Fair", Ramen_Ratings[[#This Row],[Stars]] &gt;= 0, "Bad")</f>
        <v>Fair</v>
      </c>
      <c r="J2426" t="str">
        <f>LEFT(Ramen_Ratings[[#This Row],[Top Ten]],4)</f>
        <v/>
      </c>
      <c r="K2426" t="str">
        <f>IF(Ramen_Ratings[[#This Row],[Top Ten]]="", "",RIGHT(Ramen_Ratings[[#This Row],[Top Ten]],LEN(Ramen_Ratings[[#This Row],[Top Ten]])-6))</f>
        <v/>
      </c>
    </row>
    <row r="2427" spans="1:11" x14ac:dyDescent="0.25">
      <c r="A2427">
        <v>1154</v>
      </c>
      <c r="B2427" t="s">
        <v>1475</v>
      </c>
      <c r="C2427" t="s">
        <v>1707</v>
      </c>
      <c r="D2427" t="s">
        <v>13</v>
      </c>
      <c r="E2427" t="s">
        <v>79</v>
      </c>
      <c r="F2427" t="str">
        <f>VLOOKUP(Ramen_Ratings[[#This Row],[Country]],Country_Region[#All],2,FALSE)</f>
        <v>Asia</v>
      </c>
      <c r="G2427">
        <v>3.5</v>
      </c>
      <c r="H2427" t="str" cm="1">
        <f t="array" ref="H2427">_xlfn.IFS(Ramen_Ratings[[#This Row],[Stars]] = "Unrated", "NA",Ramen_Ratings[[#This Row],[Stars]]&gt;=4, "Good", Ramen_Ratings[[#This Row],[Stars]]&gt;2.5, "Fair", Ramen_Ratings[[#This Row],[Stars]] &gt;= 0, "Bad")</f>
        <v>Fair</v>
      </c>
      <c r="J2427" t="str">
        <f>LEFT(Ramen_Ratings[[#This Row],[Top Ten]],4)</f>
        <v/>
      </c>
      <c r="K2427" t="str">
        <f>IF(Ramen_Ratings[[#This Row],[Top Ten]]="", "",RIGHT(Ramen_Ratings[[#This Row],[Top Ten]],LEN(Ramen_Ratings[[#This Row],[Top Ten]])-6))</f>
        <v/>
      </c>
    </row>
    <row r="2428" spans="1:11" x14ac:dyDescent="0.25">
      <c r="A2428">
        <v>1121</v>
      </c>
      <c r="B2428" t="s">
        <v>188</v>
      </c>
      <c r="C2428" t="s">
        <v>1740</v>
      </c>
      <c r="D2428" t="s">
        <v>13</v>
      </c>
      <c r="E2428" t="s">
        <v>79</v>
      </c>
      <c r="F2428" t="str">
        <f>VLOOKUP(Ramen_Ratings[[#This Row],[Country]],Country_Region[#All],2,FALSE)</f>
        <v>Asia</v>
      </c>
      <c r="G2428">
        <v>3.75</v>
      </c>
      <c r="H2428" t="str" cm="1">
        <f t="array" ref="H2428">_xlfn.IFS(Ramen_Ratings[[#This Row],[Stars]] = "Unrated", "NA",Ramen_Ratings[[#This Row],[Stars]]&gt;=4, "Good", Ramen_Ratings[[#This Row],[Stars]]&gt;2.5, "Fair", Ramen_Ratings[[#This Row],[Stars]] &gt;= 0, "Bad")</f>
        <v>Fair</v>
      </c>
      <c r="J2428" t="str">
        <f>LEFT(Ramen_Ratings[[#This Row],[Top Ten]],4)</f>
        <v/>
      </c>
      <c r="K2428" t="str">
        <f>IF(Ramen_Ratings[[#This Row],[Top Ten]]="", "",RIGHT(Ramen_Ratings[[#This Row],[Top Ten]],LEN(Ramen_Ratings[[#This Row],[Top Ten]])-6))</f>
        <v/>
      </c>
    </row>
    <row r="2429" spans="1:11" x14ac:dyDescent="0.25">
      <c r="A2429">
        <v>1111</v>
      </c>
      <c r="B2429" t="s">
        <v>1475</v>
      </c>
      <c r="C2429" t="s">
        <v>1751</v>
      </c>
      <c r="D2429" t="s">
        <v>13</v>
      </c>
      <c r="E2429" t="s">
        <v>79</v>
      </c>
      <c r="F2429" t="str">
        <f>VLOOKUP(Ramen_Ratings[[#This Row],[Country]],Country_Region[#All],2,FALSE)</f>
        <v>Asia</v>
      </c>
      <c r="G2429">
        <v>3.25</v>
      </c>
      <c r="H2429" t="str" cm="1">
        <f t="array" ref="H2429">_xlfn.IFS(Ramen_Ratings[[#This Row],[Stars]] = "Unrated", "NA",Ramen_Ratings[[#This Row],[Stars]]&gt;=4, "Good", Ramen_Ratings[[#This Row],[Stars]]&gt;2.5, "Fair", Ramen_Ratings[[#This Row],[Stars]] &gt;= 0, "Bad")</f>
        <v>Fair</v>
      </c>
      <c r="J2429" t="str">
        <f>LEFT(Ramen_Ratings[[#This Row],[Top Ten]],4)</f>
        <v/>
      </c>
      <c r="K2429" t="str">
        <f>IF(Ramen_Ratings[[#This Row],[Top Ten]]="", "",RIGHT(Ramen_Ratings[[#This Row],[Top Ten]],LEN(Ramen_Ratings[[#This Row],[Top Ten]])-6))</f>
        <v/>
      </c>
    </row>
    <row r="2430" spans="1:11" x14ac:dyDescent="0.25">
      <c r="A2430">
        <v>1108</v>
      </c>
      <c r="B2430" t="s">
        <v>1134</v>
      </c>
      <c r="C2430" t="s">
        <v>1755</v>
      </c>
      <c r="D2430" t="s">
        <v>9</v>
      </c>
      <c r="E2430" t="s">
        <v>79</v>
      </c>
      <c r="F2430" t="str">
        <f>VLOOKUP(Ramen_Ratings[[#This Row],[Country]],Country_Region[#All],2,FALSE)</f>
        <v>Asia</v>
      </c>
      <c r="G2430">
        <v>3.5</v>
      </c>
      <c r="H2430" t="str" cm="1">
        <f t="array" ref="H2430">_xlfn.IFS(Ramen_Ratings[[#This Row],[Stars]] = "Unrated", "NA",Ramen_Ratings[[#This Row],[Stars]]&gt;=4, "Good", Ramen_Ratings[[#This Row],[Stars]]&gt;2.5, "Fair", Ramen_Ratings[[#This Row],[Stars]] &gt;= 0, "Bad")</f>
        <v>Fair</v>
      </c>
      <c r="J2430" t="str">
        <f>LEFT(Ramen_Ratings[[#This Row],[Top Ten]],4)</f>
        <v/>
      </c>
      <c r="K2430" t="str">
        <f>IF(Ramen_Ratings[[#This Row],[Top Ten]]="", "",RIGHT(Ramen_Ratings[[#This Row],[Top Ten]],LEN(Ramen_Ratings[[#This Row],[Top Ten]])-6))</f>
        <v/>
      </c>
    </row>
    <row r="2431" spans="1:11" x14ac:dyDescent="0.25">
      <c r="A2431">
        <v>1044</v>
      </c>
      <c r="B2431" t="s">
        <v>41</v>
      </c>
      <c r="C2431" t="s">
        <v>1821</v>
      </c>
      <c r="D2431" t="s">
        <v>44</v>
      </c>
      <c r="E2431" t="s">
        <v>79</v>
      </c>
      <c r="F2431" t="str">
        <f>VLOOKUP(Ramen_Ratings[[#This Row],[Country]],Country_Region[#All],2,FALSE)</f>
        <v>Asia</v>
      </c>
      <c r="G2431">
        <v>3.25</v>
      </c>
      <c r="H2431" t="str" cm="1">
        <f t="array" ref="H2431">_xlfn.IFS(Ramen_Ratings[[#This Row],[Stars]] = "Unrated", "NA",Ramen_Ratings[[#This Row],[Stars]]&gt;=4, "Good", Ramen_Ratings[[#This Row],[Stars]]&gt;2.5, "Fair", Ramen_Ratings[[#This Row],[Stars]] &gt;= 0, "Bad")</f>
        <v>Fair</v>
      </c>
      <c r="J2431" t="str">
        <f>LEFT(Ramen_Ratings[[#This Row],[Top Ten]],4)</f>
        <v/>
      </c>
      <c r="K2431" t="str">
        <f>IF(Ramen_Ratings[[#This Row],[Top Ten]]="", "",RIGHT(Ramen_Ratings[[#This Row],[Top Ten]],LEN(Ramen_Ratings[[#This Row],[Top Ten]])-6))</f>
        <v/>
      </c>
    </row>
    <row r="2432" spans="1:11" x14ac:dyDescent="0.25">
      <c r="A2432">
        <v>1043</v>
      </c>
      <c r="B2432" t="s">
        <v>1317</v>
      </c>
      <c r="C2432" t="s">
        <v>1822</v>
      </c>
      <c r="D2432" t="s">
        <v>13</v>
      </c>
      <c r="E2432" t="s">
        <v>79</v>
      </c>
      <c r="F2432" t="str">
        <f>VLOOKUP(Ramen_Ratings[[#This Row],[Country]],Country_Region[#All],2,FALSE)</f>
        <v>Asia</v>
      </c>
      <c r="G2432">
        <v>3</v>
      </c>
      <c r="H2432" t="str" cm="1">
        <f t="array" ref="H2432">_xlfn.IFS(Ramen_Ratings[[#This Row],[Stars]] = "Unrated", "NA",Ramen_Ratings[[#This Row],[Stars]]&gt;=4, "Good", Ramen_Ratings[[#This Row],[Stars]]&gt;2.5, "Fair", Ramen_Ratings[[#This Row],[Stars]] &gt;= 0, "Bad")</f>
        <v>Fair</v>
      </c>
      <c r="J2432" t="str">
        <f>LEFT(Ramen_Ratings[[#This Row],[Top Ten]],4)</f>
        <v/>
      </c>
      <c r="K2432" t="str">
        <f>IF(Ramen_Ratings[[#This Row],[Top Ten]]="", "",RIGHT(Ramen_Ratings[[#This Row],[Top Ten]],LEN(Ramen_Ratings[[#This Row],[Top Ten]])-6))</f>
        <v/>
      </c>
    </row>
    <row r="2433" spans="1:11" x14ac:dyDescent="0.25">
      <c r="A2433">
        <v>1042</v>
      </c>
      <c r="B2433" t="s">
        <v>41</v>
      </c>
      <c r="C2433" t="s">
        <v>1823</v>
      </c>
      <c r="D2433" t="s">
        <v>13</v>
      </c>
      <c r="E2433" t="s">
        <v>79</v>
      </c>
      <c r="F2433" t="str">
        <f>VLOOKUP(Ramen_Ratings[[#This Row],[Country]],Country_Region[#All],2,FALSE)</f>
        <v>Asia</v>
      </c>
      <c r="G2433">
        <v>5</v>
      </c>
      <c r="H2433" t="str" cm="1">
        <f t="array" ref="H2433">_xlfn.IFS(Ramen_Ratings[[#This Row],[Stars]] = "Unrated", "NA",Ramen_Ratings[[#This Row],[Stars]]&gt;=4, "Good", Ramen_Ratings[[#This Row],[Stars]]&gt;2.5, "Fair", Ramen_Ratings[[#This Row],[Stars]] &gt;= 0, "Bad")</f>
        <v>Good</v>
      </c>
      <c r="J2433" t="str">
        <f>LEFT(Ramen_Ratings[[#This Row],[Top Ten]],4)</f>
        <v/>
      </c>
      <c r="K2433" t="str">
        <f>IF(Ramen_Ratings[[#This Row],[Top Ten]]="", "",RIGHT(Ramen_Ratings[[#This Row],[Top Ten]],LEN(Ramen_Ratings[[#This Row],[Top Ten]])-6))</f>
        <v/>
      </c>
    </row>
    <row r="2434" spans="1:11" x14ac:dyDescent="0.25">
      <c r="A2434">
        <v>1036</v>
      </c>
      <c r="B2434" t="s">
        <v>1475</v>
      </c>
      <c r="C2434" t="s">
        <v>1828</v>
      </c>
      <c r="D2434" t="s">
        <v>44</v>
      </c>
      <c r="E2434" t="s">
        <v>79</v>
      </c>
      <c r="F2434" t="str">
        <f>VLOOKUP(Ramen_Ratings[[#This Row],[Country]],Country_Region[#All],2,FALSE)</f>
        <v>Asia</v>
      </c>
      <c r="G2434">
        <v>3.5</v>
      </c>
      <c r="H2434" t="str" cm="1">
        <f t="array" ref="H2434">_xlfn.IFS(Ramen_Ratings[[#This Row],[Stars]] = "Unrated", "NA",Ramen_Ratings[[#This Row],[Stars]]&gt;=4, "Good", Ramen_Ratings[[#This Row],[Stars]]&gt;2.5, "Fair", Ramen_Ratings[[#This Row],[Stars]] &gt;= 0, "Bad")</f>
        <v>Fair</v>
      </c>
      <c r="J2434" t="str">
        <f>LEFT(Ramen_Ratings[[#This Row],[Top Ten]],4)</f>
        <v/>
      </c>
      <c r="K2434" t="str">
        <f>IF(Ramen_Ratings[[#This Row],[Top Ten]]="", "",RIGHT(Ramen_Ratings[[#This Row],[Top Ten]],LEN(Ramen_Ratings[[#This Row],[Top Ten]])-6))</f>
        <v/>
      </c>
    </row>
    <row r="2435" spans="1:11" x14ac:dyDescent="0.25">
      <c r="A2435">
        <v>1010</v>
      </c>
      <c r="B2435" t="s">
        <v>1475</v>
      </c>
      <c r="C2435" t="s">
        <v>1855</v>
      </c>
      <c r="D2435" t="s">
        <v>44</v>
      </c>
      <c r="E2435" t="s">
        <v>79</v>
      </c>
      <c r="F2435" t="str">
        <f>VLOOKUP(Ramen_Ratings[[#This Row],[Country]],Country_Region[#All],2,FALSE)</f>
        <v>Asia</v>
      </c>
      <c r="G2435">
        <v>3.75</v>
      </c>
      <c r="H2435" t="str" cm="1">
        <f t="array" ref="H2435">_xlfn.IFS(Ramen_Ratings[[#This Row],[Stars]] = "Unrated", "NA",Ramen_Ratings[[#This Row],[Stars]]&gt;=4, "Good", Ramen_Ratings[[#This Row],[Stars]]&gt;2.5, "Fair", Ramen_Ratings[[#This Row],[Stars]] &gt;= 0, "Bad")</f>
        <v>Fair</v>
      </c>
      <c r="J2435" t="str">
        <f>LEFT(Ramen_Ratings[[#This Row],[Top Ten]],4)</f>
        <v/>
      </c>
      <c r="K2435" t="str">
        <f>IF(Ramen_Ratings[[#This Row],[Top Ten]]="", "",RIGHT(Ramen_Ratings[[#This Row],[Top Ten]],LEN(Ramen_Ratings[[#This Row],[Top Ten]])-6))</f>
        <v/>
      </c>
    </row>
    <row r="2436" spans="1:11" x14ac:dyDescent="0.25">
      <c r="A2436">
        <v>1005</v>
      </c>
      <c r="B2436" t="s">
        <v>590</v>
      </c>
      <c r="C2436" t="s">
        <v>886</v>
      </c>
      <c r="D2436" t="s">
        <v>44</v>
      </c>
      <c r="E2436" t="s">
        <v>79</v>
      </c>
      <c r="F2436" t="str">
        <f>VLOOKUP(Ramen_Ratings[[#This Row],[Country]],Country_Region[#All],2,FALSE)</f>
        <v>Asia</v>
      </c>
      <c r="G2436">
        <v>2.75</v>
      </c>
      <c r="H2436" t="str" cm="1">
        <f t="array" ref="H2436">_xlfn.IFS(Ramen_Ratings[[#This Row],[Stars]] = "Unrated", "NA",Ramen_Ratings[[#This Row],[Stars]]&gt;=4, "Good", Ramen_Ratings[[#This Row],[Stars]]&gt;2.5, "Fair", Ramen_Ratings[[#This Row],[Stars]] &gt;= 0, "Bad")</f>
        <v>Fair</v>
      </c>
      <c r="J2436" t="str">
        <f>LEFT(Ramen_Ratings[[#This Row],[Top Ten]],4)</f>
        <v/>
      </c>
      <c r="K2436" t="str">
        <f>IF(Ramen_Ratings[[#This Row],[Top Ten]]="", "",RIGHT(Ramen_Ratings[[#This Row],[Top Ten]],LEN(Ramen_Ratings[[#This Row],[Top Ten]])-6))</f>
        <v/>
      </c>
    </row>
    <row r="2437" spans="1:11" x14ac:dyDescent="0.25">
      <c r="A2437">
        <v>972</v>
      </c>
      <c r="B2437" t="s">
        <v>1896</v>
      </c>
      <c r="C2437" t="s">
        <v>1897</v>
      </c>
      <c r="D2437" t="s">
        <v>13</v>
      </c>
      <c r="E2437" t="s">
        <v>79</v>
      </c>
      <c r="F2437" t="str">
        <f>VLOOKUP(Ramen_Ratings[[#This Row],[Country]],Country_Region[#All],2,FALSE)</f>
        <v>Asia</v>
      </c>
      <c r="G2437">
        <v>3</v>
      </c>
      <c r="H2437" t="str" cm="1">
        <f t="array" ref="H2437">_xlfn.IFS(Ramen_Ratings[[#This Row],[Stars]] = "Unrated", "NA",Ramen_Ratings[[#This Row],[Stars]]&gt;=4, "Good", Ramen_Ratings[[#This Row],[Stars]]&gt;2.5, "Fair", Ramen_Ratings[[#This Row],[Stars]] &gt;= 0, "Bad")</f>
        <v>Fair</v>
      </c>
      <c r="J2437" t="str">
        <f>LEFT(Ramen_Ratings[[#This Row],[Top Ten]],4)</f>
        <v/>
      </c>
      <c r="K2437" t="str">
        <f>IF(Ramen_Ratings[[#This Row],[Top Ten]]="", "",RIGHT(Ramen_Ratings[[#This Row],[Top Ten]],LEN(Ramen_Ratings[[#This Row],[Top Ten]])-6))</f>
        <v/>
      </c>
    </row>
    <row r="2438" spans="1:11" x14ac:dyDescent="0.25">
      <c r="A2438">
        <v>942</v>
      </c>
      <c r="B2438" t="s">
        <v>326</v>
      </c>
      <c r="C2438" t="s">
        <v>1926</v>
      </c>
      <c r="D2438" t="s">
        <v>13</v>
      </c>
      <c r="E2438" t="s">
        <v>79</v>
      </c>
      <c r="F2438" t="str">
        <f>VLOOKUP(Ramen_Ratings[[#This Row],[Country]],Country_Region[#All],2,FALSE)</f>
        <v>Asia</v>
      </c>
      <c r="G2438">
        <v>3.25</v>
      </c>
      <c r="H2438" t="str" cm="1">
        <f t="array" ref="H2438">_xlfn.IFS(Ramen_Ratings[[#This Row],[Stars]] = "Unrated", "NA",Ramen_Ratings[[#This Row],[Stars]]&gt;=4, "Good", Ramen_Ratings[[#This Row],[Stars]]&gt;2.5, "Fair", Ramen_Ratings[[#This Row],[Stars]] &gt;= 0, "Bad")</f>
        <v>Fair</v>
      </c>
      <c r="J2438" t="str">
        <f>LEFT(Ramen_Ratings[[#This Row],[Top Ten]],4)</f>
        <v/>
      </c>
      <c r="K2438" t="str">
        <f>IF(Ramen_Ratings[[#This Row],[Top Ten]]="", "",RIGHT(Ramen_Ratings[[#This Row],[Top Ten]],LEN(Ramen_Ratings[[#This Row],[Top Ten]])-6))</f>
        <v/>
      </c>
    </row>
    <row r="2439" spans="1:11" x14ac:dyDescent="0.25">
      <c r="A2439">
        <v>931</v>
      </c>
      <c r="B2439" t="s">
        <v>326</v>
      </c>
      <c r="C2439" t="s">
        <v>1938</v>
      </c>
      <c r="D2439" t="s">
        <v>30</v>
      </c>
      <c r="E2439" t="s">
        <v>79</v>
      </c>
      <c r="F2439" t="str">
        <f>VLOOKUP(Ramen_Ratings[[#This Row],[Country]],Country_Region[#All],2,FALSE)</f>
        <v>Asia</v>
      </c>
      <c r="G2439">
        <v>3.75</v>
      </c>
      <c r="H2439" t="str" cm="1">
        <f t="array" ref="H2439">_xlfn.IFS(Ramen_Ratings[[#This Row],[Stars]] = "Unrated", "NA",Ramen_Ratings[[#This Row],[Stars]]&gt;=4, "Good", Ramen_Ratings[[#This Row],[Stars]]&gt;2.5, "Fair", Ramen_Ratings[[#This Row],[Stars]] &gt;= 0, "Bad")</f>
        <v>Fair</v>
      </c>
      <c r="J2439" t="str">
        <f>LEFT(Ramen_Ratings[[#This Row],[Top Ten]],4)</f>
        <v/>
      </c>
      <c r="K2439" t="str">
        <f>IF(Ramen_Ratings[[#This Row],[Top Ten]]="", "",RIGHT(Ramen_Ratings[[#This Row],[Top Ten]],LEN(Ramen_Ratings[[#This Row],[Top Ten]])-6))</f>
        <v/>
      </c>
    </row>
    <row r="2440" spans="1:11" x14ac:dyDescent="0.25">
      <c r="A2440">
        <v>928</v>
      </c>
      <c r="B2440" t="s">
        <v>326</v>
      </c>
      <c r="C2440" t="s">
        <v>1941</v>
      </c>
      <c r="D2440" t="s">
        <v>30</v>
      </c>
      <c r="E2440" t="s">
        <v>79</v>
      </c>
      <c r="F2440" t="str">
        <f>VLOOKUP(Ramen_Ratings[[#This Row],[Country]],Country_Region[#All],2,FALSE)</f>
        <v>Asia</v>
      </c>
      <c r="G2440">
        <v>4</v>
      </c>
      <c r="H2440" t="str" cm="1">
        <f t="array" ref="H2440">_xlfn.IFS(Ramen_Ratings[[#This Row],[Stars]] = "Unrated", "NA",Ramen_Ratings[[#This Row],[Stars]]&gt;=4, "Good", Ramen_Ratings[[#This Row],[Stars]]&gt;2.5, "Fair", Ramen_Ratings[[#This Row],[Stars]] &gt;= 0, "Bad")</f>
        <v>Good</v>
      </c>
      <c r="J2440" t="str">
        <f>LEFT(Ramen_Ratings[[#This Row],[Top Ten]],4)</f>
        <v/>
      </c>
      <c r="K2440" t="str">
        <f>IF(Ramen_Ratings[[#This Row],[Top Ten]]="", "",RIGHT(Ramen_Ratings[[#This Row],[Top Ten]],LEN(Ramen_Ratings[[#This Row],[Top Ten]])-6))</f>
        <v/>
      </c>
    </row>
    <row r="2441" spans="1:11" x14ac:dyDescent="0.25">
      <c r="A2441">
        <v>898</v>
      </c>
      <c r="B2441" t="s">
        <v>1976</v>
      </c>
      <c r="C2441" t="s">
        <v>1977</v>
      </c>
      <c r="D2441" t="s">
        <v>9</v>
      </c>
      <c r="E2441" t="s">
        <v>79</v>
      </c>
      <c r="F2441" t="str">
        <f>VLOOKUP(Ramen_Ratings[[#This Row],[Country]],Country_Region[#All],2,FALSE)</f>
        <v>Asia</v>
      </c>
      <c r="G2441">
        <v>1.5</v>
      </c>
      <c r="H2441" t="str" cm="1">
        <f t="array" ref="H2441">_xlfn.IFS(Ramen_Ratings[[#This Row],[Stars]] = "Unrated", "NA",Ramen_Ratings[[#This Row],[Stars]]&gt;=4, "Good", Ramen_Ratings[[#This Row],[Stars]]&gt;2.5, "Fair", Ramen_Ratings[[#This Row],[Stars]] &gt;= 0, "Bad")</f>
        <v>Bad</v>
      </c>
      <c r="J2441" t="str">
        <f>LEFT(Ramen_Ratings[[#This Row],[Top Ten]],4)</f>
        <v/>
      </c>
      <c r="K2441" t="str">
        <f>IF(Ramen_Ratings[[#This Row],[Top Ten]]="", "",RIGHT(Ramen_Ratings[[#This Row],[Top Ten]],LEN(Ramen_Ratings[[#This Row],[Top Ten]])-6))</f>
        <v/>
      </c>
    </row>
    <row r="2442" spans="1:11" x14ac:dyDescent="0.25">
      <c r="A2442">
        <v>880</v>
      </c>
      <c r="B2442" t="s">
        <v>1475</v>
      </c>
      <c r="C2442" t="s">
        <v>1996</v>
      </c>
      <c r="D2442" t="s">
        <v>9</v>
      </c>
      <c r="E2442" t="s">
        <v>79</v>
      </c>
      <c r="F2442" t="str">
        <f>VLOOKUP(Ramen_Ratings[[#This Row],[Country]],Country_Region[#All],2,FALSE)</f>
        <v>Asia</v>
      </c>
      <c r="G2442">
        <v>2.75</v>
      </c>
      <c r="H2442" t="str" cm="1">
        <f t="array" ref="H2442">_xlfn.IFS(Ramen_Ratings[[#This Row],[Stars]] = "Unrated", "NA",Ramen_Ratings[[#This Row],[Stars]]&gt;=4, "Good", Ramen_Ratings[[#This Row],[Stars]]&gt;2.5, "Fair", Ramen_Ratings[[#This Row],[Stars]] &gt;= 0, "Bad")</f>
        <v>Fair</v>
      </c>
      <c r="J2442" t="str">
        <f>LEFT(Ramen_Ratings[[#This Row],[Top Ten]],4)</f>
        <v/>
      </c>
      <c r="K2442" t="str">
        <f>IF(Ramen_Ratings[[#This Row],[Top Ten]]="", "",RIGHT(Ramen_Ratings[[#This Row],[Top Ten]],LEN(Ramen_Ratings[[#This Row],[Top Ten]])-6))</f>
        <v/>
      </c>
    </row>
    <row r="2443" spans="1:11" x14ac:dyDescent="0.25">
      <c r="A2443">
        <v>871</v>
      </c>
      <c r="B2443" t="s">
        <v>2007</v>
      </c>
      <c r="C2443" t="s">
        <v>2008</v>
      </c>
      <c r="D2443" t="s">
        <v>13</v>
      </c>
      <c r="E2443" t="s">
        <v>79</v>
      </c>
      <c r="F2443" t="str">
        <f>VLOOKUP(Ramen_Ratings[[#This Row],[Country]],Country_Region[#All],2,FALSE)</f>
        <v>Asia</v>
      </c>
      <c r="G2443">
        <v>4</v>
      </c>
      <c r="H2443" t="str" cm="1">
        <f t="array" ref="H2443">_xlfn.IFS(Ramen_Ratings[[#This Row],[Stars]] = "Unrated", "NA",Ramen_Ratings[[#This Row],[Stars]]&gt;=4, "Good", Ramen_Ratings[[#This Row],[Stars]]&gt;2.5, "Fair", Ramen_Ratings[[#This Row],[Stars]] &gt;= 0, "Bad")</f>
        <v>Good</v>
      </c>
      <c r="J2443" t="str">
        <f>LEFT(Ramen_Ratings[[#This Row],[Top Ten]],4)</f>
        <v/>
      </c>
      <c r="K2443" t="str">
        <f>IF(Ramen_Ratings[[#This Row],[Top Ten]]="", "",RIGHT(Ramen_Ratings[[#This Row],[Top Ten]],LEN(Ramen_Ratings[[#This Row],[Top Ten]])-6))</f>
        <v/>
      </c>
    </row>
    <row r="2444" spans="1:11" x14ac:dyDescent="0.25">
      <c r="A2444">
        <v>866</v>
      </c>
      <c r="B2444" t="s">
        <v>218</v>
      </c>
      <c r="C2444" t="s">
        <v>2014</v>
      </c>
      <c r="D2444" t="s">
        <v>13</v>
      </c>
      <c r="E2444" t="s">
        <v>79</v>
      </c>
      <c r="F2444" t="str">
        <f>VLOOKUP(Ramen_Ratings[[#This Row],[Country]],Country_Region[#All],2,FALSE)</f>
        <v>Asia</v>
      </c>
      <c r="G2444">
        <v>4</v>
      </c>
      <c r="H2444" t="str" cm="1">
        <f t="array" ref="H2444">_xlfn.IFS(Ramen_Ratings[[#This Row],[Stars]] = "Unrated", "NA",Ramen_Ratings[[#This Row],[Stars]]&gt;=4, "Good", Ramen_Ratings[[#This Row],[Stars]]&gt;2.5, "Fair", Ramen_Ratings[[#This Row],[Stars]] &gt;= 0, "Bad")</f>
        <v>Good</v>
      </c>
      <c r="J2444" t="str">
        <f>LEFT(Ramen_Ratings[[#This Row],[Top Ten]],4)</f>
        <v/>
      </c>
      <c r="K2444" t="str">
        <f>IF(Ramen_Ratings[[#This Row],[Top Ten]]="", "",RIGHT(Ramen_Ratings[[#This Row],[Top Ten]],LEN(Ramen_Ratings[[#This Row],[Top Ten]])-6))</f>
        <v/>
      </c>
    </row>
    <row r="2445" spans="1:11" x14ac:dyDescent="0.25">
      <c r="A2445">
        <v>860</v>
      </c>
      <c r="B2445" t="s">
        <v>900</v>
      </c>
      <c r="C2445" t="s">
        <v>2020</v>
      </c>
      <c r="D2445" t="s">
        <v>13</v>
      </c>
      <c r="E2445" t="s">
        <v>79</v>
      </c>
      <c r="F2445" t="str">
        <f>VLOOKUP(Ramen_Ratings[[#This Row],[Country]],Country_Region[#All],2,FALSE)</f>
        <v>Asia</v>
      </c>
      <c r="G2445">
        <v>2.75</v>
      </c>
      <c r="H2445" t="str" cm="1">
        <f t="array" ref="H2445">_xlfn.IFS(Ramen_Ratings[[#This Row],[Stars]] = "Unrated", "NA",Ramen_Ratings[[#This Row],[Stars]]&gt;=4, "Good", Ramen_Ratings[[#This Row],[Stars]]&gt;2.5, "Fair", Ramen_Ratings[[#This Row],[Stars]] &gt;= 0, "Bad")</f>
        <v>Fair</v>
      </c>
      <c r="J2445" t="str">
        <f>LEFT(Ramen_Ratings[[#This Row],[Top Ten]],4)</f>
        <v/>
      </c>
      <c r="K2445" t="str">
        <f>IF(Ramen_Ratings[[#This Row],[Top Ten]]="", "",RIGHT(Ramen_Ratings[[#This Row],[Top Ten]],LEN(Ramen_Ratings[[#This Row],[Top Ten]])-6))</f>
        <v/>
      </c>
    </row>
    <row r="2446" spans="1:11" x14ac:dyDescent="0.25">
      <c r="A2446">
        <v>854</v>
      </c>
      <c r="B2446" t="s">
        <v>1976</v>
      </c>
      <c r="C2446" t="s">
        <v>2026</v>
      </c>
      <c r="D2446" t="s">
        <v>44</v>
      </c>
      <c r="E2446" t="s">
        <v>79</v>
      </c>
      <c r="F2446" t="str">
        <f>VLOOKUP(Ramen_Ratings[[#This Row],[Country]],Country_Region[#All],2,FALSE)</f>
        <v>Asia</v>
      </c>
      <c r="G2446">
        <v>3.5</v>
      </c>
      <c r="H2446" t="str" cm="1">
        <f t="array" ref="H2446">_xlfn.IFS(Ramen_Ratings[[#This Row],[Stars]] = "Unrated", "NA",Ramen_Ratings[[#This Row],[Stars]]&gt;=4, "Good", Ramen_Ratings[[#This Row],[Stars]]&gt;2.5, "Fair", Ramen_Ratings[[#This Row],[Stars]] &gt;= 0, "Bad")</f>
        <v>Fair</v>
      </c>
      <c r="J2446" t="str">
        <f>LEFT(Ramen_Ratings[[#This Row],[Top Ten]],4)</f>
        <v/>
      </c>
      <c r="K2446" t="str">
        <f>IF(Ramen_Ratings[[#This Row],[Top Ten]]="", "",RIGHT(Ramen_Ratings[[#This Row],[Top Ten]],LEN(Ramen_Ratings[[#This Row],[Top Ten]])-6))</f>
        <v/>
      </c>
    </row>
    <row r="2447" spans="1:11" x14ac:dyDescent="0.25">
      <c r="A2447">
        <v>851</v>
      </c>
      <c r="B2447" t="s">
        <v>2007</v>
      </c>
      <c r="C2447" t="s">
        <v>2030</v>
      </c>
      <c r="D2447" t="s">
        <v>44</v>
      </c>
      <c r="E2447" t="s">
        <v>79</v>
      </c>
      <c r="F2447" t="str">
        <f>VLOOKUP(Ramen_Ratings[[#This Row],[Country]],Country_Region[#All],2,FALSE)</f>
        <v>Asia</v>
      </c>
      <c r="G2447">
        <v>3.5</v>
      </c>
      <c r="H2447" t="str" cm="1">
        <f t="array" ref="H2447">_xlfn.IFS(Ramen_Ratings[[#This Row],[Stars]] = "Unrated", "NA",Ramen_Ratings[[#This Row],[Stars]]&gt;=4, "Good", Ramen_Ratings[[#This Row],[Stars]]&gt;2.5, "Fair", Ramen_Ratings[[#This Row],[Stars]] &gt;= 0, "Bad")</f>
        <v>Fair</v>
      </c>
      <c r="J2447" t="str">
        <f>LEFT(Ramen_Ratings[[#This Row],[Top Ten]],4)</f>
        <v/>
      </c>
      <c r="K2447" t="str">
        <f>IF(Ramen_Ratings[[#This Row],[Top Ten]]="", "",RIGHT(Ramen_Ratings[[#This Row],[Top Ten]],LEN(Ramen_Ratings[[#This Row],[Top Ten]])-6))</f>
        <v/>
      </c>
    </row>
    <row r="2448" spans="1:11" x14ac:dyDescent="0.25">
      <c r="A2448">
        <v>848</v>
      </c>
      <c r="B2448" t="s">
        <v>1475</v>
      </c>
      <c r="C2448" t="s">
        <v>2033</v>
      </c>
      <c r="D2448" t="s">
        <v>9</v>
      </c>
      <c r="E2448" t="s">
        <v>79</v>
      </c>
      <c r="F2448" t="str">
        <f>VLOOKUP(Ramen_Ratings[[#This Row],[Country]],Country_Region[#All],2,FALSE)</f>
        <v>Asia</v>
      </c>
      <c r="G2448">
        <v>3.5</v>
      </c>
      <c r="H2448" t="str" cm="1">
        <f t="array" ref="H2448">_xlfn.IFS(Ramen_Ratings[[#This Row],[Stars]] = "Unrated", "NA",Ramen_Ratings[[#This Row],[Stars]]&gt;=4, "Good", Ramen_Ratings[[#This Row],[Stars]]&gt;2.5, "Fair", Ramen_Ratings[[#This Row],[Stars]] &gt;= 0, "Bad")</f>
        <v>Fair</v>
      </c>
      <c r="J2448" t="str">
        <f>LEFT(Ramen_Ratings[[#This Row],[Top Ten]],4)</f>
        <v/>
      </c>
      <c r="K2448" t="str">
        <f>IF(Ramen_Ratings[[#This Row],[Top Ten]]="", "",RIGHT(Ramen_Ratings[[#This Row],[Top Ten]],LEN(Ramen_Ratings[[#This Row],[Top Ten]])-6))</f>
        <v/>
      </c>
    </row>
    <row r="2449" spans="1:11" x14ac:dyDescent="0.25">
      <c r="A2449">
        <v>842</v>
      </c>
      <c r="B2449" t="s">
        <v>426</v>
      </c>
      <c r="C2449" t="s">
        <v>2039</v>
      </c>
      <c r="D2449" t="s">
        <v>44</v>
      </c>
      <c r="E2449" t="s">
        <v>79</v>
      </c>
      <c r="F2449" t="str">
        <f>VLOOKUP(Ramen_Ratings[[#This Row],[Country]],Country_Region[#All],2,FALSE)</f>
        <v>Asia</v>
      </c>
      <c r="G2449">
        <v>3.75</v>
      </c>
      <c r="H2449" t="str" cm="1">
        <f t="array" ref="H2449">_xlfn.IFS(Ramen_Ratings[[#This Row],[Stars]] = "Unrated", "NA",Ramen_Ratings[[#This Row],[Stars]]&gt;=4, "Good", Ramen_Ratings[[#This Row],[Stars]]&gt;2.5, "Fair", Ramen_Ratings[[#This Row],[Stars]] &gt;= 0, "Bad")</f>
        <v>Fair</v>
      </c>
      <c r="J2449" t="str">
        <f>LEFT(Ramen_Ratings[[#This Row],[Top Ten]],4)</f>
        <v/>
      </c>
      <c r="K2449" t="str">
        <f>IF(Ramen_Ratings[[#This Row],[Top Ten]]="", "",RIGHT(Ramen_Ratings[[#This Row],[Top Ten]],LEN(Ramen_Ratings[[#This Row],[Top Ten]])-6))</f>
        <v/>
      </c>
    </row>
    <row r="2450" spans="1:11" x14ac:dyDescent="0.25">
      <c r="A2450">
        <v>840</v>
      </c>
      <c r="B2450" t="s">
        <v>1317</v>
      </c>
      <c r="C2450" t="s">
        <v>2041</v>
      </c>
      <c r="D2450" t="s">
        <v>30</v>
      </c>
      <c r="E2450" t="s">
        <v>79</v>
      </c>
      <c r="F2450" t="str">
        <f>VLOOKUP(Ramen_Ratings[[#This Row],[Country]],Country_Region[#All],2,FALSE)</f>
        <v>Asia</v>
      </c>
      <c r="G2450">
        <v>3.75</v>
      </c>
      <c r="H2450" t="str" cm="1">
        <f t="array" ref="H2450">_xlfn.IFS(Ramen_Ratings[[#This Row],[Stars]] = "Unrated", "NA",Ramen_Ratings[[#This Row],[Stars]]&gt;=4, "Good", Ramen_Ratings[[#This Row],[Stars]]&gt;2.5, "Fair", Ramen_Ratings[[#This Row],[Stars]] &gt;= 0, "Bad")</f>
        <v>Fair</v>
      </c>
      <c r="J2450" t="str">
        <f>LEFT(Ramen_Ratings[[#This Row],[Top Ten]],4)</f>
        <v/>
      </c>
      <c r="K2450" t="str">
        <f>IF(Ramen_Ratings[[#This Row],[Top Ten]]="", "",RIGHT(Ramen_Ratings[[#This Row],[Top Ten]],LEN(Ramen_Ratings[[#This Row],[Top Ten]])-6))</f>
        <v/>
      </c>
    </row>
    <row r="2451" spans="1:11" x14ac:dyDescent="0.25">
      <c r="A2451">
        <v>832</v>
      </c>
      <c r="B2451" t="s">
        <v>2007</v>
      </c>
      <c r="C2451" t="s">
        <v>2049</v>
      </c>
      <c r="D2451" t="s">
        <v>13</v>
      </c>
      <c r="E2451" t="s">
        <v>79</v>
      </c>
      <c r="F2451" t="str">
        <f>VLOOKUP(Ramen_Ratings[[#This Row],[Country]],Country_Region[#All],2,FALSE)</f>
        <v>Asia</v>
      </c>
      <c r="G2451">
        <v>3.75</v>
      </c>
      <c r="H2451" t="str" cm="1">
        <f t="array" ref="H2451">_xlfn.IFS(Ramen_Ratings[[#This Row],[Stars]] = "Unrated", "NA",Ramen_Ratings[[#This Row],[Stars]]&gt;=4, "Good", Ramen_Ratings[[#This Row],[Stars]]&gt;2.5, "Fair", Ramen_Ratings[[#This Row],[Stars]] &gt;= 0, "Bad")</f>
        <v>Fair</v>
      </c>
      <c r="J2451" t="str">
        <f>LEFT(Ramen_Ratings[[#This Row],[Top Ten]],4)</f>
        <v/>
      </c>
      <c r="K2451" t="str">
        <f>IF(Ramen_Ratings[[#This Row],[Top Ten]]="", "",RIGHT(Ramen_Ratings[[#This Row],[Top Ten]],LEN(Ramen_Ratings[[#This Row],[Top Ten]])-6))</f>
        <v/>
      </c>
    </row>
    <row r="2452" spans="1:11" x14ac:dyDescent="0.25">
      <c r="A2452">
        <v>821</v>
      </c>
      <c r="B2452" t="s">
        <v>218</v>
      </c>
      <c r="C2452" t="s">
        <v>2061</v>
      </c>
      <c r="D2452" t="s">
        <v>13</v>
      </c>
      <c r="E2452" t="s">
        <v>79</v>
      </c>
      <c r="F2452" t="str">
        <f>VLOOKUP(Ramen_Ratings[[#This Row],[Country]],Country_Region[#All],2,FALSE)</f>
        <v>Asia</v>
      </c>
      <c r="G2452">
        <v>5</v>
      </c>
      <c r="H2452" t="str" cm="1">
        <f t="array" ref="H2452">_xlfn.IFS(Ramen_Ratings[[#This Row],[Stars]] = "Unrated", "NA",Ramen_Ratings[[#This Row],[Stars]]&gt;=4, "Good", Ramen_Ratings[[#This Row],[Stars]]&gt;2.5, "Fair", Ramen_Ratings[[#This Row],[Stars]] &gt;= 0, "Bad")</f>
        <v>Good</v>
      </c>
      <c r="J2452" t="str">
        <f>LEFT(Ramen_Ratings[[#This Row],[Top Ten]],4)</f>
        <v/>
      </c>
      <c r="K2452" t="str">
        <f>IF(Ramen_Ratings[[#This Row],[Top Ten]]="", "",RIGHT(Ramen_Ratings[[#This Row],[Top Ten]],LEN(Ramen_Ratings[[#This Row],[Top Ten]])-6))</f>
        <v/>
      </c>
    </row>
    <row r="2453" spans="1:11" x14ac:dyDescent="0.25">
      <c r="A2453">
        <v>815</v>
      </c>
      <c r="B2453" t="s">
        <v>1134</v>
      </c>
      <c r="C2453" t="s">
        <v>2068</v>
      </c>
      <c r="D2453" t="s">
        <v>9</v>
      </c>
      <c r="E2453" t="s">
        <v>79</v>
      </c>
      <c r="F2453" t="str">
        <f>VLOOKUP(Ramen_Ratings[[#This Row],[Country]],Country_Region[#All],2,FALSE)</f>
        <v>Asia</v>
      </c>
      <c r="G2453">
        <v>3.25</v>
      </c>
      <c r="H2453" t="str" cm="1">
        <f t="array" ref="H2453">_xlfn.IFS(Ramen_Ratings[[#This Row],[Stars]] = "Unrated", "NA",Ramen_Ratings[[#This Row],[Stars]]&gt;=4, "Good", Ramen_Ratings[[#This Row],[Stars]]&gt;2.5, "Fair", Ramen_Ratings[[#This Row],[Stars]] &gt;= 0, "Bad")</f>
        <v>Fair</v>
      </c>
      <c r="J2453" t="str">
        <f>LEFT(Ramen_Ratings[[#This Row],[Top Ten]],4)</f>
        <v/>
      </c>
      <c r="K2453" t="str">
        <f>IF(Ramen_Ratings[[#This Row],[Top Ten]]="", "",RIGHT(Ramen_Ratings[[#This Row],[Top Ten]],LEN(Ramen_Ratings[[#This Row],[Top Ten]])-6))</f>
        <v/>
      </c>
    </row>
    <row r="2454" spans="1:11" x14ac:dyDescent="0.25">
      <c r="A2454">
        <v>812</v>
      </c>
      <c r="B2454" t="s">
        <v>218</v>
      </c>
      <c r="C2454" t="s">
        <v>1755</v>
      </c>
      <c r="D2454" t="s">
        <v>13</v>
      </c>
      <c r="E2454" t="s">
        <v>79</v>
      </c>
      <c r="F2454" t="str">
        <f>VLOOKUP(Ramen_Ratings[[#This Row],[Country]],Country_Region[#All],2,FALSE)</f>
        <v>Asia</v>
      </c>
      <c r="G2454">
        <v>3.75</v>
      </c>
      <c r="H2454" t="str" cm="1">
        <f t="array" ref="H2454">_xlfn.IFS(Ramen_Ratings[[#This Row],[Stars]] = "Unrated", "NA",Ramen_Ratings[[#This Row],[Stars]]&gt;=4, "Good", Ramen_Ratings[[#This Row],[Stars]]&gt;2.5, "Fair", Ramen_Ratings[[#This Row],[Stars]] &gt;= 0, "Bad")</f>
        <v>Fair</v>
      </c>
      <c r="J2454" t="str">
        <f>LEFT(Ramen_Ratings[[#This Row],[Top Ten]],4)</f>
        <v/>
      </c>
      <c r="K2454" t="str">
        <f>IF(Ramen_Ratings[[#This Row],[Top Ten]]="", "",RIGHT(Ramen_Ratings[[#This Row],[Top Ten]],LEN(Ramen_Ratings[[#This Row],[Top Ten]])-6))</f>
        <v/>
      </c>
    </row>
    <row r="2455" spans="1:11" x14ac:dyDescent="0.25">
      <c r="A2455">
        <v>803</v>
      </c>
      <c r="B2455" t="s">
        <v>218</v>
      </c>
      <c r="C2455" t="s">
        <v>2080</v>
      </c>
      <c r="D2455" t="s">
        <v>44</v>
      </c>
      <c r="E2455" t="s">
        <v>79</v>
      </c>
      <c r="F2455" t="str">
        <f>VLOOKUP(Ramen_Ratings[[#This Row],[Country]],Country_Region[#All],2,FALSE)</f>
        <v>Asia</v>
      </c>
      <c r="G2455">
        <v>4</v>
      </c>
      <c r="H2455" t="str" cm="1">
        <f t="array" ref="H2455">_xlfn.IFS(Ramen_Ratings[[#This Row],[Stars]] = "Unrated", "NA",Ramen_Ratings[[#This Row],[Stars]]&gt;=4, "Good", Ramen_Ratings[[#This Row],[Stars]]&gt;2.5, "Fair", Ramen_Ratings[[#This Row],[Stars]] &gt;= 0, "Bad")</f>
        <v>Good</v>
      </c>
      <c r="J2455" t="str">
        <f>LEFT(Ramen_Ratings[[#This Row],[Top Ten]],4)</f>
        <v/>
      </c>
      <c r="K2455" t="str">
        <f>IF(Ramen_Ratings[[#This Row],[Top Ten]]="", "",RIGHT(Ramen_Ratings[[#This Row],[Top Ten]],LEN(Ramen_Ratings[[#This Row],[Top Ten]])-6))</f>
        <v/>
      </c>
    </row>
    <row r="2456" spans="1:11" x14ac:dyDescent="0.25">
      <c r="A2456">
        <v>798</v>
      </c>
      <c r="B2456" t="s">
        <v>1475</v>
      </c>
      <c r="C2456" t="s">
        <v>2086</v>
      </c>
      <c r="D2456" t="s">
        <v>9</v>
      </c>
      <c r="E2456" t="s">
        <v>79</v>
      </c>
      <c r="F2456" t="str">
        <f>VLOOKUP(Ramen_Ratings[[#This Row],[Country]],Country_Region[#All],2,FALSE)</f>
        <v>Asia</v>
      </c>
      <c r="G2456">
        <v>3</v>
      </c>
      <c r="H2456" t="str" cm="1">
        <f t="array" ref="H2456">_xlfn.IFS(Ramen_Ratings[[#This Row],[Stars]] = "Unrated", "NA",Ramen_Ratings[[#This Row],[Stars]]&gt;=4, "Good", Ramen_Ratings[[#This Row],[Stars]]&gt;2.5, "Fair", Ramen_Ratings[[#This Row],[Stars]] &gt;= 0, "Bad")</f>
        <v>Fair</v>
      </c>
      <c r="J2456" t="str">
        <f>LEFT(Ramen_Ratings[[#This Row],[Top Ten]],4)</f>
        <v/>
      </c>
      <c r="K2456" t="str">
        <f>IF(Ramen_Ratings[[#This Row],[Top Ten]]="", "",RIGHT(Ramen_Ratings[[#This Row],[Top Ten]],LEN(Ramen_Ratings[[#This Row],[Top Ten]])-6))</f>
        <v/>
      </c>
    </row>
    <row r="2457" spans="1:11" x14ac:dyDescent="0.25">
      <c r="A2457">
        <v>795</v>
      </c>
      <c r="B2457" t="s">
        <v>218</v>
      </c>
      <c r="C2457" t="s">
        <v>2090</v>
      </c>
      <c r="D2457" t="s">
        <v>30</v>
      </c>
      <c r="E2457" t="s">
        <v>79</v>
      </c>
      <c r="F2457" t="str">
        <f>VLOOKUP(Ramen_Ratings[[#This Row],[Country]],Country_Region[#All],2,FALSE)</f>
        <v>Asia</v>
      </c>
      <c r="G2457">
        <v>2.75</v>
      </c>
      <c r="H2457" t="str" cm="1">
        <f t="array" ref="H2457">_xlfn.IFS(Ramen_Ratings[[#This Row],[Stars]] = "Unrated", "NA",Ramen_Ratings[[#This Row],[Stars]]&gt;=4, "Good", Ramen_Ratings[[#This Row],[Stars]]&gt;2.5, "Fair", Ramen_Ratings[[#This Row],[Stars]] &gt;= 0, "Bad")</f>
        <v>Fair</v>
      </c>
      <c r="J2457" t="str">
        <f>LEFT(Ramen_Ratings[[#This Row],[Top Ten]],4)</f>
        <v/>
      </c>
      <c r="K2457" t="str">
        <f>IF(Ramen_Ratings[[#This Row],[Top Ten]]="", "",RIGHT(Ramen_Ratings[[#This Row],[Top Ten]],LEN(Ramen_Ratings[[#This Row],[Top Ten]])-6))</f>
        <v/>
      </c>
    </row>
    <row r="2458" spans="1:11" x14ac:dyDescent="0.25">
      <c r="A2458">
        <v>784</v>
      </c>
      <c r="B2458" t="s">
        <v>1195</v>
      </c>
      <c r="C2458" t="s">
        <v>2100</v>
      </c>
      <c r="D2458" t="s">
        <v>30</v>
      </c>
      <c r="E2458" t="s">
        <v>79</v>
      </c>
      <c r="F2458" t="str">
        <f>VLOOKUP(Ramen_Ratings[[#This Row],[Country]],Country_Region[#All],2,FALSE)</f>
        <v>Asia</v>
      </c>
      <c r="G2458">
        <v>3.25</v>
      </c>
      <c r="H2458" t="str" cm="1">
        <f t="array" ref="H2458">_xlfn.IFS(Ramen_Ratings[[#This Row],[Stars]] = "Unrated", "NA",Ramen_Ratings[[#This Row],[Stars]]&gt;=4, "Good", Ramen_Ratings[[#This Row],[Stars]]&gt;2.5, "Fair", Ramen_Ratings[[#This Row],[Stars]] &gt;= 0, "Bad")</f>
        <v>Fair</v>
      </c>
      <c r="J2458" t="str">
        <f>LEFT(Ramen_Ratings[[#This Row],[Top Ten]],4)</f>
        <v/>
      </c>
      <c r="K2458" t="str">
        <f>IF(Ramen_Ratings[[#This Row],[Top Ten]]="", "",RIGHT(Ramen_Ratings[[#This Row],[Top Ten]],LEN(Ramen_Ratings[[#This Row],[Top Ten]])-6))</f>
        <v/>
      </c>
    </row>
    <row r="2459" spans="1:11" x14ac:dyDescent="0.25">
      <c r="A2459">
        <v>775</v>
      </c>
      <c r="B2459" t="s">
        <v>426</v>
      </c>
      <c r="C2459" t="s">
        <v>2109</v>
      </c>
      <c r="D2459" t="s">
        <v>44</v>
      </c>
      <c r="E2459" t="s">
        <v>79</v>
      </c>
      <c r="F2459" t="str">
        <f>VLOOKUP(Ramen_Ratings[[#This Row],[Country]],Country_Region[#All],2,FALSE)</f>
        <v>Asia</v>
      </c>
      <c r="G2459">
        <v>3</v>
      </c>
      <c r="H2459" t="str" cm="1">
        <f t="array" ref="H2459">_xlfn.IFS(Ramen_Ratings[[#This Row],[Stars]] = "Unrated", "NA",Ramen_Ratings[[#This Row],[Stars]]&gt;=4, "Good", Ramen_Ratings[[#This Row],[Stars]]&gt;2.5, "Fair", Ramen_Ratings[[#This Row],[Stars]] &gt;= 0, "Bad")</f>
        <v>Fair</v>
      </c>
      <c r="J2459" t="str">
        <f>LEFT(Ramen_Ratings[[#This Row],[Top Ten]],4)</f>
        <v/>
      </c>
      <c r="K2459" t="str">
        <f>IF(Ramen_Ratings[[#This Row],[Top Ten]]="", "",RIGHT(Ramen_Ratings[[#This Row],[Top Ten]],LEN(Ramen_Ratings[[#This Row],[Top Ten]])-6))</f>
        <v/>
      </c>
    </row>
    <row r="2460" spans="1:11" x14ac:dyDescent="0.25">
      <c r="A2460">
        <v>758</v>
      </c>
      <c r="B2460" t="s">
        <v>426</v>
      </c>
      <c r="C2460" t="s">
        <v>2125</v>
      </c>
      <c r="D2460" t="s">
        <v>44</v>
      </c>
      <c r="E2460" t="s">
        <v>79</v>
      </c>
      <c r="F2460" t="str">
        <f>VLOOKUP(Ramen_Ratings[[#This Row],[Country]],Country_Region[#All],2,FALSE)</f>
        <v>Asia</v>
      </c>
      <c r="G2460">
        <v>3.25</v>
      </c>
      <c r="H2460" t="str" cm="1">
        <f t="array" ref="H2460">_xlfn.IFS(Ramen_Ratings[[#This Row],[Stars]] = "Unrated", "NA",Ramen_Ratings[[#This Row],[Stars]]&gt;=4, "Good", Ramen_Ratings[[#This Row],[Stars]]&gt;2.5, "Fair", Ramen_Ratings[[#This Row],[Stars]] &gt;= 0, "Bad")</f>
        <v>Fair</v>
      </c>
      <c r="J2460" t="str">
        <f>LEFT(Ramen_Ratings[[#This Row],[Top Ten]],4)</f>
        <v/>
      </c>
      <c r="K2460" t="str">
        <f>IF(Ramen_Ratings[[#This Row],[Top Ten]]="", "",RIGHT(Ramen_Ratings[[#This Row],[Top Ten]],LEN(Ramen_Ratings[[#This Row],[Top Ten]])-6))</f>
        <v/>
      </c>
    </row>
    <row r="2461" spans="1:11" x14ac:dyDescent="0.25">
      <c r="A2461">
        <v>746</v>
      </c>
      <c r="B2461" t="s">
        <v>426</v>
      </c>
      <c r="C2461" t="s">
        <v>2138</v>
      </c>
      <c r="D2461" t="s">
        <v>44</v>
      </c>
      <c r="E2461" t="s">
        <v>79</v>
      </c>
      <c r="F2461" t="str">
        <f>VLOOKUP(Ramen_Ratings[[#This Row],[Country]],Country_Region[#All],2,FALSE)</f>
        <v>Asia</v>
      </c>
      <c r="G2461">
        <v>1.25</v>
      </c>
      <c r="H2461" t="str" cm="1">
        <f t="array" ref="H2461">_xlfn.IFS(Ramen_Ratings[[#This Row],[Stars]] = "Unrated", "NA",Ramen_Ratings[[#This Row],[Stars]]&gt;=4, "Good", Ramen_Ratings[[#This Row],[Stars]]&gt;2.5, "Fair", Ramen_Ratings[[#This Row],[Stars]] &gt;= 0, "Bad")</f>
        <v>Bad</v>
      </c>
      <c r="J2461" t="str">
        <f>LEFT(Ramen_Ratings[[#This Row],[Top Ten]],4)</f>
        <v/>
      </c>
      <c r="K2461" t="str">
        <f>IF(Ramen_Ratings[[#This Row],[Top Ten]]="", "",RIGHT(Ramen_Ratings[[#This Row],[Top Ten]],LEN(Ramen_Ratings[[#This Row],[Top Ten]])-6))</f>
        <v/>
      </c>
    </row>
    <row r="2462" spans="1:11" x14ac:dyDescent="0.25">
      <c r="A2462">
        <v>739</v>
      </c>
      <c r="B2462" t="s">
        <v>426</v>
      </c>
      <c r="C2462" t="s">
        <v>2146</v>
      </c>
      <c r="D2462" t="s">
        <v>44</v>
      </c>
      <c r="E2462" t="s">
        <v>79</v>
      </c>
      <c r="F2462" t="str">
        <f>VLOOKUP(Ramen_Ratings[[#This Row],[Country]],Country_Region[#All],2,FALSE)</f>
        <v>Asia</v>
      </c>
      <c r="G2462">
        <v>3.5</v>
      </c>
      <c r="H2462" t="str" cm="1">
        <f t="array" ref="H2462">_xlfn.IFS(Ramen_Ratings[[#This Row],[Stars]] = "Unrated", "NA",Ramen_Ratings[[#This Row],[Stars]]&gt;=4, "Good", Ramen_Ratings[[#This Row],[Stars]]&gt;2.5, "Fair", Ramen_Ratings[[#This Row],[Stars]] &gt;= 0, "Bad")</f>
        <v>Fair</v>
      </c>
      <c r="J2462" t="str">
        <f>LEFT(Ramen_Ratings[[#This Row],[Top Ten]],4)</f>
        <v/>
      </c>
      <c r="K2462" t="str">
        <f>IF(Ramen_Ratings[[#This Row],[Top Ten]]="", "",RIGHT(Ramen_Ratings[[#This Row],[Top Ten]],LEN(Ramen_Ratings[[#This Row],[Top Ten]])-6))</f>
        <v/>
      </c>
    </row>
    <row r="2463" spans="1:11" x14ac:dyDescent="0.25">
      <c r="A2463">
        <v>705</v>
      </c>
      <c r="B2463" t="s">
        <v>1475</v>
      </c>
      <c r="C2463" t="s">
        <v>2184</v>
      </c>
      <c r="D2463" t="s">
        <v>9</v>
      </c>
      <c r="E2463" t="s">
        <v>79</v>
      </c>
      <c r="F2463" t="str">
        <f>VLOOKUP(Ramen_Ratings[[#This Row],[Country]],Country_Region[#All],2,FALSE)</f>
        <v>Asia</v>
      </c>
      <c r="G2463">
        <v>3.5</v>
      </c>
      <c r="H2463" t="str" cm="1">
        <f t="array" ref="H2463">_xlfn.IFS(Ramen_Ratings[[#This Row],[Stars]] = "Unrated", "NA",Ramen_Ratings[[#This Row],[Stars]]&gt;=4, "Good", Ramen_Ratings[[#This Row],[Stars]]&gt;2.5, "Fair", Ramen_Ratings[[#This Row],[Stars]] &gt;= 0, "Bad")</f>
        <v>Fair</v>
      </c>
      <c r="J2463" t="str">
        <f>LEFT(Ramen_Ratings[[#This Row],[Top Ten]],4)</f>
        <v/>
      </c>
      <c r="K2463" t="str">
        <f>IF(Ramen_Ratings[[#This Row],[Top Ten]]="", "",RIGHT(Ramen_Ratings[[#This Row],[Top Ten]],LEN(Ramen_Ratings[[#This Row],[Top Ten]])-6))</f>
        <v/>
      </c>
    </row>
    <row r="2464" spans="1:11" x14ac:dyDescent="0.25">
      <c r="A2464">
        <v>693</v>
      </c>
      <c r="B2464" t="s">
        <v>1317</v>
      </c>
      <c r="C2464" t="s">
        <v>2197</v>
      </c>
      <c r="D2464" t="s">
        <v>30</v>
      </c>
      <c r="E2464" t="s">
        <v>79</v>
      </c>
      <c r="F2464" t="str">
        <f>VLOOKUP(Ramen_Ratings[[#This Row],[Country]],Country_Region[#All],2,FALSE)</f>
        <v>Asia</v>
      </c>
      <c r="G2464">
        <v>2.25</v>
      </c>
      <c r="H2464" t="str" cm="1">
        <f t="array" ref="H2464">_xlfn.IFS(Ramen_Ratings[[#This Row],[Stars]] = "Unrated", "NA",Ramen_Ratings[[#This Row],[Stars]]&gt;=4, "Good", Ramen_Ratings[[#This Row],[Stars]]&gt;2.5, "Fair", Ramen_Ratings[[#This Row],[Stars]] &gt;= 0, "Bad")</f>
        <v>Bad</v>
      </c>
      <c r="J2464" t="str">
        <f>LEFT(Ramen_Ratings[[#This Row],[Top Ten]],4)</f>
        <v/>
      </c>
      <c r="K2464" t="str">
        <f>IF(Ramen_Ratings[[#This Row],[Top Ten]]="", "",RIGHT(Ramen_Ratings[[#This Row],[Top Ten]],LEN(Ramen_Ratings[[#This Row],[Top Ten]])-6))</f>
        <v/>
      </c>
    </row>
    <row r="2465" spans="1:11" x14ac:dyDescent="0.25">
      <c r="A2465">
        <v>684</v>
      </c>
      <c r="B2465" t="s">
        <v>2007</v>
      </c>
      <c r="C2465" t="s">
        <v>2207</v>
      </c>
      <c r="D2465" t="s">
        <v>13</v>
      </c>
      <c r="E2465" t="s">
        <v>79</v>
      </c>
      <c r="F2465" t="str">
        <f>VLOOKUP(Ramen_Ratings[[#This Row],[Country]],Country_Region[#All],2,FALSE)</f>
        <v>Asia</v>
      </c>
      <c r="G2465">
        <v>3.75</v>
      </c>
      <c r="H2465" t="str" cm="1">
        <f t="array" ref="H2465">_xlfn.IFS(Ramen_Ratings[[#This Row],[Stars]] = "Unrated", "NA",Ramen_Ratings[[#This Row],[Stars]]&gt;=4, "Good", Ramen_Ratings[[#This Row],[Stars]]&gt;2.5, "Fair", Ramen_Ratings[[#This Row],[Stars]] &gt;= 0, "Bad")</f>
        <v>Fair</v>
      </c>
      <c r="J2465" t="str">
        <f>LEFT(Ramen_Ratings[[#This Row],[Top Ten]],4)</f>
        <v/>
      </c>
      <c r="K2465" t="str">
        <f>IF(Ramen_Ratings[[#This Row],[Top Ten]]="", "",RIGHT(Ramen_Ratings[[#This Row],[Top Ten]],LEN(Ramen_Ratings[[#This Row],[Top Ten]])-6))</f>
        <v/>
      </c>
    </row>
    <row r="2466" spans="1:11" x14ac:dyDescent="0.25">
      <c r="A2466">
        <v>677</v>
      </c>
      <c r="B2466" t="s">
        <v>41</v>
      </c>
      <c r="C2466" t="s">
        <v>2213</v>
      </c>
      <c r="D2466" t="s">
        <v>13</v>
      </c>
      <c r="E2466" t="s">
        <v>79</v>
      </c>
      <c r="F2466" t="str">
        <f>VLOOKUP(Ramen_Ratings[[#This Row],[Country]],Country_Region[#All],2,FALSE)</f>
        <v>Asia</v>
      </c>
      <c r="G2466">
        <v>4.5</v>
      </c>
      <c r="H2466" t="str" cm="1">
        <f t="array" ref="H2466">_xlfn.IFS(Ramen_Ratings[[#This Row],[Stars]] = "Unrated", "NA",Ramen_Ratings[[#This Row],[Stars]]&gt;=4, "Good", Ramen_Ratings[[#This Row],[Stars]]&gt;2.5, "Fair", Ramen_Ratings[[#This Row],[Stars]] &gt;= 0, "Bad")</f>
        <v>Good</v>
      </c>
      <c r="J2466" t="str">
        <f>LEFT(Ramen_Ratings[[#This Row],[Top Ten]],4)</f>
        <v/>
      </c>
      <c r="K2466" t="str">
        <f>IF(Ramen_Ratings[[#This Row],[Top Ten]]="", "",RIGHT(Ramen_Ratings[[#This Row],[Top Ten]],LEN(Ramen_Ratings[[#This Row],[Top Ten]])-6))</f>
        <v/>
      </c>
    </row>
    <row r="2467" spans="1:11" x14ac:dyDescent="0.25">
      <c r="A2467">
        <v>657</v>
      </c>
      <c r="B2467" t="s">
        <v>2007</v>
      </c>
      <c r="C2467" t="s">
        <v>2233</v>
      </c>
      <c r="D2467" t="s">
        <v>13</v>
      </c>
      <c r="E2467" t="s">
        <v>79</v>
      </c>
      <c r="F2467" t="str">
        <f>VLOOKUP(Ramen_Ratings[[#This Row],[Country]],Country_Region[#All],2,FALSE)</f>
        <v>Asia</v>
      </c>
      <c r="G2467">
        <v>3.75</v>
      </c>
      <c r="H2467" t="str" cm="1">
        <f t="array" ref="H2467">_xlfn.IFS(Ramen_Ratings[[#This Row],[Stars]] = "Unrated", "NA",Ramen_Ratings[[#This Row],[Stars]]&gt;=4, "Good", Ramen_Ratings[[#This Row],[Stars]]&gt;2.5, "Fair", Ramen_Ratings[[#This Row],[Stars]] &gt;= 0, "Bad")</f>
        <v>Fair</v>
      </c>
      <c r="J2467" t="str">
        <f>LEFT(Ramen_Ratings[[#This Row],[Top Ten]],4)</f>
        <v/>
      </c>
      <c r="K2467" t="str">
        <f>IF(Ramen_Ratings[[#This Row],[Top Ten]]="", "",RIGHT(Ramen_Ratings[[#This Row],[Top Ten]],LEN(Ramen_Ratings[[#This Row],[Top Ten]])-6))</f>
        <v/>
      </c>
    </row>
    <row r="2468" spans="1:11" x14ac:dyDescent="0.25">
      <c r="A2468">
        <v>653</v>
      </c>
      <c r="B2468" t="s">
        <v>2007</v>
      </c>
      <c r="C2468" t="s">
        <v>2030</v>
      </c>
      <c r="D2468" t="s">
        <v>13</v>
      </c>
      <c r="E2468" t="s">
        <v>79</v>
      </c>
      <c r="F2468" t="str">
        <f>VLOOKUP(Ramen_Ratings[[#This Row],[Country]],Country_Region[#All],2,FALSE)</f>
        <v>Asia</v>
      </c>
      <c r="G2468">
        <v>4</v>
      </c>
      <c r="H2468" t="str" cm="1">
        <f t="array" ref="H2468">_xlfn.IFS(Ramen_Ratings[[#This Row],[Stars]] = "Unrated", "NA",Ramen_Ratings[[#This Row],[Stars]]&gt;=4, "Good", Ramen_Ratings[[#This Row],[Stars]]&gt;2.5, "Fair", Ramen_Ratings[[#This Row],[Stars]] &gt;= 0, "Bad")</f>
        <v>Good</v>
      </c>
      <c r="J2468" t="str">
        <f>LEFT(Ramen_Ratings[[#This Row],[Top Ten]],4)</f>
        <v/>
      </c>
      <c r="K2468" t="str">
        <f>IF(Ramen_Ratings[[#This Row],[Top Ten]]="", "",RIGHT(Ramen_Ratings[[#This Row],[Top Ten]],LEN(Ramen_Ratings[[#This Row],[Top Ten]])-6))</f>
        <v/>
      </c>
    </row>
    <row r="2469" spans="1:11" x14ac:dyDescent="0.25">
      <c r="A2469">
        <v>650</v>
      </c>
      <c r="B2469" t="s">
        <v>2007</v>
      </c>
      <c r="C2469" t="s">
        <v>2240</v>
      </c>
      <c r="D2469" t="s">
        <v>13</v>
      </c>
      <c r="E2469" t="s">
        <v>79</v>
      </c>
      <c r="F2469" t="str">
        <f>VLOOKUP(Ramen_Ratings[[#This Row],[Country]],Country_Region[#All],2,FALSE)</f>
        <v>Asia</v>
      </c>
      <c r="G2469">
        <v>4</v>
      </c>
      <c r="H2469" t="str" cm="1">
        <f t="array" ref="H2469">_xlfn.IFS(Ramen_Ratings[[#This Row],[Stars]] = "Unrated", "NA",Ramen_Ratings[[#This Row],[Stars]]&gt;=4, "Good", Ramen_Ratings[[#This Row],[Stars]]&gt;2.5, "Fair", Ramen_Ratings[[#This Row],[Stars]] &gt;= 0, "Bad")</f>
        <v>Good</v>
      </c>
      <c r="J2469" t="str">
        <f>LEFT(Ramen_Ratings[[#This Row],[Top Ten]],4)</f>
        <v/>
      </c>
      <c r="K2469" t="str">
        <f>IF(Ramen_Ratings[[#This Row],[Top Ten]]="", "",RIGHT(Ramen_Ratings[[#This Row],[Top Ten]],LEN(Ramen_Ratings[[#This Row],[Top Ten]])-6))</f>
        <v/>
      </c>
    </row>
    <row r="2470" spans="1:11" x14ac:dyDescent="0.25">
      <c r="A2470">
        <v>640</v>
      </c>
      <c r="B2470" t="s">
        <v>218</v>
      </c>
      <c r="C2470" t="s">
        <v>2146</v>
      </c>
      <c r="D2470" t="s">
        <v>13</v>
      </c>
      <c r="E2470" t="s">
        <v>79</v>
      </c>
      <c r="F2470" t="str">
        <f>VLOOKUP(Ramen_Ratings[[#This Row],[Country]],Country_Region[#All],2,FALSE)</f>
        <v>Asia</v>
      </c>
      <c r="G2470">
        <v>4.25</v>
      </c>
      <c r="H2470" t="str" cm="1">
        <f t="array" ref="H2470">_xlfn.IFS(Ramen_Ratings[[#This Row],[Stars]] = "Unrated", "NA",Ramen_Ratings[[#This Row],[Stars]]&gt;=4, "Good", Ramen_Ratings[[#This Row],[Stars]]&gt;2.5, "Fair", Ramen_Ratings[[#This Row],[Stars]] &gt;= 0, "Bad")</f>
        <v>Good</v>
      </c>
      <c r="J2470" t="str">
        <f>LEFT(Ramen_Ratings[[#This Row],[Top Ten]],4)</f>
        <v/>
      </c>
      <c r="K2470" t="str">
        <f>IF(Ramen_Ratings[[#This Row],[Top Ten]]="", "",RIGHT(Ramen_Ratings[[#This Row],[Top Ten]],LEN(Ramen_Ratings[[#This Row],[Top Ten]])-6))</f>
        <v/>
      </c>
    </row>
    <row r="2471" spans="1:11" x14ac:dyDescent="0.25">
      <c r="A2471">
        <v>634</v>
      </c>
      <c r="B2471" t="s">
        <v>900</v>
      </c>
      <c r="C2471" t="s">
        <v>2255</v>
      </c>
      <c r="D2471" t="s">
        <v>44</v>
      </c>
      <c r="E2471" t="s">
        <v>79</v>
      </c>
      <c r="F2471" t="str">
        <f>VLOOKUP(Ramen_Ratings[[#This Row],[Country]],Country_Region[#All],2,FALSE)</f>
        <v>Asia</v>
      </c>
      <c r="G2471">
        <v>0.5</v>
      </c>
      <c r="H2471" t="str" cm="1">
        <f t="array" ref="H2471">_xlfn.IFS(Ramen_Ratings[[#This Row],[Stars]] = "Unrated", "NA",Ramen_Ratings[[#This Row],[Stars]]&gt;=4, "Good", Ramen_Ratings[[#This Row],[Stars]]&gt;2.5, "Fair", Ramen_Ratings[[#This Row],[Stars]] &gt;= 0, "Bad")</f>
        <v>Bad</v>
      </c>
      <c r="J2471" t="str">
        <f>LEFT(Ramen_Ratings[[#This Row],[Top Ten]],4)</f>
        <v/>
      </c>
      <c r="K2471" t="str">
        <f>IF(Ramen_Ratings[[#This Row],[Top Ten]]="", "",RIGHT(Ramen_Ratings[[#This Row],[Top Ten]],LEN(Ramen_Ratings[[#This Row],[Top Ten]])-6))</f>
        <v/>
      </c>
    </row>
    <row r="2472" spans="1:11" x14ac:dyDescent="0.25">
      <c r="A2472">
        <v>629</v>
      </c>
      <c r="B2472" t="s">
        <v>218</v>
      </c>
      <c r="C2472" t="s">
        <v>2261</v>
      </c>
      <c r="D2472" t="s">
        <v>13</v>
      </c>
      <c r="E2472" t="s">
        <v>79</v>
      </c>
      <c r="F2472" t="str">
        <f>VLOOKUP(Ramen_Ratings[[#This Row],[Country]],Country_Region[#All],2,FALSE)</f>
        <v>Asia</v>
      </c>
      <c r="G2472">
        <v>4.25</v>
      </c>
      <c r="H2472" t="str" cm="1">
        <f t="array" ref="H2472">_xlfn.IFS(Ramen_Ratings[[#This Row],[Stars]] = "Unrated", "NA",Ramen_Ratings[[#This Row],[Stars]]&gt;=4, "Good", Ramen_Ratings[[#This Row],[Stars]]&gt;2.5, "Fair", Ramen_Ratings[[#This Row],[Stars]] &gt;= 0, "Bad")</f>
        <v>Good</v>
      </c>
      <c r="J2472" t="str">
        <f>LEFT(Ramen_Ratings[[#This Row],[Top Ten]],4)</f>
        <v/>
      </c>
      <c r="K2472" t="str">
        <f>IF(Ramen_Ratings[[#This Row],[Top Ten]]="", "",RIGHT(Ramen_Ratings[[#This Row],[Top Ten]],LEN(Ramen_Ratings[[#This Row],[Top Ten]])-6))</f>
        <v/>
      </c>
    </row>
    <row r="2473" spans="1:11" x14ac:dyDescent="0.25">
      <c r="A2473">
        <v>624</v>
      </c>
      <c r="B2473" t="s">
        <v>218</v>
      </c>
      <c r="C2473" t="s">
        <v>2267</v>
      </c>
      <c r="D2473" t="s">
        <v>13</v>
      </c>
      <c r="E2473" t="s">
        <v>79</v>
      </c>
      <c r="F2473" t="str">
        <f>VLOOKUP(Ramen_Ratings[[#This Row],[Country]],Country_Region[#All],2,FALSE)</f>
        <v>Asia</v>
      </c>
      <c r="G2473">
        <v>3.75</v>
      </c>
      <c r="H2473" t="str" cm="1">
        <f t="array" ref="H2473">_xlfn.IFS(Ramen_Ratings[[#This Row],[Stars]] = "Unrated", "NA",Ramen_Ratings[[#This Row],[Stars]]&gt;=4, "Good", Ramen_Ratings[[#This Row],[Stars]]&gt;2.5, "Fair", Ramen_Ratings[[#This Row],[Stars]] &gt;= 0, "Bad")</f>
        <v>Fair</v>
      </c>
      <c r="J2473" t="str">
        <f>LEFT(Ramen_Ratings[[#This Row],[Top Ten]],4)</f>
        <v/>
      </c>
      <c r="K2473" t="str">
        <f>IF(Ramen_Ratings[[#This Row],[Top Ten]]="", "",RIGHT(Ramen_Ratings[[#This Row],[Top Ten]],LEN(Ramen_Ratings[[#This Row],[Top Ten]])-6))</f>
        <v/>
      </c>
    </row>
    <row r="2474" spans="1:11" x14ac:dyDescent="0.25">
      <c r="A2474">
        <v>584</v>
      </c>
      <c r="B2474" t="s">
        <v>900</v>
      </c>
      <c r="C2474" t="s">
        <v>2311</v>
      </c>
      <c r="D2474" t="s">
        <v>9</v>
      </c>
      <c r="E2474" t="s">
        <v>79</v>
      </c>
      <c r="F2474" t="str">
        <f>VLOOKUP(Ramen_Ratings[[#This Row],[Country]],Country_Region[#All],2,FALSE)</f>
        <v>Asia</v>
      </c>
      <c r="G2474">
        <v>0</v>
      </c>
      <c r="H2474" t="str" cm="1">
        <f t="array" ref="H2474">_xlfn.IFS(Ramen_Ratings[[#This Row],[Stars]] = "Unrated", "NA",Ramen_Ratings[[#This Row],[Stars]]&gt;=4, "Good", Ramen_Ratings[[#This Row],[Stars]]&gt;2.5, "Fair", Ramen_Ratings[[#This Row],[Stars]] &gt;= 0, "Bad")</f>
        <v>Bad</v>
      </c>
      <c r="J2474" t="str">
        <f>LEFT(Ramen_Ratings[[#This Row],[Top Ten]],4)</f>
        <v/>
      </c>
      <c r="K2474" t="str">
        <f>IF(Ramen_Ratings[[#This Row],[Top Ten]]="", "",RIGHT(Ramen_Ratings[[#This Row],[Top Ten]],LEN(Ramen_Ratings[[#This Row],[Top Ten]])-6))</f>
        <v/>
      </c>
    </row>
    <row r="2475" spans="1:11" x14ac:dyDescent="0.25">
      <c r="A2475">
        <v>580</v>
      </c>
      <c r="B2475" t="s">
        <v>900</v>
      </c>
      <c r="C2475" t="s">
        <v>2315</v>
      </c>
      <c r="D2475" t="s">
        <v>13</v>
      </c>
      <c r="E2475" t="s">
        <v>79</v>
      </c>
      <c r="F2475" t="str">
        <f>VLOOKUP(Ramen_Ratings[[#This Row],[Country]],Country_Region[#All],2,FALSE)</f>
        <v>Asia</v>
      </c>
      <c r="G2475">
        <v>0</v>
      </c>
      <c r="H2475" t="str" cm="1">
        <f t="array" ref="H2475">_xlfn.IFS(Ramen_Ratings[[#This Row],[Stars]] = "Unrated", "NA",Ramen_Ratings[[#This Row],[Stars]]&gt;=4, "Good", Ramen_Ratings[[#This Row],[Stars]]&gt;2.5, "Fair", Ramen_Ratings[[#This Row],[Stars]] &gt;= 0, "Bad")</f>
        <v>Bad</v>
      </c>
      <c r="J2475" t="str">
        <f>LEFT(Ramen_Ratings[[#This Row],[Top Ten]],4)</f>
        <v/>
      </c>
      <c r="K2475" t="str">
        <f>IF(Ramen_Ratings[[#This Row],[Top Ten]]="", "",RIGHT(Ramen_Ratings[[#This Row],[Top Ten]],LEN(Ramen_Ratings[[#This Row],[Top Ten]])-6))</f>
        <v/>
      </c>
    </row>
    <row r="2476" spans="1:11" x14ac:dyDescent="0.25">
      <c r="A2476">
        <v>579</v>
      </c>
      <c r="B2476" t="s">
        <v>900</v>
      </c>
      <c r="C2476" t="s">
        <v>2316</v>
      </c>
      <c r="D2476" t="s">
        <v>13</v>
      </c>
      <c r="E2476" t="s">
        <v>79</v>
      </c>
      <c r="F2476" t="str">
        <f>VLOOKUP(Ramen_Ratings[[#This Row],[Country]],Country_Region[#All],2,FALSE)</f>
        <v>Asia</v>
      </c>
      <c r="G2476">
        <v>1.75</v>
      </c>
      <c r="H2476" t="str" cm="1">
        <f t="array" ref="H2476">_xlfn.IFS(Ramen_Ratings[[#This Row],[Stars]] = "Unrated", "NA",Ramen_Ratings[[#This Row],[Stars]]&gt;=4, "Good", Ramen_Ratings[[#This Row],[Stars]]&gt;2.5, "Fair", Ramen_Ratings[[#This Row],[Stars]] &gt;= 0, "Bad")</f>
        <v>Bad</v>
      </c>
      <c r="J2476" t="str">
        <f>LEFT(Ramen_Ratings[[#This Row],[Top Ten]],4)</f>
        <v/>
      </c>
      <c r="K2476" t="str">
        <f>IF(Ramen_Ratings[[#This Row],[Top Ten]]="", "",RIGHT(Ramen_Ratings[[#This Row],[Top Ten]],LEN(Ramen_Ratings[[#This Row],[Top Ten]])-6))</f>
        <v/>
      </c>
    </row>
    <row r="2477" spans="1:11" x14ac:dyDescent="0.25">
      <c r="A2477">
        <v>558</v>
      </c>
      <c r="B2477" t="s">
        <v>1976</v>
      </c>
      <c r="C2477" t="s">
        <v>2337</v>
      </c>
      <c r="D2477" t="s">
        <v>44</v>
      </c>
      <c r="E2477" t="s">
        <v>79</v>
      </c>
      <c r="F2477" t="str">
        <f>VLOOKUP(Ramen_Ratings[[#This Row],[Country]],Country_Region[#All],2,FALSE)</f>
        <v>Asia</v>
      </c>
      <c r="G2477">
        <v>1.5</v>
      </c>
      <c r="H2477" t="str" cm="1">
        <f t="array" ref="H2477">_xlfn.IFS(Ramen_Ratings[[#This Row],[Stars]] = "Unrated", "NA",Ramen_Ratings[[#This Row],[Stars]]&gt;=4, "Good", Ramen_Ratings[[#This Row],[Stars]]&gt;2.5, "Fair", Ramen_Ratings[[#This Row],[Stars]] &gt;= 0, "Bad")</f>
        <v>Bad</v>
      </c>
      <c r="J2477" t="str">
        <f>LEFT(Ramen_Ratings[[#This Row],[Top Ten]],4)</f>
        <v/>
      </c>
      <c r="K2477" t="str">
        <f>IF(Ramen_Ratings[[#This Row],[Top Ten]]="", "",RIGHT(Ramen_Ratings[[#This Row],[Top Ten]],LEN(Ramen_Ratings[[#This Row],[Top Ten]])-6))</f>
        <v/>
      </c>
    </row>
    <row r="2478" spans="1:11" x14ac:dyDescent="0.25">
      <c r="A2478">
        <v>545</v>
      </c>
      <c r="B2478" t="s">
        <v>1475</v>
      </c>
      <c r="C2478" t="s">
        <v>2349</v>
      </c>
      <c r="D2478" t="s">
        <v>13</v>
      </c>
      <c r="E2478" t="s">
        <v>79</v>
      </c>
      <c r="F2478" t="str">
        <f>VLOOKUP(Ramen_Ratings[[#This Row],[Country]],Country_Region[#All],2,FALSE)</f>
        <v>Asia</v>
      </c>
      <c r="G2478">
        <v>3.5</v>
      </c>
      <c r="H2478" t="str" cm="1">
        <f t="array" ref="H2478">_xlfn.IFS(Ramen_Ratings[[#This Row],[Stars]] = "Unrated", "NA",Ramen_Ratings[[#This Row],[Stars]]&gt;=4, "Good", Ramen_Ratings[[#This Row],[Stars]]&gt;2.5, "Fair", Ramen_Ratings[[#This Row],[Stars]] &gt;= 0, "Bad")</f>
        <v>Fair</v>
      </c>
      <c r="J2478" t="str">
        <f>LEFT(Ramen_Ratings[[#This Row],[Top Ten]],4)</f>
        <v/>
      </c>
      <c r="K2478" t="str">
        <f>IF(Ramen_Ratings[[#This Row],[Top Ten]]="", "",RIGHT(Ramen_Ratings[[#This Row],[Top Ten]],LEN(Ramen_Ratings[[#This Row],[Top Ten]])-6))</f>
        <v/>
      </c>
    </row>
    <row r="2479" spans="1:11" x14ac:dyDescent="0.25">
      <c r="A2479">
        <v>525</v>
      </c>
      <c r="B2479" t="s">
        <v>426</v>
      </c>
      <c r="C2479" t="s">
        <v>2365</v>
      </c>
      <c r="D2479" t="s">
        <v>13</v>
      </c>
      <c r="E2479" t="s">
        <v>79</v>
      </c>
      <c r="F2479" t="str">
        <f>VLOOKUP(Ramen_Ratings[[#This Row],[Country]],Country_Region[#All],2,FALSE)</f>
        <v>Asia</v>
      </c>
      <c r="G2479">
        <v>3.75</v>
      </c>
      <c r="H2479" t="str" cm="1">
        <f t="array" ref="H2479">_xlfn.IFS(Ramen_Ratings[[#This Row],[Stars]] = "Unrated", "NA",Ramen_Ratings[[#This Row],[Stars]]&gt;=4, "Good", Ramen_Ratings[[#This Row],[Stars]]&gt;2.5, "Fair", Ramen_Ratings[[#This Row],[Stars]] &gt;= 0, "Bad")</f>
        <v>Fair</v>
      </c>
      <c r="J2479" t="str">
        <f>LEFT(Ramen_Ratings[[#This Row],[Top Ten]],4)</f>
        <v/>
      </c>
      <c r="K2479" t="str">
        <f>IF(Ramen_Ratings[[#This Row],[Top Ten]]="", "",RIGHT(Ramen_Ratings[[#This Row],[Top Ten]],LEN(Ramen_Ratings[[#This Row],[Top Ten]])-6))</f>
        <v/>
      </c>
    </row>
    <row r="2480" spans="1:11" x14ac:dyDescent="0.25">
      <c r="A2480">
        <v>523</v>
      </c>
      <c r="B2480" t="s">
        <v>2007</v>
      </c>
      <c r="C2480" t="s">
        <v>2008</v>
      </c>
      <c r="D2480" t="s">
        <v>44</v>
      </c>
      <c r="E2480" t="s">
        <v>79</v>
      </c>
      <c r="F2480" t="str">
        <f>VLOOKUP(Ramen_Ratings[[#This Row],[Country]],Country_Region[#All],2,FALSE)</f>
        <v>Asia</v>
      </c>
      <c r="G2480">
        <v>4.5</v>
      </c>
      <c r="H2480" t="str" cm="1">
        <f t="array" ref="H2480">_xlfn.IFS(Ramen_Ratings[[#This Row],[Stars]] = "Unrated", "NA",Ramen_Ratings[[#This Row],[Stars]]&gt;=4, "Good", Ramen_Ratings[[#This Row],[Stars]]&gt;2.5, "Fair", Ramen_Ratings[[#This Row],[Stars]] &gt;= 0, "Bad")</f>
        <v>Good</v>
      </c>
      <c r="J2480" t="str">
        <f>LEFT(Ramen_Ratings[[#This Row],[Top Ten]],4)</f>
        <v/>
      </c>
      <c r="K2480" t="str">
        <f>IF(Ramen_Ratings[[#This Row],[Top Ten]]="", "",RIGHT(Ramen_Ratings[[#This Row],[Top Ten]],LEN(Ramen_Ratings[[#This Row],[Top Ten]])-6))</f>
        <v/>
      </c>
    </row>
    <row r="2481" spans="1:11" x14ac:dyDescent="0.25">
      <c r="A2481">
        <v>518</v>
      </c>
      <c r="B2481" t="s">
        <v>2007</v>
      </c>
      <c r="C2481" t="s">
        <v>2240</v>
      </c>
      <c r="D2481" t="s">
        <v>44</v>
      </c>
      <c r="E2481" t="s">
        <v>79</v>
      </c>
      <c r="F2481" t="str">
        <f>VLOOKUP(Ramen_Ratings[[#This Row],[Country]],Country_Region[#All],2,FALSE)</f>
        <v>Asia</v>
      </c>
      <c r="G2481">
        <v>4.5</v>
      </c>
      <c r="H2481" t="str" cm="1">
        <f t="array" ref="H2481">_xlfn.IFS(Ramen_Ratings[[#This Row],[Stars]] = "Unrated", "NA",Ramen_Ratings[[#This Row],[Stars]]&gt;=4, "Good", Ramen_Ratings[[#This Row],[Stars]]&gt;2.5, "Fair", Ramen_Ratings[[#This Row],[Stars]] &gt;= 0, "Bad")</f>
        <v>Good</v>
      </c>
      <c r="J2481" t="str">
        <f>LEFT(Ramen_Ratings[[#This Row],[Top Ten]],4)</f>
        <v/>
      </c>
      <c r="K2481" t="str">
        <f>IF(Ramen_Ratings[[#This Row],[Top Ten]]="", "",RIGHT(Ramen_Ratings[[#This Row],[Top Ten]],LEN(Ramen_Ratings[[#This Row],[Top Ten]])-6))</f>
        <v/>
      </c>
    </row>
    <row r="2482" spans="1:11" x14ac:dyDescent="0.25">
      <c r="A2482">
        <v>513</v>
      </c>
      <c r="B2482" t="s">
        <v>2007</v>
      </c>
      <c r="C2482" t="s">
        <v>2289</v>
      </c>
      <c r="D2482" t="s">
        <v>44</v>
      </c>
      <c r="E2482" t="s">
        <v>79</v>
      </c>
      <c r="F2482" t="str">
        <f>VLOOKUP(Ramen_Ratings[[#This Row],[Country]],Country_Region[#All],2,FALSE)</f>
        <v>Asia</v>
      </c>
      <c r="G2482">
        <v>4</v>
      </c>
      <c r="H2482" t="str" cm="1">
        <f t="array" ref="H2482">_xlfn.IFS(Ramen_Ratings[[#This Row],[Stars]] = "Unrated", "NA",Ramen_Ratings[[#This Row],[Stars]]&gt;=4, "Good", Ramen_Ratings[[#This Row],[Stars]]&gt;2.5, "Fair", Ramen_Ratings[[#This Row],[Stars]] &gt;= 0, "Bad")</f>
        <v>Good</v>
      </c>
      <c r="J2482" t="str">
        <f>LEFT(Ramen_Ratings[[#This Row],[Top Ten]],4)</f>
        <v/>
      </c>
      <c r="K2482" t="str">
        <f>IF(Ramen_Ratings[[#This Row],[Top Ten]]="", "",RIGHT(Ramen_Ratings[[#This Row],[Top Ten]],LEN(Ramen_Ratings[[#This Row],[Top Ten]])-6))</f>
        <v/>
      </c>
    </row>
    <row r="2483" spans="1:11" x14ac:dyDescent="0.25">
      <c r="A2483">
        <v>507</v>
      </c>
      <c r="B2483" t="s">
        <v>2007</v>
      </c>
      <c r="C2483" t="s">
        <v>2207</v>
      </c>
      <c r="D2483" t="s">
        <v>44</v>
      </c>
      <c r="E2483" t="s">
        <v>79</v>
      </c>
      <c r="F2483" t="str">
        <f>VLOOKUP(Ramen_Ratings[[#This Row],[Country]],Country_Region[#All],2,FALSE)</f>
        <v>Asia</v>
      </c>
      <c r="G2483">
        <v>3.75</v>
      </c>
      <c r="H2483" t="str" cm="1">
        <f t="array" ref="H2483">_xlfn.IFS(Ramen_Ratings[[#This Row],[Stars]] = "Unrated", "NA",Ramen_Ratings[[#This Row],[Stars]]&gt;=4, "Good", Ramen_Ratings[[#This Row],[Stars]]&gt;2.5, "Fair", Ramen_Ratings[[#This Row],[Stars]] &gt;= 0, "Bad")</f>
        <v>Fair</v>
      </c>
      <c r="J2483" t="str">
        <f>LEFT(Ramen_Ratings[[#This Row],[Top Ten]],4)</f>
        <v/>
      </c>
      <c r="K2483" t="str">
        <f>IF(Ramen_Ratings[[#This Row],[Top Ten]]="", "",RIGHT(Ramen_Ratings[[#This Row],[Top Ten]],LEN(Ramen_Ratings[[#This Row],[Top Ten]])-6))</f>
        <v/>
      </c>
    </row>
    <row r="2484" spans="1:11" x14ac:dyDescent="0.25">
      <c r="A2484">
        <v>505</v>
      </c>
      <c r="B2484" t="s">
        <v>426</v>
      </c>
      <c r="C2484" t="s">
        <v>2146</v>
      </c>
      <c r="D2484" t="s">
        <v>13</v>
      </c>
      <c r="E2484" t="s">
        <v>79</v>
      </c>
      <c r="F2484" t="str">
        <f>VLOOKUP(Ramen_Ratings[[#This Row],[Country]],Country_Region[#All],2,FALSE)</f>
        <v>Asia</v>
      </c>
      <c r="G2484">
        <v>3.5</v>
      </c>
      <c r="H2484" t="str" cm="1">
        <f t="array" ref="H2484">_xlfn.IFS(Ramen_Ratings[[#This Row],[Stars]] = "Unrated", "NA",Ramen_Ratings[[#This Row],[Stars]]&gt;=4, "Good", Ramen_Ratings[[#This Row],[Stars]]&gt;2.5, "Fair", Ramen_Ratings[[#This Row],[Stars]] &gt;= 0, "Bad")</f>
        <v>Fair</v>
      </c>
      <c r="J2484" t="str">
        <f>LEFT(Ramen_Ratings[[#This Row],[Top Ten]],4)</f>
        <v/>
      </c>
      <c r="K2484" t="str">
        <f>IF(Ramen_Ratings[[#This Row],[Top Ten]]="", "",RIGHT(Ramen_Ratings[[#This Row],[Top Ten]],LEN(Ramen_Ratings[[#This Row],[Top Ten]])-6))</f>
        <v/>
      </c>
    </row>
    <row r="2485" spans="1:11" x14ac:dyDescent="0.25">
      <c r="A2485">
        <v>499</v>
      </c>
      <c r="B2485" t="s">
        <v>2007</v>
      </c>
      <c r="C2485" t="s">
        <v>2385</v>
      </c>
      <c r="D2485" t="s">
        <v>44</v>
      </c>
      <c r="E2485" t="s">
        <v>79</v>
      </c>
      <c r="F2485" t="str">
        <f>VLOOKUP(Ramen_Ratings[[#This Row],[Country]],Country_Region[#All],2,FALSE)</f>
        <v>Asia</v>
      </c>
      <c r="G2485">
        <v>4.75</v>
      </c>
      <c r="H2485" t="str" cm="1">
        <f t="array" ref="H2485">_xlfn.IFS(Ramen_Ratings[[#This Row],[Stars]] = "Unrated", "NA",Ramen_Ratings[[#This Row],[Stars]]&gt;=4, "Good", Ramen_Ratings[[#This Row],[Stars]]&gt;2.5, "Fair", Ramen_Ratings[[#This Row],[Stars]] &gt;= 0, "Bad")</f>
        <v>Good</v>
      </c>
      <c r="J2485" t="str">
        <f>LEFT(Ramen_Ratings[[#This Row],[Top Ten]],4)</f>
        <v/>
      </c>
      <c r="K2485" t="str">
        <f>IF(Ramen_Ratings[[#This Row],[Top Ten]]="", "",RIGHT(Ramen_Ratings[[#This Row],[Top Ten]],LEN(Ramen_Ratings[[#This Row],[Top Ten]])-6))</f>
        <v/>
      </c>
    </row>
    <row r="2486" spans="1:11" x14ac:dyDescent="0.25">
      <c r="A2486">
        <v>491</v>
      </c>
      <c r="B2486" t="s">
        <v>426</v>
      </c>
      <c r="C2486" t="s">
        <v>2039</v>
      </c>
      <c r="D2486" t="s">
        <v>13</v>
      </c>
      <c r="E2486" t="s">
        <v>79</v>
      </c>
      <c r="F2486" t="str">
        <f>VLOOKUP(Ramen_Ratings[[#This Row],[Country]],Country_Region[#All],2,FALSE)</f>
        <v>Asia</v>
      </c>
      <c r="G2486">
        <v>3.75</v>
      </c>
      <c r="H2486" t="str" cm="1">
        <f t="array" ref="H2486">_xlfn.IFS(Ramen_Ratings[[#This Row],[Stars]] = "Unrated", "NA",Ramen_Ratings[[#This Row],[Stars]]&gt;=4, "Good", Ramen_Ratings[[#This Row],[Stars]]&gt;2.5, "Fair", Ramen_Ratings[[#This Row],[Stars]] &gt;= 0, "Bad")</f>
        <v>Fair</v>
      </c>
      <c r="J2486" t="str">
        <f>LEFT(Ramen_Ratings[[#This Row],[Top Ten]],4)</f>
        <v/>
      </c>
      <c r="K2486" t="str">
        <f>IF(Ramen_Ratings[[#This Row],[Top Ten]]="", "",RIGHT(Ramen_Ratings[[#This Row],[Top Ten]],LEN(Ramen_Ratings[[#This Row],[Top Ten]])-6))</f>
        <v/>
      </c>
    </row>
    <row r="2487" spans="1:11" x14ac:dyDescent="0.25">
      <c r="A2487">
        <v>489</v>
      </c>
      <c r="B2487" t="s">
        <v>426</v>
      </c>
      <c r="C2487" t="s">
        <v>2395</v>
      </c>
      <c r="D2487" t="s">
        <v>13</v>
      </c>
      <c r="E2487" t="s">
        <v>79</v>
      </c>
      <c r="F2487" t="str">
        <f>VLOOKUP(Ramen_Ratings[[#This Row],[Country]],Country_Region[#All],2,FALSE)</f>
        <v>Asia</v>
      </c>
      <c r="G2487">
        <v>3.25</v>
      </c>
      <c r="H2487" t="str" cm="1">
        <f t="array" ref="H2487">_xlfn.IFS(Ramen_Ratings[[#This Row],[Stars]] = "Unrated", "NA",Ramen_Ratings[[#This Row],[Stars]]&gt;=4, "Good", Ramen_Ratings[[#This Row],[Stars]]&gt;2.5, "Fair", Ramen_Ratings[[#This Row],[Stars]] &gt;= 0, "Bad")</f>
        <v>Fair</v>
      </c>
      <c r="J2487" t="str">
        <f>LEFT(Ramen_Ratings[[#This Row],[Top Ten]],4)</f>
        <v/>
      </c>
      <c r="K2487" t="str">
        <f>IF(Ramen_Ratings[[#This Row],[Top Ten]]="", "",RIGHT(Ramen_Ratings[[#This Row],[Top Ten]],LEN(Ramen_Ratings[[#This Row],[Top Ten]])-6))</f>
        <v/>
      </c>
    </row>
    <row r="2488" spans="1:11" x14ac:dyDescent="0.25">
      <c r="A2488">
        <v>486</v>
      </c>
      <c r="B2488" t="s">
        <v>326</v>
      </c>
      <c r="C2488" t="s">
        <v>2398</v>
      </c>
      <c r="D2488" t="s">
        <v>13</v>
      </c>
      <c r="E2488" t="s">
        <v>79</v>
      </c>
      <c r="F2488" t="str">
        <f>VLOOKUP(Ramen_Ratings[[#This Row],[Country]],Country_Region[#All],2,FALSE)</f>
        <v>Asia</v>
      </c>
      <c r="G2488">
        <v>3</v>
      </c>
      <c r="H2488" t="str" cm="1">
        <f t="array" ref="H2488">_xlfn.IFS(Ramen_Ratings[[#This Row],[Stars]] = "Unrated", "NA",Ramen_Ratings[[#This Row],[Stars]]&gt;=4, "Good", Ramen_Ratings[[#This Row],[Stars]]&gt;2.5, "Fair", Ramen_Ratings[[#This Row],[Stars]] &gt;= 0, "Bad")</f>
        <v>Fair</v>
      </c>
      <c r="J2488" t="str">
        <f>LEFT(Ramen_Ratings[[#This Row],[Top Ten]],4)</f>
        <v/>
      </c>
      <c r="K2488" t="str">
        <f>IF(Ramen_Ratings[[#This Row],[Top Ten]]="", "",RIGHT(Ramen_Ratings[[#This Row],[Top Ten]],LEN(Ramen_Ratings[[#This Row],[Top Ten]])-6))</f>
        <v/>
      </c>
    </row>
    <row r="2489" spans="1:11" x14ac:dyDescent="0.25">
      <c r="A2489">
        <v>455</v>
      </c>
      <c r="B2489" t="s">
        <v>900</v>
      </c>
      <c r="C2489" t="s">
        <v>2423</v>
      </c>
      <c r="D2489" t="s">
        <v>9</v>
      </c>
      <c r="E2489" t="s">
        <v>79</v>
      </c>
      <c r="F2489" t="str">
        <f>VLOOKUP(Ramen_Ratings[[#This Row],[Country]],Country_Region[#All],2,FALSE)</f>
        <v>Asia</v>
      </c>
      <c r="G2489">
        <v>0.25</v>
      </c>
      <c r="H2489" t="str" cm="1">
        <f t="array" ref="H2489">_xlfn.IFS(Ramen_Ratings[[#This Row],[Stars]] = "Unrated", "NA",Ramen_Ratings[[#This Row],[Stars]]&gt;=4, "Good", Ramen_Ratings[[#This Row],[Stars]]&gt;2.5, "Fair", Ramen_Ratings[[#This Row],[Stars]] &gt;= 0, "Bad")</f>
        <v>Bad</v>
      </c>
      <c r="J2489" t="str">
        <f>LEFT(Ramen_Ratings[[#This Row],[Top Ten]],4)</f>
        <v/>
      </c>
      <c r="K2489" t="str">
        <f>IF(Ramen_Ratings[[#This Row],[Top Ten]]="", "",RIGHT(Ramen_Ratings[[#This Row],[Top Ten]],LEN(Ramen_Ratings[[#This Row],[Top Ten]])-6))</f>
        <v/>
      </c>
    </row>
    <row r="2490" spans="1:11" x14ac:dyDescent="0.25">
      <c r="A2490">
        <v>428</v>
      </c>
      <c r="B2490" t="s">
        <v>326</v>
      </c>
      <c r="C2490" t="s">
        <v>2452</v>
      </c>
      <c r="E2490" t="s">
        <v>79</v>
      </c>
      <c r="F2490" t="str">
        <f>VLOOKUP(Ramen_Ratings[[#This Row],[Country]],Country_Region[#All],2,FALSE)</f>
        <v>Asia</v>
      </c>
      <c r="G2490">
        <v>3.75</v>
      </c>
      <c r="H2490" t="str" cm="1">
        <f t="array" ref="H2490">_xlfn.IFS(Ramen_Ratings[[#This Row],[Stars]] = "Unrated", "NA",Ramen_Ratings[[#This Row],[Stars]]&gt;=4, "Good", Ramen_Ratings[[#This Row],[Stars]]&gt;2.5, "Fair", Ramen_Ratings[[#This Row],[Stars]] &gt;= 0, "Bad")</f>
        <v>Fair</v>
      </c>
      <c r="J2490" t="str">
        <f>LEFT(Ramen_Ratings[[#This Row],[Top Ten]],4)</f>
        <v/>
      </c>
      <c r="K2490" t="str">
        <f>IF(Ramen_Ratings[[#This Row],[Top Ten]]="", "",RIGHT(Ramen_Ratings[[#This Row],[Top Ten]],LEN(Ramen_Ratings[[#This Row],[Top Ten]])-6))</f>
        <v/>
      </c>
    </row>
    <row r="2491" spans="1:11" x14ac:dyDescent="0.25">
      <c r="A2491">
        <v>393</v>
      </c>
      <c r="B2491" t="s">
        <v>326</v>
      </c>
      <c r="C2491" t="s">
        <v>2489</v>
      </c>
      <c r="D2491" t="s">
        <v>30</v>
      </c>
      <c r="E2491" t="s">
        <v>79</v>
      </c>
      <c r="F2491" t="str">
        <f>VLOOKUP(Ramen_Ratings[[#This Row],[Country]],Country_Region[#All],2,FALSE)</f>
        <v>Asia</v>
      </c>
      <c r="G2491">
        <v>2</v>
      </c>
      <c r="H2491" t="str" cm="1">
        <f t="array" ref="H2491">_xlfn.IFS(Ramen_Ratings[[#This Row],[Stars]] = "Unrated", "NA",Ramen_Ratings[[#This Row],[Stars]]&gt;=4, "Good", Ramen_Ratings[[#This Row],[Stars]]&gt;2.5, "Fair", Ramen_Ratings[[#This Row],[Stars]] &gt;= 0, "Bad")</f>
        <v>Bad</v>
      </c>
      <c r="J2491" t="str">
        <f>LEFT(Ramen_Ratings[[#This Row],[Top Ten]],4)</f>
        <v/>
      </c>
      <c r="K2491" t="str">
        <f>IF(Ramen_Ratings[[#This Row],[Top Ten]]="", "",RIGHT(Ramen_Ratings[[#This Row],[Top Ten]],LEN(Ramen_Ratings[[#This Row],[Top Ten]])-6))</f>
        <v/>
      </c>
    </row>
    <row r="2492" spans="1:11" x14ac:dyDescent="0.25">
      <c r="A2492">
        <v>301</v>
      </c>
      <c r="B2492" t="s">
        <v>2007</v>
      </c>
      <c r="C2492" t="s">
        <v>2580</v>
      </c>
      <c r="D2492" t="s">
        <v>44</v>
      </c>
      <c r="E2492" t="s">
        <v>79</v>
      </c>
      <c r="F2492" t="str">
        <f>VLOOKUP(Ramen_Ratings[[#This Row],[Country]],Country_Region[#All],2,FALSE)</f>
        <v>Asia</v>
      </c>
      <c r="G2492">
        <v>4.5</v>
      </c>
      <c r="H2492" t="str" cm="1">
        <f t="array" ref="H2492">_xlfn.IFS(Ramen_Ratings[[#This Row],[Stars]] = "Unrated", "NA",Ramen_Ratings[[#This Row],[Stars]]&gt;=4, "Good", Ramen_Ratings[[#This Row],[Stars]]&gt;2.5, "Fair", Ramen_Ratings[[#This Row],[Stars]] &gt;= 0, "Bad")</f>
        <v>Good</v>
      </c>
      <c r="J2492" t="str">
        <f>LEFT(Ramen_Ratings[[#This Row],[Top Ten]],4)</f>
        <v/>
      </c>
      <c r="K2492" t="str">
        <f>IF(Ramen_Ratings[[#This Row],[Top Ten]]="", "",RIGHT(Ramen_Ratings[[#This Row],[Top Ten]],LEN(Ramen_Ratings[[#This Row],[Top Ten]])-6))</f>
        <v/>
      </c>
    </row>
    <row r="2493" spans="1:11" x14ac:dyDescent="0.25">
      <c r="A2493">
        <v>210</v>
      </c>
      <c r="B2493" t="s">
        <v>2665</v>
      </c>
      <c r="C2493" t="s">
        <v>2666</v>
      </c>
      <c r="D2493" t="s">
        <v>13</v>
      </c>
      <c r="E2493" t="s">
        <v>79</v>
      </c>
      <c r="F2493" t="str">
        <f>VLOOKUP(Ramen_Ratings[[#This Row],[Country]],Country_Region[#All],2,FALSE)</f>
        <v>Asia</v>
      </c>
      <c r="G2493">
        <v>2.5</v>
      </c>
      <c r="H2493" t="str" cm="1">
        <f t="array" ref="H2493">_xlfn.IFS(Ramen_Ratings[[#This Row],[Stars]] = "Unrated", "NA",Ramen_Ratings[[#This Row],[Stars]]&gt;=4, "Good", Ramen_Ratings[[#This Row],[Stars]]&gt;2.5, "Fair", Ramen_Ratings[[#This Row],[Stars]] &gt;= 0, "Bad")</f>
        <v>Bad</v>
      </c>
      <c r="J2493" t="str">
        <f>LEFT(Ramen_Ratings[[#This Row],[Top Ten]],4)</f>
        <v/>
      </c>
      <c r="K2493" t="str">
        <f>IF(Ramen_Ratings[[#This Row],[Top Ten]]="", "",RIGHT(Ramen_Ratings[[#This Row],[Top Ten]],LEN(Ramen_Ratings[[#This Row],[Top Ten]])-6))</f>
        <v/>
      </c>
    </row>
    <row r="2494" spans="1:11" x14ac:dyDescent="0.25">
      <c r="A2494">
        <v>208</v>
      </c>
      <c r="B2494" t="s">
        <v>2432</v>
      </c>
      <c r="C2494" t="s">
        <v>2668</v>
      </c>
      <c r="D2494" t="s">
        <v>13</v>
      </c>
      <c r="E2494" t="s">
        <v>79</v>
      </c>
      <c r="F2494" t="str">
        <f>VLOOKUP(Ramen_Ratings[[#This Row],[Country]],Country_Region[#All],2,FALSE)</f>
        <v>Asia</v>
      </c>
      <c r="G2494">
        <v>4.25</v>
      </c>
      <c r="H2494" t="str" cm="1">
        <f t="array" ref="H2494">_xlfn.IFS(Ramen_Ratings[[#This Row],[Stars]] = "Unrated", "NA",Ramen_Ratings[[#This Row],[Stars]]&gt;=4, "Good", Ramen_Ratings[[#This Row],[Stars]]&gt;2.5, "Fair", Ramen_Ratings[[#This Row],[Stars]] &gt;= 0, "Bad")</f>
        <v>Good</v>
      </c>
      <c r="J2494" t="str">
        <f>LEFT(Ramen_Ratings[[#This Row],[Top Ten]],4)</f>
        <v/>
      </c>
      <c r="K2494" t="str">
        <f>IF(Ramen_Ratings[[#This Row],[Top Ten]]="", "",RIGHT(Ramen_Ratings[[#This Row],[Top Ten]],LEN(Ramen_Ratings[[#This Row],[Top Ten]])-6))</f>
        <v/>
      </c>
    </row>
    <row r="2495" spans="1:11" x14ac:dyDescent="0.25">
      <c r="A2495">
        <v>181</v>
      </c>
      <c r="B2495" t="s">
        <v>326</v>
      </c>
      <c r="C2495" t="s">
        <v>2694</v>
      </c>
      <c r="D2495" t="s">
        <v>13</v>
      </c>
      <c r="E2495" t="s">
        <v>79</v>
      </c>
      <c r="F2495" t="str">
        <f>VLOOKUP(Ramen_Ratings[[#This Row],[Country]],Country_Region[#All],2,FALSE)</f>
        <v>Asia</v>
      </c>
      <c r="G2495">
        <v>2</v>
      </c>
      <c r="H2495" t="str" cm="1">
        <f t="array" ref="H2495">_xlfn.IFS(Ramen_Ratings[[#This Row],[Stars]] = "Unrated", "NA",Ramen_Ratings[[#This Row],[Stars]]&gt;=4, "Good", Ramen_Ratings[[#This Row],[Stars]]&gt;2.5, "Fair", Ramen_Ratings[[#This Row],[Stars]] &gt;= 0, "Bad")</f>
        <v>Bad</v>
      </c>
      <c r="J2495" t="str">
        <f>LEFT(Ramen_Ratings[[#This Row],[Top Ten]],4)</f>
        <v/>
      </c>
      <c r="K2495" t="str">
        <f>IF(Ramen_Ratings[[#This Row],[Top Ten]]="", "",RIGHT(Ramen_Ratings[[#This Row],[Top Ten]],LEN(Ramen_Ratings[[#This Row],[Top Ten]])-6))</f>
        <v/>
      </c>
    </row>
    <row r="2496" spans="1:11" x14ac:dyDescent="0.25">
      <c r="A2496">
        <v>139</v>
      </c>
      <c r="B2496" t="s">
        <v>326</v>
      </c>
      <c r="C2496" t="s">
        <v>2737</v>
      </c>
      <c r="D2496" t="s">
        <v>13</v>
      </c>
      <c r="E2496" t="s">
        <v>79</v>
      </c>
      <c r="F2496" t="str">
        <f>VLOOKUP(Ramen_Ratings[[#This Row],[Country]],Country_Region[#All],2,FALSE)</f>
        <v>Asia</v>
      </c>
      <c r="G2496">
        <v>1.75</v>
      </c>
      <c r="H2496" t="str" cm="1">
        <f t="array" ref="H2496">_xlfn.IFS(Ramen_Ratings[[#This Row],[Stars]] = "Unrated", "NA",Ramen_Ratings[[#This Row],[Stars]]&gt;=4, "Good", Ramen_Ratings[[#This Row],[Stars]]&gt;2.5, "Fair", Ramen_Ratings[[#This Row],[Stars]] &gt;= 0, "Bad")</f>
        <v>Bad</v>
      </c>
      <c r="J2496" t="str">
        <f>LEFT(Ramen_Ratings[[#This Row],[Top Ten]],4)</f>
        <v/>
      </c>
      <c r="K2496" t="str">
        <f>IF(Ramen_Ratings[[#This Row],[Top Ten]]="", "",RIGHT(Ramen_Ratings[[#This Row],[Top Ten]],LEN(Ramen_Ratings[[#This Row],[Top Ten]])-6))</f>
        <v/>
      </c>
    </row>
    <row r="2497" spans="1:11" x14ac:dyDescent="0.25">
      <c r="A2497">
        <v>133</v>
      </c>
      <c r="B2497" t="s">
        <v>900</v>
      </c>
      <c r="C2497" t="s">
        <v>2744</v>
      </c>
      <c r="D2497" t="s">
        <v>13</v>
      </c>
      <c r="E2497" t="s">
        <v>79</v>
      </c>
      <c r="F2497" t="str">
        <f>VLOOKUP(Ramen_Ratings[[#This Row],[Country]],Country_Region[#All],2,FALSE)</f>
        <v>Asia</v>
      </c>
      <c r="G2497">
        <v>0</v>
      </c>
      <c r="H2497" t="str" cm="1">
        <f t="array" ref="H2497">_xlfn.IFS(Ramen_Ratings[[#This Row],[Stars]] = "Unrated", "NA",Ramen_Ratings[[#This Row],[Stars]]&gt;=4, "Good", Ramen_Ratings[[#This Row],[Stars]]&gt;2.5, "Fair", Ramen_Ratings[[#This Row],[Stars]] &gt;= 0, "Bad")</f>
        <v>Bad</v>
      </c>
      <c r="J2497" t="str">
        <f>LEFT(Ramen_Ratings[[#This Row],[Top Ten]],4)</f>
        <v/>
      </c>
      <c r="K2497" t="str">
        <f>IF(Ramen_Ratings[[#This Row],[Top Ten]]="", "",RIGHT(Ramen_Ratings[[#This Row],[Top Ten]],LEN(Ramen_Ratings[[#This Row],[Top Ten]])-6))</f>
        <v/>
      </c>
    </row>
    <row r="2498" spans="1:11" x14ac:dyDescent="0.25">
      <c r="A2498">
        <v>90</v>
      </c>
      <c r="B2498" t="s">
        <v>1976</v>
      </c>
      <c r="C2498" t="s">
        <v>2779</v>
      </c>
      <c r="D2498" t="s">
        <v>13</v>
      </c>
      <c r="E2498" t="s">
        <v>79</v>
      </c>
      <c r="F2498" t="str">
        <f>VLOOKUP(Ramen_Ratings[[#This Row],[Country]],Country_Region[#All],2,FALSE)</f>
        <v>Asia</v>
      </c>
      <c r="G2498">
        <v>2.2999999999999998</v>
      </c>
      <c r="H2498" t="str" cm="1">
        <f t="array" ref="H2498">_xlfn.IFS(Ramen_Ratings[[#This Row],[Stars]] = "Unrated", "NA",Ramen_Ratings[[#This Row],[Stars]]&gt;=4, "Good", Ramen_Ratings[[#This Row],[Stars]]&gt;2.5, "Fair", Ramen_Ratings[[#This Row],[Stars]] &gt;= 0, "Bad")</f>
        <v>Bad</v>
      </c>
      <c r="J2498" t="str">
        <f>LEFT(Ramen_Ratings[[#This Row],[Top Ten]],4)</f>
        <v/>
      </c>
      <c r="K2498" t="str">
        <f>IF(Ramen_Ratings[[#This Row],[Top Ten]]="", "",RIGHT(Ramen_Ratings[[#This Row],[Top Ten]],LEN(Ramen_Ratings[[#This Row],[Top Ten]])-6))</f>
        <v/>
      </c>
    </row>
    <row r="2499" spans="1:11" x14ac:dyDescent="0.25">
      <c r="A2499">
        <v>69</v>
      </c>
      <c r="B2499" t="s">
        <v>900</v>
      </c>
      <c r="C2499" t="s">
        <v>2797</v>
      </c>
      <c r="D2499" t="s">
        <v>13</v>
      </c>
      <c r="E2499" t="s">
        <v>79</v>
      </c>
      <c r="F2499" t="str">
        <f>VLOOKUP(Ramen_Ratings[[#This Row],[Country]],Country_Region[#All],2,FALSE)</f>
        <v>Asia</v>
      </c>
      <c r="G2499">
        <v>1.75</v>
      </c>
      <c r="H2499" t="str" cm="1">
        <f t="array" ref="H2499">_xlfn.IFS(Ramen_Ratings[[#This Row],[Stars]] = "Unrated", "NA",Ramen_Ratings[[#This Row],[Stars]]&gt;=4, "Good", Ramen_Ratings[[#This Row],[Stars]]&gt;2.5, "Fair", Ramen_Ratings[[#This Row],[Stars]] &gt;= 0, "Bad")</f>
        <v>Bad</v>
      </c>
      <c r="J2499" t="str">
        <f>LEFT(Ramen_Ratings[[#This Row],[Top Ten]],4)</f>
        <v/>
      </c>
      <c r="K2499" t="str">
        <f>IF(Ramen_Ratings[[#This Row],[Top Ten]]="", "",RIGHT(Ramen_Ratings[[#This Row],[Top Ten]],LEN(Ramen_Ratings[[#This Row],[Top Ten]])-6))</f>
        <v/>
      </c>
    </row>
    <row r="2500" spans="1:11" x14ac:dyDescent="0.25">
      <c r="A2500">
        <v>55</v>
      </c>
      <c r="B2500" t="s">
        <v>2810</v>
      </c>
      <c r="C2500" t="s">
        <v>2811</v>
      </c>
      <c r="D2500" t="s">
        <v>13</v>
      </c>
      <c r="E2500" t="s">
        <v>79</v>
      </c>
      <c r="F2500" t="str">
        <f>VLOOKUP(Ramen_Ratings[[#This Row],[Country]],Country_Region[#All],2,FALSE)</f>
        <v>Asia</v>
      </c>
      <c r="G2500">
        <v>1</v>
      </c>
      <c r="H2500" t="str" cm="1">
        <f t="array" ref="H2500">_xlfn.IFS(Ramen_Ratings[[#This Row],[Stars]] = "Unrated", "NA",Ramen_Ratings[[#This Row],[Stars]]&gt;=4, "Good", Ramen_Ratings[[#This Row],[Stars]]&gt;2.5, "Fair", Ramen_Ratings[[#This Row],[Stars]] &gt;= 0, "Bad")</f>
        <v>Bad</v>
      </c>
      <c r="J2500" t="str">
        <f>LEFT(Ramen_Ratings[[#This Row],[Top Ten]],4)</f>
        <v/>
      </c>
      <c r="K2500" t="str">
        <f>IF(Ramen_Ratings[[#This Row],[Top Ten]]="", "",RIGHT(Ramen_Ratings[[#This Row],[Top Ten]],LEN(Ramen_Ratings[[#This Row],[Top Ten]])-6))</f>
        <v/>
      </c>
    </row>
    <row r="2501" spans="1:11" x14ac:dyDescent="0.25">
      <c r="A2501">
        <v>54</v>
      </c>
      <c r="B2501" t="s">
        <v>2810</v>
      </c>
      <c r="C2501" t="s">
        <v>2812</v>
      </c>
      <c r="D2501" t="s">
        <v>13</v>
      </c>
      <c r="E2501" t="s">
        <v>79</v>
      </c>
      <c r="F2501" t="str">
        <f>VLOOKUP(Ramen_Ratings[[#This Row],[Country]],Country_Region[#All],2,FALSE)</f>
        <v>Asia</v>
      </c>
      <c r="G2501">
        <v>3</v>
      </c>
      <c r="H2501" t="str" cm="1">
        <f t="array" ref="H2501">_xlfn.IFS(Ramen_Ratings[[#This Row],[Stars]] = "Unrated", "NA",Ramen_Ratings[[#This Row],[Stars]]&gt;=4, "Good", Ramen_Ratings[[#This Row],[Stars]]&gt;2.5, "Fair", Ramen_Ratings[[#This Row],[Stars]] &gt;= 0, "Bad")</f>
        <v>Fair</v>
      </c>
      <c r="J2501" t="str">
        <f>LEFT(Ramen_Ratings[[#This Row],[Top Ten]],4)</f>
        <v/>
      </c>
      <c r="K2501" t="str">
        <f>IF(Ramen_Ratings[[#This Row],[Top Ten]]="", "",RIGHT(Ramen_Ratings[[#This Row],[Top Ten]],LEN(Ramen_Ratings[[#This Row],[Top Ten]])-6))</f>
        <v/>
      </c>
    </row>
    <row r="2502" spans="1:11" x14ac:dyDescent="0.25">
      <c r="A2502">
        <v>2242</v>
      </c>
      <c r="B2502" t="s">
        <v>463</v>
      </c>
      <c r="C2502" t="s">
        <v>464</v>
      </c>
      <c r="D2502" t="s">
        <v>9</v>
      </c>
      <c r="E2502" t="s">
        <v>465</v>
      </c>
      <c r="F2502" t="str">
        <f>VLOOKUP(Ramen_Ratings[[#This Row],[Country]],Country_Region[#All],2,FALSE)</f>
        <v>North America</v>
      </c>
      <c r="G2502">
        <v>3</v>
      </c>
      <c r="H2502" t="str" cm="1">
        <f t="array" ref="H2502">_xlfn.IFS(Ramen_Ratings[[#This Row],[Stars]] = "Unrated", "NA",Ramen_Ratings[[#This Row],[Stars]]&gt;=4, "Good", Ramen_Ratings[[#This Row],[Stars]]&gt;2.5, "Fair", Ramen_Ratings[[#This Row],[Stars]] &gt;= 0, "Bad")</f>
        <v>Fair</v>
      </c>
      <c r="J2502" t="str">
        <f>LEFT(Ramen_Ratings[[#This Row],[Top Ten]],4)</f>
        <v/>
      </c>
      <c r="K2502" t="str">
        <f>IF(Ramen_Ratings[[#This Row],[Top Ten]]="", "",RIGHT(Ramen_Ratings[[#This Row],[Top Ten]],LEN(Ramen_Ratings[[#This Row],[Top Ten]])-6))</f>
        <v/>
      </c>
    </row>
    <row r="2503" spans="1:11" x14ac:dyDescent="0.25">
      <c r="A2503">
        <v>2167</v>
      </c>
      <c r="B2503" t="s">
        <v>463</v>
      </c>
      <c r="C2503" t="s">
        <v>552</v>
      </c>
      <c r="D2503" t="s">
        <v>9</v>
      </c>
      <c r="E2503" t="s">
        <v>465</v>
      </c>
      <c r="F2503" t="str">
        <f>VLOOKUP(Ramen_Ratings[[#This Row],[Country]],Country_Region[#All],2,FALSE)</f>
        <v>North America</v>
      </c>
      <c r="G2503">
        <v>3</v>
      </c>
      <c r="H2503" t="str" cm="1">
        <f t="array" ref="H2503">_xlfn.IFS(Ramen_Ratings[[#This Row],[Stars]] = "Unrated", "NA",Ramen_Ratings[[#This Row],[Stars]]&gt;=4, "Good", Ramen_Ratings[[#This Row],[Stars]]&gt;2.5, "Fair", Ramen_Ratings[[#This Row],[Stars]] &gt;= 0, "Bad")</f>
        <v>Fair</v>
      </c>
      <c r="J2503" t="str">
        <f>LEFT(Ramen_Ratings[[#This Row],[Top Ten]],4)</f>
        <v/>
      </c>
      <c r="K2503" t="str">
        <f>IF(Ramen_Ratings[[#This Row],[Top Ten]]="", "",RIGHT(Ramen_Ratings[[#This Row],[Top Ten]],LEN(Ramen_Ratings[[#This Row],[Top Ten]])-6))</f>
        <v/>
      </c>
    </row>
    <row r="2504" spans="1:11" x14ac:dyDescent="0.25">
      <c r="A2504">
        <v>2110</v>
      </c>
      <c r="B2504" t="s">
        <v>463</v>
      </c>
      <c r="C2504" t="s">
        <v>615</v>
      </c>
      <c r="D2504" t="s">
        <v>13</v>
      </c>
      <c r="E2504" t="s">
        <v>465</v>
      </c>
      <c r="F2504" t="str">
        <f>VLOOKUP(Ramen_Ratings[[#This Row],[Country]],Country_Region[#All],2,FALSE)</f>
        <v>North America</v>
      </c>
      <c r="G2504">
        <v>3</v>
      </c>
      <c r="H2504" t="str" cm="1">
        <f t="array" ref="H2504">_xlfn.IFS(Ramen_Ratings[[#This Row],[Stars]] = "Unrated", "NA",Ramen_Ratings[[#This Row],[Stars]]&gt;=4, "Good", Ramen_Ratings[[#This Row],[Stars]]&gt;2.5, "Fair", Ramen_Ratings[[#This Row],[Stars]] &gt;= 0, "Bad")</f>
        <v>Fair</v>
      </c>
      <c r="J2504" t="str">
        <f>LEFT(Ramen_Ratings[[#This Row],[Top Ten]],4)</f>
        <v/>
      </c>
      <c r="K2504" t="str">
        <f>IF(Ramen_Ratings[[#This Row],[Top Ten]]="", "",RIGHT(Ramen_Ratings[[#This Row],[Top Ten]],LEN(Ramen_Ratings[[#This Row],[Top Ten]])-6))</f>
        <v/>
      </c>
    </row>
    <row r="2505" spans="1:11" x14ac:dyDescent="0.25">
      <c r="A2505">
        <v>2073</v>
      </c>
      <c r="B2505" t="s">
        <v>463</v>
      </c>
      <c r="C2505" t="s">
        <v>657</v>
      </c>
      <c r="D2505" t="s">
        <v>13</v>
      </c>
      <c r="E2505" t="s">
        <v>465</v>
      </c>
      <c r="F2505" t="str">
        <f>VLOOKUP(Ramen_Ratings[[#This Row],[Country]],Country_Region[#All],2,FALSE)</f>
        <v>North America</v>
      </c>
      <c r="G2505">
        <v>4</v>
      </c>
      <c r="H2505" t="str" cm="1">
        <f t="array" ref="H2505">_xlfn.IFS(Ramen_Ratings[[#This Row],[Stars]] = "Unrated", "NA",Ramen_Ratings[[#This Row],[Stars]]&gt;=4, "Good", Ramen_Ratings[[#This Row],[Stars]]&gt;2.5, "Fair", Ramen_Ratings[[#This Row],[Stars]] &gt;= 0, "Bad")</f>
        <v>Good</v>
      </c>
      <c r="J2505" t="str">
        <f>LEFT(Ramen_Ratings[[#This Row],[Top Ten]],4)</f>
        <v/>
      </c>
      <c r="K2505" t="str">
        <f>IF(Ramen_Ratings[[#This Row],[Top Ten]]="", "",RIGHT(Ramen_Ratings[[#This Row],[Top Ten]],LEN(Ramen_Ratings[[#This Row],[Top Ten]])-6))</f>
        <v/>
      </c>
    </row>
    <row r="2506" spans="1:11" x14ac:dyDescent="0.25">
      <c r="A2506">
        <v>2045</v>
      </c>
      <c r="B2506" t="s">
        <v>463</v>
      </c>
      <c r="C2506" t="s">
        <v>689</v>
      </c>
      <c r="D2506" t="s">
        <v>13</v>
      </c>
      <c r="E2506" t="s">
        <v>465</v>
      </c>
      <c r="F2506" t="str">
        <f>VLOOKUP(Ramen_Ratings[[#This Row],[Country]],Country_Region[#All],2,FALSE)</f>
        <v>North America</v>
      </c>
      <c r="G2506">
        <v>3.5</v>
      </c>
      <c r="H2506" t="str" cm="1">
        <f t="array" ref="H2506">_xlfn.IFS(Ramen_Ratings[[#This Row],[Stars]] = "Unrated", "NA",Ramen_Ratings[[#This Row],[Stars]]&gt;=4, "Good", Ramen_Ratings[[#This Row],[Stars]]&gt;2.5, "Fair", Ramen_Ratings[[#This Row],[Stars]] &gt;= 0, "Bad")</f>
        <v>Fair</v>
      </c>
      <c r="J2506" t="str">
        <f>LEFT(Ramen_Ratings[[#This Row],[Top Ten]],4)</f>
        <v/>
      </c>
      <c r="K2506" t="str">
        <f>IF(Ramen_Ratings[[#This Row],[Top Ten]]="", "",RIGHT(Ramen_Ratings[[#This Row],[Top Ten]],LEN(Ramen_Ratings[[#This Row],[Top Ten]])-6))</f>
        <v/>
      </c>
    </row>
    <row r="2507" spans="1:11" x14ac:dyDescent="0.25">
      <c r="A2507">
        <v>2016</v>
      </c>
      <c r="B2507" t="s">
        <v>463</v>
      </c>
      <c r="C2507" t="s">
        <v>722</v>
      </c>
      <c r="D2507" t="s">
        <v>9</v>
      </c>
      <c r="E2507" t="s">
        <v>465</v>
      </c>
      <c r="F2507" t="str">
        <f>VLOOKUP(Ramen_Ratings[[#This Row],[Country]],Country_Region[#All],2,FALSE)</f>
        <v>North America</v>
      </c>
      <c r="G2507">
        <v>3.5</v>
      </c>
      <c r="H2507" t="str" cm="1">
        <f t="array" ref="H2507">_xlfn.IFS(Ramen_Ratings[[#This Row],[Stars]] = "Unrated", "NA",Ramen_Ratings[[#This Row],[Stars]]&gt;=4, "Good", Ramen_Ratings[[#This Row],[Stars]]&gt;2.5, "Fair", Ramen_Ratings[[#This Row],[Stars]] &gt;= 0, "Bad")</f>
        <v>Fair</v>
      </c>
      <c r="J2507" t="str">
        <f>LEFT(Ramen_Ratings[[#This Row],[Top Ten]],4)</f>
        <v/>
      </c>
      <c r="K2507" t="str">
        <f>IF(Ramen_Ratings[[#This Row],[Top Ten]]="", "",RIGHT(Ramen_Ratings[[#This Row],[Top Ten]],LEN(Ramen_Ratings[[#This Row],[Top Ten]])-6))</f>
        <v/>
      </c>
    </row>
    <row r="2508" spans="1:11" x14ac:dyDescent="0.25">
      <c r="A2508">
        <v>2013</v>
      </c>
      <c r="B2508" t="s">
        <v>463</v>
      </c>
      <c r="C2508" t="s">
        <v>725</v>
      </c>
      <c r="D2508" t="s">
        <v>13</v>
      </c>
      <c r="E2508" t="s">
        <v>465</v>
      </c>
      <c r="F2508" t="str">
        <f>VLOOKUP(Ramen_Ratings[[#This Row],[Country]],Country_Region[#All],2,FALSE)</f>
        <v>North America</v>
      </c>
      <c r="G2508">
        <v>3.5</v>
      </c>
      <c r="H2508" t="str" cm="1">
        <f t="array" ref="H2508">_xlfn.IFS(Ramen_Ratings[[#This Row],[Stars]] = "Unrated", "NA",Ramen_Ratings[[#This Row],[Stars]]&gt;=4, "Good", Ramen_Ratings[[#This Row],[Stars]]&gt;2.5, "Fair", Ramen_Ratings[[#This Row],[Stars]] &gt;= 0, "Bad")</f>
        <v>Fair</v>
      </c>
      <c r="J2508" t="str">
        <f>LEFT(Ramen_Ratings[[#This Row],[Top Ten]],4)</f>
        <v/>
      </c>
      <c r="K2508" t="str">
        <f>IF(Ramen_Ratings[[#This Row],[Top Ten]]="", "",RIGHT(Ramen_Ratings[[#This Row],[Top Ten]],LEN(Ramen_Ratings[[#This Row],[Top Ten]])-6))</f>
        <v/>
      </c>
    </row>
    <row r="2509" spans="1:11" x14ac:dyDescent="0.25">
      <c r="A2509">
        <v>1795</v>
      </c>
      <c r="B2509" t="s">
        <v>981</v>
      </c>
      <c r="C2509" t="s">
        <v>982</v>
      </c>
      <c r="D2509" t="s">
        <v>13</v>
      </c>
      <c r="E2509" t="s">
        <v>465</v>
      </c>
      <c r="F2509" t="str">
        <f>VLOOKUP(Ramen_Ratings[[#This Row],[Country]],Country_Region[#All],2,FALSE)</f>
        <v>North America</v>
      </c>
      <c r="G2509">
        <v>0</v>
      </c>
      <c r="H2509" t="str" cm="1">
        <f t="array" ref="H2509">_xlfn.IFS(Ramen_Ratings[[#This Row],[Stars]] = "Unrated", "NA",Ramen_Ratings[[#This Row],[Stars]]&gt;=4, "Good", Ramen_Ratings[[#This Row],[Stars]]&gt;2.5, "Fair", Ramen_Ratings[[#This Row],[Stars]] &gt;= 0, "Bad")</f>
        <v>Bad</v>
      </c>
      <c r="J2509" t="str">
        <f>LEFT(Ramen_Ratings[[#This Row],[Top Ten]],4)</f>
        <v/>
      </c>
      <c r="K2509" t="str">
        <f>IF(Ramen_Ratings[[#This Row],[Top Ten]]="", "",RIGHT(Ramen_Ratings[[#This Row],[Top Ten]],LEN(Ramen_Ratings[[#This Row],[Top Ten]])-6))</f>
        <v/>
      </c>
    </row>
    <row r="2510" spans="1:11" x14ac:dyDescent="0.25">
      <c r="A2510">
        <v>1782</v>
      </c>
      <c r="B2510" t="s">
        <v>996</v>
      </c>
      <c r="C2510" t="s">
        <v>997</v>
      </c>
      <c r="D2510" t="s">
        <v>13</v>
      </c>
      <c r="E2510" t="s">
        <v>465</v>
      </c>
      <c r="F2510" t="str">
        <f>VLOOKUP(Ramen_Ratings[[#This Row],[Country]],Country_Region[#All],2,FALSE)</f>
        <v>North America</v>
      </c>
      <c r="G2510">
        <v>0</v>
      </c>
      <c r="H2510" t="str" cm="1">
        <f t="array" ref="H2510">_xlfn.IFS(Ramen_Ratings[[#This Row],[Stars]] = "Unrated", "NA",Ramen_Ratings[[#This Row],[Stars]]&gt;=4, "Good", Ramen_Ratings[[#This Row],[Stars]]&gt;2.5, "Fair", Ramen_Ratings[[#This Row],[Stars]] &gt;= 0, "Bad")</f>
        <v>Bad</v>
      </c>
      <c r="J2510" t="str">
        <f>LEFT(Ramen_Ratings[[#This Row],[Top Ten]],4)</f>
        <v/>
      </c>
      <c r="K2510" t="str">
        <f>IF(Ramen_Ratings[[#This Row],[Top Ten]]="", "",RIGHT(Ramen_Ratings[[#This Row],[Top Ten]],LEN(Ramen_Ratings[[#This Row],[Top Ten]])-6))</f>
        <v/>
      </c>
    </row>
    <row r="2511" spans="1:11" x14ac:dyDescent="0.25">
      <c r="A2511">
        <v>1748</v>
      </c>
      <c r="B2511" t="s">
        <v>981</v>
      </c>
      <c r="C2511" t="s">
        <v>1032</v>
      </c>
      <c r="D2511" t="s">
        <v>9</v>
      </c>
      <c r="E2511" t="s">
        <v>465</v>
      </c>
      <c r="F2511" t="str">
        <f>VLOOKUP(Ramen_Ratings[[#This Row],[Country]],Country_Region[#All],2,FALSE)</f>
        <v>North America</v>
      </c>
      <c r="G2511">
        <v>3</v>
      </c>
      <c r="H2511" t="str" cm="1">
        <f t="array" ref="H2511">_xlfn.IFS(Ramen_Ratings[[#This Row],[Stars]] = "Unrated", "NA",Ramen_Ratings[[#This Row],[Stars]]&gt;=4, "Good", Ramen_Ratings[[#This Row],[Stars]]&gt;2.5, "Fair", Ramen_Ratings[[#This Row],[Stars]] &gt;= 0, "Bad")</f>
        <v>Fair</v>
      </c>
      <c r="J2511" t="str">
        <f>LEFT(Ramen_Ratings[[#This Row],[Top Ten]],4)</f>
        <v/>
      </c>
      <c r="K2511" t="str">
        <f>IF(Ramen_Ratings[[#This Row],[Top Ten]]="", "",RIGHT(Ramen_Ratings[[#This Row],[Top Ten]],LEN(Ramen_Ratings[[#This Row],[Top Ten]])-6))</f>
        <v/>
      </c>
    </row>
    <row r="2512" spans="1:11" x14ac:dyDescent="0.25">
      <c r="A2512">
        <v>1707</v>
      </c>
      <c r="B2512" t="s">
        <v>981</v>
      </c>
      <c r="C2512" t="s">
        <v>1080</v>
      </c>
      <c r="D2512" t="s">
        <v>44</v>
      </c>
      <c r="E2512" t="s">
        <v>465</v>
      </c>
      <c r="F2512" t="str">
        <f>VLOOKUP(Ramen_Ratings[[#This Row],[Country]],Country_Region[#All],2,FALSE)</f>
        <v>North America</v>
      </c>
      <c r="G2512">
        <v>3.5</v>
      </c>
      <c r="H2512" t="str" cm="1">
        <f t="array" ref="H2512">_xlfn.IFS(Ramen_Ratings[[#This Row],[Stars]] = "Unrated", "NA",Ramen_Ratings[[#This Row],[Stars]]&gt;=4, "Good", Ramen_Ratings[[#This Row],[Stars]]&gt;2.5, "Fair", Ramen_Ratings[[#This Row],[Stars]] &gt;= 0, "Bad")</f>
        <v>Fair</v>
      </c>
      <c r="J2512" t="str">
        <f>LEFT(Ramen_Ratings[[#This Row],[Top Ten]],4)</f>
        <v/>
      </c>
      <c r="K2512" t="str">
        <f>IF(Ramen_Ratings[[#This Row],[Top Ten]]="", "",RIGHT(Ramen_Ratings[[#This Row],[Top Ten]],LEN(Ramen_Ratings[[#This Row],[Top Ten]])-6))</f>
        <v/>
      </c>
    </row>
    <row r="2513" spans="1:11" x14ac:dyDescent="0.25">
      <c r="A2513">
        <v>1672</v>
      </c>
      <c r="B2513" t="s">
        <v>981</v>
      </c>
      <c r="C2513" t="s">
        <v>1118</v>
      </c>
      <c r="D2513" t="s">
        <v>9</v>
      </c>
      <c r="E2513" t="s">
        <v>465</v>
      </c>
      <c r="F2513" t="str">
        <f>VLOOKUP(Ramen_Ratings[[#This Row],[Country]],Country_Region[#All],2,FALSE)</f>
        <v>North America</v>
      </c>
      <c r="G2513">
        <v>3.25</v>
      </c>
      <c r="H2513" t="str" cm="1">
        <f t="array" ref="H2513">_xlfn.IFS(Ramen_Ratings[[#This Row],[Stars]] = "Unrated", "NA",Ramen_Ratings[[#This Row],[Stars]]&gt;=4, "Good", Ramen_Ratings[[#This Row],[Stars]]&gt;2.5, "Fair", Ramen_Ratings[[#This Row],[Stars]] &gt;= 0, "Bad")</f>
        <v>Fair</v>
      </c>
      <c r="J2513" t="str">
        <f>LEFT(Ramen_Ratings[[#This Row],[Top Ten]],4)</f>
        <v/>
      </c>
      <c r="K2513" t="str">
        <f>IF(Ramen_Ratings[[#This Row],[Top Ten]]="", "",RIGHT(Ramen_Ratings[[#This Row],[Top Ten]],LEN(Ramen_Ratings[[#This Row],[Top Ten]])-6))</f>
        <v/>
      </c>
    </row>
    <row r="2514" spans="1:11" x14ac:dyDescent="0.25">
      <c r="A2514">
        <v>1647</v>
      </c>
      <c r="B2514" t="s">
        <v>1153</v>
      </c>
      <c r="C2514" t="s">
        <v>1154</v>
      </c>
      <c r="D2514" t="s">
        <v>9</v>
      </c>
      <c r="E2514" t="s">
        <v>465</v>
      </c>
      <c r="F2514" t="str">
        <f>VLOOKUP(Ramen_Ratings[[#This Row],[Country]],Country_Region[#All],2,FALSE)</f>
        <v>North America</v>
      </c>
      <c r="G2514">
        <v>2.75</v>
      </c>
      <c r="H2514" t="str" cm="1">
        <f t="array" ref="H2514">_xlfn.IFS(Ramen_Ratings[[#This Row],[Stars]] = "Unrated", "NA",Ramen_Ratings[[#This Row],[Stars]]&gt;=4, "Good", Ramen_Ratings[[#This Row],[Stars]]&gt;2.5, "Fair", Ramen_Ratings[[#This Row],[Stars]] &gt;= 0, "Bad")</f>
        <v>Fair</v>
      </c>
      <c r="J2514" t="str">
        <f>LEFT(Ramen_Ratings[[#This Row],[Top Ten]],4)</f>
        <v/>
      </c>
      <c r="K2514" t="str">
        <f>IF(Ramen_Ratings[[#This Row],[Top Ten]]="", "",RIGHT(Ramen_Ratings[[#This Row],[Top Ten]],LEN(Ramen_Ratings[[#This Row],[Top Ten]])-6))</f>
        <v/>
      </c>
    </row>
    <row r="2515" spans="1:11" x14ac:dyDescent="0.25">
      <c r="A2515">
        <v>1642</v>
      </c>
      <c r="B2515" t="s">
        <v>1162</v>
      </c>
      <c r="C2515" t="s">
        <v>1163</v>
      </c>
      <c r="D2515" t="s">
        <v>9</v>
      </c>
      <c r="E2515" t="s">
        <v>465</v>
      </c>
      <c r="F2515" t="str">
        <f>VLOOKUP(Ramen_Ratings[[#This Row],[Country]],Country_Region[#All],2,FALSE)</f>
        <v>North America</v>
      </c>
      <c r="G2515">
        <v>0.25</v>
      </c>
      <c r="H2515" t="str" cm="1">
        <f t="array" ref="H2515">_xlfn.IFS(Ramen_Ratings[[#This Row],[Stars]] = "Unrated", "NA",Ramen_Ratings[[#This Row],[Stars]]&gt;=4, "Good", Ramen_Ratings[[#This Row],[Stars]]&gt;2.5, "Fair", Ramen_Ratings[[#This Row],[Stars]] &gt;= 0, "Bad")</f>
        <v>Bad</v>
      </c>
      <c r="J2515" t="str">
        <f>LEFT(Ramen_Ratings[[#This Row],[Top Ten]],4)</f>
        <v/>
      </c>
      <c r="K2515" t="str">
        <f>IF(Ramen_Ratings[[#This Row],[Top Ten]]="", "",RIGHT(Ramen_Ratings[[#This Row],[Top Ten]],LEN(Ramen_Ratings[[#This Row],[Top Ten]])-6))</f>
        <v/>
      </c>
    </row>
    <row r="2516" spans="1:11" x14ac:dyDescent="0.25">
      <c r="A2516">
        <v>1628</v>
      </c>
      <c r="B2516" t="s">
        <v>981</v>
      </c>
      <c r="C2516" t="s">
        <v>1180</v>
      </c>
      <c r="D2516" t="s">
        <v>9</v>
      </c>
      <c r="E2516" t="s">
        <v>465</v>
      </c>
      <c r="F2516" t="str">
        <f>VLOOKUP(Ramen_Ratings[[#This Row],[Country]],Country_Region[#All],2,FALSE)</f>
        <v>North America</v>
      </c>
      <c r="G2516">
        <v>0</v>
      </c>
      <c r="H2516" t="str" cm="1">
        <f t="array" ref="H2516">_xlfn.IFS(Ramen_Ratings[[#This Row],[Stars]] = "Unrated", "NA",Ramen_Ratings[[#This Row],[Stars]]&gt;=4, "Good", Ramen_Ratings[[#This Row],[Stars]]&gt;2.5, "Fair", Ramen_Ratings[[#This Row],[Stars]] &gt;= 0, "Bad")</f>
        <v>Bad</v>
      </c>
      <c r="J2516" t="str">
        <f>LEFT(Ramen_Ratings[[#This Row],[Top Ten]],4)</f>
        <v/>
      </c>
      <c r="K2516" t="str">
        <f>IF(Ramen_Ratings[[#This Row],[Top Ten]]="", "",RIGHT(Ramen_Ratings[[#This Row],[Top Ten]],LEN(Ramen_Ratings[[#This Row],[Top Ten]])-6))</f>
        <v/>
      </c>
    </row>
    <row r="2517" spans="1:11" x14ac:dyDescent="0.25">
      <c r="A2517">
        <v>1558</v>
      </c>
      <c r="B2517" t="s">
        <v>1153</v>
      </c>
      <c r="C2517" t="s">
        <v>1264</v>
      </c>
      <c r="D2517" t="s">
        <v>9</v>
      </c>
      <c r="E2517" t="s">
        <v>465</v>
      </c>
      <c r="F2517" t="str">
        <f>VLOOKUP(Ramen_Ratings[[#This Row],[Country]],Country_Region[#All],2,FALSE)</f>
        <v>North America</v>
      </c>
      <c r="G2517">
        <v>2</v>
      </c>
      <c r="H2517" t="str" cm="1">
        <f t="array" ref="H2517">_xlfn.IFS(Ramen_Ratings[[#This Row],[Stars]] = "Unrated", "NA",Ramen_Ratings[[#This Row],[Stars]]&gt;=4, "Good", Ramen_Ratings[[#This Row],[Stars]]&gt;2.5, "Fair", Ramen_Ratings[[#This Row],[Stars]] &gt;= 0, "Bad")</f>
        <v>Bad</v>
      </c>
      <c r="J2517" t="str">
        <f>LEFT(Ramen_Ratings[[#This Row],[Top Ten]],4)</f>
        <v/>
      </c>
      <c r="K2517" t="str">
        <f>IF(Ramen_Ratings[[#This Row],[Top Ten]]="", "",RIGHT(Ramen_Ratings[[#This Row],[Top Ten]],LEN(Ramen_Ratings[[#This Row],[Top Ten]])-6))</f>
        <v/>
      </c>
    </row>
    <row r="2518" spans="1:11" x14ac:dyDescent="0.25">
      <c r="A2518">
        <v>1549</v>
      </c>
      <c r="B2518" t="s">
        <v>374</v>
      </c>
      <c r="C2518" t="s">
        <v>1275</v>
      </c>
      <c r="D2518" t="s">
        <v>13</v>
      </c>
      <c r="E2518" t="s">
        <v>465</v>
      </c>
      <c r="F2518" t="str">
        <f>VLOOKUP(Ramen_Ratings[[#This Row],[Country]],Country_Region[#All],2,FALSE)</f>
        <v>North America</v>
      </c>
      <c r="G2518">
        <v>5</v>
      </c>
      <c r="H2518" t="str" cm="1">
        <f t="array" ref="H2518">_xlfn.IFS(Ramen_Ratings[[#This Row],[Stars]] = "Unrated", "NA",Ramen_Ratings[[#This Row],[Stars]]&gt;=4, "Good", Ramen_Ratings[[#This Row],[Stars]]&gt;2.5, "Fair", Ramen_Ratings[[#This Row],[Stars]] &gt;= 0, "Bad")</f>
        <v>Good</v>
      </c>
      <c r="J2518" t="str">
        <f>LEFT(Ramen_Ratings[[#This Row],[Top Ten]],4)</f>
        <v/>
      </c>
      <c r="K2518" t="str">
        <f>IF(Ramen_Ratings[[#This Row],[Top Ten]]="", "",RIGHT(Ramen_Ratings[[#This Row],[Top Ten]],LEN(Ramen_Ratings[[#This Row],[Top Ten]])-6))</f>
        <v/>
      </c>
    </row>
    <row r="2519" spans="1:11" x14ac:dyDescent="0.25">
      <c r="A2519">
        <v>1371</v>
      </c>
      <c r="B2519" t="s">
        <v>1162</v>
      </c>
      <c r="C2519" t="s">
        <v>1466</v>
      </c>
      <c r="D2519" t="s">
        <v>9</v>
      </c>
      <c r="E2519" t="s">
        <v>465</v>
      </c>
      <c r="F2519" t="str">
        <f>VLOOKUP(Ramen_Ratings[[#This Row],[Country]],Country_Region[#All],2,FALSE)</f>
        <v>North America</v>
      </c>
      <c r="G2519">
        <v>0</v>
      </c>
      <c r="H2519" t="str" cm="1">
        <f t="array" ref="H2519">_xlfn.IFS(Ramen_Ratings[[#This Row],[Stars]] = "Unrated", "NA",Ramen_Ratings[[#This Row],[Stars]]&gt;=4, "Good", Ramen_Ratings[[#This Row],[Stars]]&gt;2.5, "Fair", Ramen_Ratings[[#This Row],[Stars]] &gt;= 0, "Bad")</f>
        <v>Bad</v>
      </c>
      <c r="J2519" t="str">
        <f>LEFT(Ramen_Ratings[[#This Row],[Top Ten]],4)</f>
        <v/>
      </c>
      <c r="K2519" t="str">
        <f>IF(Ramen_Ratings[[#This Row],[Top Ten]]="", "",RIGHT(Ramen_Ratings[[#This Row],[Top Ten]],LEN(Ramen_Ratings[[#This Row],[Top Ten]])-6))</f>
        <v/>
      </c>
    </row>
    <row r="2520" spans="1:11" x14ac:dyDescent="0.25">
      <c r="A2520">
        <v>1341</v>
      </c>
      <c r="B2520" t="s">
        <v>1498</v>
      </c>
      <c r="C2520" t="s">
        <v>1499</v>
      </c>
      <c r="D2520" t="s">
        <v>44</v>
      </c>
      <c r="E2520" t="s">
        <v>465</v>
      </c>
      <c r="F2520" t="str">
        <f>VLOOKUP(Ramen_Ratings[[#This Row],[Country]],Country_Region[#All],2,FALSE)</f>
        <v>North America</v>
      </c>
      <c r="G2520">
        <v>5</v>
      </c>
      <c r="H2520" t="str" cm="1">
        <f t="array" ref="H2520">_xlfn.IFS(Ramen_Ratings[[#This Row],[Stars]] = "Unrated", "NA",Ramen_Ratings[[#This Row],[Stars]]&gt;=4, "Good", Ramen_Ratings[[#This Row],[Stars]]&gt;2.5, "Fair", Ramen_Ratings[[#This Row],[Stars]] &gt;= 0, "Bad")</f>
        <v>Good</v>
      </c>
      <c r="J2520" t="str">
        <f>LEFT(Ramen_Ratings[[#This Row],[Top Ten]],4)</f>
        <v/>
      </c>
      <c r="K2520" t="str">
        <f>IF(Ramen_Ratings[[#This Row],[Top Ten]]="", "",RIGHT(Ramen_Ratings[[#This Row],[Top Ten]],LEN(Ramen_Ratings[[#This Row],[Top Ten]])-6))</f>
        <v/>
      </c>
    </row>
    <row r="2521" spans="1:11" x14ac:dyDescent="0.25">
      <c r="A2521">
        <v>1303</v>
      </c>
      <c r="B2521" t="s">
        <v>996</v>
      </c>
      <c r="C2521" t="s">
        <v>1541</v>
      </c>
      <c r="D2521" t="s">
        <v>9</v>
      </c>
      <c r="E2521" t="s">
        <v>465</v>
      </c>
      <c r="F2521" t="str">
        <f>VLOOKUP(Ramen_Ratings[[#This Row],[Country]],Country_Region[#All],2,FALSE)</f>
        <v>North America</v>
      </c>
      <c r="G2521">
        <v>1.5</v>
      </c>
      <c r="H2521" t="str" cm="1">
        <f t="array" ref="H2521">_xlfn.IFS(Ramen_Ratings[[#This Row],[Stars]] = "Unrated", "NA",Ramen_Ratings[[#This Row],[Stars]]&gt;=4, "Good", Ramen_Ratings[[#This Row],[Stars]]&gt;2.5, "Fair", Ramen_Ratings[[#This Row],[Stars]] &gt;= 0, "Bad")</f>
        <v>Bad</v>
      </c>
      <c r="J2521" t="str">
        <f>LEFT(Ramen_Ratings[[#This Row],[Top Ten]],4)</f>
        <v/>
      </c>
      <c r="K2521" t="str">
        <f>IF(Ramen_Ratings[[#This Row],[Top Ten]]="", "",RIGHT(Ramen_Ratings[[#This Row],[Top Ten]],LEN(Ramen_Ratings[[#This Row],[Top Ten]])-6))</f>
        <v/>
      </c>
    </row>
    <row r="2522" spans="1:11" x14ac:dyDescent="0.25">
      <c r="A2522">
        <v>1299</v>
      </c>
      <c r="B2522" t="s">
        <v>1546</v>
      </c>
      <c r="C2522" t="s">
        <v>1547</v>
      </c>
      <c r="D2522" t="s">
        <v>9</v>
      </c>
      <c r="E2522" t="s">
        <v>465</v>
      </c>
      <c r="F2522" t="str">
        <f>VLOOKUP(Ramen_Ratings[[#This Row],[Country]],Country_Region[#All],2,FALSE)</f>
        <v>North America</v>
      </c>
      <c r="G2522">
        <v>1</v>
      </c>
      <c r="H2522" t="str" cm="1">
        <f t="array" ref="H2522">_xlfn.IFS(Ramen_Ratings[[#This Row],[Stars]] = "Unrated", "NA",Ramen_Ratings[[#This Row],[Stars]]&gt;=4, "Good", Ramen_Ratings[[#This Row],[Stars]]&gt;2.5, "Fair", Ramen_Ratings[[#This Row],[Stars]] &gt;= 0, "Bad")</f>
        <v>Bad</v>
      </c>
      <c r="J2522" t="str">
        <f>LEFT(Ramen_Ratings[[#This Row],[Top Ten]],4)</f>
        <v/>
      </c>
      <c r="K2522" t="str">
        <f>IF(Ramen_Ratings[[#This Row],[Top Ten]]="", "",RIGHT(Ramen_Ratings[[#This Row],[Top Ten]],LEN(Ramen_Ratings[[#This Row],[Top Ten]])-6))</f>
        <v/>
      </c>
    </row>
    <row r="2523" spans="1:11" x14ac:dyDescent="0.25">
      <c r="A2523">
        <v>1227</v>
      </c>
      <c r="B2523" t="s">
        <v>1546</v>
      </c>
      <c r="C2523" t="s">
        <v>1627</v>
      </c>
      <c r="D2523" t="s">
        <v>44</v>
      </c>
      <c r="E2523" t="s">
        <v>465</v>
      </c>
      <c r="F2523" t="str">
        <f>VLOOKUP(Ramen_Ratings[[#This Row],[Country]],Country_Region[#All],2,FALSE)</f>
        <v>North America</v>
      </c>
      <c r="G2523">
        <v>0.5</v>
      </c>
      <c r="H2523" t="str" cm="1">
        <f t="array" ref="H2523">_xlfn.IFS(Ramen_Ratings[[#This Row],[Stars]] = "Unrated", "NA",Ramen_Ratings[[#This Row],[Stars]]&gt;=4, "Good", Ramen_Ratings[[#This Row],[Stars]]&gt;2.5, "Fair", Ramen_Ratings[[#This Row],[Stars]] &gt;= 0, "Bad")</f>
        <v>Bad</v>
      </c>
      <c r="J2523" t="str">
        <f>LEFT(Ramen_Ratings[[#This Row],[Top Ten]],4)</f>
        <v/>
      </c>
      <c r="K2523" t="str">
        <f>IF(Ramen_Ratings[[#This Row],[Top Ten]]="", "",RIGHT(Ramen_Ratings[[#This Row],[Top Ten]],LEN(Ramen_Ratings[[#This Row],[Top Ten]])-6))</f>
        <v/>
      </c>
    </row>
    <row r="2524" spans="1:11" x14ac:dyDescent="0.25">
      <c r="A2524">
        <v>1169</v>
      </c>
      <c r="B2524" t="s">
        <v>1546</v>
      </c>
      <c r="C2524" t="s">
        <v>1690</v>
      </c>
      <c r="D2524" t="s">
        <v>9</v>
      </c>
      <c r="E2524" t="s">
        <v>465</v>
      </c>
      <c r="F2524" t="str">
        <f>VLOOKUP(Ramen_Ratings[[#This Row],[Country]],Country_Region[#All],2,FALSE)</f>
        <v>North America</v>
      </c>
      <c r="G2524">
        <v>1.75</v>
      </c>
      <c r="H2524" t="str" cm="1">
        <f t="array" ref="H2524">_xlfn.IFS(Ramen_Ratings[[#This Row],[Stars]] = "Unrated", "NA",Ramen_Ratings[[#This Row],[Stars]]&gt;=4, "Good", Ramen_Ratings[[#This Row],[Stars]]&gt;2.5, "Fair", Ramen_Ratings[[#This Row],[Stars]] &gt;= 0, "Bad")</f>
        <v>Bad</v>
      </c>
      <c r="J2524" t="str">
        <f>LEFT(Ramen_Ratings[[#This Row],[Top Ten]],4)</f>
        <v/>
      </c>
      <c r="K2524" t="str">
        <f>IF(Ramen_Ratings[[#This Row],[Top Ten]]="", "",RIGHT(Ramen_Ratings[[#This Row],[Top Ten]],LEN(Ramen_Ratings[[#This Row],[Top Ten]])-6))</f>
        <v/>
      </c>
    </row>
    <row r="2525" spans="1:11" x14ac:dyDescent="0.25">
      <c r="A2525">
        <v>1164</v>
      </c>
      <c r="B2525" t="s">
        <v>1546</v>
      </c>
      <c r="C2525" t="s">
        <v>1694</v>
      </c>
      <c r="D2525" t="s">
        <v>44</v>
      </c>
      <c r="E2525" t="s">
        <v>465</v>
      </c>
      <c r="F2525" t="str">
        <f>VLOOKUP(Ramen_Ratings[[#This Row],[Country]],Country_Region[#All],2,FALSE)</f>
        <v>North America</v>
      </c>
      <c r="G2525">
        <v>2</v>
      </c>
      <c r="H2525" t="str" cm="1">
        <f t="array" ref="H2525">_xlfn.IFS(Ramen_Ratings[[#This Row],[Stars]] = "Unrated", "NA",Ramen_Ratings[[#This Row],[Stars]]&gt;=4, "Good", Ramen_Ratings[[#This Row],[Stars]]&gt;2.5, "Fair", Ramen_Ratings[[#This Row],[Stars]] &gt;= 0, "Bad")</f>
        <v>Bad</v>
      </c>
      <c r="J2525" t="str">
        <f>LEFT(Ramen_Ratings[[#This Row],[Top Ten]],4)</f>
        <v/>
      </c>
      <c r="K2525" t="str">
        <f>IF(Ramen_Ratings[[#This Row],[Top Ten]]="", "",RIGHT(Ramen_Ratings[[#This Row],[Top Ten]],LEN(Ramen_Ratings[[#This Row],[Top Ten]])-6))</f>
        <v/>
      </c>
    </row>
    <row r="2526" spans="1:11" x14ac:dyDescent="0.25">
      <c r="A2526">
        <v>1127</v>
      </c>
      <c r="B2526" t="s">
        <v>1162</v>
      </c>
      <c r="C2526" t="s">
        <v>1733</v>
      </c>
      <c r="D2526" t="s">
        <v>9</v>
      </c>
      <c r="E2526" t="s">
        <v>465</v>
      </c>
      <c r="F2526" t="str">
        <f>VLOOKUP(Ramen_Ratings[[#This Row],[Country]],Country_Region[#All],2,FALSE)</f>
        <v>North America</v>
      </c>
      <c r="G2526">
        <v>2.75</v>
      </c>
      <c r="H2526" t="str" cm="1">
        <f t="array" ref="H2526">_xlfn.IFS(Ramen_Ratings[[#This Row],[Stars]] = "Unrated", "NA",Ramen_Ratings[[#This Row],[Stars]]&gt;=4, "Good", Ramen_Ratings[[#This Row],[Stars]]&gt;2.5, "Fair", Ramen_Ratings[[#This Row],[Stars]] &gt;= 0, "Bad")</f>
        <v>Fair</v>
      </c>
      <c r="J2526" t="str">
        <f>LEFT(Ramen_Ratings[[#This Row],[Top Ten]],4)</f>
        <v/>
      </c>
      <c r="K2526" t="str">
        <f>IF(Ramen_Ratings[[#This Row],[Top Ten]]="", "",RIGHT(Ramen_Ratings[[#This Row],[Top Ten]],LEN(Ramen_Ratings[[#This Row],[Top Ten]])-6))</f>
        <v/>
      </c>
    </row>
    <row r="2527" spans="1:11" x14ac:dyDescent="0.25">
      <c r="A2527">
        <v>1118</v>
      </c>
      <c r="B2527" t="s">
        <v>1546</v>
      </c>
      <c r="C2527" t="s">
        <v>1743</v>
      </c>
      <c r="D2527" t="s">
        <v>44</v>
      </c>
      <c r="E2527" t="s">
        <v>465</v>
      </c>
      <c r="F2527" t="str">
        <f>VLOOKUP(Ramen_Ratings[[#This Row],[Country]],Country_Region[#All],2,FALSE)</f>
        <v>North America</v>
      </c>
      <c r="G2527">
        <v>2.75</v>
      </c>
      <c r="H2527" t="str" cm="1">
        <f t="array" ref="H2527">_xlfn.IFS(Ramen_Ratings[[#This Row],[Stars]] = "Unrated", "NA",Ramen_Ratings[[#This Row],[Stars]]&gt;=4, "Good", Ramen_Ratings[[#This Row],[Stars]]&gt;2.5, "Fair", Ramen_Ratings[[#This Row],[Stars]] &gt;= 0, "Bad")</f>
        <v>Fair</v>
      </c>
      <c r="J2527" t="str">
        <f>LEFT(Ramen_Ratings[[#This Row],[Top Ten]],4)</f>
        <v/>
      </c>
      <c r="K2527" t="str">
        <f>IF(Ramen_Ratings[[#This Row],[Top Ten]]="", "",RIGHT(Ramen_Ratings[[#This Row],[Top Ten]],LEN(Ramen_Ratings[[#This Row],[Top Ten]])-6))</f>
        <v/>
      </c>
    </row>
    <row r="2528" spans="1:11" x14ac:dyDescent="0.25">
      <c r="A2528">
        <v>1104</v>
      </c>
      <c r="B2528" t="s">
        <v>996</v>
      </c>
      <c r="C2528" t="s">
        <v>171</v>
      </c>
      <c r="D2528" t="s">
        <v>13</v>
      </c>
      <c r="E2528" t="s">
        <v>465</v>
      </c>
      <c r="F2528" t="str">
        <f>VLOOKUP(Ramen_Ratings[[#This Row],[Country]],Country_Region[#All],2,FALSE)</f>
        <v>North America</v>
      </c>
      <c r="G2528">
        <v>3.5</v>
      </c>
      <c r="H2528" t="str" cm="1">
        <f t="array" ref="H2528">_xlfn.IFS(Ramen_Ratings[[#This Row],[Stars]] = "Unrated", "NA",Ramen_Ratings[[#This Row],[Stars]]&gt;=4, "Good", Ramen_Ratings[[#This Row],[Stars]]&gt;2.5, "Fair", Ramen_Ratings[[#This Row],[Stars]] &gt;= 0, "Bad")</f>
        <v>Fair</v>
      </c>
      <c r="J2528" t="str">
        <f>LEFT(Ramen_Ratings[[#This Row],[Top Ten]],4)</f>
        <v/>
      </c>
      <c r="K2528" t="str">
        <f>IF(Ramen_Ratings[[#This Row],[Top Ten]]="", "",RIGHT(Ramen_Ratings[[#This Row],[Top Ten]],LEN(Ramen_Ratings[[#This Row],[Top Ten]])-6))</f>
        <v/>
      </c>
    </row>
    <row r="2529" spans="1:11" x14ac:dyDescent="0.25">
      <c r="A2529">
        <v>1084</v>
      </c>
      <c r="B2529" t="s">
        <v>1546</v>
      </c>
      <c r="C2529" t="s">
        <v>1781</v>
      </c>
      <c r="D2529" t="s">
        <v>9</v>
      </c>
      <c r="E2529" t="s">
        <v>465</v>
      </c>
      <c r="F2529" t="str">
        <f>VLOOKUP(Ramen_Ratings[[#This Row],[Country]],Country_Region[#All],2,FALSE)</f>
        <v>North America</v>
      </c>
      <c r="G2529">
        <v>1.5</v>
      </c>
      <c r="H2529" t="str" cm="1">
        <f t="array" ref="H2529">_xlfn.IFS(Ramen_Ratings[[#This Row],[Stars]] = "Unrated", "NA",Ramen_Ratings[[#This Row],[Stars]]&gt;=4, "Good", Ramen_Ratings[[#This Row],[Stars]]&gt;2.5, "Fair", Ramen_Ratings[[#This Row],[Stars]] &gt;= 0, "Bad")</f>
        <v>Bad</v>
      </c>
      <c r="J2529" t="str">
        <f>LEFT(Ramen_Ratings[[#This Row],[Top Ten]],4)</f>
        <v/>
      </c>
      <c r="K2529" t="str">
        <f>IF(Ramen_Ratings[[#This Row],[Top Ten]]="", "",RIGHT(Ramen_Ratings[[#This Row],[Top Ten]],LEN(Ramen_Ratings[[#This Row],[Top Ten]])-6))</f>
        <v/>
      </c>
    </row>
    <row r="2530" spans="1:11" x14ac:dyDescent="0.25">
      <c r="A2530">
        <v>1049</v>
      </c>
      <c r="B2530" t="s">
        <v>1546</v>
      </c>
      <c r="C2530" t="s">
        <v>1817</v>
      </c>
      <c r="D2530" t="s">
        <v>44</v>
      </c>
      <c r="E2530" t="s">
        <v>465</v>
      </c>
      <c r="F2530" t="str">
        <f>VLOOKUP(Ramen_Ratings[[#This Row],[Country]],Country_Region[#All],2,FALSE)</f>
        <v>North America</v>
      </c>
      <c r="G2530">
        <v>2</v>
      </c>
      <c r="H2530" t="str" cm="1">
        <f t="array" ref="H2530">_xlfn.IFS(Ramen_Ratings[[#This Row],[Stars]] = "Unrated", "NA",Ramen_Ratings[[#This Row],[Stars]]&gt;=4, "Good", Ramen_Ratings[[#This Row],[Stars]]&gt;2.5, "Fair", Ramen_Ratings[[#This Row],[Stars]] &gt;= 0, "Bad")</f>
        <v>Bad</v>
      </c>
      <c r="J2530" t="str">
        <f>LEFT(Ramen_Ratings[[#This Row],[Top Ten]],4)</f>
        <v/>
      </c>
      <c r="K2530" t="str">
        <f>IF(Ramen_Ratings[[#This Row],[Top Ten]]="", "",RIGHT(Ramen_Ratings[[#This Row],[Top Ten]],LEN(Ramen_Ratings[[#This Row],[Top Ten]])-6))</f>
        <v/>
      </c>
    </row>
    <row r="2531" spans="1:11" x14ac:dyDescent="0.25">
      <c r="A2531">
        <v>1040</v>
      </c>
      <c r="B2531" t="s">
        <v>996</v>
      </c>
      <c r="C2531" t="s">
        <v>978</v>
      </c>
      <c r="D2531" t="s">
        <v>13</v>
      </c>
      <c r="E2531" t="s">
        <v>465</v>
      </c>
      <c r="F2531" t="str">
        <f>VLOOKUP(Ramen_Ratings[[#This Row],[Country]],Country_Region[#All],2,FALSE)</f>
        <v>North America</v>
      </c>
      <c r="G2531">
        <v>1</v>
      </c>
      <c r="H2531" t="str" cm="1">
        <f t="array" ref="H2531">_xlfn.IFS(Ramen_Ratings[[#This Row],[Stars]] = "Unrated", "NA",Ramen_Ratings[[#This Row],[Stars]]&gt;=4, "Good", Ramen_Ratings[[#This Row],[Stars]]&gt;2.5, "Fair", Ramen_Ratings[[#This Row],[Stars]] &gt;= 0, "Bad")</f>
        <v>Bad</v>
      </c>
      <c r="J2531" t="str">
        <f>LEFT(Ramen_Ratings[[#This Row],[Top Ten]],4)</f>
        <v/>
      </c>
      <c r="K2531" t="str">
        <f>IF(Ramen_Ratings[[#This Row],[Top Ten]]="", "",RIGHT(Ramen_Ratings[[#This Row],[Top Ten]],LEN(Ramen_Ratings[[#This Row],[Top Ten]])-6))</f>
        <v/>
      </c>
    </row>
    <row r="2532" spans="1:11" x14ac:dyDescent="0.25">
      <c r="A2532">
        <v>1034</v>
      </c>
      <c r="B2532" t="s">
        <v>996</v>
      </c>
      <c r="C2532" t="s">
        <v>1830</v>
      </c>
      <c r="D2532" t="s">
        <v>9</v>
      </c>
      <c r="E2532" t="s">
        <v>465</v>
      </c>
      <c r="F2532" t="str">
        <f>VLOOKUP(Ramen_Ratings[[#This Row],[Country]],Country_Region[#All],2,FALSE)</f>
        <v>North America</v>
      </c>
      <c r="G2532">
        <v>2.25</v>
      </c>
      <c r="H2532" t="str" cm="1">
        <f t="array" ref="H2532">_xlfn.IFS(Ramen_Ratings[[#This Row],[Stars]] = "Unrated", "NA",Ramen_Ratings[[#This Row],[Stars]]&gt;=4, "Good", Ramen_Ratings[[#This Row],[Stars]]&gt;2.5, "Fair", Ramen_Ratings[[#This Row],[Stars]] &gt;= 0, "Bad")</f>
        <v>Bad</v>
      </c>
      <c r="J2532" t="str">
        <f>LEFT(Ramen_Ratings[[#This Row],[Top Ten]],4)</f>
        <v/>
      </c>
      <c r="K2532" t="str">
        <f>IF(Ramen_Ratings[[#This Row],[Top Ten]]="", "",RIGHT(Ramen_Ratings[[#This Row],[Top Ten]],LEN(Ramen_Ratings[[#This Row],[Top Ten]])-6))</f>
        <v/>
      </c>
    </row>
    <row r="2533" spans="1:11" x14ac:dyDescent="0.25">
      <c r="A2533">
        <v>1009</v>
      </c>
      <c r="B2533" t="s">
        <v>996</v>
      </c>
      <c r="C2533" t="s">
        <v>1856</v>
      </c>
      <c r="D2533" t="s">
        <v>9</v>
      </c>
      <c r="E2533" t="s">
        <v>465</v>
      </c>
      <c r="F2533" t="str">
        <f>VLOOKUP(Ramen_Ratings[[#This Row],[Country]],Country_Region[#All],2,FALSE)</f>
        <v>North America</v>
      </c>
      <c r="G2533">
        <v>2</v>
      </c>
      <c r="H2533" t="str" cm="1">
        <f t="array" ref="H2533">_xlfn.IFS(Ramen_Ratings[[#This Row],[Stars]] = "Unrated", "NA",Ramen_Ratings[[#This Row],[Stars]]&gt;=4, "Good", Ramen_Ratings[[#This Row],[Stars]]&gt;2.5, "Fair", Ramen_Ratings[[#This Row],[Stars]] &gt;= 0, "Bad")</f>
        <v>Bad</v>
      </c>
      <c r="J2533" t="str">
        <f>LEFT(Ramen_Ratings[[#This Row],[Top Ten]],4)</f>
        <v/>
      </c>
      <c r="K2533" t="str">
        <f>IF(Ramen_Ratings[[#This Row],[Top Ten]]="", "",RIGHT(Ramen_Ratings[[#This Row],[Top Ten]],LEN(Ramen_Ratings[[#This Row],[Top Ten]])-6))</f>
        <v/>
      </c>
    </row>
    <row r="2534" spans="1:11" x14ac:dyDescent="0.25">
      <c r="A2534">
        <v>1002</v>
      </c>
      <c r="B2534" t="s">
        <v>1546</v>
      </c>
      <c r="C2534" t="s">
        <v>1863</v>
      </c>
      <c r="D2534" t="s">
        <v>44</v>
      </c>
      <c r="E2534" t="s">
        <v>465</v>
      </c>
      <c r="F2534" t="str">
        <f>VLOOKUP(Ramen_Ratings[[#This Row],[Country]],Country_Region[#All],2,FALSE)</f>
        <v>North America</v>
      </c>
      <c r="G2534">
        <v>2</v>
      </c>
      <c r="H2534" t="str" cm="1">
        <f t="array" ref="H2534">_xlfn.IFS(Ramen_Ratings[[#This Row],[Stars]] = "Unrated", "NA",Ramen_Ratings[[#This Row],[Stars]]&gt;=4, "Good", Ramen_Ratings[[#This Row],[Stars]]&gt;2.5, "Fair", Ramen_Ratings[[#This Row],[Stars]] &gt;= 0, "Bad")</f>
        <v>Bad</v>
      </c>
      <c r="J2534" t="str">
        <f>LEFT(Ramen_Ratings[[#This Row],[Top Ten]],4)</f>
        <v/>
      </c>
      <c r="K2534" t="str">
        <f>IF(Ramen_Ratings[[#This Row],[Top Ten]]="", "",RIGHT(Ramen_Ratings[[#This Row],[Top Ten]],LEN(Ramen_Ratings[[#This Row],[Top Ten]])-6))</f>
        <v/>
      </c>
    </row>
    <row r="2535" spans="1:11" x14ac:dyDescent="0.25">
      <c r="A2535">
        <v>835</v>
      </c>
      <c r="B2535" t="s">
        <v>1546</v>
      </c>
      <c r="C2535" t="s">
        <v>2046</v>
      </c>
      <c r="D2535" t="s">
        <v>13</v>
      </c>
      <c r="E2535" t="s">
        <v>465</v>
      </c>
      <c r="F2535" t="str">
        <f>VLOOKUP(Ramen_Ratings[[#This Row],[Country]],Country_Region[#All],2,FALSE)</f>
        <v>North America</v>
      </c>
      <c r="G2535">
        <v>2.5</v>
      </c>
      <c r="H2535" t="str" cm="1">
        <f t="array" ref="H2535">_xlfn.IFS(Ramen_Ratings[[#This Row],[Stars]] = "Unrated", "NA",Ramen_Ratings[[#This Row],[Stars]]&gt;=4, "Good", Ramen_Ratings[[#This Row],[Stars]]&gt;2.5, "Fair", Ramen_Ratings[[#This Row],[Stars]] &gt;= 0, "Bad")</f>
        <v>Bad</v>
      </c>
      <c r="J2535" t="str">
        <f>LEFT(Ramen_Ratings[[#This Row],[Top Ten]],4)</f>
        <v/>
      </c>
      <c r="K2535" t="str">
        <f>IF(Ramen_Ratings[[#This Row],[Top Ten]]="", "",RIGHT(Ramen_Ratings[[#This Row],[Top Ten]],LEN(Ramen_Ratings[[#This Row],[Top Ten]])-6))</f>
        <v/>
      </c>
    </row>
    <row r="2536" spans="1:11" x14ac:dyDescent="0.25">
      <c r="A2536">
        <v>813</v>
      </c>
      <c r="B2536" t="s">
        <v>1546</v>
      </c>
      <c r="C2536" t="s">
        <v>2069</v>
      </c>
      <c r="D2536" t="s">
        <v>13</v>
      </c>
      <c r="E2536" t="s">
        <v>465</v>
      </c>
      <c r="F2536" t="str">
        <f>VLOOKUP(Ramen_Ratings[[#This Row],[Country]],Country_Region[#All],2,FALSE)</f>
        <v>North America</v>
      </c>
      <c r="G2536">
        <v>2</v>
      </c>
      <c r="H2536" t="str" cm="1">
        <f t="array" ref="H2536">_xlfn.IFS(Ramen_Ratings[[#This Row],[Stars]] = "Unrated", "NA",Ramen_Ratings[[#This Row],[Stars]]&gt;=4, "Good", Ramen_Ratings[[#This Row],[Stars]]&gt;2.5, "Fair", Ramen_Ratings[[#This Row],[Stars]] &gt;= 0, "Bad")</f>
        <v>Bad</v>
      </c>
      <c r="J2536" t="str">
        <f>LEFT(Ramen_Ratings[[#This Row],[Top Ten]],4)</f>
        <v/>
      </c>
      <c r="K2536" t="str">
        <f>IF(Ramen_Ratings[[#This Row],[Top Ten]]="", "",RIGHT(Ramen_Ratings[[#This Row],[Top Ten]],LEN(Ramen_Ratings[[#This Row],[Top Ten]])-6))</f>
        <v/>
      </c>
    </row>
    <row r="2537" spans="1:11" x14ac:dyDescent="0.25">
      <c r="A2537">
        <v>811</v>
      </c>
      <c r="B2537" t="s">
        <v>1546</v>
      </c>
      <c r="C2537" t="s">
        <v>2070</v>
      </c>
      <c r="D2537" t="s">
        <v>13</v>
      </c>
      <c r="E2537" t="s">
        <v>465</v>
      </c>
      <c r="F2537" t="str">
        <f>VLOOKUP(Ramen_Ratings[[#This Row],[Country]],Country_Region[#All],2,FALSE)</f>
        <v>North America</v>
      </c>
      <c r="G2537">
        <v>1.75</v>
      </c>
      <c r="H2537" t="str" cm="1">
        <f t="array" ref="H2537">_xlfn.IFS(Ramen_Ratings[[#This Row],[Stars]] = "Unrated", "NA",Ramen_Ratings[[#This Row],[Stars]]&gt;=4, "Good", Ramen_Ratings[[#This Row],[Stars]]&gt;2.5, "Fair", Ramen_Ratings[[#This Row],[Stars]] &gt;= 0, "Bad")</f>
        <v>Bad</v>
      </c>
      <c r="J2537" t="str">
        <f>LEFT(Ramen_Ratings[[#This Row],[Top Ten]],4)</f>
        <v/>
      </c>
      <c r="K2537" t="str">
        <f>IF(Ramen_Ratings[[#This Row],[Top Ten]]="", "",RIGHT(Ramen_Ratings[[#This Row],[Top Ten]],LEN(Ramen_Ratings[[#This Row],[Top Ten]])-6))</f>
        <v/>
      </c>
    </row>
    <row r="2538" spans="1:11" x14ac:dyDescent="0.25">
      <c r="A2538">
        <v>800</v>
      </c>
      <c r="B2538" t="s">
        <v>1546</v>
      </c>
      <c r="C2538" t="s">
        <v>2084</v>
      </c>
      <c r="D2538" t="s">
        <v>13</v>
      </c>
      <c r="E2538" t="s">
        <v>465</v>
      </c>
      <c r="F2538" t="str">
        <f>VLOOKUP(Ramen_Ratings[[#This Row],[Country]],Country_Region[#All],2,FALSE)</f>
        <v>North America</v>
      </c>
      <c r="G2538">
        <v>3</v>
      </c>
      <c r="H2538" t="str" cm="1">
        <f t="array" ref="H2538">_xlfn.IFS(Ramen_Ratings[[#This Row],[Stars]] = "Unrated", "NA",Ramen_Ratings[[#This Row],[Stars]]&gt;=4, "Good", Ramen_Ratings[[#This Row],[Stars]]&gt;2.5, "Fair", Ramen_Ratings[[#This Row],[Stars]] &gt;= 0, "Bad")</f>
        <v>Fair</v>
      </c>
      <c r="J2538" t="str">
        <f>LEFT(Ramen_Ratings[[#This Row],[Top Ten]],4)</f>
        <v/>
      </c>
      <c r="K2538" t="str">
        <f>IF(Ramen_Ratings[[#This Row],[Top Ten]]="", "",RIGHT(Ramen_Ratings[[#This Row],[Top Ten]],LEN(Ramen_Ratings[[#This Row],[Top Ten]])-6))</f>
        <v/>
      </c>
    </row>
    <row r="2539" spans="1:11" x14ac:dyDescent="0.25">
      <c r="A2539">
        <v>793</v>
      </c>
      <c r="B2539" t="s">
        <v>1546</v>
      </c>
      <c r="C2539" t="s">
        <v>1755</v>
      </c>
      <c r="D2539" t="s">
        <v>13</v>
      </c>
      <c r="E2539" t="s">
        <v>465</v>
      </c>
      <c r="F2539" t="str">
        <f>VLOOKUP(Ramen_Ratings[[#This Row],[Country]],Country_Region[#All],2,FALSE)</f>
        <v>North America</v>
      </c>
      <c r="G2539">
        <v>1.75</v>
      </c>
      <c r="H2539" t="str" cm="1">
        <f t="array" ref="H2539">_xlfn.IFS(Ramen_Ratings[[#This Row],[Stars]] = "Unrated", "NA",Ramen_Ratings[[#This Row],[Stars]]&gt;=4, "Good", Ramen_Ratings[[#This Row],[Stars]]&gt;2.5, "Fair", Ramen_Ratings[[#This Row],[Stars]] &gt;= 0, "Bad")</f>
        <v>Bad</v>
      </c>
      <c r="J2539" t="str">
        <f>LEFT(Ramen_Ratings[[#This Row],[Top Ten]],4)</f>
        <v/>
      </c>
      <c r="K2539" t="str">
        <f>IF(Ramen_Ratings[[#This Row],[Top Ten]]="", "",RIGHT(Ramen_Ratings[[#This Row],[Top Ten]],LEN(Ramen_Ratings[[#This Row],[Top Ten]])-6))</f>
        <v/>
      </c>
    </row>
    <row r="2540" spans="1:11" x14ac:dyDescent="0.25">
      <c r="A2540">
        <v>786</v>
      </c>
      <c r="B2540" t="s">
        <v>1546</v>
      </c>
      <c r="C2540" t="s">
        <v>1933</v>
      </c>
      <c r="D2540" t="s">
        <v>13</v>
      </c>
      <c r="E2540" t="s">
        <v>465</v>
      </c>
      <c r="F2540" t="str">
        <f>VLOOKUP(Ramen_Ratings[[#This Row],[Country]],Country_Region[#All],2,FALSE)</f>
        <v>North America</v>
      </c>
      <c r="G2540">
        <v>3</v>
      </c>
      <c r="H2540" t="str" cm="1">
        <f t="array" ref="H2540">_xlfn.IFS(Ramen_Ratings[[#This Row],[Stars]] = "Unrated", "NA",Ramen_Ratings[[#This Row],[Stars]]&gt;=4, "Good", Ramen_Ratings[[#This Row],[Stars]]&gt;2.5, "Fair", Ramen_Ratings[[#This Row],[Stars]] &gt;= 0, "Bad")</f>
        <v>Fair</v>
      </c>
      <c r="J2540" t="str">
        <f>LEFT(Ramen_Ratings[[#This Row],[Top Ten]],4)</f>
        <v/>
      </c>
      <c r="K2540" t="str">
        <f>IF(Ramen_Ratings[[#This Row],[Top Ten]]="", "",RIGHT(Ramen_Ratings[[#This Row],[Top Ten]],LEN(Ramen_Ratings[[#This Row],[Top Ten]])-6))</f>
        <v/>
      </c>
    </row>
    <row r="2541" spans="1:11" x14ac:dyDescent="0.25">
      <c r="A2541">
        <v>777</v>
      </c>
      <c r="B2541" t="s">
        <v>1546</v>
      </c>
      <c r="C2541" t="s">
        <v>2107</v>
      </c>
      <c r="D2541" t="s">
        <v>13</v>
      </c>
      <c r="E2541" t="s">
        <v>465</v>
      </c>
      <c r="F2541" t="str">
        <f>VLOOKUP(Ramen_Ratings[[#This Row],[Country]],Country_Region[#All],2,FALSE)</f>
        <v>North America</v>
      </c>
      <c r="G2541">
        <v>2.75</v>
      </c>
      <c r="H2541" t="str" cm="1">
        <f t="array" ref="H2541">_xlfn.IFS(Ramen_Ratings[[#This Row],[Stars]] = "Unrated", "NA",Ramen_Ratings[[#This Row],[Stars]]&gt;=4, "Good", Ramen_Ratings[[#This Row],[Stars]]&gt;2.5, "Fair", Ramen_Ratings[[#This Row],[Stars]] &gt;= 0, "Bad")</f>
        <v>Fair</v>
      </c>
      <c r="J2541" t="str">
        <f>LEFT(Ramen_Ratings[[#This Row],[Top Ten]],4)</f>
        <v/>
      </c>
      <c r="K2541" t="str">
        <f>IF(Ramen_Ratings[[#This Row],[Top Ten]]="", "",RIGHT(Ramen_Ratings[[#This Row],[Top Ten]],LEN(Ramen_Ratings[[#This Row],[Top Ten]])-6))</f>
        <v/>
      </c>
    </row>
    <row r="2542" spans="1:11" x14ac:dyDescent="0.25">
      <c r="A2542">
        <v>372</v>
      </c>
      <c r="B2542" t="s">
        <v>2459</v>
      </c>
      <c r="C2542" t="s">
        <v>2511</v>
      </c>
      <c r="D2542" t="s">
        <v>44</v>
      </c>
      <c r="E2542" t="s">
        <v>465</v>
      </c>
      <c r="F2542" t="str">
        <f>VLOOKUP(Ramen_Ratings[[#This Row],[Country]],Country_Region[#All],2,FALSE)</f>
        <v>North America</v>
      </c>
      <c r="G2542">
        <v>0.5</v>
      </c>
      <c r="H2542" t="str" cm="1">
        <f t="array" ref="H2542">_xlfn.IFS(Ramen_Ratings[[#This Row],[Stars]] = "Unrated", "NA",Ramen_Ratings[[#This Row],[Stars]]&gt;=4, "Good", Ramen_Ratings[[#This Row],[Stars]]&gt;2.5, "Fair", Ramen_Ratings[[#This Row],[Stars]] &gt;= 0, "Bad")</f>
        <v>Bad</v>
      </c>
      <c r="J2542" t="str">
        <f>LEFT(Ramen_Ratings[[#This Row],[Top Ten]],4)</f>
        <v/>
      </c>
      <c r="K2542" t="str">
        <f>IF(Ramen_Ratings[[#This Row],[Top Ten]]="", "",RIGHT(Ramen_Ratings[[#This Row],[Top Ten]],LEN(Ramen_Ratings[[#This Row],[Top Ten]])-6))</f>
        <v/>
      </c>
    </row>
    <row r="2543" spans="1:11" x14ac:dyDescent="0.25">
      <c r="A2543">
        <v>1929</v>
      </c>
      <c r="B2543" t="s">
        <v>380</v>
      </c>
      <c r="C2543" t="s">
        <v>611</v>
      </c>
      <c r="D2543" t="s">
        <v>13</v>
      </c>
      <c r="E2543" t="s">
        <v>826</v>
      </c>
      <c r="F2543" t="str">
        <f>VLOOKUP(Ramen_Ratings[[#This Row],[Country]],Country_Region[#All],2,FALSE)</f>
        <v>Asia</v>
      </c>
      <c r="G2543">
        <v>3.5</v>
      </c>
      <c r="H2543" t="str" cm="1">
        <f t="array" ref="H2543">_xlfn.IFS(Ramen_Ratings[[#This Row],[Stars]] = "Unrated", "NA",Ramen_Ratings[[#This Row],[Stars]]&gt;=4, "Good", Ramen_Ratings[[#This Row],[Stars]]&gt;2.5, "Fair", Ramen_Ratings[[#This Row],[Stars]] &gt;= 0, "Bad")</f>
        <v>Fair</v>
      </c>
      <c r="J2543" t="str">
        <f>LEFT(Ramen_Ratings[[#This Row],[Top Ten]],4)</f>
        <v/>
      </c>
      <c r="K2543" t="str">
        <f>IF(Ramen_Ratings[[#This Row],[Top Ten]]="", "",RIGHT(Ramen_Ratings[[#This Row],[Top Ten]],LEN(Ramen_Ratings[[#This Row],[Top Ten]])-6))</f>
        <v/>
      </c>
    </row>
    <row r="2544" spans="1:11" x14ac:dyDescent="0.25">
      <c r="A2544">
        <v>1859</v>
      </c>
      <c r="B2544" t="s">
        <v>897</v>
      </c>
      <c r="C2544" t="s">
        <v>905</v>
      </c>
      <c r="D2544" t="s">
        <v>13</v>
      </c>
      <c r="E2544" t="s">
        <v>826</v>
      </c>
      <c r="F2544" t="str">
        <f>VLOOKUP(Ramen_Ratings[[#This Row],[Country]],Country_Region[#All],2,FALSE)</f>
        <v>Asia</v>
      </c>
      <c r="G2544">
        <v>5</v>
      </c>
      <c r="H2544" t="str" cm="1">
        <f t="array" ref="H2544">_xlfn.IFS(Ramen_Ratings[[#This Row],[Stars]] = "Unrated", "NA",Ramen_Ratings[[#This Row],[Stars]]&gt;=4, "Good", Ramen_Ratings[[#This Row],[Stars]]&gt;2.5, "Fair", Ramen_Ratings[[#This Row],[Stars]] &gt;= 0, "Bad")</f>
        <v>Good</v>
      </c>
      <c r="J2544" t="str">
        <f>LEFT(Ramen_Ratings[[#This Row],[Top Ten]],4)</f>
        <v/>
      </c>
      <c r="K2544" t="str">
        <f>IF(Ramen_Ratings[[#This Row],[Top Ten]]="", "",RIGHT(Ramen_Ratings[[#This Row],[Top Ten]],LEN(Ramen_Ratings[[#This Row],[Top Ten]])-6))</f>
        <v/>
      </c>
    </row>
    <row r="2545" spans="1:11" x14ac:dyDescent="0.25">
      <c r="A2545">
        <v>1826</v>
      </c>
      <c r="B2545" t="s">
        <v>897</v>
      </c>
      <c r="C2545" t="s">
        <v>944</v>
      </c>
      <c r="D2545" t="s">
        <v>13</v>
      </c>
      <c r="E2545" t="s">
        <v>826</v>
      </c>
      <c r="F2545" t="str">
        <f>VLOOKUP(Ramen_Ratings[[#This Row],[Country]],Country_Region[#All],2,FALSE)</f>
        <v>Asia</v>
      </c>
      <c r="G2545">
        <v>3.5</v>
      </c>
      <c r="H2545" t="str" cm="1">
        <f t="array" ref="H2545">_xlfn.IFS(Ramen_Ratings[[#This Row],[Stars]] = "Unrated", "NA",Ramen_Ratings[[#This Row],[Stars]]&gt;=4, "Good", Ramen_Ratings[[#This Row],[Stars]]&gt;2.5, "Fair", Ramen_Ratings[[#This Row],[Stars]] &gt;= 0, "Bad")</f>
        <v>Fair</v>
      </c>
      <c r="J2545" t="str">
        <f>LEFT(Ramen_Ratings[[#This Row],[Top Ten]],4)</f>
        <v/>
      </c>
      <c r="K2545" t="str">
        <f>IF(Ramen_Ratings[[#This Row],[Top Ten]]="", "",RIGHT(Ramen_Ratings[[#This Row],[Top Ten]],LEN(Ramen_Ratings[[#This Row],[Top Ten]])-6))</f>
        <v/>
      </c>
    </row>
    <row r="2546" spans="1:11" x14ac:dyDescent="0.25">
      <c r="A2546">
        <v>1767</v>
      </c>
      <c r="B2546" t="s">
        <v>897</v>
      </c>
      <c r="C2546" t="s">
        <v>1013</v>
      </c>
      <c r="D2546" t="s">
        <v>13</v>
      </c>
      <c r="E2546" t="s">
        <v>826</v>
      </c>
      <c r="F2546" t="str">
        <f>VLOOKUP(Ramen_Ratings[[#This Row],[Country]],Country_Region[#All],2,FALSE)</f>
        <v>Asia</v>
      </c>
      <c r="G2546">
        <v>4</v>
      </c>
      <c r="H2546" t="str" cm="1">
        <f t="array" ref="H2546">_xlfn.IFS(Ramen_Ratings[[#This Row],[Stars]] = "Unrated", "NA",Ramen_Ratings[[#This Row],[Stars]]&gt;=4, "Good", Ramen_Ratings[[#This Row],[Stars]]&gt;2.5, "Fair", Ramen_Ratings[[#This Row],[Stars]] &gt;= 0, "Bad")</f>
        <v>Good</v>
      </c>
      <c r="J2546" t="str">
        <f>LEFT(Ramen_Ratings[[#This Row],[Top Ten]],4)</f>
        <v/>
      </c>
      <c r="K2546" t="str">
        <f>IF(Ramen_Ratings[[#This Row],[Top Ten]]="", "",RIGHT(Ramen_Ratings[[#This Row],[Top Ten]],LEN(Ramen_Ratings[[#This Row],[Top Ten]])-6))</f>
        <v/>
      </c>
    </row>
    <row r="2547" spans="1:11" x14ac:dyDescent="0.25">
      <c r="A2547">
        <v>1731</v>
      </c>
      <c r="B2547" t="s">
        <v>897</v>
      </c>
      <c r="C2547" t="s">
        <v>1048</v>
      </c>
      <c r="D2547" t="s">
        <v>13</v>
      </c>
      <c r="E2547" t="s">
        <v>826</v>
      </c>
      <c r="F2547" t="str">
        <f>VLOOKUP(Ramen_Ratings[[#This Row],[Country]],Country_Region[#All],2,FALSE)</f>
        <v>Asia</v>
      </c>
      <c r="G2547">
        <v>5</v>
      </c>
      <c r="H2547" t="str" cm="1">
        <f t="array" ref="H2547">_xlfn.IFS(Ramen_Ratings[[#This Row],[Stars]] = "Unrated", "NA",Ramen_Ratings[[#This Row],[Stars]]&gt;=4, "Good", Ramen_Ratings[[#This Row],[Stars]]&gt;2.5, "Fair", Ramen_Ratings[[#This Row],[Stars]] &gt;= 0, "Bad")</f>
        <v>Good</v>
      </c>
      <c r="J2547" t="str">
        <f>LEFT(Ramen_Ratings[[#This Row],[Top Ten]],4)</f>
        <v/>
      </c>
      <c r="K2547" t="str">
        <f>IF(Ramen_Ratings[[#This Row],[Top Ten]]="", "",RIGHT(Ramen_Ratings[[#This Row],[Top Ten]],LEN(Ramen_Ratings[[#This Row],[Top Ten]])-6))</f>
        <v/>
      </c>
    </row>
    <row r="2548" spans="1:11" x14ac:dyDescent="0.25">
      <c r="A2548">
        <v>2204</v>
      </c>
      <c r="B2548" t="s">
        <v>15</v>
      </c>
      <c r="C2548" t="s">
        <v>510</v>
      </c>
      <c r="D2548" t="s">
        <v>9</v>
      </c>
      <c r="E2548" t="s">
        <v>511</v>
      </c>
      <c r="F2548" t="str">
        <f>VLOOKUP(Ramen_Ratings[[#This Row],[Country]],Country_Region[#All],2,FALSE)</f>
        <v>South America</v>
      </c>
      <c r="G2548">
        <v>4</v>
      </c>
      <c r="H2548" t="str" cm="1">
        <f t="array" ref="H2548">_xlfn.IFS(Ramen_Ratings[[#This Row],[Stars]] = "Unrated", "NA",Ramen_Ratings[[#This Row],[Stars]]&gt;=4, "Good", Ramen_Ratings[[#This Row],[Stars]]&gt;2.5, "Fair", Ramen_Ratings[[#This Row],[Stars]] &gt;= 0, "Bad")</f>
        <v>Good</v>
      </c>
      <c r="J2548" t="str">
        <f>LEFT(Ramen_Ratings[[#This Row],[Top Ten]],4)</f>
        <v/>
      </c>
      <c r="K2548" t="str">
        <f>IF(Ramen_Ratings[[#This Row],[Top Ten]]="", "",RIGHT(Ramen_Ratings[[#This Row],[Top Ten]],LEN(Ramen_Ratings[[#This Row],[Top Ten]])-6))</f>
        <v/>
      </c>
    </row>
    <row r="2549" spans="1:11" x14ac:dyDescent="0.25">
      <c r="A2549">
        <v>2144</v>
      </c>
      <c r="B2549" t="s">
        <v>15</v>
      </c>
      <c r="C2549" t="s">
        <v>578</v>
      </c>
      <c r="D2549" t="s">
        <v>13</v>
      </c>
      <c r="E2549" t="s">
        <v>511</v>
      </c>
      <c r="F2549" t="str">
        <f>VLOOKUP(Ramen_Ratings[[#This Row],[Country]],Country_Region[#All],2,FALSE)</f>
        <v>South America</v>
      </c>
      <c r="G2549">
        <v>4</v>
      </c>
      <c r="H2549" t="str" cm="1">
        <f t="array" ref="H2549">_xlfn.IFS(Ramen_Ratings[[#This Row],[Stars]] = "Unrated", "NA",Ramen_Ratings[[#This Row],[Stars]]&gt;=4, "Good", Ramen_Ratings[[#This Row],[Stars]]&gt;2.5, "Fair", Ramen_Ratings[[#This Row],[Stars]] &gt;= 0, "Bad")</f>
        <v>Good</v>
      </c>
      <c r="J2549" t="str">
        <f>LEFT(Ramen_Ratings[[#This Row],[Top Ten]],4)</f>
        <v/>
      </c>
      <c r="K2549" t="str">
        <f>IF(Ramen_Ratings[[#This Row],[Top Ten]]="", "",RIGHT(Ramen_Ratings[[#This Row],[Top Ten]],LEN(Ramen_Ratings[[#This Row],[Top Ten]])-6))</f>
        <v/>
      </c>
    </row>
    <row r="2550" spans="1:11" x14ac:dyDescent="0.25">
      <c r="A2550">
        <v>2107</v>
      </c>
      <c r="B2550" t="s">
        <v>15</v>
      </c>
      <c r="C2550" t="s">
        <v>620</v>
      </c>
      <c r="D2550" t="s">
        <v>13</v>
      </c>
      <c r="E2550" t="s">
        <v>511</v>
      </c>
      <c r="F2550" t="str">
        <f>VLOOKUP(Ramen_Ratings[[#This Row],[Country]],Country_Region[#All],2,FALSE)</f>
        <v>South America</v>
      </c>
      <c r="G2550">
        <v>4.5</v>
      </c>
      <c r="H2550" t="str" cm="1">
        <f t="array" ref="H2550">_xlfn.IFS(Ramen_Ratings[[#This Row],[Stars]] = "Unrated", "NA",Ramen_Ratings[[#This Row],[Stars]]&gt;=4, "Good", Ramen_Ratings[[#This Row],[Stars]]&gt;2.5, "Fair", Ramen_Ratings[[#This Row],[Stars]] &gt;= 0, "Bad")</f>
        <v>Good</v>
      </c>
      <c r="J2550" t="str">
        <f>LEFT(Ramen_Ratings[[#This Row],[Top Ten]],4)</f>
        <v/>
      </c>
      <c r="K2550" t="str">
        <f>IF(Ramen_Ratings[[#This Row],[Top Ten]]="", "",RIGHT(Ramen_Ratings[[#This Row],[Top Ten]],LEN(Ramen_Ratings[[#This Row],[Top Ten]])-6))</f>
        <v/>
      </c>
    </row>
    <row r="2551" spans="1:11" x14ac:dyDescent="0.25">
      <c r="A2551">
        <v>2040</v>
      </c>
      <c r="B2551" t="s">
        <v>15</v>
      </c>
      <c r="C2551" t="s">
        <v>695</v>
      </c>
      <c r="D2551" t="s">
        <v>9</v>
      </c>
      <c r="E2551" t="s">
        <v>511</v>
      </c>
      <c r="F2551" t="str">
        <f>VLOOKUP(Ramen_Ratings[[#This Row],[Country]],Country_Region[#All],2,FALSE)</f>
        <v>South America</v>
      </c>
      <c r="G2551">
        <v>5</v>
      </c>
      <c r="H2551" t="str" cm="1">
        <f t="array" ref="H2551">_xlfn.IFS(Ramen_Ratings[[#This Row],[Stars]] = "Unrated", "NA",Ramen_Ratings[[#This Row],[Stars]]&gt;=4, "Good", Ramen_Ratings[[#This Row],[Stars]]&gt;2.5, "Fair", Ramen_Ratings[[#This Row],[Stars]] &gt;= 0, "Bad")</f>
        <v>Good</v>
      </c>
      <c r="J2551" t="str">
        <f>LEFT(Ramen_Ratings[[#This Row],[Top Ten]],4)</f>
        <v/>
      </c>
      <c r="K2551" t="str">
        <f>IF(Ramen_Ratings[[#This Row],[Top Ten]]="", "",RIGHT(Ramen_Ratings[[#This Row],[Top Ten]],LEN(Ramen_Ratings[[#This Row],[Top Ten]])-6))</f>
        <v/>
      </c>
    </row>
    <row r="2552" spans="1:11" x14ac:dyDescent="0.25">
      <c r="A2552">
        <v>1973</v>
      </c>
      <c r="B2552" t="s">
        <v>15</v>
      </c>
      <c r="C2552" t="s">
        <v>772</v>
      </c>
      <c r="D2552" t="s">
        <v>13</v>
      </c>
      <c r="E2552" t="s">
        <v>511</v>
      </c>
      <c r="F2552" t="str">
        <f>VLOOKUP(Ramen_Ratings[[#This Row],[Country]],Country_Region[#All],2,FALSE)</f>
        <v>South America</v>
      </c>
      <c r="G2552">
        <v>4.25</v>
      </c>
      <c r="H2552" t="str" cm="1">
        <f t="array" ref="H2552">_xlfn.IFS(Ramen_Ratings[[#This Row],[Stars]] = "Unrated", "NA",Ramen_Ratings[[#This Row],[Stars]]&gt;=4, "Good", Ramen_Ratings[[#This Row],[Stars]]&gt;2.5, "Fair", Ramen_Ratings[[#This Row],[Stars]] &gt;= 0, "Bad")</f>
        <v>Good</v>
      </c>
      <c r="J2552" t="str">
        <f>LEFT(Ramen_Ratings[[#This Row],[Top Ten]],4)</f>
        <v/>
      </c>
      <c r="K2552" t="str">
        <f>IF(Ramen_Ratings[[#This Row],[Top Ten]]="", "",RIGHT(Ramen_Ratings[[#This Row],[Top Ten]],LEN(Ramen_Ratings[[#This Row],[Top Ten]])-6))</f>
        <v/>
      </c>
    </row>
    <row r="2553" spans="1:11" x14ac:dyDescent="0.25">
      <c r="A2553">
        <v>2325</v>
      </c>
      <c r="B2553" t="s">
        <v>369</v>
      </c>
      <c r="C2553" t="s">
        <v>370</v>
      </c>
      <c r="D2553" t="s">
        <v>13</v>
      </c>
      <c r="E2553" t="s">
        <v>371</v>
      </c>
      <c r="F2553" t="str">
        <f>VLOOKUP(Ramen_Ratings[[#This Row],[Country]],Country_Region[#All],2,FALSE)</f>
        <v>Asia</v>
      </c>
      <c r="G2553">
        <v>4</v>
      </c>
      <c r="H2553" t="str" cm="1">
        <f t="array" ref="H2553">_xlfn.IFS(Ramen_Ratings[[#This Row],[Stars]] = "Unrated", "NA",Ramen_Ratings[[#This Row],[Stars]]&gt;=4, "Good", Ramen_Ratings[[#This Row],[Stars]]&gt;2.5, "Fair", Ramen_Ratings[[#This Row],[Stars]] &gt;= 0, "Bad")</f>
        <v>Good</v>
      </c>
      <c r="J2553" t="str">
        <f>LEFT(Ramen_Ratings[[#This Row],[Top Ten]],4)</f>
        <v/>
      </c>
      <c r="K2553" t="str">
        <f>IF(Ramen_Ratings[[#This Row],[Top Ten]]="", "",RIGHT(Ramen_Ratings[[#This Row],[Top Ten]],LEN(Ramen_Ratings[[#This Row],[Top Ten]])-6))</f>
        <v/>
      </c>
    </row>
    <row r="2554" spans="1:11" x14ac:dyDescent="0.25">
      <c r="A2554">
        <v>2310</v>
      </c>
      <c r="B2554" t="s">
        <v>369</v>
      </c>
      <c r="C2554" t="s">
        <v>389</v>
      </c>
      <c r="D2554" t="s">
        <v>13</v>
      </c>
      <c r="E2554" t="s">
        <v>371</v>
      </c>
      <c r="F2554" t="str">
        <f>VLOOKUP(Ramen_Ratings[[#This Row],[Country]],Country_Region[#All],2,FALSE)</f>
        <v>Asia</v>
      </c>
      <c r="G2554">
        <v>4</v>
      </c>
      <c r="H2554" t="str" cm="1">
        <f t="array" ref="H2554">_xlfn.IFS(Ramen_Ratings[[#This Row],[Stars]] = "Unrated", "NA",Ramen_Ratings[[#This Row],[Stars]]&gt;=4, "Good", Ramen_Ratings[[#This Row],[Stars]]&gt;2.5, "Fair", Ramen_Ratings[[#This Row],[Stars]] &gt;= 0, "Bad")</f>
        <v>Good</v>
      </c>
      <c r="J2554" t="str">
        <f>LEFT(Ramen_Ratings[[#This Row],[Top Ten]],4)</f>
        <v/>
      </c>
      <c r="K2554" t="str">
        <f>IF(Ramen_Ratings[[#This Row],[Top Ten]]="", "",RIGHT(Ramen_Ratings[[#This Row],[Top Ten]],LEN(Ramen_Ratings[[#This Row],[Top Ten]])-6))</f>
        <v/>
      </c>
    </row>
    <row r="2555" spans="1:11" x14ac:dyDescent="0.25">
      <c r="A2555">
        <v>1945</v>
      </c>
      <c r="B2555" t="s">
        <v>380</v>
      </c>
      <c r="C2555" t="s">
        <v>806</v>
      </c>
      <c r="D2555" t="s">
        <v>13</v>
      </c>
      <c r="E2555" t="s">
        <v>371</v>
      </c>
      <c r="F2555" t="str">
        <f>VLOOKUP(Ramen_Ratings[[#This Row],[Country]],Country_Region[#All],2,FALSE)</f>
        <v>Asia</v>
      </c>
      <c r="G2555">
        <v>3.5</v>
      </c>
      <c r="H2555" t="str" cm="1">
        <f t="array" ref="H2555">_xlfn.IFS(Ramen_Ratings[[#This Row],[Stars]] = "Unrated", "NA",Ramen_Ratings[[#This Row],[Stars]]&gt;=4, "Good", Ramen_Ratings[[#This Row],[Stars]]&gt;2.5, "Fair", Ramen_Ratings[[#This Row],[Stars]] &gt;= 0, "Bad")</f>
        <v>Fair</v>
      </c>
      <c r="J2555" t="str">
        <f>LEFT(Ramen_Ratings[[#This Row],[Top Ten]],4)</f>
        <v/>
      </c>
      <c r="K2555" t="str">
        <f>IF(Ramen_Ratings[[#This Row],[Top Ten]]="", "",RIGHT(Ramen_Ratings[[#This Row],[Top Ten]],LEN(Ramen_Ratings[[#This Row],[Top Ten]])-6))</f>
        <v/>
      </c>
    </row>
    <row r="2556" spans="1:11" x14ac:dyDescent="0.25">
      <c r="A2556">
        <v>1845</v>
      </c>
      <c r="B2556" t="s">
        <v>897</v>
      </c>
      <c r="C2556" t="s">
        <v>921</v>
      </c>
      <c r="D2556" t="s">
        <v>13</v>
      </c>
      <c r="E2556" t="s">
        <v>371</v>
      </c>
      <c r="F2556" t="str">
        <f>VLOOKUP(Ramen_Ratings[[#This Row],[Country]],Country_Region[#All],2,FALSE)</f>
        <v>Asia</v>
      </c>
      <c r="G2556">
        <v>3.25</v>
      </c>
      <c r="H2556" t="str" cm="1">
        <f t="array" ref="H2556">_xlfn.IFS(Ramen_Ratings[[#This Row],[Stars]] = "Unrated", "NA",Ramen_Ratings[[#This Row],[Stars]]&gt;=4, "Good", Ramen_Ratings[[#This Row],[Stars]]&gt;2.5, "Fair", Ramen_Ratings[[#This Row],[Stars]] &gt;= 0, "Bad")</f>
        <v>Fair</v>
      </c>
      <c r="J2556" t="str">
        <f>LEFT(Ramen_Ratings[[#This Row],[Top Ten]],4)</f>
        <v/>
      </c>
      <c r="K2556" t="str">
        <f>IF(Ramen_Ratings[[#This Row],[Top Ten]]="", "",RIGHT(Ramen_Ratings[[#This Row],[Top Ten]],LEN(Ramen_Ratings[[#This Row],[Top Ten]])-6))</f>
        <v/>
      </c>
    </row>
    <row r="2557" spans="1:11" x14ac:dyDescent="0.25">
      <c r="A2557">
        <v>1805</v>
      </c>
      <c r="B2557" t="s">
        <v>897</v>
      </c>
      <c r="C2557" t="s">
        <v>969</v>
      </c>
      <c r="D2557" t="s">
        <v>13</v>
      </c>
      <c r="E2557" t="s">
        <v>371</v>
      </c>
      <c r="F2557" t="str">
        <f>VLOOKUP(Ramen_Ratings[[#This Row],[Country]],Country_Region[#All],2,FALSE)</f>
        <v>Asia</v>
      </c>
      <c r="G2557">
        <v>4</v>
      </c>
      <c r="H2557" t="str" cm="1">
        <f t="array" ref="H2557">_xlfn.IFS(Ramen_Ratings[[#This Row],[Stars]] = "Unrated", "NA",Ramen_Ratings[[#This Row],[Stars]]&gt;=4, "Good", Ramen_Ratings[[#This Row],[Stars]]&gt;2.5, "Fair", Ramen_Ratings[[#This Row],[Stars]] &gt;= 0, "Bad")</f>
        <v>Good</v>
      </c>
      <c r="J2557" t="str">
        <f>LEFT(Ramen_Ratings[[#This Row],[Top Ten]],4)</f>
        <v/>
      </c>
      <c r="K2557" t="str">
        <f>IF(Ramen_Ratings[[#This Row],[Top Ten]]="", "",RIGHT(Ramen_Ratings[[#This Row],[Top Ten]],LEN(Ramen_Ratings[[#This Row],[Top Ten]])-6))</f>
        <v/>
      </c>
    </row>
    <row r="2558" spans="1:11" x14ac:dyDescent="0.25">
      <c r="A2558">
        <v>1755</v>
      </c>
      <c r="B2558" t="s">
        <v>897</v>
      </c>
      <c r="C2558" t="s">
        <v>1025</v>
      </c>
      <c r="D2558" t="s">
        <v>13</v>
      </c>
      <c r="E2558" t="s">
        <v>371</v>
      </c>
      <c r="F2558" t="str">
        <f>VLOOKUP(Ramen_Ratings[[#This Row],[Country]],Country_Region[#All],2,FALSE)</f>
        <v>Asia</v>
      </c>
      <c r="G2558">
        <v>4</v>
      </c>
      <c r="H2558" t="str" cm="1">
        <f t="array" ref="H2558">_xlfn.IFS(Ramen_Ratings[[#This Row],[Stars]] = "Unrated", "NA",Ramen_Ratings[[#This Row],[Stars]]&gt;=4, "Good", Ramen_Ratings[[#This Row],[Stars]]&gt;2.5, "Fair", Ramen_Ratings[[#This Row],[Stars]] &gt;= 0, "Bad")</f>
        <v>Good</v>
      </c>
      <c r="J2558" t="str">
        <f>LEFT(Ramen_Ratings[[#This Row],[Top Ten]],4)</f>
        <v/>
      </c>
      <c r="K2558" t="str">
        <f>IF(Ramen_Ratings[[#This Row],[Top Ten]]="", "",RIGHT(Ramen_Ratings[[#This Row],[Top Ten]],LEN(Ramen_Ratings[[#This Row],[Top Ten]])-6))</f>
        <v/>
      </c>
    </row>
    <row r="2559" spans="1:11" x14ac:dyDescent="0.25">
      <c r="A2559">
        <v>1692</v>
      </c>
      <c r="B2559" t="s">
        <v>897</v>
      </c>
      <c r="C2559" t="s">
        <v>1096</v>
      </c>
      <c r="D2559" t="s">
        <v>13</v>
      </c>
      <c r="E2559" t="s">
        <v>371</v>
      </c>
      <c r="F2559" t="str">
        <f>VLOOKUP(Ramen_Ratings[[#This Row],[Country]],Country_Region[#All],2,FALSE)</f>
        <v>Asia</v>
      </c>
      <c r="G2559">
        <v>3.25</v>
      </c>
      <c r="H2559" t="str" cm="1">
        <f t="array" ref="H2559">_xlfn.IFS(Ramen_Ratings[[#This Row],[Stars]] = "Unrated", "NA",Ramen_Ratings[[#This Row],[Stars]]&gt;=4, "Good", Ramen_Ratings[[#This Row],[Stars]]&gt;2.5, "Fair", Ramen_Ratings[[#This Row],[Stars]] &gt;= 0, "Bad")</f>
        <v>Fair</v>
      </c>
      <c r="J2559" t="str">
        <f>LEFT(Ramen_Ratings[[#This Row],[Top Ten]],4)</f>
        <v/>
      </c>
      <c r="K2559" t="str">
        <f>IF(Ramen_Ratings[[#This Row],[Top Ten]]="", "",RIGHT(Ramen_Ratings[[#This Row],[Top Ten]],LEN(Ramen_Ratings[[#This Row],[Top Ten]])-6))</f>
        <v/>
      </c>
    </row>
    <row r="2560" spans="1:11" x14ac:dyDescent="0.25">
      <c r="A2560">
        <v>2349</v>
      </c>
      <c r="B2560" t="s">
        <v>338</v>
      </c>
      <c r="C2560" t="s">
        <v>339</v>
      </c>
      <c r="D2560" t="s">
        <v>9</v>
      </c>
      <c r="E2560" t="s">
        <v>340</v>
      </c>
      <c r="F2560" t="str">
        <f>VLOOKUP(Ramen_Ratings[[#This Row],[Country]],Country_Region[#All],2,FALSE)</f>
        <v>Oceania</v>
      </c>
      <c r="G2560">
        <v>3</v>
      </c>
      <c r="H2560" t="str" cm="1">
        <f t="array" ref="H2560">_xlfn.IFS(Ramen_Ratings[[#This Row],[Stars]] = "Unrated", "NA",Ramen_Ratings[[#This Row],[Stars]]&gt;=4, "Good", Ramen_Ratings[[#This Row],[Stars]]&gt;2.5, "Fair", Ramen_Ratings[[#This Row],[Stars]] &gt;= 0, "Bad")</f>
        <v>Fair</v>
      </c>
      <c r="J2560" t="str">
        <f>LEFT(Ramen_Ratings[[#This Row],[Top Ten]],4)</f>
        <v/>
      </c>
      <c r="K2560" t="str">
        <f>IF(Ramen_Ratings[[#This Row],[Top Ten]]="", "",RIGHT(Ramen_Ratings[[#This Row],[Top Ten]],LEN(Ramen_Ratings[[#This Row],[Top Ten]])-6))</f>
        <v/>
      </c>
    </row>
    <row r="2561" spans="1:11" x14ac:dyDescent="0.25">
      <c r="A2561">
        <v>2308</v>
      </c>
      <c r="B2561" t="s">
        <v>338</v>
      </c>
      <c r="C2561" t="s">
        <v>391</v>
      </c>
      <c r="D2561" t="s">
        <v>9</v>
      </c>
      <c r="E2561" t="s">
        <v>340</v>
      </c>
      <c r="F2561" t="str">
        <f>VLOOKUP(Ramen_Ratings[[#This Row],[Country]],Country_Region[#All],2,FALSE)</f>
        <v>Oceania</v>
      </c>
      <c r="G2561">
        <v>4</v>
      </c>
      <c r="H2561" t="str" cm="1">
        <f t="array" ref="H2561">_xlfn.IFS(Ramen_Ratings[[#This Row],[Stars]] = "Unrated", "NA",Ramen_Ratings[[#This Row],[Stars]]&gt;=4, "Good", Ramen_Ratings[[#This Row],[Stars]]&gt;2.5, "Fair", Ramen_Ratings[[#This Row],[Stars]] &gt;= 0, "Bad")</f>
        <v>Good</v>
      </c>
      <c r="J2561" t="str">
        <f>LEFT(Ramen_Ratings[[#This Row],[Top Ten]],4)</f>
        <v/>
      </c>
      <c r="K2561" t="str">
        <f>IF(Ramen_Ratings[[#This Row],[Top Ten]]="", "",RIGHT(Ramen_Ratings[[#This Row],[Top Ten]],LEN(Ramen_Ratings[[#This Row],[Top Ten]])-6))</f>
        <v/>
      </c>
    </row>
    <row r="2562" spans="1:11" x14ac:dyDescent="0.25">
      <c r="A2562">
        <v>2301</v>
      </c>
      <c r="B2562" t="s">
        <v>398</v>
      </c>
      <c r="C2562" t="s">
        <v>399</v>
      </c>
      <c r="D2562" t="s">
        <v>9</v>
      </c>
      <c r="E2562" t="s">
        <v>340</v>
      </c>
      <c r="F2562" t="str">
        <f>VLOOKUP(Ramen_Ratings[[#This Row],[Country]],Country_Region[#All],2,FALSE)</f>
        <v>Oceania</v>
      </c>
      <c r="G2562">
        <v>3</v>
      </c>
      <c r="H2562" t="str" cm="1">
        <f t="array" ref="H2562">_xlfn.IFS(Ramen_Ratings[[#This Row],[Stars]] = "Unrated", "NA",Ramen_Ratings[[#This Row],[Stars]]&gt;=4, "Good", Ramen_Ratings[[#This Row],[Stars]]&gt;2.5, "Fair", Ramen_Ratings[[#This Row],[Stars]] &gt;= 0, "Bad")</f>
        <v>Fair</v>
      </c>
      <c r="J2562" t="str">
        <f>LEFT(Ramen_Ratings[[#This Row],[Top Ten]],4)</f>
        <v/>
      </c>
      <c r="K2562" t="str">
        <f>IF(Ramen_Ratings[[#This Row],[Top Ten]]="", "",RIGHT(Ramen_Ratings[[#This Row],[Top Ten]],LEN(Ramen_Ratings[[#This Row],[Top Ten]])-6))</f>
        <v/>
      </c>
    </row>
    <row r="2563" spans="1:11" x14ac:dyDescent="0.25">
      <c r="A2563">
        <v>2296</v>
      </c>
      <c r="B2563" t="s">
        <v>398</v>
      </c>
      <c r="C2563" t="s">
        <v>405</v>
      </c>
      <c r="D2563" t="s">
        <v>9</v>
      </c>
      <c r="E2563" t="s">
        <v>340</v>
      </c>
      <c r="F2563" t="str">
        <f>VLOOKUP(Ramen_Ratings[[#This Row],[Country]],Country_Region[#All],2,FALSE)</f>
        <v>Oceania</v>
      </c>
      <c r="G2563">
        <v>3</v>
      </c>
      <c r="H2563" t="str" cm="1">
        <f t="array" ref="H2563">_xlfn.IFS(Ramen_Ratings[[#This Row],[Stars]] = "Unrated", "NA",Ramen_Ratings[[#This Row],[Stars]]&gt;=4, "Good", Ramen_Ratings[[#This Row],[Stars]]&gt;2.5, "Fair", Ramen_Ratings[[#This Row],[Stars]] &gt;= 0, "Bad")</f>
        <v>Fair</v>
      </c>
      <c r="J2563" t="str">
        <f>LEFT(Ramen_Ratings[[#This Row],[Top Ten]],4)</f>
        <v/>
      </c>
      <c r="K2563" t="str">
        <f>IF(Ramen_Ratings[[#This Row],[Top Ten]]="", "",RIGHT(Ramen_Ratings[[#This Row],[Top Ten]],LEN(Ramen_Ratings[[#This Row],[Top Ten]])-6))</f>
        <v/>
      </c>
    </row>
    <row r="2564" spans="1:11" x14ac:dyDescent="0.25">
      <c r="A2564">
        <v>2285</v>
      </c>
      <c r="B2564" t="s">
        <v>338</v>
      </c>
      <c r="C2564" t="s">
        <v>416</v>
      </c>
      <c r="D2564" t="s">
        <v>9</v>
      </c>
      <c r="E2564" t="s">
        <v>340</v>
      </c>
      <c r="F2564" t="str">
        <f>VLOOKUP(Ramen_Ratings[[#This Row],[Country]],Country_Region[#All],2,FALSE)</f>
        <v>Oceania</v>
      </c>
      <c r="G2564">
        <v>3</v>
      </c>
      <c r="H2564" t="str" cm="1">
        <f t="array" ref="H2564">_xlfn.IFS(Ramen_Ratings[[#This Row],[Stars]] = "Unrated", "NA",Ramen_Ratings[[#This Row],[Stars]]&gt;=4, "Good", Ramen_Ratings[[#This Row],[Stars]]&gt;2.5, "Fair", Ramen_Ratings[[#This Row],[Stars]] &gt;= 0, "Bad")</f>
        <v>Fair</v>
      </c>
      <c r="J2564" t="str">
        <f>LEFT(Ramen_Ratings[[#This Row],[Top Ten]],4)</f>
        <v/>
      </c>
      <c r="K2564" t="str">
        <f>IF(Ramen_Ratings[[#This Row],[Top Ten]]="", "",RIGHT(Ramen_Ratings[[#This Row],[Top Ten]],LEN(Ramen_Ratings[[#This Row],[Top Ten]])-6))</f>
        <v/>
      </c>
    </row>
    <row r="2565" spans="1:11" x14ac:dyDescent="0.25">
      <c r="A2565">
        <v>2274</v>
      </c>
      <c r="B2565" t="s">
        <v>398</v>
      </c>
      <c r="C2565" t="s">
        <v>427</v>
      </c>
      <c r="D2565" t="s">
        <v>9</v>
      </c>
      <c r="E2565" t="s">
        <v>340</v>
      </c>
      <c r="F2565" t="str">
        <f>VLOOKUP(Ramen_Ratings[[#This Row],[Country]],Country_Region[#All],2,FALSE)</f>
        <v>Oceania</v>
      </c>
      <c r="G2565">
        <v>4</v>
      </c>
      <c r="H2565" t="str" cm="1">
        <f t="array" ref="H2565">_xlfn.IFS(Ramen_Ratings[[#This Row],[Stars]] = "Unrated", "NA",Ramen_Ratings[[#This Row],[Stars]]&gt;=4, "Good", Ramen_Ratings[[#This Row],[Stars]]&gt;2.5, "Fair", Ramen_Ratings[[#This Row],[Stars]] &gt;= 0, "Bad")</f>
        <v>Good</v>
      </c>
      <c r="J2565" t="str">
        <f>LEFT(Ramen_Ratings[[#This Row],[Top Ten]],4)</f>
        <v/>
      </c>
      <c r="K2565" t="str">
        <f>IF(Ramen_Ratings[[#This Row],[Top Ten]]="", "",RIGHT(Ramen_Ratings[[#This Row],[Top Ten]],LEN(Ramen_Ratings[[#This Row],[Top Ten]])-6))</f>
        <v/>
      </c>
    </row>
    <row r="2566" spans="1:11" x14ac:dyDescent="0.25">
      <c r="A2566">
        <v>2253</v>
      </c>
      <c r="B2566" t="s">
        <v>450</v>
      </c>
      <c r="C2566" t="s">
        <v>451</v>
      </c>
      <c r="D2566" t="s">
        <v>9</v>
      </c>
      <c r="E2566" t="s">
        <v>340</v>
      </c>
      <c r="F2566" t="str">
        <f>VLOOKUP(Ramen_Ratings[[#This Row],[Country]],Country_Region[#All],2,FALSE)</f>
        <v>Oceania</v>
      </c>
      <c r="G2566">
        <v>4</v>
      </c>
      <c r="H2566" t="str" cm="1">
        <f t="array" ref="H2566">_xlfn.IFS(Ramen_Ratings[[#This Row],[Stars]] = "Unrated", "NA",Ramen_Ratings[[#This Row],[Stars]]&gt;=4, "Good", Ramen_Ratings[[#This Row],[Stars]]&gt;2.5, "Fair", Ramen_Ratings[[#This Row],[Stars]] &gt;= 0, "Bad")</f>
        <v>Good</v>
      </c>
      <c r="J2566" t="str">
        <f>LEFT(Ramen_Ratings[[#This Row],[Top Ten]],4)</f>
        <v/>
      </c>
      <c r="K2566" t="str">
        <f>IF(Ramen_Ratings[[#This Row],[Top Ten]]="", "",RIGHT(Ramen_Ratings[[#This Row],[Top Ten]],LEN(Ramen_Ratings[[#This Row],[Top Ten]])-6))</f>
        <v/>
      </c>
    </row>
    <row r="2567" spans="1:11" x14ac:dyDescent="0.25">
      <c r="A2567">
        <v>2231</v>
      </c>
      <c r="B2567" t="s">
        <v>338</v>
      </c>
      <c r="C2567" t="s">
        <v>478</v>
      </c>
      <c r="D2567" t="s">
        <v>9</v>
      </c>
      <c r="E2567" t="s">
        <v>340</v>
      </c>
      <c r="F2567" t="str">
        <f>VLOOKUP(Ramen_Ratings[[#This Row],[Country]],Country_Region[#All],2,FALSE)</f>
        <v>Oceania</v>
      </c>
      <c r="G2567">
        <v>4</v>
      </c>
      <c r="H2567" t="str" cm="1">
        <f t="array" ref="H2567">_xlfn.IFS(Ramen_Ratings[[#This Row],[Stars]] = "Unrated", "NA",Ramen_Ratings[[#This Row],[Stars]]&gt;=4, "Good", Ramen_Ratings[[#This Row],[Stars]]&gt;2.5, "Fair", Ramen_Ratings[[#This Row],[Stars]] &gt;= 0, "Bad")</f>
        <v>Good</v>
      </c>
      <c r="J2567" t="str">
        <f>LEFT(Ramen_Ratings[[#This Row],[Top Ten]],4)</f>
        <v/>
      </c>
      <c r="K2567" t="str">
        <f>IF(Ramen_Ratings[[#This Row],[Top Ten]]="", "",RIGHT(Ramen_Ratings[[#This Row],[Top Ten]],LEN(Ramen_Ratings[[#This Row],[Top Ten]])-6))</f>
        <v/>
      </c>
    </row>
    <row r="2568" spans="1:11" x14ac:dyDescent="0.25">
      <c r="A2568">
        <v>2219</v>
      </c>
      <c r="B2568" t="s">
        <v>338</v>
      </c>
      <c r="C2568" t="s">
        <v>492</v>
      </c>
      <c r="D2568" t="s">
        <v>9</v>
      </c>
      <c r="E2568" t="s">
        <v>340</v>
      </c>
      <c r="F2568" t="str">
        <f>VLOOKUP(Ramen_Ratings[[#This Row],[Country]],Country_Region[#All],2,FALSE)</f>
        <v>Oceania</v>
      </c>
      <c r="G2568">
        <v>1</v>
      </c>
      <c r="H2568" t="str" cm="1">
        <f t="array" ref="H2568">_xlfn.IFS(Ramen_Ratings[[#This Row],[Stars]] = "Unrated", "NA",Ramen_Ratings[[#This Row],[Stars]]&gt;=4, "Good", Ramen_Ratings[[#This Row],[Stars]]&gt;2.5, "Fair", Ramen_Ratings[[#This Row],[Stars]] &gt;= 0, "Bad")</f>
        <v>Bad</v>
      </c>
      <c r="J2568" t="str">
        <f>LEFT(Ramen_Ratings[[#This Row],[Top Ten]],4)</f>
        <v/>
      </c>
      <c r="K2568" t="str">
        <f>IF(Ramen_Ratings[[#This Row],[Top Ten]]="", "",RIGHT(Ramen_Ratings[[#This Row],[Top Ten]],LEN(Ramen_Ratings[[#This Row],[Top Ten]])-6))</f>
        <v/>
      </c>
    </row>
    <row r="2569" spans="1:11" x14ac:dyDescent="0.25">
      <c r="A2569">
        <v>2188</v>
      </c>
      <c r="B2569" t="s">
        <v>450</v>
      </c>
      <c r="C2569" t="s">
        <v>171</v>
      </c>
      <c r="D2569" t="s">
        <v>9</v>
      </c>
      <c r="E2569" t="s">
        <v>340</v>
      </c>
      <c r="F2569" t="str">
        <f>VLOOKUP(Ramen_Ratings[[#This Row],[Country]],Country_Region[#All],2,FALSE)</f>
        <v>Oceania</v>
      </c>
      <c r="G2569">
        <v>2.5</v>
      </c>
      <c r="H2569" t="str" cm="1">
        <f t="array" ref="H2569">_xlfn.IFS(Ramen_Ratings[[#This Row],[Stars]] = "Unrated", "NA",Ramen_Ratings[[#This Row],[Stars]]&gt;=4, "Good", Ramen_Ratings[[#This Row],[Stars]]&gt;2.5, "Fair", Ramen_Ratings[[#This Row],[Stars]] &gt;= 0, "Bad")</f>
        <v>Bad</v>
      </c>
      <c r="J2569" t="str">
        <f>LEFT(Ramen_Ratings[[#This Row],[Top Ten]],4)</f>
        <v/>
      </c>
      <c r="K2569" t="str">
        <f>IF(Ramen_Ratings[[#This Row],[Top Ten]]="", "",RIGHT(Ramen_Ratings[[#This Row],[Top Ten]],LEN(Ramen_Ratings[[#This Row],[Top Ten]])-6))</f>
        <v/>
      </c>
    </row>
    <row r="2570" spans="1:11" x14ac:dyDescent="0.25">
      <c r="A2570">
        <v>2165</v>
      </c>
      <c r="B2570" t="s">
        <v>398</v>
      </c>
      <c r="C2570" t="s">
        <v>554</v>
      </c>
      <c r="D2570" t="s">
        <v>9</v>
      </c>
      <c r="E2570" t="s">
        <v>340</v>
      </c>
      <c r="F2570" t="str">
        <f>VLOOKUP(Ramen_Ratings[[#This Row],[Country]],Country_Region[#All],2,FALSE)</f>
        <v>Oceania</v>
      </c>
      <c r="G2570">
        <v>3</v>
      </c>
      <c r="H2570" t="str" cm="1">
        <f t="array" ref="H2570">_xlfn.IFS(Ramen_Ratings[[#This Row],[Stars]] = "Unrated", "NA",Ramen_Ratings[[#This Row],[Stars]]&gt;=4, "Good", Ramen_Ratings[[#This Row],[Stars]]&gt;2.5, "Fair", Ramen_Ratings[[#This Row],[Stars]] &gt;= 0, "Bad")</f>
        <v>Fair</v>
      </c>
      <c r="J2570" t="str">
        <f>LEFT(Ramen_Ratings[[#This Row],[Top Ten]],4)</f>
        <v/>
      </c>
      <c r="K2570" t="str">
        <f>IF(Ramen_Ratings[[#This Row],[Top Ten]]="", "",RIGHT(Ramen_Ratings[[#This Row],[Top Ten]],LEN(Ramen_Ratings[[#This Row],[Top Ten]])-6))</f>
        <v/>
      </c>
    </row>
    <row r="2571" spans="1:11" x14ac:dyDescent="0.25">
      <c r="A2571">
        <v>2127</v>
      </c>
      <c r="B2571" t="s">
        <v>398</v>
      </c>
      <c r="C2571" t="s">
        <v>598</v>
      </c>
      <c r="D2571" t="s">
        <v>9</v>
      </c>
      <c r="E2571" t="s">
        <v>340</v>
      </c>
      <c r="F2571" t="str">
        <f>VLOOKUP(Ramen_Ratings[[#This Row],[Country]],Country_Region[#All],2,FALSE)</f>
        <v>Oceania</v>
      </c>
      <c r="G2571">
        <v>2.25</v>
      </c>
      <c r="H2571" t="str" cm="1">
        <f t="array" ref="H2571">_xlfn.IFS(Ramen_Ratings[[#This Row],[Stars]] = "Unrated", "NA",Ramen_Ratings[[#This Row],[Stars]]&gt;=4, "Good", Ramen_Ratings[[#This Row],[Stars]]&gt;2.5, "Fair", Ramen_Ratings[[#This Row],[Stars]] &gt;= 0, "Bad")</f>
        <v>Bad</v>
      </c>
      <c r="J2571" t="str">
        <f>LEFT(Ramen_Ratings[[#This Row],[Top Ten]],4)</f>
        <v/>
      </c>
      <c r="K2571" t="str">
        <f>IF(Ramen_Ratings[[#This Row],[Top Ten]]="", "",RIGHT(Ramen_Ratings[[#This Row],[Top Ten]],LEN(Ramen_Ratings[[#This Row],[Top Ten]])-6))</f>
        <v/>
      </c>
    </row>
    <row r="2572" spans="1:11" x14ac:dyDescent="0.25">
      <c r="A2572">
        <v>2068</v>
      </c>
      <c r="B2572" t="s">
        <v>132</v>
      </c>
      <c r="C2572" t="s">
        <v>663</v>
      </c>
      <c r="D2572" t="s">
        <v>13</v>
      </c>
      <c r="E2572" t="s">
        <v>340</v>
      </c>
      <c r="F2572" t="str">
        <f>VLOOKUP(Ramen_Ratings[[#This Row],[Country]],Country_Region[#All],2,FALSE)</f>
        <v>Oceania</v>
      </c>
      <c r="G2572">
        <v>5</v>
      </c>
      <c r="H2572" t="str" cm="1">
        <f t="array" ref="H2572">_xlfn.IFS(Ramen_Ratings[[#This Row],[Stars]] = "Unrated", "NA",Ramen_Ratings[[#This Row],[Stars]]&gt;=4, "Good", Ramen_Ratings[[#This Row],[Stars]]&gt;2.5, "Fair", Ramen_Ratings[[#This Row],[Stars]] &gt;= 0, "Bad")</f>
        <v>Good</v>
      </c>
      <c r="J2572" t="str">
        <f>LEFT(Ramen_Ratings[[#This Row],[Top Ten]],4)</f>
        <v/>
      </c>
      <c r="K2572" t="str">
        <f>IF(Ramen_Ratings[[#This Row],[Top Ten]]="", "",RIGHT(Ramen_Ratings[[#This Row],[Top Ten]],LEN(Ramen_Ratings[[#This Row],[Top Ten]])-6))</f>
        <v/>
      </c>
    </row>
    <row r="2573" spans="1:11" x14ac:dyDescent="0.25">
      <c r="A2573">
        <v>2054</v>
      </c>
      <c r="B2573" t="s">
        <v>398</v>
      </c>
      <c r="C2573" t="s">
        <v>680</v>
      </c>
      <c r="D2573" t="s">
        <v>9</v>
      </c>
      <c r="E2573" t="s">
        <v>340</v>
      </c>
      <c r="F2573" t="str">
        <f>VLOOKUP(Ramen_Ratings[[#This Row],[Country]],Country_Region[#All],2,FALSE)</f>
        <v>Oceania</v>
      </c>
      <c r="G2573">
        <v>3.25</v>
      </c>
      <c r="H2573" t="str" cm="1">
        <f t="array" ref="H2573">_xlfn.IFS(Ramen_Ratings[[#This Row],[Stars]] = "Unrated", "NA",Ramen_Ratings[[#This Row],[Stars]]&gt;=4, "Good", Ramen_Ratings[[#This Row],[Stars]]&gt;2.5, "Fair", Ramen_Ratings[[#This Row],[Stars]] &gt;= 0, "Bad")</f>
        <v>Fair</v>
      </c>
      <c r="J2573" t="str">
        <f>LEFT(Ramen_Ratings[[#This Row],[Top Ten]],4)</f>
        <v/>
      </c>
      <c r="K2573" t="str">
        <f>IF(Ramen_Ratings[[#This Row],[Top Ten]]="", "",RIGHT(Ramen_Ratings[[#This Row],[Top Ten]],LEN(Ramen_Ratings[[#This Row],[Top Ten]])-6))</f>
        <v/>
      </c>
    </row>
    <row r="2574" spans="1:11" x14ac:dyDescent="0.25">
      <c r="A2574">
        <v>2042</v>
      </c>
      <c r="B2574" t="s">
        <v>398</v>
      </c>
      <c r="C2574" t="s">
        <v>693</v>
      </c>
      <c r="D2574" t="s">
        <v>9</v>
      </c>
      <c r="E2574" t="s">
        <v>340</v>
      </c>
      <c r="F2574" t="str">
        <f>VLOOKUP(Ramen_Ratings[[#This Row],[Country]],Country_Region[#All],2,FALSE)</f>
        <v>Oceania</v>
      </c>
      <c r="G2574">
        <v>4.3</v>
      </c>
      <c r="H2574" t="str" cm="1">
        <f t="array" ref="H2574">_xlfn.IFS(Ramen_Ratings[[#This Row],[Stars]] = "Unrated", "NA",Ramen_Ratings[[#This Row],[Stars]]&gt;=4, "Good", Ramen_Ratings[[#This Row],[Stars]]&gt;2.5, "Fair", Ramen_Ratings[[#This Row],[Stars]] &gt;= 0, "Bad")</f>
        <v>Good</v>
      </c>
      <c r="J2574" t="str">
        <f>LEFT(Ramen_Ratings[[#This Row],[Top Ten]],4)</f>
        <v/>
      </c>
      <c r="K2574" t="str">
        <f>IF(Ramen_Ratings[[#This Row],[Top Ten]]="", "",RIGHT(Ramen_Ratings[[#This Row],[Top Ten]],LEN(Ramen_Ratings[[#This Row],[Top Ten]])-6))</f>
        <v/>
      </c>
    </row>
    <row r="2575" spans="1:11" x14ac:dyDescent="0.25">
      <c r="A2575">
        <v>2034</v>
      </c>
      <c r="B2575" t="s">
        <v>338</v>
      </c>
      <c r="C2575" t="s">
        <v>702</v>
      </c>
      <c r="D2575" t="s">
        <v>9</v>
      </c>
      <c r="E2575" t="s">
        <v>340</v>
      </c>
      <c r="F2575" t="str">
        <f>VLOOKUP(Ramen_Ratings[[#This Row],[Country]],Country_Region[#All],2,FALSE)</f>
        <v>Oceania</v>
      </c>
      <c r="G2575">
        <v>3.25</v>
      </c>
      <c r="H2575" t="str" cm="1">
        <f t="array" ref="H2575">_xlfn.IFS(Ramen_Ratings[[#This Row],[Stars]] = "Unrated", "NA",Ramen_Ratings[[#This Row],[Stars]]&gt;=4, "Good", Ramen_Ratings[[#This Row],[Stars]]&gt;2.5, "Fair", Ramen_Ratings[[#This Row],[Stars]] &gt;= 0, "Bad")</f>
        <v>Fair</v>
      </c>
      <c r="J2575" t="str">
        <f>LEFT(Ramen_Ratings[[#This Row],[Top Ten]],4)</f>
        <v/>
      </c>
      <c r="K2575" t="str">
        <f>IF(Ramen_Ratings[[#This Row],[Top Ten]]="", "",RIGHT(Ramen_Ratings[[#This Row],[Top Ten]],LEN(Ramen_Ratings[[#This Row],[Top Ten]])-6))</f>
        <v/>
      </c>
    </row>
    <row r="2576" spans="1:11" x14ac:dyDescent="0.25">
      <c r="A2576">
        <v>2029</v>
      </c>
      <c r="B2576" t="s">
        <v>450</v>
      </c>
      <c r="C2576" t="s">
        <v>708</v>
      </c>
      <c r="D2576" t="s">
        <v>9</v>
      </c>
      <c r="E2576" t="s">
        <v>340</v>
      </c>
      <c r="F2576" t="str">
        <f>VLOOKUP(Ramen_Ratings[[#This Row],[Country]],Country_Region[#All],2,FALSE)</f>
        <v>Oceania</v>
      </c>
      <c r="G2576">
        <v>2</v>
      </c>
      <c r="H2576" t="str" cm="1">
        <f t="array" ref="H2576">_xlfn.IFS(Ramen_Ratings[[#This Row],[Stars]] = "Unrated", "NA",Ramen_Ratings[[#This Row],[Stars]]&gt;=4, "Good", Ramen_Ratings[[#This Row],[Stars]]&gt;2.5, "Fair", Ramen_Ratings[[#This Row],[Stars]] &gt;= 0, "Bad")</f>
        <v>Bad</v>
      </c>
      <c r="J2576" t="str">
        <f>LEFT(Ramen_Ratings[[#This Row],[Top Ten]],4)</f>
        <v/>
      </c>
      <c r="K2576" t="str">
        <f>IF(Ramen_Ratings[[#This Row],[Top Ten]]="", "",RIGHT(Ramen_Ratings[[#This Row],[Top Ten]],LEN(Ramen_Ratings[[#This Row],[Top Ten]])-6))</f>
        <v/>
      </c>
    </row>
    <row r="2577" spans="1:11" x14ac:dyDescent="0.25">
      <c r="A2577">
        <v>2011</v>
      </c>
      <c r="B2577" t="s">
        <v>727</v>
      </c>
      <c r="C2577" t="s">
        <v>728</v>
      </c>
      <c r="D2577" t="s">
        <v>13</v>
      </c>
      <c r="E2577" t="s">
        <v>340</v>
      </c>
      <c r="F2577" t="str">
        <f>VLOOKUP(Ramen_Ratings[[#This Row],[Country]],Country_Region[#All],2,FALSE)</f>
        <v>Oceania</v>
      </c>
      <c r="G2577">
        <v>2</v>
      </c>
      <c r="H2577" t="str" cm="1">
        <f t="array" ref="H2577">_xlfn.IFS(Ramen_Ratings[[#This Row],[Stars]] = "Unrated", "NA",Ramen_Ratings[[#This Row],[Stars]]&gt;=4, "Good", Ramen_Ratings[[#This Row],[Stars]]&gt;2.5, "Fair", Ramen_Ratings[[#This Row],[Stars]] &gt;= 0, "Bad")</f>
        <v>Bad</v>
      </c>
      <c r="J2577" t="str">
        <f>LEFT(Ramen_Ratings[[#This Row],[Top Ten]],4)</f>
        <v/>
      </c>
      <c r="K2577" t="str">
        <f>IF(Ramen_Ratings[[#This Row],[Top Ten]]="", "",RIGHT(Ramen_Ratings[[#This Row],[Top Ten]],LEN(Ramen_Ratings[[#This Row],[Top Ten]])-6))</f>
        <v/>
      </c>
    </row>
    <row r="2578" spans="1:11" x14ac:dyDescent="0.25">
      <c r="A2578">
        <v>1980</v>
      </c>
      <c r="B2578" t="s">
        <v>398</v>
      </c>
      <c r="C2578" t="s">
        <v>763</v>
      </c>
      <c r="D2578" t="s">
        <v>9</v>
      </c>
      <c r="E2578" t="s">
        <v>340</v>
      </c>
      <c r="F2578" t="str">
        <f>VLOOKUP(Ramen_Ratings[[#This Row],[Country]],Country_Region[#All],2,FALSE)</f>
        <v>Oceania</v>
      </c>
      <c r="G2578">
        <v>3.5</v>
      </c>
      <c r="H2578" t="str" cm="1">
        <f t="array" ref="H2578">_xlfn.IFS(Ramen_Ratings[[#This Row],[Stars]] = "Unrated", "NA",Ramen_Ratings[[#This Row],[Stars]]&gt;=4, "Good", Ramen_Ratings[[#This Row],[Stars]]&gt;2.5, "Fair", Ramen_Ratings[[#This Row],[Stars]] &gt;= 0, "Bad")</f>
        <v>Fair</v>
      </c>
      <c r="J2578" t="str">
        <f>LEFT(Ramen_Ratings[[#This Row],[Top Ten]],4)</f>
        <v/>
      </c>
      <c r="K2578" t="str">
        <f>IF(Ramen_Ratings[[#This Row],[Top Ten]]="", "",RIGHT(Ramen_Ratings[[#This Row],[Top Ten]],LEN(Ramen_Ratings[[#This Row],[Top Ten]])-6))</f>
        <v/>
      </c>
    </row>
    <row r="2579" spans="1:11" x14ac:dyDescent="0.25">
      <c r="A2579">
        <v>987</v>
      </c>
      <c r="B2579" t="s">
        <v>727</v>
      </c>
      <c r="C2579" t="s">
        <v>1880</v>
      </c>
      <c r="D2579" t="s">
        <v>13</v>
      </c>
      <c r="E2579" t="s">
        <v>340</v>
      </c>
      <c r="F2579" t="str">
        <f>VLOOKUP(Ramen_Ratings[[#This Row],[Country]],Country_Region[#All],2,FALSE)</f>
        <v>Oceania</v>
      </c>
      <c r="G2579">
        <v>2.75</v>
      </c>
      <c r="H2579" t="str" cm="1">
        <f t="array" ref="H2579">_xlfn.IFS(Ramen_Ratings[[#This Row],[Stars]] = "Unrated", "NA",Ramen_Ratings[[#This Row],[Stars]]&gt;=4, "Good", Ramen_Ratings[[#This Row],[Stars]]&gt;2.5, "Fair", Ramen_Ratings[[#This Row],[Stars]] &gt;= 0, "Bad")</f>
        <v>Fair</v>
      </c>
      <c r="J2579" t="str">
        <f>LEFT(Ramen_Ratings[[#This Row],[Top Ten]],4)</f>
        <v/>
      </c>
      <c r="K2579" t="str">
        <f>IF(Ramen_Ratings[[#This Row],[Top Ten]]="", "",RIGHT(Ramen_Ratings[[#This Row],[Top Ten]],LEN(Ramen_Ratings[[#This Row],[Top Ten]])-6))</f>
        <v/>
      </c>
    </row>
    <row r="2580" spans="1:11" x14ac:dyDescent="0.25">
      <c r="A2580">
        <v>961</v>
      </c>
      <c r="B2580" t="s">
        <v>727</v>
      </c>
      <c r="C2580" t="s">
        <v>1908</v>
      </c>
      <c r="D2580" t="s">
        <v>13</v>
      </c>
      <c r="E2580" t="s">
        <v>340</v>
      </c>
      <c r="F2580" t="str">
        <f>VLOOKUP(Ramen_Ratings[[#This Row],[Country]],Country_Region[#All],2,FALSE)</f>
        <v>Oceania</v>
      </c>
      <c r="G2580">
        <v>2.75</v>
      </c>
      <c r="H2580" t="str" cm="1">
        <f t="array" ref="H2580">_xlfn.IFS(Ramen_Ratings[[#This Row],[Stars]] = "Unrated", "NA",Ramen_Ratings[[#This Row],[Stars]]&gt;=4, "Good", Ramen_Ratings[[#This Row],[Stars]]&gt;2.5, "Fair", Ramen_Ratings[[#This Row],[Stars]] &gt;= 0, "Bad")</f>
        <v>Fair</v>
      </c>
      <c r="J2580" t="str">
        <f>LEFT(Ramen_Ratings[[#This Row],[Top Ten]],4)</f>
        <v/>
      </c>
      <c r="K2580" t="str">
        <f>IF(Ramen_Ratings[[#This Row],[Top Ten]]="", "",RIGHT(Ramen_Ratings[[#This Row],[Top Ten]],LEN(Ramen_Ratings[[#This Row],[Top Ten]])-6))</f>
        <v/>
      </c>
    </row>
    <row r="2581" spans="1:11" x14ac:dyDescent="0.25">
      <c r="A2581">
        <v>948</v>
      </c>
      <c r="B2581" t="s">
        <v>727</v>
      </c>
      <c r="C2581" t="s">
        <v>1919</v>
      </c>
      <c r="D2581" t="s">
        <v>13</v>
      </c>
      <c r="E2581" t="s">
        <v>340</v>
      </c>
      <c r="F2581" t="str">
        <f>VLOOKUP(Ramen_Ratings[[#This Row],[Country]],Country_Region[#All],2,FALSE)</f>
        <v>Oceania</v>
      </c>
      <c r="G2581">
        <v>3.5</v>
      </c>
      <c r="H2581" t="str" cm="1">
        <f t="array" ref="H2581">_xlfn.IFS(Ramen_Ratings[[#This Row],[Stars]] = "Unrated", "NA",Ramen_Ratings[[#This Row],[Stars]]&gt;=4, "Good", Ramen_Ratings[[#This Row],[Stars]]&gt;2.5, "Fair", Ramen_Ratings[[#This Row],[Stars]] &gt;= 0, "Bad")</f>
        <v>Fair</v>
      </c>
      <c r="J2581" t="str">
        <f>LEFT(Ramen_Ratings[[#This Row],[Top Ten]],4)</f>
        <v/>
      </c>
      <c r="K2581" t="str">
        <f>IF(Ramen_Ratings[[#This Row],[Top Ten]]="", "",RIGHT(Ramen_Ratings[[#This Row],[Top Ten]],LEN(Ramen_Ratings[[#This Row],[Top Ten]])-6))</f>
        <v/>
      </c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39"/>
  <sheetViews>
    <sheetView workbookViewId="0">
      <selection activeCell="A2" sqref="A2:A39"/>
    </sheetView>
  </sheetViews>
  <sheetFormatPr defaultColWidth="11" defaultRowHeight="15.75" x14ac:dyDescent="0.25"/>
  <cols>
    <col min="1" max="1" width="28.875" customWidth="1"/>
    <col min="2" max="2" width="25.875" customWidth="1"/>
  </cols>
  <sheetData>
    <row r="1" spans="1:2" x14ac:dyDescent="0.25">
      <c r="A1" t="s">
        <v>4</v>
      </c>
      <c r="B1" t="s">
        <v>2866</v>
      </c>
    </row>
    <row r="2" spans="1:2" x14ac:dyDescent="0.25">
      <c r="A2" t="s">
        <v>10</v>
      </c>
      <c r="B2" t="s">
        <v>2859</v>
      </c>
    </row>
    <row r="3" spans="1:2" x14ac:dyDescent="0.25">
      <c r="A3" t="s">
        <v>14</v>
      </c>
      <c r="B3" t="s">
        <v>2859</v>
      </c>
    </row>
    <row r="4" spans="1:2" x14ac:dyDescent="0.25">
      <c r="A4" t="s">
        <v>17</v>
      </c>
      <c r="B4" t="s">
        <v>2860</v>
      </c>
    </row>
    <row r="5" spans="1:2" x14ac:dyDescent="0.25">
      <c r="A5" t="s">
        <v>22</v>
      </c>
      <c r="B5" t="s">
        <v>2859</v>
      </c>
    </row>
    <row r="6" spans="1:2" x14ac:dyDescent="0.25">
      <c r="A6" t="s">
        <v>25</v>
      </c>
      <c r="B6" t="s">
        <v>2859</v>
      </c>
    </row>
    <row r="7" spans="1:2" x14ac:dyDescent="0.25">
      <c r="A7" t="s">
        <v>35</v>
      </c>
      <c r="B7" t="s">
        <v>2859</v>
      </c>
    </row>
    <row r="8" spans="1:2" x14ac:dyDescent="0.25">
      <c r="A8" t="s">
        <v>38</v>
      </c>
      <c r="B8" t="s">
        <v>2859</v>
      </c>
    </row>
    <row r="9" spans="1:2" x14ac:dyDescent="0.25">
      <c r="A9" t="s">
        <v>46</v>
      </c>
      <c r="B9" t="s">
        <v>2859</v>
      </c>
    </row>
    <row r="10" spans="1:2" x14ac:dyDescent="0.25">
      <c r="A10" t="s">
        <v>53</v>
      </c>
      <c r="B10" t="s">
        <v>2859</v>
      </c>
    </row>
    <row r="11" spans="1:2" x14ac:dyDescent="0.25">
      <c r="A11" t="s">
        <v>65</v>
      </c>
      <c r="B11" t="s">
        <v>2859</v>
      </c>
    </row>
    <row r="12" spans="1:2" x14ac:dyDescent="0.25">
      <c r="A12" t="s">
        <v>69</v>
      </c>
      <c r="B12" t="s">
        <v>2861</v>
      </c>
    </row>
    <row r="13" spans="1:2" x14ac:dyDescent="0.25">
      <c r="A13" t="s">
        <v>73</v>
      </c>
      <c r="B13" t="s">
        <v>2859</v>
      </c>
    </row>
    <row r="14" spans="1:2" x14ac:dyDescent="0.25">
      <c r="A14" t="s">
        <v>79</v>
      </c>
      <c r="B14" t="s">
        <v>2859</v>
      </c>
    </row>
    <row r="15" spans="1:2" x14ac:dyDescent="0.25">
      <c r="A15" t="s">
        <v>142</v>
      </c>
      <c r="B15" t="s">
        <v>2861</v>
      </c>
    </row>
    <row r="16" spans="1:2" x14ac:dyDescent="0.25">
      <c r="A16" t="s">
        <v>149</v>
      </c>
      <c r="B16" t="s">
        <v>2862</v>
      </c>
    </row>
    <row r="17" spans="1:2" x14ac:dyDescent="0.25">
      <c r="A17" t="s">
        <v>156</v>
      </c>
      <c r="B17" t="s">
        <v>2862</v>
      </c>
    </row>
    <row r="18" spans="1:2" x14ac:dyDescent="0.25">
      <c r="A18" t="s">
        <v>216</v>
      </c>
      <c r="B18" t="s">
        <v>2860</v>
      </c>
    </row>
    <row r="19" spans="1:2" x14ac:dyDescent="0.25">
      <c r="A19" t="s">
        <v>280</v>
      </c>
      <c r="B19" t="s">
        <v>2863</v>
      </c>
    </row>
    <row r="20" spans="1:2" x14ac:dyDescent="0.25">
      <c r="A20" t="s">
        <v>340</v>
      </c>
      <c r="B20" t="s">
        <v>2863</v>
      </c>
    </row>
    <row r="21" spans="1:2" x14ac:dyDescent="0.25">
      <c r="A21" t="s">
        <v>345</v>
      </c>
      <c r="B21" t="s">
        <v>2859</v>
      </c>
    </row>
    <row r="22" spans="1:2" x14ac:dyDescent="0.25">
      <c r="A22" t="s">
        <v>371</v>
      </c>
      <c r="B22" t="s">
        <v>2859</v>
      </c>
    </row>
    <row r="23" spans="1:2" x14ac:dyDescent="0.25">
      <c r="A23" t="s">
        <v>465</v>
      </c>
      <c r="B23" t="s">
        <v>2860</v>
      </c>
    </row>
    <row r="24" spans="1:2" x14ac:dyDescent="0.25">
      <c r="A24" t="s">
        <v>471</v>
      </c>
      <c r="B24" t="s">
        <v>2859</v>
      </c>
    </row>
    <row r="25" spans="1:2" x14ac:dyDescent="0.25">
      <c r="A25" t="s">
        <v>511</v>
      </c>
      <c r="B25" t="s">
        <v>2865</v>
      </c>
    </row>
    <row r="26" spans="1:2" x14ac:dyDescent="0.25">
      <c r="A26" t="s">
        <v>516</v>
      </c>
      <c r="B26" t="s">
        <v>2862</v>
      </c>
    </row>
    <row r="27" spans="1:2" x14ac:dyDescent="0.25">
      <c r="A27" t="s">
        <v>730</v>
      </c>
      <c r="B27" t="s">
        <v>2859</v>
      </c>
    </row>
    <row r="28" spans="1:2" x14ac:dyDescent="0.25">
      <c r="A28" t="s">
        <v>733</v>
      </c>
      <c r="B28" t="s">
        <v>2862</v>
      </c>
    </row>
    <row r="29" spans="1:2" x14ac:dyDescent="0.25">
      <c r="A29" t="s">
        <v>736</v>
      </c>
      <c r="B29" t="s">
        <v>2860</v>
      </c>
    </row>
    <row r="30" spans="1:2" x14ac:dyDescent="0.25">
      <c r="A30" t="s">
        <v>826</v>
      </c>
      <c r="B30" t="s">
        <v>2859</v>
      </c>
    </row>
    <row r="31" spans="1:2" x14ac:dyDescent="0.25">
      <c r="A31" t="s">
        <v>857</v>
      </c>
      <c r="B31" t="s">
        <v>2862</v>
      </c>
    </row>
    <row r="32" spans="1:2" x14ac:dyDescent="0.25">
      <c r="A32" t="s">
        <v>1068</v>
      </c>
      <c r="B32" t="s">
        <v>2859</v>
      </c>
    </row>
    <row r="33" spans="1:2" x14ac:dyDescent="0.25">
      <c r="A33" t="s">
        <v>1159</v>
      </c>
      <c r="B33" t="s">
        <v>2859</v>
      </c>
    </row>
    <row r="34" spans="1:2" x14ac:dyDescent="0.25">
      <c r="A34" t="s">
        <v>1270</v>
      </c>
      <c r="B34" t="s">
        <v>2862</v>
      </c>
    </row>
    <row r="35" spans="1:2" x14ac:dyDescent="0.25">
      <c r="A35" t="s">
        <v>1399</v>
      </c>
      <c r="B35" t="s">
        <v>2865</v>
      </c>
    </row>
    <row r="36" spans="1:2" x14ac:dyDescent="0.25">
      <c r="A36" t="s">
        <v>1764</v>
      </c>
      <c r="B36" t="s">
        <v>2862</v>
      </c>
    </row>
    <row r="37" spans="1:2" x14ac:dyDescent="0.25">
      <c r="A37" t="s">
        <v>1853</v>
      </c>
      <c r="B37" t="s">
        <v>2862</v>
      </c>
    </row>
    <row r="38" spans="1:2" x14ac:dyDescent="0.25">
      <c r="A38" t="s">
        <v>1861</v>
      </c>
      <c r="B38" t="s">
        <v>2862</v>
      </c>
    </row>
    <row r="39" spans="1:2" x14ac:dyDescent="0.25">
      <c r="A39" t="s">
        <v>2088</v>
      </c>
      <c r="B39" t="s">
        <v>2864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52453-1DBA-41A0-AAE9-049528A06ABB}">
  <dimension ref="A1:D44"/>
  <sheetViews>
    <sheetView workbookViewId="0">
      <selection activeCell="A7" sqref="A7"/>
    </sheetView>
  </sheetViews>
  <sheetFormatPr defaultRowHeight="15.75" x14ac:dyDescent="0.25"/>
  <cols>
    <col min="1" max="1" width="15.5" bestFit="1" customWidth="1"/>
    <col min="2" max="2" width="17" bestFit="1" customWidth="1"/>
    <col min="3" max="3" width="17.75" bestFit="1" customWidth="1"/>
    <col min="4" max="4" width="14.5" bestFit="1" customWidth="1"/>
    <col min="5" max="5" width="9.375" bestFit="1" customWidth="1"/>
    <col min="6" max="6" width="7.125" bestFit="1" customWidth="1"/>
    <col min="7" max="7" width="5.625" bestFit="1" customWidth="1"/>
    <col min="8" max="8" width="8.875" bestFit="1" customWidth="1"/>
    <col min="9" max="9" width="5.875" bestFit="1" customWidth="1"/>
    <col min="10" max="10" width="7.125" bestFit="1" customWidth="1"/>
    <col min="11" max="11" width="3.25" bestFit="1" customWidth="1"/>
    <col min="12" max="12" width="7.125" bestFit="1" customWidth="1"/>
    <col min="13" max="13" width="8.625" bestFit="1" customWidth="1"/>
    <col min="14" max="14" width="6.375" bestFit="1" customWidth="1"/>
    <col min="15" max="15" width="7.5" bestFit="1" customWidth="1"/>
    <col min="16" max="16" width="10.25" bestFit="1" customWidth="1"/>
    <col min="17" max="17" width="8.125" bestFit="1" customWidth="1"/>
    <col min="18" max="18" width="5.125" bestFit="1" customWidth="1"/>
    <col min="19" max="19" width="9.125" bestFit="1" customWidth="1"/>
    <col min="20" max="20" width="5.75" bestFit="1" customWidth="1"/>
    <col min="21" max="21" width="8.375" bestFit="1" customWidth="1"/>
    <col min="22" max="22" width="7" bestFit="1" customWidth="1"/>
    <col min="23" max="23" width="9.125" bestFit="1" customWidth="1"/>
    <col min="24" max="24" width="5.875" bestFit="1" customWidth="1"/>
    <col min="25" max="25" width="11.375" bestFit="1" customWidth="1"/>
    <col min="26" max="26" width="7" bestFit="1" customWidth="1"/>
    <col min="27" max="27" width="8.125" bestFit="1" customWidth="1"/>
    <col min="28" max="28" width="10.25" bestFit="1" customWidth="1"/>
    <col min="29" max="29" width="6.875" bestFit="1" customWidth="1"/>
    <col min="30" max="30" width="8.125" bestFit="1" customWidth="1"/>
    <col min="31" max="31" width="9.5" bestFit="1" customWidth="1"/>
    <col min="32" max="32" width="11.5" bestFit="1" customWidth="1"/>
    <col min="33" max="33" width="7.625" bestFit="1" customWidth="1"/>
    <col min="34" max="34" width="7" bestFit="1" customWidth="1"/>
    <col min="35" max="35" width="8.25" bestFit="1" customWidth="1"/>
    <col min="36" max="36" width="3.25" bestFit="1" customWidth="1"/>
    <col min="37" max="37" width="12.375" bestFit="1" customWidth="1"/>
    <col min="38" max="38" width="4.375" bestFit="1" customWidth="1"/>
    <col min="39" max="39" width="8" bestFit="1" customWidth="1"/>
    <col min="40" max="40" width="6.875" bestFit="1" customWidth="1"/>
    <col min="41" max="41" width="11" bestFit="1" customWidth="1"/>
  </cols>
  <sheetData>
    <row r="1" spans="1:4" x14ac:dyDescent="0.25">
      <c r="A1" t="s">
        <v>2870</v>
      </c>
      <c r="B1" t="s">
        <v>2871</v>
      </c>
      <c r="C1" t="s">
        <v>2872</v>
      </c>
      <c r="D1" t="s">
        <v>2873</v>
      </c>
    </row>
    <row r="2" spans="1:4" x14ac:dyDescent="0.25">
      <c r="A2">
        <f>COUNTA(_xlfn.UNIQUE(Ramen_Ratings[Brand],FALSE,FALSE))</f>
        <v>353</v>
      </c>
      <c r="B2">
        <f>COUNTA(_xlfn.UNIQUE(Ramen_Ratings[Variety],FALSE,FALSE))</f>
        <v>2406</v>
      </c>
      <c r="C2">
        <f>COUNTA(_xlfn.UNIQUE(Ramen_Ratings[Country],FALSE,FALSE))</f>
        <v>37</v>
      </c>
      <c r="D2">
        <f>COUNTA(_xlfn.UNIQUE(Ramen_Ratings[Style],FALSE,FALSE))</f>
        <v>8</v>
      </c>
    </row>
    <row r="6" spans="1:4" x14ac:dyDescent="0.25">
      <c r="A6" s="3" t="s">
        <v>4</v>
      </c>
      <c r="B6" t="s">
        <v>2875</v>
      </c>
    </row>
    <row r="7" spans="1:4" x14ac:dyDescent="0.25">
      <c r="A7" s="4" t="s">
        <v>142</v>
      </c>
      <c r="B7" s="2">
        <v>1</v>
      </c>
    </row>
    <row r="8" spans="1:4" x14ac:dyDescent="0.25">
      <c r="A8" s="4" t="s">
        <v>1764</v>
      </c>
      <c r="B8" s="2">
        <v>2</v>
      </c>
    </row>
    <row r="9" spans="1:4" x14ac:dyDescent="0.25">
      <c r="A9" s="4" t="s">
        <v>65</v>
      </c>
      <c r="B9" s="2">
        <v>2</v>
      </c>
    </row>
    <row r="10" spans="1:4" x14ac:dyDescent="0.25">
      <c r="A10" s="4" t="s">
        <v>1270</v>
      </c>
      <c r="B10" s="2">
        <v>3</v>
      </c>
    </row>
    <row r="11" spans="1:4" x14ac:dyDescent="0.25">
      <c r="A11" s="4" t="s">
        <v>857</v>
      </c>
      <c r="B11" s="2">
        <v>3</v>
      </c>
    </row>
    <row r="12" spans="1:4" x14ac:dyDescent="0.25">
      <c r="A12" s="4" t="s">
        <v>1068</v>
      </c>
      <c r="B12" s="2">
        <v>3</v>
      </c>
    </row>
    <row r="13" spans="1:4" x14ac:dyDescent="0.25">
      <c r="A13" s="4" t="s">
        <v>2088</v>
      </c>
      <c r="B13" s="2">
        <v>3</v>
      </c>
    </row>
    <row r="14" spans="1:4" x14ac:dyDescent="0.25">
      <c r="A14" s="4" t="s">
        <v>280</v>
      </c>
      <c r="B14" s="2">
        <v>4</v>
      </c>
    </row>
    <row r="15" spans="1:4" x14ac:dyDescent="0.25">
      <c r="A15" s="4" t="s">
        <v>1853</v>
      </c>
      <c r="B15" s="2">
        <v>4</v>
      </c>
    </row>
    <row r="16" spans="1:4" x14ac:dyDescent="0.25">
      <c r="A16" s="4" t="s">
        <v>1861</v>
      </c>
      <c r="B16" s="2">
        <v>4</v>
      </c>
    </row>
    <row r="17" spans="1:2" x14ac:dyDescent="0.25">
      <c r="A17" s="4" t="s">
        <v>826</v>
      </c>
      <c r="B17" s="2">
        <v>5</v>
      </c>
    </row>
    <row r="18" spans="1:2" x14ac:dyDescent="0.25">
      <c r="A18" s="4" t="s">
        <v>511</v>
      </c>
      <c r="B18" s="2">
        <v>5</v>
      </c>
    </row>
    <row r="19" spans="1:2" x14ac:dyDescent="0.25">
      <c r="A19" s="4" t="s">
        <v>1399</v>
      </c>
      <c r="B19" s="2">
        <v>6</v>
      </c>
    </row>
    <row r="20" spans="1:2" x14ac:dyDescent="0.25">
      <c r="A20" s="4" t="s">
        <v>371</v>
      </c>
      <c r="B20" s="2">
        <v>7</v>
      </c>
    </row>
    <row r="21" spans="1:2" x14ac:dyDescent="0.25">
      <c r="A21" s="4" t="s">
        <v>156</v>
      </c>
      <c r="B21" s="2">
        <v>9</v>
      </c>
    </row>
    <row r="22" spans="1:2" x14ac:dyDescent="0.25">
      <c r="A22" s="4" t="s">
        <v>345</v>
      </c>
      <c r="B22" s="2">
        <v>9</v>
      </c>
    </row>
    <row r="23" spans="1:2" x14ac:dyDescent="0.25">
      <c r="A23" s="4" t="s">
        <v>730</v>
      </c>
      <c r="B23" s="2">
        <v>14</v>
      </c>
    </row>
    <row r="24" spans="1:2" x14ac:dyDescent="0.25">
      <c r="A24" s="4" t="s">
        <v>471</v>
      </c>
      <c r="B24" s="2">
        <v>14</v>
      </c>
    </row>
    <row r="25" spans="1:2" x14ac:dyDescent="0.25">
      <c r="A25" s="4" t="s">
        <v>733</v>
      </c>
      <c r="B25" s="2">
        <v>15</v>
      </c>
    </row>
    <row r="26" spans="1:2" x14ac:dyDescent="0.25">
      <c r="A26" s="4" t="s">
        <v>340</v>
      </c>
      <c r="B26" s="2">
        <v>22</v>
      </c>
    </row>
    <row r="27" spans="1:2" x14ac:dyDescent="0.25">
      <c r="A27" s="4" t="s">
        <v>216</v>
      </c>
      <c r="B27" s="2">
        <v>25</v>
      </c>
    </row>
    <row r="28" spans="1:2" x14ac:dyDescent="0.25">
      <c r="A28" s="4" t="s">
        <v>149</v>
      </c>
      <c r="B28" s="2">
        <v>27</v>
      </c>
    </row>
    <row r="29" spans="1:2" x14ac:dyDescent="0.25">
      <c r="A29" s="4" t="s">
        <v>22</v>
      </c>
      <c r="B29" s="2">
        <v>31</v>
      </c>
    </row>
    <row r="30" spans="1:2" x14ac:dyDescent="0.25">
      <c r="A30" s="4" t="s">
        <v>465</v>
      </c>
      <c r="B30" s="2">
        <v>41</v>
      </c>
    </row>
    <row r="31" spans="1:2" x14ac:dyDescent="0.25">
      <c r="A31" s="4" t="s">
        <v>1159</v>
      </c>
      <c r="B31" s="2">
        <v>47</v>
      </c>
    </row>
    <row r="32" spans="1:2" x14ac:dyDescent="0.25">
      <c r="A32" s="4" t="s">
        <v>516</v>
      </c>
      <c r="B32" s="2">
        <v>69</v>
      </c>
    </row>
    <row r="33" spans="1:2" x14ac:dyDescent="0.25">
      <c r="A33" s="4" t="s">
        <v>53</v>
      </c>
      <c r="B33" s="2">
        <v>108</v>
      </c>
    </row>
    <row r="34" spans="1:2" x14ac:dyDescent="0.25">
      <c r="A34" s="4" t="s">
        <v>35</v>
      </c>
      <c r="B34" s="2">
        <v>109</v>
      </c>
    </row>
    <row r="35" spans="1:2" x14ac:dyDescent="0.25">
      <c r="A35" s="4" t="s">
        <v>73</v>
      </c>
      <c r="B35" s="2">
        <v>126</v>
      </c>
    </row>
    <row r="36" spans="1:2" x14ac:dyDescent="0.25">
      <c r="A36" s="4" t="s">
        <v>46</v>
      </c>
      <c r="B36" s="2">
        <v>137</v>
      </c>
    </row>
    <row r="37" spans="1:2" x14ac:dyDescent="0.25">
      <c r="A37" s="4" t="s">
        <v>69</v>
      </c>
      <c r="B37" s="2">
        <v>156</v>
      </c>
    </row>
    <row r="38" spans="1:2" x14ac:dyDescent="0.25">
      <c r="A38" s="4" t="s">
        <v>79</v>
      </c>
      <c r="B38" s="2">
        <v>169</v>
      </c>
    </row>
    <row r="39" spans="1:2" x14ac:dyDescent="0.25">
      <c r="A39" s="4" t="s">
        <v>38</v>
      </c>
      <c r="B39" s="2">
        <v>191</v>
      </c>
    </row>
    <row r="40" spans="1:2" x14ac:dyDescent="0.25">
      <c r="A40" s="4" t="s">
        <v>14</v>
      </c>
      <c r="B40" s="2">
        <v>224</v>
      </c>
    </row>
    <row r="41" spans="1:2" x14ac:dyDescent="0.25">
      <c r="A41" s="4" t="s">
        <v>25</v>
      </c>
      <c r="B41" s="2">
        <v>309</v>
      </c>
    </row>
    <row r="42" spans="1:2" x14ac:dyDescent="0.25">
      <c r="A42" s="4" t="s">
        <v>17</v>
      </c>
      <c r="B42" s="2">
        <v>324</v>
      </c>
    </row>
    <row r="43" spans="1:2" x14ac:dyDescent="0.25">
      <c r="A43" s="4" t="s">
        <v>10</v>
      </c>
      <c r="B43" s="2">
        <v>352</v>
      </c>
    </row>
    <row r="44" spans="1:2" x14ac:dyDescent="0.25">
      <c r="A44" s="4" t="s">
        <v>2874</v>
      </c>
      <c r="B44" s="2">
        <v>2580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48DB1-41E6-4954-ABFB-0F283CFD3286}">
  <dimension ref="A1:B456"/>
  <sheetViews>
    <sheetView workbookViewId="0">
      <selection activeCell="P15" sqref="P15"/>
    </sheetView>
  </sheetViews>
  <sheetFormatPr defaultRowHeight="15.75" x14ac:dyDescent="0.25"/>
  <cols>
    <col min="1" max="1" width="11" bestFit="1" customWidth="1"/>
    <col min="2" max="2" width="15" style="5" bestFit="1" customWidth="1"/>
    <col min="3" max="3" width="14.125" bestFit="1" customWidth="1"/>
  </cols>
  <sheetData>
    <row r="1" spans="1:2" x14ac:dyDescent="0.25">
      <c r="A1" s="3" t="s">
        <v>4</v>
      </c>
      <c r="B1" s="5" t="s">
        <v>2876</v>
      </c>
    </row>
    <row r="2" spans="1:2" x14ac:dyDescent="0.25">
      <c r="A2" s="4" t="s">
        <v>142</v>
      </c>
      <c r="B2" s="5">
        <v>1.5</v>
      </c>
    </row>
    <row r="3" spans="1:2" x14ac:dyDescent="0.25">
      <c r="A3" s="4" t="s">
        <v>465</v>
      </c>
      <c r="B3" s="5">
        <v>2.2439024390243905</v>
      </c>
    </row>
    <row r="4" spans="1:2" x14ac:dyDescent="0.25">
      <c r="A4" s="4" t="s">
        <v>733</v>
      </c>
      <c r="B4" s="5">
        <v>2.4833333333333334</v>
      </c>
    </row>
    <row r="5" spans="1:2" x14ac:dyDescent="0.25">
      <c r="A5" s="4" t="s">
        <v>516</v>
      </c>
      <c r="B5" s="5">
        <v>2.9971014492753625</v>
      </c>
    </row>
    <row r="6" spans="1:2" x14ac:dyDescent="0.25">
      <c r="A6" s="4" t="s">
        <v>345</v>
      </c>
      <c r="B6" s="5">
        <v>3</v>
      </c>
    </row>
    <row r="7" spans="1:2" x14ac:dyDescent="0.25">
      <c r="A7" s="4" t="s">
        <v>340</v>
      </c>
      <c r="B7" s="5">
        <v>3.1386363636363637</v>
      </c>
    </row>
    <row r="8" spans="1:2" x14ac:dyDescent="0.25">
      <c r="A8" s="4" t="s">
        <v>53</v>
      </c>
      <c r="B8" s="5">
        <v>3.1879629629629629</v>
      </c>
    </row>
    <row r="9" spans="1:2" x14ac:dyDescent="0.25">
      <c r="A9" s="4" t="s">
        <v>1270</v>
      </c>
      <c r="B9" s="5">
        <v>3.25</v>
      </c>
    </row>
    <row r="10" spans="1:2" x14ac:dyDescent="0.25">
      <c r="A10" s="4" t="s">
        <v>1399</v>
      </c>
      <c r="B10" s="5">
        <v>3.2916666666666665</v>
      </c>
    </row>
    <row r="11" spans="1:2" x14ac:dyDescent="0.25">
      <c r="A11" s="4" t="s">
        <v>1159</v>
      </c>
      <c r="B11" s="5">
        <v>3.3297872340425534</v>
      </c>
    </row>
    <row r="12" spans="1:2" x14ac:dyDescent="0.25">
      <c r="A12" s="4" t="s">
        <v>38</v>
      </c>
      <c r="B12" s="5">
        <v>3.3848167539267022</v>
      </c>
    </row>
    <row r="13" spans="1:2" x14ac:dyDescent="0.25">
      <c r="A13" s="4" t="s">
        <v>22</v>
      </c>
      <c r="B13" s="5">
        <v>3.3951612903225805</v>
      </c>
    </row>
    <row r="14" spans="1:2" x14ac:dyDescent="0.25">
      <c r="A14" s="4" t="s">
        <v>79</v>
      </c>
      <c r="B14" s="5">
        <v>3.4218934911242602</v>
      </c>
    </row>
    <row r="15" spans="1:2" x14ac:dyDescent="0.25">
      <c r="A15" s="4" t="s">
        <v>17</v>
      </c>
      <c r="B15" s="5">
        <v>3.4579475308641974</v>
      </c>
    </row>
    <row r="16" spans="1:2" x14ac:dyDescent="0.25">
      <c r="A16" s="4" t="s">
        <v>1764</v>
      </c>
      <c r="B16" s="5">
        <v>3.5</v>
      </c>
    </row>
    <row r="17" spans="1:2" x14ac:dyDescent="0.25">
      <c r="A17" s="4" t="s">
        <v>65</v>
      </c>
      <c r="B17" s="5">
        <v>3.5</v>
      </c>
    </row>
    <row r="18" spans="1:2" x14ac:dyDescent="0.25">
      <c r="A18" s="4" t="s">
        <v>471</v>
      </c>
      <c r="B18" s="5">
        <v>3.5535714285714284</v>
      </c>
    </row>
    <row r="19" spans="1:2" x14ac:dyDescent="0.25">
      <c r="A19" s="4" t="s">
        <v>1853</v>
      </c>
      <c r="B19" s="5">
        <v>3.5625</v>
      </c>
    </row>
    <row r="20" spans="1:2" x14ac:dyDescent="0.25">
      <c r="A20" s="4" t="s">
        <v>857</v>
      </c>
      <c r="B20" s="5">
        <v>3.5833333333333335</v>
      </c>
    </row>
    <row r="21" spans="1:2" x14ac:dyDescent="0.25">
      <c r="A21" s="4" t="s">
        <v>2088</v>
      </c>
      <c r="B21" s="5">
        <v>3.5833333333333335</v>
      </c>
    </row>
    <row r="22" spans="1:2" x14ac:dyDescent="0.25">
      <c r="A22" s="4" t="s">
        <v>156</v>
      </c>
      <c r="B22" s="5">
        <v>3.6111111111111112</v>
      </c>
    </row>
    <row r="23" spans="1:2" x14ac:dyDescent="0.25">
      <c r="A23" s="4" t="s">
        <v>1861</v>
      </c>
      <c r="B23" s="5">
        <v>3.625</v>
      </c>
    </row>
    <row r="24" spans="1:2" x14ac:dyDescent="0.25">
      <c r="A24" s="4" t="s">
        <v>149</v>
      </c>
      <c r="B24" s="5">
        <v>3.6388888888888888</v>
      </c>
    </row>
    <row r="25" spans="1:2" x14ac:dyDescent="0.25">
      <c r="A25" s="4" t="s">
        <v>14</v>
      </c>
      <c r="B25" s="5">
        <v>3.6654017857142862</v>
      </c>
    </row>
    <row r="26" spans="1:2" x14ac:dyDescent="0.25">
      <c r="A26" s="4" t="s">
        <v>371</v>
      </c>
      <c r="B26" s="5">
        <v>3.7142857142857144</v>
      </c>
    </row>
    <row r="27" spans="1:2" x14ac:dyDescent="0.25">
      <c r="A27" s="4" t="s">
        <v>216</v>
      </c>
      <c r="B27" s="5">
        <v>3.73</v>
      </c>
    </row>
    <row r="28" spans="1:2" x14ac:dyDescent="0.25">
      <c r="A28" s="4" t="s">
        <v>25</v>
      </c>
      <c r="B28" s="5">
        <v>3.7905537459283383</v>
      </c>
    </row>
    <row r="29" spans="1:2" x14ac:dyDescent="0.25">
      <c r="A29" s="4" t="s">
        <v>46</v>
      </c>
      <c r="B29" s="5">
        <v>3.8018248175182485</v>
      </c>
    </row>
    <row r="30" spans="1:2" x14ac:dyDescent="0.25">
      <c r="A30" s="4" t="s">
        <v>280</v>
      </c>
      <c r="B30" s="5">
        <v>3.875</v>
      </c>
    </row>
    <row r="31" spans="1:2" x14ac:dyDescent="0.25">
      <c r="A31" s="4" t="s">
        <v>730</v>
      </c>
      <c r="B31" s="5">
        <v>3.9464285714285716</v>
      </c>
    </row>
    <row r="32" spans="1:2" x14ac:dyDescent="0.25">
      <c r="A32" s="4" t="s">
        <v>10</v>
      </c>
      <c r="B32" s="5">
        <v>3.9816051136363639</v>
      </c>
    </row>
    <row r="33" spans="1:2" x14ac:dyDescent="0.25">
      <c r="A33" s="4" t="s">
        <v>73</v>
      </c>
      <c r="B33" s="5">
        <v>4.0674603174603172</v>
      </c>
    </row>
    <row r="34" spans="1:2" x14ac:dyDescent="0.25">
      <c r="A34" s="4" t="s">
        <v>35</v>
      </c>
      <c r="B34" s="5">
        <v>4.1261467889908259</v>
      </c>
    </row>
    <row r="35" spans="1:2" x14ac:dyDescent="0.25">
      <c r="A35" s="4" t="s">
        <v>69</v>
      </c>
      <c r="B35" s="5">
        <v>4.1541935483870969</v>
      </c>
    </row>
    <row r="36" spans="1:2" x14ac:dyDescent="0.25">
      <c r="A36" s="4" t="s">
        <v>826</v>
      </c>
      <c r="B36" s="5">
        <v>4.2</v>
      </c>
    </row>
    <row r="37" spans="1:2" x14ac:dyDescent="0.25">
      <c r="A37" s="4" t="s">
        <v>1068</v>
      </c>
      <c r="B37" s="5">
        <v>4.333333333333333</v>
      </c>
    </row>
    <row r="38" spans="1:2" x14ac:dyDescent="0.25">
      <c r="A38" s="4" t="s">
        <v>511</v>
      </c>
      <c r="B38" s="5">
        <v>4.3499999999999996</v>
      </c>
    </row>
    <row r="39" spans="1:2" x14ac:dyDescent="0.25">
      <c r="A39" s="4" t="s">
        <v>2874</v>
      </c>
      <c r="B39" s="5">
        <v>3.6546759798214987</v>
      </c>
    </row>
    <row r="40" spans="1:2" x14ac:dyDescent="0.25">
      <c r="B40"/>
    </row>
    <row r="41" spans="1:2" x14ac:dyDescent="0.25">
      <c r="B41"/>
    </row>
    <row r="42" spans="1:2" x14ac:dyDescent="0.25">
      <c r="B42"/>
    </row>
    <row r="43" spans="1:2" x14ac:dyDescent="0.25">
      <c r="B43"/>
    </row>
    <row r="44" spans="1:2" x14ac:dyDescent="0.25">
      <c r="B44"/>
    </row>
    <row r="45" spans="1:2" x14ac:dyDescent="0.25">
      <c r="B45"/>
    </row>
    <row r="46" spans="1:2" x14ac:dyDescent="0.25">
      <c r="B46"/>
    </row>
    <row r="47" spans="1:2" x14ac:dyDescent="0.25">
      <c r="B47"/>
    </row>
    <row r="48" spans="1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</sheetData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A0156-EAAD-4F37-8830-643CE09AFB53}">
  <dimension ref="A1:B9"/>
  <sheetViews>
    <sheetView workbookViewId="0">
      <selection activeCell="N7" sqref="N7"/>
    </sheetView>
  </sheetViews>
  <sheetFormatPr defaultRowHeight="15.75" x14ac:dyDescent="0.25"/>
  <cols>
    <col min="1" max="1" width="12.375" bestFit="1" customWidth="1"/>
    <col min="2" max="2" width="13.125" bestFit="1" customWidth="1"/>
  </cols>
  <sheetData>
    <row r="1" spans="1:2" x14ac:dyDescent="0.25">
      <c r="A1" s="3" t="s">
        <v>2867</v>
      </c>
      <c r="B1" t="s">
        <v>2879</v>
      </c>
    </row>
    <row r="3" spans="1:2" x14ac:dyDescent="0.25">
      <c r="A3" s="3" t="s">
        <v>2877</v>
      </c>
      <c r="B3" t="s">
        <v>2878</v>
      </c>
    </row>
    <row r="4" spans="1:2" x14ac:dyDescent="0.25">
      <c r="A4" s="4" t="s">
        <v>44</v>
      </c>
      <c r="B4" s="2">
        <v>63</v>
      </c>
    </row>
    <row r="5" spans="1:2" x14ac:dyDescent="0.25">
      <c r="A5" s="4" t="s">
        <v>84</v>
      </c>
      <c r="B5" s="2">
        <v>1</v>
      </c>
    </row>
    <row r="6" spans="1:2" x14ac:dyDescent="0.25">
      <c r="A6" s="4" t="s">
        <v>9</v>
      </c>
      <c r="B6" s="2">
        <v>67</v>
      </c>
    </row>
    <row r="7" spans="1:2" x14ac:dyDescent="0.25">
      <c r="A7" s="4" t="s">
        <v>13</v>
      </c>
      <c r="B7" s="2">
        <v>168</v>
      </c>
    </row>
    <row r="8" spans="1:2" x14ac:dyDescent="0.25">
      <c r="A8" s="4" t="s">
        <v>30</v>
      </c>
      <c r="B8" s="2">
        <v>18</v>
      </c>
    </row>
    <row r="9" spans="1:2" x14ac:dyDescent="0.25">
      <c r="A9" s="4" t="s">
        <v>2874</v>
      </c>
      <c r="B9" s="2">
        <v>317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4330C-0724-41CC-8677-4CDF3C1C344B}">
  <dimension ref="A1:AO2581"/>
  <sheetViews>
    <sheetView tabSelected="1" zoomScale="50" zoomScaleNormal="50" workbookViewId="0">
      <selection activeCell="F14" sqref="F14"/>
    </sheetView>
  </sheetViews>
  <sheetFormatPr defaultRowHeight="15.75" x14ac:dyDescent="0.25"/>
  <cols>
    <col min="1" max="1" width="9.625" customWidth="1"/>
    <col min="5" max="41" width="15.25" bestFit="1" customWidth="1"/>
    <col min="42" max="43" width="11" bestFit="1" customWidth="1"/>
  </cols>
  <sheetData>
    <row r="1" spans="1:41" x14ac:dyDescent="0.25">
      <c r="A1" t="s">
        <v>4</v>
      </c>
      <c r="B1" t="s">
        <v>5</v>
      </c>
      <c r="D1" s="6" t="s">
        <v>10</v>
      </c>
      <c r="E1" s="7" t="s">
        <v>14</v>
      </c>
      <c r="F1" s="6" t="s">
        <v>17</v>
      </c>
      <c r="G1" s="7" t="s">
        <v>22</v>
      </c>
      <c r="H1" s="6" t="s">
        <v>25</v>
      </c>
      <c r="I1" s="7" t="s">
        <v>35</v>
      </c>
      <c r="J1" s="6" t="s">
        <v>38</v>
      </c>
      <c r="K1" s="7" t="s">
        <v>46</v>
      </c>
      <c r="L1" s="6" t="s">
        <v>53</v>
      </c>
      <c r="M1" s="7" t="s">
        <v>65</v>
      </c>
      <c r="N1" s="6" t="s">
        <v>69</v>
      </c>
      <c r="O1" s="7" t="s">
        <v>73</v>
      </c>
      <c r="P1" s="6" t="s">
        <v>79</v>
      </c>
      <c r="Q1" s="7" t="s">
        <v>142</v>
      </c>
      <c r="R1" s="6" t="s">
        <v>149</v>
      </c>
      <c r="S1" s="7" t="s">
        <v>156</v>
      </c>
      <c r="T1" s="6" t="s">
        <v>216</v>
      </c>
      <c r="U1" s="7" t="s">
        <v>280</v>
      </c>
      <c r="V1" s="6" t="s">
        <v>340</v>
      </c>
      <c r="W1" s="7" t="s">
        <v>345</v>
      </c>
      <c r="X1" s="6" t="s">
        <v>371</v>
      </c>
      <c r="Y1" s="7" t="s">
        <v>465</v>
      </c>
      <c r="Z1" s="6" t="s">
        <v>471</v>
      </c>
      <c r="AA1" s="7" t="s">
        <v>511</v>
      </c>
      <c r="AB1" s="6" t="s">
        <v>516</v>
      </c>
      <c r="AC1" s="7" t="s">
        <v>730</v>
      </c>
      <c r="AD1" s="6" t="s">
        <v>733</v>
      </c>
      <c r="AE1" s="7" t="s">
        <v>736</v>
      </c>
      <c r="AF1" s="6" t="s">
        <v>826</v>
      </c>
      <c r="AG1" s="7" t="s">
        <v>857</v>
      </c>
      <c r="AH1" s="6" t="s">
        <v>1068</v>
      </c>
      <c r="AI1" s="7" t="s">
        <v>1159</v>
      </c>
      <c r="AJ1" s="6" t="s">
        <v>1270</v>
      </c>
      <c r="AK1" s="7" t="s">
        <v>1399</v>
      </c>
      <c r="AL1" s="6" t="s">
        <v>1764</v>
      </c>
      <c r="AM1" s="7" t="s">
        <v>1853</v>
      </c>
      <c r="AN1" s="6" t="s">
        <v>1861</v>
      </c>
      <c r="AO1" s="7" t="s">
        <v>2088</v>
      </c>
    </row>
    <row r="2" spans="1:41" x14ac:dyDescent="0.25">
      <c r="A2" t="s">
        <v>53</v>
      </c>
      <c r="B2">
        <v>4</v>
      </c>
      <c r="D2" cm="1">
        <f t="array" ref="D2:D353">_xlfn._xlws.FILTER($B$2:$B$2581,$A$2:$A$2581=D1)</f>
        <v>5</v>
      </c>
      <c r="E2" cm="1">
        <f t="array" ref="E2:E225">_xlfn._xlws.FILTER($B$2:$B$2581,$A$2:$A$2581=E1)</f>
        <v>5</v>
      </c>
      <c r="F2" cm="1">
        <f t="array" ref="F2:F325">_xlfn._xlws.FILTER($B$2:$B$2581,$A$2:$A$2581=F1)</f>
        <v>5</v>
      </c>
      <c r="G2" cm="1">
        <f t="array" ref="G2:G32">_xlfn._xlws.FILTER($B$2:$B$2581,$A$2:$A$2581=G1)</f>
        <v>3.75</v>
      </c>
      <c r="H2" cm="1">
        <f t="array" ref="H2:H310">_xlfn._xlws.FILTER($B$2:$B$2581,$A$2:$A$2581=H1)</f>
        <v>5</v>
      </c>
      <c r="I2" cm="1">
        <f t="array" ref="I2:I110">_xlfn._xlws.FILTER($B$2:$B$2581,$A$2:$A$2581=I1)</f>
        <v>5</v>
      </c>
      <c r="J2" cm="1">
        <f t="array" ref="J2:J192">_xlfn._xlws.FILTER($B$2:$B$2581,$A$2:$A$2581=J1)</f>
        <v>5</v>
      </c>
      <c r="K2" cm="1">
        <f t="array" ref="K2:K138">_xlfn._xlws.FILTER($B$2:$B$2581,$A$2:$A$2581=K1)</f>
        <v>4.5</v>
      </c>
      <c r="L2" cm="1">
        <f t="array" ref="L2:L109">_xlfn._xlws.FILTER($B$2:$B$2581,$A$2:$A$2581=L1)</f>
        <v>4</v>
      </c>
      <c r="M2" cm="1">
        <f t="array" ref="M2:M3">_xlfn._xlws.FILTER($B$2:$B$2581,$A$2:$A$2581=M1)</f>
        <v>3.5</v>
      </c>
      <c r="N2" cm="1">
        <f t="array" ref="N2:N157">_xlfn._xlws.FILTER($B$2:$B$2581,$A$2:$A$2581=N1)</f>
        <v>5</v>
      </c>
      <c r="O2" cm="1">
        <f t="array" ref="O2:O127">_xlfn._xlws.FILTER($B$2:$B$2581,$A$2:$A$2581=O1)</f>
        <v>4.5</v>
      </c>
      <c r="P2" cm="1">
        <f t="array" ref="P2:P170">_xlfn._xlws.FILTER($B$2:$B$2581,$A$2:$A$2581=P1)</f>
        <v>5</v>
      </c>
      <c r="Q2" cm="1">
        <f t="array" ref="Q2">_xlfn._xlws.FILTER($B$2:$B$2581,$A$2:$A$2581=Q1)</f>
        <v>1.5</v>
      </c>
      <c r="R2" cm="1">
        <f t="array" ref="R2:R28">_xlfn._xlws.FILTER($B$2:$B$2581,$A$2:$A$2581=R1)</f>
        <v>3.75</v>
      </c>
      <c r="S2" cm="1">
        <f t="array" ref="S2:S10">_xlfn._xlws.FILTER($B$2:$B$2581,$A$2:$A$2581=S1)</f>
        <v>3.75</v>
      </c>
      <c r="T2" cm="1">
        <f t="array" ref="T2:T26">_xlfn._xlws.FILTER($B$2:$B$2581,$A$2:$A$2581=T1)</f>
        <v>3.5</v>
      </c>
      <c r="U2" cm="1">
        <f t="array" ref="U2:U5">_xlfn._xlws.FILTER($B$2:$B$2581,$A$2:$A$2581=U1)</f>
        <v>3.25</v>
      </c>
      <c r="V2" cm="1">
        <f t="array" ref="V2:V23">_xlfn._xlws.FILTER($B$2:$B$2581,$A$2:$A$2581=V1)</f>
        <v>3</v>
      </c>
      <c r="W2" cm="1">
        <f t="array" ref="W2:W10">_xlfn._xlws.FILTER($B$2:$B$2581,$A$2:$A$2581=W1)</f>
        <v>1</v>
      </c>
      <c r="X2" cm="1">
        <f t="array" ref="X2:X8">_xlfn._xlws.FILTER($B$2:$B$2581,$A$2:$A$2581=X1)</f>
        <v>4</v>
      </c>
      <c r="Y2" cm="1">
        <f t="array" ref="Y2:Y42">_xlfn._xlws.FILTER($B$2:$B$2581,$A$2:$A$2581=Y1)</f>
        <v>3</v>
      </c>
      <c r="Z2" cm="1">
        <f t="array" ref="Z2:Z15">_xlfn._xlws.FILTER($B$2:$B$2581,$A$2:$A$2581=Z1)</f>
        <v>1</v>
      </c>
      <c r="AA2" cm="1">
        <f t="array" ref="AA2:AA6">_xlfn._xlws.FILTER($B$2:$B$2581,$A$2:$A$2581=AA1)</f>
        <v>4</v>
      </c>
      <c r="AB2" cm="1">
        <f t="array" ref="AB2:AB70">_xlfn._xlws.FILTER($B$2:$B$2581,$A$2:$A$2581=AB1)</f>
        <v>2</v>
      </c>
      <c r="AC2" cm="1">
        <f t="array" ref="AC2:AC15">_xlfn._xlws.FILTER($B$2:$B$2581,$A$2:$A$2581=AC1)</f>
        <v>5</v>
      </c>
      <c r="AD2" cm="1">
        <f t="array" ref="AD2:AD16">_xlfn._xlws.FILTER($B$2:$B$2581,$A$2:$A$2581=AD1)</f>
        <v>3</v>
      </c>
      <c r="AE2" t="e" cm="1" vm="1">
        <f t="array" ref="AE2">_xlfn._xlws.FILTER($B$2:$B$2581,$A$2:$A$2581=AE1)</f>
        <v>#VALUE!</v>
      </c>
      <c r="AF2" cm="1">
        <f t="array" ref="AF2:AF6">_xlfn._xlws.FILTER($B$2:$B$2581,$A$2:$A$2581=AF1)</f>
        <v>3.5</v>
      </c>
      <c r="AG2" cm="1">
        <f t="array" ref="AG2:AG4">_xlfn._xlws.FILTER($B$2:$B$2581,$A$2:$A$2581=AG1)</f>
        <v>3.5</v>
      </c>
      <c r="AH2" cm="1">
        <f t="array" ref="AH2:AH4">_xlfn._xlws.FILTER($B$2:$B$2581,$A$2:$A$2581=AH1)</f>
        <v>4</v>
      </c>
      <c r="AI2" cm="1">
        <f t="array" ref="AI2:AI48">_xlfn._xlws.FILTER($B$2:$B$2581,$A$2:$A$2581=AI1)</f>
        <v>3.75</v>
      </c>
      <c r="AJ2" cm="1">
        <f t="array" ref="AJ2:AJ4">_xlfn._xlws.FILTER($B$2:$B$2581,$A$2:$A$2581=AJ1)</f>
        <v>3</v>
      </c>
      <c r="AK2" cm="1">
        <f t="array" ref="AK2:AK7">_xlfn._xlws.FILTER($B$2:$B$2581,$A$2:$A$2581=AK1)</f>
        <v>3.5</v>
      </c>
      <c r="AL2" cm="1">
        <f t="array" ref="AL2:AL3">_xlfn._xlws.FILTER($B$2:$B$2581,$A$2:$A$2581=AL1)</f>
        <v>3.75</v>
      </c>
      <c r="AM2" cm="1">
        <f t="array" ref="AM2:AM5">_xlfn._xlws.FILTER($B$2:$B$2581,$A$2:$A$2581=AM1)</f>
        <v>3.5</v>
      </c>
      <c r="AN2" cm="1">
        <f t="array" ref="AN2:AN5">_xlfn._xlws.FILTER($B$2:$B$2581,$A$2:$A$2581=AN1)</f>
        <v>4</v>
      </c>
      <c r="AO2" cm="1">
        <f t="array" ref="AO2:AO4">_xlfn._xlws.FILTER($B$2:$B$2581,$A$2:$A$2581=AO1)</f>
        <v>3.75</v>
      </c>
    </row>
    <row r="3" spans="1:41" x14ac:dyDescent="0.25">
      <c r="A3" t="s">
        <v>53</v>
      </c>
      <c r="B3">
        <v>0</v>
      </c>
      <c r="D3">
        <v>4.25</v>
      </c>
      <c r="E3">
        <v>5</v>
      </c>
      <c r="F3">
        <v>2.25</v>
      </c>
      <c r="G3">
        <v>3.75</v>
      </c>
      <c r="H3">
        <v>5</v>
      </c>
      <c r="I3">
        <v>5</v>
      </c>
      <c r="J3">
        <v>5</v>
      </c>
      <c r="K3">
        <v>5</v>
      </c>
      <c r="L3">
        <v>0</v>
      </c>
      <c r="M3">
        <v>3.5</v>
      </c>
      <c r="N3">
        <v>5</v>
      </c>
      <c r="O3">
        <v>5</v>
      </c>
      <c r="P3">
        <v>4</v>
      </c>
      <c r="R3">
        <v>3.75</v>
      </c>
      <c r="S3">
        <v>3.75</v>
      </c>
      <c r="T3">
        <v>3.25</v>
      </c>
      <c r="U3">
        <v>4</v>
      </c>
      <c r="V3">
        <v>4</v>
      </c>
      <c r="W3">
        <v>4</v>
      </c>
      <c r="X3">
        <v>4</v>
      </c>
      <c r="Y3">
        <v>3</v>
      </c>
      <c r="Z3">
        <v>3.75</v>
      </c>
      <c r="AA3">
        <v>4</v>
      </c>
      <c r="AB3">
        <v>5</v>
      </c>
      <c r="AC3">
        <v>3.75</v>
      </c>
      <c r="AD3">
        <v>2</v>
      </c>
      <c r="AF3">
        <v>5</v>
      </c>
      <c r="AG3">
        <v>3.75</v>
      </c>
      <c r="AH3">
        <v>4</v>
      </c>
      <c r="AI3">
        <v>4</v>
      </c>
      <c r="AJ3">
        <v>3.5</v>
      </c>
      <c r="AK3">
        <v>3</v>
      </c>
      <c r="AL3">
        <v>3.25</v>
      </c>
      <c r="AM3">
        <v>3.5</v>
      </c>
      <c r="AN3">
        <v>3.25</v>
      </c>
      <c r="AO3">
        <v>3.25</v>
      </c>
    </row>
    <row r="4" spans="1:41" x14ac:dyDescent="0.25">
      <c r="A4" t="s">
        <v>53</v>
      </c>
      <c r="B4">
        <v>3.5</v>
      </c>
      <c r="D4">
        <v>4</v>
      </c>
      <c r="E4">
        <v>1</v>
      </c>
      <c r="F4">
        <v>5</v>
      </c>
      <c r="G4">
        <v>4.25</v>
      </c>
      <c r="H4">
        <v>4.75</v>
      </c>
      <c r="I4">
        <v>5</v>
      </c>
      <c r="J4">
        <v>5</v>
      </c>
      <c r="K4">
        <v>4.25</v>
      </c>
      <c r="L4">
        <v>3.5</v>
      </c>
      <c r="N4">
        <v>5</v>
      </c>
      <c r="O4">
        <v>5</v>
      </c>
      <c r="P4">
        <v>4.25</v>
      </c>
      <c r="R4">
        <v>4.5</v>
      </c>
      <c r="S4">
        <v>3.5</v>
      </c>
      <c r="T4">
        <v>4</v>
      </c>
      <c r="U4">
        <v>4.25</v>
      </c>
      <c r="V4">
        <v>3</v>
      </c>
      <c r="W4">
        <v>3</v>
      </c>
      <c r="X4">
        <v>3.5</v>
      </c>
      <c r="Y4">
        <v>3</v>
      </c>
      <c r="Z4">
        <v>3.5</v>
      </c>
      <c r="AA4">
        <v>4.5</v>
      </c>
      <c r="AB4">
        <v>3</v>
      </c>
      <c r="AC4">
        <v>3.5</v>
      </c>
      <c r="AD4">
        <v>2.5</v>
      </c>
      <c r="AF4">
        <v>3.5</v>
      </c>
      <c r="AG4">
        <v>3.5</v>
      </c>
      <c r="AH4">
        <v>5</v>
      </c>
      <c r="AI4">
        <v>4.5</v>
      </c>
      <c r="AJ4">
        <v>3.25</v>
      </c>
      <c r="AK4">
        <v>2.75</v>
      </c>
      <c r="AM4">
        <v>3.5</v>
      </c>
      <c r="AN4">
        <v>4</v>
      </c>
      <c r="AO4">
        <v>3.75</v>
      </c>
    </row>
    <row r="5" spans="1:41" x14ac:dyDescent="0.25">
      <c r="A5" t="s">
        <v>53</v>
      </c>
      <c r="B5">
        <v>5</v>
      </c>
      <c r="D5">
        <v>5</v>
      </c>
      <c r="E5">
        <v>2.75</v>
      </c>
      <c r="F5">
        <v>5</v>
      </c>
      <c r="G5">
        <v>3.5</v>
      </c>
      <c r="H5">
        <v>5</v>
      </c>
      <c r="I5">
        <v>5</v>
      </c>
      <c r="J5">
        <v>5</v>
      </c>
      <c r="K5">
        <v>3.75</v>
      </c>
      <c r="L5">
        <v>5</v>
      </c>
      <c r="N5">
        <v>5</v>
      </c>
      <c r="O5">
        <v>5</v>
      </c>
      <c r="P5">
        <v>0</v>
      </c>
      <c r="R5">
        <v>3.75</v>
      </c>
      <c r="S5">
        <v>3</v>
      </c>
      <c r="T5">
        <v>4</v>
      </c>
      <c r="U5">
        <v>4</v>
      </c>
      <c r="V5">
        <v>3</v>
      </c>
      <c r="W5">
        <v>2.75</v>
      </c>
      <c r="X5">
        <v>3.25</v>
      </c>
      <c r="Y5">
        <v>4</v>
      </c>
      <c r="Z5">
        <v>3.5</v>
      </c>
      <c r="AA5">
        <v>5</v>
      </c>
      <c r="AB5">
        <v>3</v>
      </c>
      <c r="AC5">
        <v>5</v>
      </c>
      <c r="AD5">
        <v>0.25</v>
      </c>
      <c r="AF5">
        <v>4</v>
      </c>
      <c r="AI5">
        <v>3.75</v>
      </c>
      <c r="AK5">
        <v>3.25</v>
      </c>
      <c r="AM5">
        <v>3.75</v>
      </c>
      <c r="AN5">
        <v>3.25</v>
      </c>
    </row>
    <row r="6" spans="1:41" x14ac:dyDescent="0.25">
      <c r="A6" t="s">
        <v>53</v>
      </c>
      <c r="B6">
        <v>4</v>
      </c>
      <c r="D6">
        <v>5</v>
      </c>
      <c r="E6">
        <v>3.25</v>
      </c>
      <c r="F6">
        <v>5</v>
      </c>
      <c r="G6">
        <v>3.75</v>
      </c>
      <c r="H6">
        <v>5</v>
      </c>
      <c r="I6">
        <v>5</v>
      </c>
      <c r="J6">
        <v>3.5</v>
      </c>
      <c r="K6">
        <v>5</v>
      </c>
      <c r="L6">
        <v>4</v>
      </c>
      <c r="N6">
        <v>5</v>
      </c>
      <c r="O6">
        <v>5</v>
      </c>
      <c r="P6">
        <v>3.75</v>
      </c>
      <c r="R6">
        <v>3.5</v>
      </c>
      <c r="S6">
        <v>3.5</v>
      </c>
      <c r="T6">
        <v>4</v>
      </c>
      <c r="V6">
        <v>3</v>
      </c>
      <c r="W6">
        <v>3.25</v>
      </c>
      <c r="X6">
        <v>4</v>
      </c>
      <c r="Y6">
        <v>3.5</v>
      </c>
      <c r="Z6">
        <v>3.5</v>
      </c>
      <c r="AA6">
        <v>4.25</v>
      </c>
      <c r="AB6">
        <v>5</v>
      </c>
      <c r="AC6">
        <v>3.75</v>
      </c>
      <c r="AD6">
        <v>0.5</v>
      </c>
      <c r="AF6">
        <v>5</v>
      </c>
      <c r="AI6">
        <v>4</v>
      </c>
      <c r="AK6">
        <v>3.5</v>
      </c>
    </row>
    <row r="7" spans="1:41" x14ac:dyDescent="0.25">
      <c r="A7" t="s">
        <v>53</v>
      </c>
      <c r="B7">
        <v>3</v>
      </c>
      <c r="D7">
        <v>5</v>
      </c>
      <c r="E7">
        <v>5</v>
      </c>
      <c r="F7">
        <v>4.75</v>
      </c>
      <c r="G7">
        <v>4.5</v>
      </c>
      <c r="H7">
        <v>4.25</v>
      </c>
      <c r="I7">
        <v>5</v>
      </c>
      <c r="J7">
        <v>3.25</v>
      </c>
      <c r="K7">
        <v>4</v>
      </c>
      <c r="L7">
        <v>3</v>
      </c>
      <c r="N7">
        <v>5</v>
      </c>
      <c r="O7">
        <v>5</v>
      </c>
      <c r="P7">
        <v>4.5</v>
      </c>
      <c r="R7">
        <v>3.75</v>
      </c>
      <c r="S7">
        <v>2.75</v>
      </c>
      <c r="T7">
        <v>4</v>
      </c>
      <c r="V7">
        <v>4</v>
      </c>
      <c r="W7">
        <v>3.25</v>
      </c>
      <c r="X7">
        <v>4</v>
      </c>
      <c r="Y7">
        <v>3.5</v>
      </c>
      <c r="Z7">
        <v>3.5</v>
      </c>
      <c r="AB7">
        <v>3.3</v>
      </c>
      <c r="AC7">
        <v>3.75</v>
      </c>
      <c r="AD7">
        <v>3.5</v>
      </c>
      <c r="AI7">
        <v>4</v>
      </c>
      <c r="AK7">
        <v>3.75</v>
      </c>
    </row>
    <row r="8" spans="1:41" x14ac:dyDescent="0.25">
      <c r="A8" t="s">
        <v>53</v>
      </c>
      <c r="B8">
        <v>3.5</v>
      </c>
      <c r="D8">
        <v>3.75</v>
      </c>
      <c r="E8">
        <v>5</v>
      </c>
      <c r="F8">
        <v>1.5</v>
      </c>
      <c r="G8">
        <v>2</v>
      </c>
      <c r="H8">
        <v>3.75</v>
      </c>
      <c r="I8">
        <v>5</v>
      </c>
      <c r="J8">
        <v>4</v>
      </c>
      <c r="K8">
        <v>4.75</v>
      </c>
      <c r="L8">
        <v>3.5</v>
      </c>
      <c r="N8">
        <v>5</v>
      </c>
      <c r="O8">
        <v>4.5</v>
      </c>
      <c r="P8">
        <v>3.75</v>
      </c>
      <c r="R8">
        <v>5</v>
      </c>
      <c r="S8">
        <v>3.5</v>
      </c>
      <c r="T8">
        <v>4</v>
      </c>
      <c r="V8">
        <v>4</v>
      </c>
      <c r="W8">
        <v>3.25</v>
      </c>
      <c r="X8">
        <v>3.25</v>
      </c>
      <c r="Y8">
        <v>3.5</v>
      </c>
      <c r="Z8">
        <v>3.5</v>
      </c>
      <c r="AB8">
        <v>2</v>
      </c>
      <c r="AC8">
        <v>5</v>
      </c>
      <c r="AD8">
        <v>1.5</v>
      </c>
      <c r="AI8">
        <v>3.25</v>
      </c>
    </row>
    <row r="9" spans="1:41" x14ac:dyDescent="0.25">
      <c r="A9" t="s">
        <v>53</v>
      </c>
      <c r="B9">
        <v>3.25</v>
      </c>
      <c r="D9">
        <v>4</v>
      </c>
      <c r="E9">
        <v>4</v>
      </c>
      <c r="F9">
        <v>5</v>
      </c>
      <c r="G9">
        <v>4</v>
      </c>
      <c r="H9">
        <v>4.75</v>
      </c>
      <c r="I9">
        <v>2.5</v>
      </c>
      <c r="J9">
        <v>4</v>
      </c>
      <c r="K9">
        <v>5</v>
      </c>
      <c r="L9">
        <v>3.25</v>
      </c>
      <c r="N9">
        <v>5</v>
      </c>
      <c r="O9">
        <v>4</v>
      </c>
      <c r="P9">
        <v>4.25</v>
      </c>
      <c r="R9">
        <v>3.5</v>
      </c>
      <c r="S9">
        <v>4.75</v>
      </c>
      <c r="T9">
        <v>3</v>
      </c>
      <c r="V9">
        <v>4</v>
      </c>
      <c r="W9">
        <v>3.5</v>
      </c>
      <c r="Y9">
        <v>0</v>
      </c>
      <c r="Z9">
        <v>3.75</v>
      </c>
      <c r="AB9">
        <v>2.5</v>
      </c>
      <c r="AC9">
        <v>2.75</v>
      </c>
      <c r="AD9">
        <v>0.5</v>
      </c>
      <c r="AI9">
        <v>4.5</v>
      </c>
    </row>
    <row r="10" spans="1:41" x14ac:dyDescent="0.25">
      <c r="A10" t="s">
        <v>53</v>
      </c>
      <c r="B10">
        <v>3</v>
      </c>
      <c r="D10">
        <v>3.75</v>
      </c>
      <c r="E10">
        <v>4.75</v>
      </c>
      <c r="F10">
        <v>5</v>
      </c>
      <c r="G10">
        <v>5</v>
      </c>
      <c r="H10">
        <v>4.25</v>
      </c>
      <c r="I10">
        <v>3.5</v>
      </c>
      <c r="J10">
        <v>3</v>
      </c>
      <c r="K10">
        <v>2.5</v>
      </c>
      <c r="L10">
        <v>3</v>
      </c>
      <c r="N10">
        <v>5</v>
      </c>
      <c r="O10">
        <v>3.25</v>
      </c>
      <c r="P10">
        <v>0.25</v>
      </c>
      <c r="R10">
        <v>3</v>
      </c>
      <c r="S10">
        <v>4</v>
      </c>
      <c r="T10">
        <v>4</v>
      </c>
      <c r="V10">
        <v>1</v>
      </c>
      <c r="W10">
        <v>3</v>
      </c>
      <c r="Y10">
        <v>0</v>
      </c>
      <c r="Z10">
        <v>3.5</v>
      </c>
      <c r="AB10">
        <v>0</v>
      </c>
      <c r="AC10">
        <v>2.75</v>
      </c>
      <c r="AD10">
        <v>3</v>
      </c>
      <c r="AI10">
        <v>3.75</v>
      </c>
    </row>
    <row r="11" spans="1:41" x14ac:dyDescent="0.25">
      <c r="A11" t="s">
        <v>53</v>
      </c>
      <c r="B11">
        <v>2.5</v>
      </c>
      <c r="D11">
        <v>0.25</v>
      </c>
      <c r="E11">
        <v>5</v>
      </c>
      <c r="F11">
        <v>5</v>
      </c>
      <c r="G11">
        <v>5</v>
      </c>
      <c r="H11">
        <v>4</v>
      </c>
      <c r="I11">
        <v>5</v>
      </c>
      <c r="J11">
        <v>4</v>
      </c>
      <c r="K11">
        <v>4</v>
      </c>
      <c r="L11">
        <v>2.5</v>
      </c>
      <c r="N11">
        <v>4</v>
      </c>
      <c r="O11">
        <v>5</v>
      </c>
      <c r="P11">
        <v>5</v>
      </c>
      <c r="R11">
        <v>3.75</v>
      </c>
      <c r="T11">
        <v>3</v>
      </c>
      <c r="V11">
        <v>2.5</v>
      </c>
      <c r="Y11">
        <v>3</v>
      </c>
      <c r="Z11">
        <v>4.25</v>
      </c>
      <c r="AB11">
        <v>3</v>
      </c>
      <c r="AC11">
        <v>3.5</v>
      </c>
      <c r="AD11">
        <v>3</v>
      </c>
      <c r="AI11">
        <v>3.5</v>
      </c>
    </row>
    <row r="12" spans="1:41" x14ac:dyDescent="0.25">
      <c r="A12" t="s">
        <v>53</v>
      </c>
      <c r="B12">
        <v>1.25</v>
      </c>
      <c r="D12">
        <v>4.5</v>
      </c>
      <c r="E12">
        <v>5</v>
      </c>
      <c r="F12">
        <v>3.5</v>
      </c>
      <c r="G12">
        <v>4</v>
      </c>
      <c r="H12">
        <v>4.25</v>
      </c>
      <c r="I12">
        <v>4</v>
      </c>
      <c r="J12">
        <v>3</v>
      </c>
      <c r="K12">
        <v>3.75</v>
      </c>
      <c r="L12">
        <v>1.25</v>
      </c>
      <c r="N12">
        <v>5</v>
      </c>
      <c r="O12">
        <v>3.75</v>
      </c>
      <c r="P12">
        <v>1</v>
      </c>
      <c r="R12">
        <v>4.5</v>
      </c>
      <c r="T12">
        <v>3</v>
      </c>
      <c r="V12">
        <v>3</v>
      </c>
      <c r="Y12">
        <v>3.5</v>
      </c>
      <c r="Z12">
        <v>4</v>
      </c>
      <c r="AB12">
        <v>5</v>
      </c>
      <c r="AC12">
        <v>3.5</v>
      </c>
      <c r="AD12">
        <v>3.5</v>
      </c>
      <c r="AI12">
        <v>3.25</v>
      </c>
    </row>
    <row r="13" spans="1:41" x14ac:dyDescent="0.25">
      <c r="A13" t="s">
        <v>53</v>
      </c>
      <c r="B13">
        <v>3</v>
      </c>
      <c r="D13">
        <v>4.75</v>
      </c>
      <c r="E13">
        <v>3.5</v>
      </c>
      <c r="F13">
        <v>3.75</v>
      </c>
      <c r="G13">
        <v>4</v>
      </c>
      <c r="H13">
        <v>5</v>
      </c>
      <c r="I13">
        <v>5</v>
      </c>
      <c r="J13">
        <v>2.75</v>
      </c>
      <c r="K13">
        <v>3.75</v>
      </c>
      <c r="L13">
        <v>3</v>
      </c>
      <c r="N13">
        <v>5</v>
      </c>
      <c r="O13">
        <v>4</v>
      </c>
      <c r="P13">
        <v>4.25</v>
      </c>
      <c r="R13">
        <v>3.5</v>
      </c>
      <c r="T13">
        <v>5</v>
      </c>
      <c r="V13">
        <v>2.25</v>
      </c>
      <c r="Y13">
        <v>3.25</v>
      </c>
      <c r="Z13">
        <v>3.25</v>
      </c>
      <c r="AB13">
        <v>3.75</v>
      </c>
      <c r="AC13">
        <v>4.5</v>
      </c>
      <c r="AD13">
        <v>2.75</v>
      </c>
      <c r="AI13">
        <v>3.25</v>
      </c>
    </row>
    <row r="14" spans="1:41" x14ac:dyDescent="0.25">
      <c r="A14" t="s">
        <v>53</v>
      </c>
      <c r="B14">
        <v>1.5</v>
      </c>
      <c r="D14">
        <v>3.75</v>
      </c>
      <c r="E14">
        <v>5</v>
      </c>
      <c r="F14">
        <v>5</v>
      </c>
      <c r="G14">
        <v>2.5</v>
      </c>
      <c r="H14" t="str">
        <v>Unrated</v>
      </c>
      <c r="I14">
        <v>5</v>
      </c>
      <c r="J14">
        <v>3.5</v>
      </c>
      <c r="K14">
        <v>3.5</v>
      </c>
      <c r="L14">
        <v>1.5</v>
      </c>
      <c r="N14">
        <v>5</v>
      </c>
      <c r="O14">
        <v>4.5</v>
      </c>
      <c r="P14">
        <v>4.25</v>
      </c>
      <c r="R14">
        <v>3</v>
      </c>
      <c r="T14">
        <v>4</v>
      </c>
      <c r="V14">
        <v>5</v>
      </c>
      <c r="Y14">
        <v>2.75</v>
      </c>
      <c r="Z14">
        <v>5</v>
      </c>
      <c r="AB14">
        <v>3.5</v>
      </c>
      <c r="AC14">
        <v>3.5</v>
      </c>
      <c r="AD14">
        <v>4.5</v>
      </c>
      <c r="AI14">
        <v>3.25</v>
      </c>
    </row>
    <row r="15" spans="1:41" x14ac:dyDescent="0.25">
      <c r="A15" t="s">
        <v>53</v>
      </c>
      <c r="B15">
        <v>4</v>
      </c>
      <c r="D15">
        <v>1.5</v>
      </c>
      <c r="E15">
        <v>5</v>
      </c>
      <c r="F15">
        <v>3.75</v>
      </c>
      <c r="G15">
        <v>3.5</v>
      </c>
      <c r="H15">
        <v>5</v>
      </c>
      <c r="I15">
        <v>5</v>
      </c>
      <c r="J15">
        <v>3.5</v>
      </c>
      <c r="K15">
        <v>4.75</v>
      </c>
      <c r="L15">
        <v>4</v>
      </c>
      <c r="N15">
        <v>3</v>
      </c>
      <c r="O15">
        <v>4.5</v>
      </c>
      <c r="P15">
        <v>4.25</v>
      </c>
      <c r="R15">
        <v>4</v>
      </c>
      <c r="T15">
        <v>4</v>
      </c>
      <c r="V15">
        <v>3.25</v>
      </c>
      <c r="Y15">
        <v>0.25</v>
      </c>
      <c r="Z15">
        <v>3.75</v>
      </c>
      <c r="AB15">
        <v>4.25</v>
      </c>
      <c r="AC15">
        <v>5</v>
      </c>
      <c r="AD15">
        <v>3.25</v>
      </c>
      <c r="AI15">
        <v>3.75</v>
      </c>
    </row>
    <row r="16" spans="1:41" x14ac:dyDescent="0.25">
      <c r="A16" t="s">
        <v>53</v>
      </c>
      <c r="B16">
        <v>2.75</v>
      </c>
      <c r="D16">
        <v>4</v>
      </c>
      <c r="E16">
        <v>4.25</v>
      </c>
      <c r="F16">
        <v>0</v>
      </c>
      <c r="G16">
        <v>3.75</v>
      </c>
      <c r="H16">
        <v>2</v>
      </c>
      <c r="I16">
        <v>5</v>
      </c>
      <c r="J16">
        <v>4</v>
      </c>
      <c r="K16">
        <v>4.5</v>
      </c>
      <c r="L16">
        <v>2.75</v>
      </c>
      <c r="N16">
        <v>5</v>
      </c>
      <c r="O16">
        <v>3.5</v>
      </c>
      <c r="P16">
        <v>4</v>
      </c>
      <c r="R16">
        <v>3.25</v>
      </c>
      <c r="T16">
        <v>4</v>
      </c>
      <c r="V16">
        <v>4.3</v>
      </c>
      <c r="Y16">
        <v>0</v>
      </c>
      <c r="AB16">
        <v>4</v>
      </c>
      <c r="AD16">
        <v>3.5</v>
      </c>
      <c r="AI16">
        <v>3.5</v>
      </c>
    </row>
    <row r="17" spans="1:35" x14ac:dyDescent="0.25">
      <c r="A17" t="s">
        <v>53</v>
      </c>
      <c r="B17">
        <v>4</v>
      </c>
      <c r="D17">
        <v>4.75</v>
      </c>
      <c r="E17">
        <v>5</v>
      </c>
      <c r="F17">
        <v>3.25</v>
      </c>
      <c r="G17">
        <v>3.25</v>
      </c>
      <c r="H17">
        <v>4.5</v>
      </c>
      <c r="I17">
        <v>5</v>
      </c>
      <c r="J17">
        <v>3</v>
      </c>
      <c r="K17">
        <v>5</v>
      </c>
      <c r="L17">
        <v>4</v>
      </c>
      <c r="N17">
        <v>5</v>
      </c>
      <c r="O17">
        <v>1.5</v>
      </c>
      <c r="P17">
        <v>4</v>
      </c>
      <c r="R17">
        <v>3</v>
      </c>
      <c r="T17">
        <v>4</v>
      </c>
      <c r="V17">
        <v>3.25</v>
      </c>
      <c r="Y17">
        <v>2</v>
      </c>
      <c r="AB17">
        <v>3.5</v>
      </c>
      <c r="AI17">
        <v>4</v>
      </c>
    </row>
    <row r="18" spans="1:35" x14ac:dyDescent="0.25">
      <c r="A18" t="s">
        <v>53</v>
      </c>
      <c r="B18">
        <v>3.5</v>
      </c>
      <c r="D18">
        <v>4.5</v>
      </c>
      <c r="E18">
        <v>3.5</v>
      </c>
      <c r="F18">
        <v>3.75</v>
      </c>
      <c r="G18">
        <v>3.75</v>
      </c>
      <c r="H18">
        <v>4.5</v>
      </c>
      <c r="I18">
        <v>4.5</v>
      </c>
      <c r="J18">
        <v>5</v>
      </c>
      <c r="K18">
        <v>5</v>
      </c>
      <c r="L18">
        <v>3.5</v>
      </c>
      <c r="N18">
        <v>5</v>
      </c>
      <c r="O18">
        <v>5</v>
      </c>
      <c r="P18">
        <v>4</v>
      </c>
      <c r="R18">
        <v>3.5</v>
      </c>
      <c r="T18">
        <v>4</v>
      </c>
      <c r="V18">
        <v>2</v>
      </c>
      <c r="Y18">
        <v>5</v>
      </c>
      <c r="AB18">
        <v>1.5</v>
      </c>
      <c r="AI18">
        <v>5</v>
      </c>
    </row>
    <row r="19" spans="1:35" x14ac:dyDescent="0.25">
      <c r="A19" t="s">
        <v>53</v>
      </c>
      <c r="B19">
        <v>3</v>
      </c>
      <c r="D19">
        <v>3.5</v>
      </c>
      <c r="E19">
        <v>5</v>
      </c>
      <c r="F19">
        <v>3.75</v>
      </c>
      <c r="G19">
        <v>3.75</v>
      </c>
      <c r="H19">
        <v>1</v>
      </c>
      <c r="I19">
        <v>5</v>
      </c>
      <c r="J19">
        <v>4</v>
      </c>
      <c r="K19">
        <v>4</v>
      </c>
      <c r="L19">
        <v>3</v>
      </c>
      <c r="N19">
        <v>5</v>
      </c>
      <c r="O19">
        <v>3.5</v>
      </c>
      <c r="P19">
        <v>3</v>
      </c>
      <c r="R19">
        <v>4.25</v>
      </c>
      <c r="T19">
        <v>3</v>
      </c>
      <c r="V19">
        <v>2</v>
      </c>
      <c r="Y19">
        <v>0</v>
      </c>
      <c r="AB19">
        <v>0.5</v>
      </c>
      <c r="AI19">
        <v>0.5</v>
      </c>
    </row>
    <row r="20" spans="1:35" x14ac:dyDescent="0.25">
      <c r="A20" t="s">
        <v>53</v>
      </c>
      <c r="B20">
        <v>3.5</v>
      </c>
      <c r="D20">
        <v>5</v>
      </c>
      <c r="E20">
        <v>5</v>
      </c>
      <c r="F20">
        <v>3.5</v>
      </c>
      <c r="G20">
        <v>3.5</v>
      </c>
      <c r="H20">
        <v>5</v>
      </c>
      <c r="I20">
        <v>3.75</v>
      </c>
      <c r="J20">
        <v>4</v>
      </c>
      <c r="K20">
        <v>3</v>
      </c>
      <c r="L20">
        <v>3.5</v>
      </c>
      <c r="N20">
        <v>5</v>
      </c>
      <c r="O20">
        <v>5</v>
      </c>
      <c r="P20">
        <v>3</v>
      </c>
      <c r="R20">
        <v>3.75</v>
      </c>
      <c r="T20">
        <v>4</v>
      </c>
      <c r="V20">
        <v>3.5</v>
      </c>
      <c r="Y20">
        <v>5</v>
      </c>
      <c r="AB20">
        <v>1.75</v>
      </c>
      <c r="AI20">
        <v>4</v>
      </c>
    </row>
    <row r="21" spans="1:35" x14ac:dyDescent="0.25">
      <c r="A21" t="s">
        <v>53</v>
      </c>
      <c r="B21">
        <v>2.75</v>
      </c>
      <c r="D21">
        <v>4</v>
      </c>
      <c r="E21">
        <v>4.5</v>
      </c>
      <c r="F21">
        <v>3.75</v>
      </c>
      <c r="G21">
        <v>3.75</v>
      </c>
      <c r="H21">
        <v>3.75</v>
      </c>
      <c r="I21">
        <v>5</v>
      </c>
      <c r="J21">
        <v>5</v>
      </c>
      <c r="K21">
        <v>4</v>
      </c>
      <c r="L21">
        <v>2.75</v>
      </c>
      <c r="N21">
        <v>5</v>
      </c>
      <c r="O21">
        <v>3.75</v>
      </c>
      <c r="P21">
        <v>4</v>
      </c>
      <c r="R21">
        <v>3</v>
      </c>
      <c r="T21">
        <v>3</v>
      </c>
      <c r="V21">
        <v>2.75</v>
      </c>
      <c r="Y21">
        <v>1.5</v>
      </c>
      <c r="AB21">
        <v>2</v>
      </c>
      <c r="AI21">
        <v>3.25</v>
      </c>
    </row>
    <row r="22" spans="1:35" x14ac:dyDescent="0.25">
      <c r="A22" t="s">
        <v>53</v>
      </c>
      <c r="B22">
        <v>3</v>
      </c>
      <c r="D22">
        <v>4.5</v>
      </c>
      <c r="E22">
        <v>4.75</v>
      </c>
      <c r="F22">
        <v>4.75</v>
      </c>
      <c r="G22">
        <v>3.25</v>
      </c>
      <c r="H22">
        <v>3</v>
      </c>
      <c r="I22">
        <v>3.5</v>
      </c>
      <c r="J22">
        <v>4</v>
      </c>
      <c r="K22">
        <v>5</v>
      </c>
      <c r="L22">
        <v>3</v>
      </c>
      <c r="N22">
        <v>4</v>
      </c>
      <c r="O22">
        <v>4.25</v>
      </c>
      <c r="P22">
        <v>5</v>
      </c>
      <c r="R22">
        <v>3.5</v>
      </c>
      <c r="T22">
        <v>3.5</v>
      </c>
      <c r="V22">
        <v>2.75</v>
      </c>
      <c r="Y22">
        <v>1</v>
      </c>
      <c r="AB22">
        <v>1.5</v>
      </c>
      <c r="AI22">
        <v>5</v>
      </c>
    </row>
    <row r="23" spans="1:35" x14ac:dyDescent="0.25">
      <c r="A23" t="s">
        <v>53</v>
      </c>
      <c r="B23">
        <v>3.25</v>
      </c>
      <c r="D23">
        <v>3.5</v>
      </c>
      <c r="E23">
        <v>5</v>
      </c>
      <c r="F23">
        <v>4</v>
      </c>
      <c r="G23">
        <v>3.75</v>
      </c>
      <c r="H23">
        <v>5</v>
      </c>
      <c r="I23">
        <v>3.5</v>
      </c>
      <c r="J23">
        <v>5</v>
      </c>
      <c r="K23">
        <v>4</v>
      </c>
      <c r="L23">
        <v>3.25</v>
      </c>
      <c r="N23">
        <v>5</v>
      </c>
      <c r="O23">
        <v>3.75</v>
      </c>
      <c r="P23">
        <v>0</v>
      </c>
      <c r="R23">
        <v>3.5</v>
      </c>
      <c r="T23">
        <v>3.75</v>
      </c>
      <c r="V23">
        <v>3.5</v>
      </c>
      <c r="Y23">
        <v>0.5</v>
      </c>
      <c r="AB23">
        <v>1.5</v>
      </c>
      <c r="AI23">
        <v>3.75</v>
      </c>
    </row>
    <row r="24" spans="1:35" x14ac:dyDescent="0.25">
      <c r="A24" t="s">
        <v>53</v>
      </c>
      <c r="B24">
        <v>3.75</v>
      </c>
      <c r="D24">
        <v>4.5</v>
      </c>
      <c r="E24">
        <v>1</v>
      </c>
      <c r="F24">
        <v>3.5</v>
      </c>
      <c r="G24">
        <v>3.25</v>
      </c>
      <c r="H24">
        <v>3.75</v>
      </c>
      <c r="I24">
        <v>4.25</v>
      </c>
      <c r="J24">
        <v>4</v>
      </c>
      <c r="K24">
        <v>4</v>
      </c>
      <c r="L24">
        <v>3.75</v>
      </c>
      <c r="N24">
        <v>1.5</v>
      </c>
      <c r="O24">
        <v>5</v>
      </c>
      <c r="P24">
        <v>4</v>
      </c>
      <c r="R24">
        <v>3.25</v>
      </c>
      <c r="T24">
        <v>3.75</v>
      </c>
      <c r="Y24">
        <v>1.75</v>
      </c>
      <c r="AB24">
        <v>2.75</v>
      </c>
      <c r="AI24">
        <v>3.75</v>
      </c>
    </row>
    <row r="25" spans="1:35" x14ac:dyDescent="0.25">
      <c r="A25" t="s">
        <v>53</v>
      </c>
      <c r="B25">
        <v>3.25</v>
      </c>
      <c r="D25">
        <v>3.5</v>
      </c>
      <c r="E25">
        <v>4</v>
      </c>
      <c r="F25">
        <v>2.5</v>
      </c>
      <c r="G25">
        <v>2</v>
      </c>
      <c r="H25">
        <v>4</v>
      </c>
      <c r="I25">
        <v>5</v>
      </c>
      <c r="J25">
        <v>4</v>
      </c>
      <c r="K25">
        <v>4</v>
      </c>
      <c r="L25">
        <v>3.25</v>
      </c>
      <c r="N25">
        <v>5</v>
      </c>
      <c r="O25">
        <v>3.5</v>
      </c>
      <c r="P25">
        <v>4</v>
      </c>
      <c r="R25">
        <v>3.5</v>
      </c>
      <c r="T25">
        <v>4</v>
      </c>
      <c r="Y25">
        <v>2</v>
      </c>
      <c r="AB25">
        <v>3.25</v>
      </c>
      <c r="AI25">
        <v>4</v>
      </c>
    </row>
    <row r="26" spans="1:35" x14ac:dyDescent="0.25">
      <c r="A26" t="s">
        <v>53</v>
      </c>
      <c r="B26">
        <v>3.25</v>
      </c>
      <c r="D26">
        <v>4.25</v>
      </c>
      <c r="E26">
        <v>5</v>
      </c>
      <c r="F26">
        <v>4</v>
      </c>
      <c r="G26">
        <v>3.75</v>
      </c>
      <c r="H26">
        <v>4.25</v>
      </c>
      <c r="I26">
        <v>3.25</v>
      </c>
      <c r="J26">
        <v>4</v>
      </c>
      <c r="K26">
        <v>4</v>
      </c>
      <c r="L26">
        <v>3.25</v>
      </c>
      <c r="N26">
        <v>4.75</v>
      </c>
      <c r="O26">
        <v>3.75</v>
      </c>
      <c r="P26">
        <v>5</v>
      </c>
      <c r="R26">
        <v>3</v>
      </c>
      <c r="T26">
        <v>3.5</v>
      </c>
      <c r="Y26">
        <v>2.75</v>
      </c>
      <c r="AB26">
        <v>3.5</v>
      </c>
      <c r="AI26">
        <v>3</v>
      </c>
    </row>
    <row r="27" spans="1:35" x14ac:dyDescent="0.25">
      <c r="A27" t="s">
        <v>53</v>
      </c>
      <c r="B27">
        <v>3</v>
      </c>
      <c r="D27">
        <v>4.75</v>
      </c>
      <c r="E27">
        <v>3.5</v>
      </c>
      <c r="F27">
        <v>3</v>
      </c>
      <c r="G27">
        <v>1.5</v>
      </c>
      <c r="H27">
        <v>3.5</v>
      </c>
      <c r="I27">
        <v>4.5</v>
      </c>
      <c r="J27">
        <v>3.5</v>
      </c>
      <c r="K27">
        <v>5</v>
      </c>
      <c r="L27">
        <v>3</v>
      </c>
      <c r="N27">
        <v>5</v>
      </c>
      <c r="O27">
        <v>3.75</v>
      </c>
      <c r="P27">
        <v>4</v>
      </c>
      <c r="R27">
        <v>3.75</v>
      </c>
      <c r="Y27">
        <v>2.75</v>
      </c>
      <c r="AB27">
        <v>3.25</v>
      </c>
      <c r="AI27">
        <v>2.75</v>
      </c>
    </row>
    <row r="28" spans="1:35" x14ac:dyDescent="0.25">
      <c r="A28" t="s">
        <v>53</v>
      </c>
      <c r="B28">
        <v>3.5</v>
      </c>
      <c r="D28">
        <v>2</v>
      </c>
      <c r="E28">
        <v>5</v>
      </c>
      <c r="F28">
        <v>4</v>
      </c>
      <c r="G28">
        <v>3</v>
      </c>
      <c r="H28">
        <v>2</v>
      </c>
      <c r="I28">
        <v>5</v>
      </c>
      <c r="J28">
        <v>5</v>
      </c>
      <c r="K28">
        <v>5</v>
      </c>
      <c r="L28">
        <v>3.5</v>
      </c>
      <c r="N28">
        <v>5</v>
      </c>
      <c r="O28">
        <v>4.75</v>
      </c>
      <c r="P28">
        <v>4</v>
      </c>
      <c r="R28">
        <v>3.75</v>
      </c>
      <c r="Y28">
        <v>3.5</v>
      </c>
      <c r="AB28">
        <v>5</v>
      </c>
      <c r="AI28">
        <v>2.5</v>
      </c>
    </row>
    <row r="29" spans="1:35" x14ac:dyDescent="0.25">
      <c r="A29" t="s">
        <v>53</v>
      </c>
      <c r="B29">
        <v>3.75</v>
      </c>
      <c r="D29">
        <v>4.25</v>
      </c>
      <c r="E29">
        <v>3.8</v>
      </c>
      <c r="F29">
        <v>3</v>
      </c>
      <c r="G29">
        <v>1.5</v>
      </c>
      <c r="H29" t="str">
        <v>Unrated</v>
      </c>
      <c r="I29">
        <v>5</v>
      </c>
      <c r="J29">
        <v>5</v>
      </c>
      <c r="K29">
        <v>4</v>
      </c>
      <c r="L29">
        <v>3.75</v>
      </c>
      <c r="N29">
        <v>5</v>
      </c>
      <c r="O29">
        <v>2.75</v>
      </c>
      <c r="P29">
        <v>4</v>
      </c>
      <c r="Y29">
        <v>1.5</v>
      </c>
      <c r="AB29">
        <v>2.25</v>
      </c>
      <c r="AI29">
        <v>2.75</v>
      </c>
    </row>
    <row r="30" spans="1:35" x14ac:dyDescent="0.25">
      <c r="A30" t="s">
        <v>53</v>
      </c>
      <c r="B30">
        <v>1.25</v>
      </c>
      <c r="D30">
        <v>4.5</v>
      </c>
      <c r="E30">
        <v>4</v>
      </c>
      <c r="F30">
        <v>3</v>
      </c>
      <c r="G30">
        <v>2.5</v>
      </c>
      <c r="H30">
        <v>3.75</v>
      </c>
      <c r="I30">
        <v>4</v>
      </c>
      <c r="J30">
        <v>4</v>
      </c>
      <c r="K30">
        <v>4</v>
      </c>
      <c r="L30">
        <v>1.25</v>
      </c>
      <c r="N30">
        <v>5</v>
      </c>
      <c r="O30">
        <v>3.75</v>
      </c>
      <c r="P30">
        <v>4</v>
      </c>
      <c r="Y30">
        <v>2</v>
      </c>
      <c r="AB30">
        <v>2.75</v>
      </c>
      <c r="AI30">
        <v>4</v>
      </c>
    </row>
    <row r="31" spans="1:35" x14ac:dyDescent="0.25">
      <c r="A31" t="s">
        <v>53</v>
      </c>
      <c r="B31">
        <v>3.25</v>
      </c>
      <c r="D31">
        <v>3.5</v>
      </c>
      <c r="E31">
        <v>1</v>
      </c>
      <c r="F31">
        <v>2</v>
      </c>
      <c r="G31">
        <v>2</v>
      </c>
      <c r="H31">
        <v>4</v>
      </c>
      <c r="I31">
        <v>5</v>
      </c>
      <c r="J31">
        <v>3.5</v>
      </c>
      <c r="K31">
        <v>4</v>
      </c>
      <c r="L31">
        <v>3.25</v>
      </c>
      <c r="N31">
        <v>5</v>
      </c>
      <c r="O31">
        <v>3.25</v>
      </c>
      <c r="P31">
        <v>3.5</v>
      </c>
      <c r="Y31">
        <v>1</v>
      </c>
      <c r="AB31">
        <v>1</v>
      </c>
      <c r="AI31">
        <v>4.5</v>
      </c>
    </row>
    <row r="32" spans="1:35" x14ac:dyDescent="0.25">
      <c r="A32" t="s">
        <v>53</v>
      </c>
      <c r="B32">
        <v>2</v>
      </c>
      <c r="D32">
        <v>5</v>
      </c>
      <c r="E32">
        <v>5</v>
      </c>
      <c r="F32">
        <v>5</v>
      </c>
      <c r="G32">
        <v>3.5</v>
      </c>
      <c r="H32">
        <v>5</v>
      </c>
      <c r="I32">
        <v>3.5</v>
      </c>
      <c r="J32">
        <v>3.5</v>
      </c>
      <c r="K32">
        <v>4</v>
      </c>
      <c r="L32">
        <v>2</v>
      </c>
      <c r="N32">
        <v>5</v>
      </c>
      <c r="O32">
        <v>4</v>
      </c>
      <c r="P32">
        <v>4.5</v>
      </c>
      <c r="Y32">
        <v>2.25</v>
      </c>
      <c r="AB32">
        <v>3.25</v>
      </c>
      <c r="AI32">
        <v>1.75</v>
      </c>
    </row>
    <row r="33" spans="1:35" x14ac:dyDescent="0.25">
      <c r="A33" t="s">
        <v>53</v>
      </c>
      <c r="B33">
        <v>3.75</v>
      </c>
      <c r="D33">
        <v>4.5</v>
      </c>
      <c r="E33">
        <v>4</v>
      </c>
      <c r="F33">
        <v>3.75</v>
      </c>
      <c r="H33">
        <v>0.5</v>
      </c>
      <c r="I33">
        <v>3</v>
      </c>
      <c r="J33">
        <v>3.25</v>
      </c>
      <c r="K33">
        <v>5</v>
      </c>
      <c r="L33">
        <v>3.75</v>
      </c>
      <c r="N33">
        <v>5</v>
      </c>
      <c r="O33">
        <v>3.25</v>
      </c>
      <c r="P33">
        <v>3.5</v>
      </c>
      <c r="Y33">
        <v>2</v>
      </c>
      <c r="AB33">
        <v>3.25</v>
      </c>
      <c r="AI33">
        <v>2.5</v>
      </c>
    </row>
    <row r="34" spans="1:35" x14ac:dyDescent="0.25">
      <c r="A34" t="s">
        <v>53</v>
      </c>
      <c r="B34">
        <v>3.5</v>
      </c>
      <c r="D34">
        <v>3.75</v>
      </c>
      <c r="E34">
        <v>4</v>
      </c>
      <c r="F34">
        <v>3</v>
      </c>
      <c r="H34">
        <v>3.75</v>
      </c>
      <c r="I34">
        <v>5</v>
      </c>
      <c r="J34">
        <v>4</v>
      </c>
      <c r="K34">
        <v>4</v>
      </c>
      <c r="L34">
        <v>3.5</v>
      </c>
      <c r="N34">
        <v>3.5</v>
      </c>
      <c r="O34">
        <v>3.75</v>
      </c>
      <c r="P34">
        <v>3.5</v>
      </c>
      <c r="Y34">
        <v>2</v>
      </c>
      <c r="AB34">
        <v>3.75</v>
      </c>
      <c r="AI34">
        <v>3.75</v>
      </c>
    </row>
    <row r="35" spans="1:35" x14ac:dyDescent="0.25">
      <c r="A35" t="s">
        <v>53</v>
      </c>
      <c r="B35">
        <v>3.5</v>
      </c>
      <c r="D35">
        <v>4</v>
      </c>
      <c r="E35">
        <v>3</v>
      </c>
      <c r="F35">
        <v>5</v>
      </c>
      <c r="H35">
        <v>4.5</v>
      </c>
      <c r="I35">
        <v>4.25</v>
      </c>
      <c r="J35">
        <v>4</v>
      </c>
      <c r="K35">
        <v>5</v>
      </c>
      <c r="L35">
        <v>3.5</v>
      </c>
      <c r="N35">
        <v>5</v>
      </c>
      <c r="O35">
        <v>4</v>
      </c>
      <c r="P35">
        <v>4</v>
      </c>
      <c r="Y35">
        <v>2.5</v>
      </c>
      <c r="AB35">
        <v>3</v>
      </c>
      <c r="AI35">
        <v>3.75</v>
      </c>
    </row>
    <row r="36" spans="1:35" x14ac:dyDescent="0.25">
      <c r="A36" t="s">
        <v>53</v>
      </c>
      <c r="B36">
        <v>3.75</v>
      </c>
      <c r="D36">
        <v>2.5</v>
      </c>
      <c r="E36">
        <v>4</v>
      </c>
      <c r="F36">
        <v>4</v>
      </c>
      <c r="H36">
        <v>4.25</v>
      </c>
      <c r="I36">
        <v>5</v>
      </c>
      <c r="J36">
        <v>4</v>
      </c>
      <c r="K36">
        <v>4.3</v>
      </c>
      <c r="L36">
        <v>3.75</v>
      </c>
      <c r="N36">
        <v>2.5</v>
      </c>
      <c r="O36">
        <v>3.75</v>
      </c>
      <c r="P36">
        <v>1.5</v>
      </c>
      <c r="Y36">
        <v>2</v>
      </c>
      <c r="AB36">
        <v>3.75</v>
      </c>
      <c r="AI36">
        <v>3.75</v>
      </c>
    </row>
    <row r="37" spans="1:35" x14ac:dyDescent="0.25">
      <c r="A37" t="s">
        <v>53</v>
      </c>
      <c r="B37">
        <v>3.25</v>
      </c>
      <c r="D37">
        <v>5</v>
      </c>
      <c r="E37">
        <v>5</v>
      </c>
      <c r="F37">
        <v>4</v>
      </c>
      <c r="H37">
        <v>3.75</v>
      </c>
      <c r="I37">
        <v>3.75</v>
      </c>
      <c r="J37">
        <v>3.5</v>
      </c>
      <c r="K37">
        <v>2.2999999999999998</v>
      </c>
      <c r="L37">
        <v>3.25</v>
      </c>
      <c r="N37">
        <v>5</v>
      </c>
      <c r="O37">
        <v>4.25</v>
      </c>
      <c r="P37">
        <v>3.5</v>
      </c>
      <c r="Y37">
        <v>1.75</v>
      </c>
      <c r="AB37">
        <v>4.25</v>
      </c>
      <c r="AI37">
        <v>1.75</v>
      </c>
    </row>
    <row r="38" spans="1:35" x14ac:dyDescent="0.25">
      <c r="A38" t="s">
        <v>53</v>
      </c>
      <c r="B38">
        <v>3.5</v>
      </c>
      <c r="D38">
        <v>4.5</v>
      </c>
      <c r="E38">
        <v>5</v>
      </c>
      <c r="F38">
        <v>4</v>
      </c>
      <c r="H38">
        <v>4</v>
      </c>
      <c r="I38">
        <v>5</v>
      </c>
      <c r="J38">
        <v>4</v>
      </c>
      <c r="K38">
        <v>4</v>
      </c>
      <c r="L38">
        <v>3.5</v>
      </c>
      <c r="N38">
        <v>3.75</v>
      </c>
      <c r="O38">
        <v>3.75</v>
      </c>
      <c r="P38">
        <v>3</v>
      </c>
      <c r="Y38">
        <v>3</v>
      </c>
      <c r="AB38">
        <v>1.5</v>
      </c>
      <c r="AI38">
        <v>0.25</v>
      </c>
    </row>
    <row r="39" spans="1:35" x14ac:dyDescent="0.25">
      <c r="A39" t="s">
        <v>53</v>
      </c>
      <c r="B39">
        <v>2.75</v>
      </c>
      <c r="D39">
        <v>5</v>
      </c>
      <c r="E39">
        <v>5</v>
      </c>
      <c r="F39">
        <v>0</v>
      </c>
      <c r="H39">
        <v>5</v>
      </c>
      <c r="I39">
        <v>5</v>
      </c>
      <c r="J39">
        <v>4</v>
      </c>
      <c r="K39">
        <v>4</v>
      </c>
      <c r="L39">
        <v>2.75</v>
      </c>
      <c r="N39">
        <v>3.5</v>
      </c>
      <c r="O39">
        <v>3.75</v>
      </c>
      <c r="P39">
        <v>0</v>
      </c>
      <c r="Y39">
        <v>1.75</v>
      </c>
      <c r="AB39">
        <v>3.75</v>
      </c>
      <c r="AI39">
        <v>2</v>
      </c>
    </row>
    <row r="40" spans="1:35" x14ac:dyDescent="0.25">
      <c r="A40" t="s">
        <v>53</v>
      </c>
      <c r="B40">
        <v>3.5</v>
      </c>
      <c r="D40">
        <v>3</v>
      </c>
      <c r="E40">
        <v>5</v>
      </c>
      <c r="F40">
        <v>4</v>
      </c>
      <c r="H40">
        <v>5</v>
      </c>
      <c r="I40">
        <v>4</v>
      </c>
      <c r="J40">
        <v>3.75</v>
      </c>
      <c r="K40">
        <v>4</v>
      </c>
      <c r="L40">
        <v>3.5</v>
      </c>
      <c r="N40">
        <v>5</v>
      </c>
      <c r="O40">
        <v>5</v>
      </c>
      <c r="P40">
        <v>4.5</v>
      </c>
      <c r="Y40">
        <v>3</v>
      </c>
      <c r="AB40">
        <v>3</v>
      </c>
      <c r="AI40">
        <v>4.75</v>
      </c>
    </row>
    <row r="41" spans="1:35" x14ac:dyDescent="0.25">
      <c r="A41" t="s">
        <v>53</v>
      </c>
      <c r="B41">
        <v>3.5</v>
      </c>
      <c r="D41">
        <v>3.5</v>
      </c>
      <c r="E41">
        <v>2</v>
      </c>
      <c r="F41">
        <v>4</v>
      </c>
      <c r="H41">
        <v>4</v>
      </c>
      <c r="I41">
        <v>5</v>
      </c>
      <c r="J41">
        <v>2</v>
      </c>
      <c r="K41">
        <v>4</v>
      </c>
      <c r="L41">
        <v>3.5</v>
      </c>
      <c r="N41">
        <v>5</v>
      </c>
      <c r="O41">
        <v>3.75</v>
      </c>
      <c r="P41">
        <v>4.25</v>
      </c>
      <c r="Y41">
        <v>2.75</v>
      </c>
      <c r="AB41">
        <v>3</v>
      </c>
      <c r="AI41">
        <v>1.5</v>
      </c>
    </row>
    <row r="42" spans="1:35" x14ac:dyDescent="0.25">
      <c r="A42" t="s">
        <v>53</v>
      </c>
      <c r="B42">
        <v>3.25</v>
      </c>
      <c r="D42">
        <v>2</v>
      </c>
      <c r="E42">
        <v>4</v>
      </c>
      <c r="F42">
        <v>4</v>
      </c>
      <c r="H42">
        <v>4</v>
      </c>
      <c r="I42">
        <v>4</v>
      </c>
      <c r="J42">
        <v>4</v>
      </c>
      <c r="K42">
        <v>4</v>
      </c>
      <c r="L42">
        <v>3.25</v>
      </c>
      <c r="N42">
        <v>4.5</v>
      </c>
      <c r="O42">
        <v>4.5</v>
      </c>
      <c r="P42">
        <v>3.75</v>
      </c>
      <c r="Y42">
        <v>0.5</v>
      </c>
      <c r="AB42">
        <v>4</v>
      </c>
      <c r="AI42">
        <v>4.5</v>
      </c>
    </row>
    <row r="43" spans="1:35" x14ac:dyDescent="0.25">
      <c r="A43" t="s">
        <v>53</v>
      </c>
      <c r="B43">
        <v>3.25</v>
      </c>
      <c r="D43">
        <v>4</v>
      </c>
      <c r="E43">
        <v>4</v>
      </c>
      <c r="F43">
        <v>3</v>
      </c>
      <c r="H43">
        <v>4</v>
      </c>
      <c r="I43">
        <v>4</v>
      </c>
      <c r="J43">
        <v>3.5</v>
      </c>
      <c r="K43">
        <v>4</v>
      </c>
      <c r="L43">
        <v>3.25</v>
      </c>
      <c r="N43">
        <v>5</v>
      </c>
      <c r="O43">
        <v>4</v>
      </c>
      <c r="P43">
        <v>5</v>
      </c>
      <c r="AB43">
        <v>1.5</v>
      </c>
      <c r="AI43">
        <v>3</v>
      </c>
    </row>
    <row r="44" spans="1:35" x14ac:dyDescent="0.25">
      <c r="A44" t="s">
        <v>53</v>
      </c>
      <c r="B44">
        <v>4.25</v>
      </c>
      <c r="D44">
        <v>4</v>
      </c>
      <c r="E44">
        <v>4</v>
      </c>
      <c r="F44">
        <v>3</v>
      </c>
      <c r="H44">
        <v>5</v>
      </c>
      <c r="I44">
        <v>4</v>
      </c>
      <c r="J44">
        <v>3</v>
      </c>
      <c r="K44">
        <v>4</v>
      </c>
      <c r="L44">
        <v>4.25</v>
      </c>
      <c r="N44">
        <v>5</v>
      </c>
      <c r="O44">
        <v>4.25</v>
      </c>
      <c r="P44">
        <v>3.5</v>
      </c>
      <c r="AB44">
        <v>3</v>
      </c>
      <c r="AI44">
        <v>3</v>
      </c>
    </row>
    <row r="45" spans="1:35" x14ac:dyDescent="0.25">
      <c r="A45" t="s">
        <v>53</v>
      </c>
      <c r="B45">
        <v>3.75</v>
      </c>
      <c r="D45">
        <v>3</v>
      </c>
      <c r="E45">
        <v>5</v>
      </c>
      <c r="F45">
        <v>4</v>
      </c>
      <c r="H45">
        <v>5</v>
      </c>
      <c r="I45">
        <v>4</v>
      </c>
      <c r="J45">
        <v>3.75</v>
      </c>
      <c r="K45">
        <v>4</v>
      </c>
      <c r="L45">
        <v>3.75</v>
      </c>
      <c r="N45">
        <v>5</v>
      </c>
      <c r="O45">
        <v>4</v>
      </c>
      <c r="P45">
        <v>5</v>
      </c>
      <c r="AB45">
        <v>1</v>
      </c>
      <c r="AI45">
        <v>3</v>
      </c>
    </row>
    <row r="46" spans="1:35" x14ac:dyDescent="0.25">
      <c r="A46" t="s">
        <v>53</v>
      </c>
      <c r="B46">
        <v>3.5</v>
      </c>
      <c r="D46">
        <v>5</v>
      </c>
      <c r="E46">
        <v>5</v>
      </c>
      <c r="F46">
        <v>5</v>
      </c>
      <c r="H46">
        <v>3.5</v>
      </c>
      <c r="I46">
        <v>5</v>
      </c>
      <c r="J46">
        <v>4</v>
      </c>
      <c r="K46">
        <v>5</v>
      </c>
      <c r="L46">
        <v>3.5</v>
      </c>
      <c r="N46">
        <v>5</v>
      </c>
      <c r="O46">
        <v>3.25</v>
      </c>
      <c r="P46">
        <v>4.25</v>
      </c>
      <c r="AB46">
        <v>2.25</v>
      </c>
      <c r="AI46">
        <v>3</v>
      </c>
    </row>
    <row r="47" spans="1:35" x14ac:dyDescent="0.25">
      <c r="A47" t="s">
        <v>53</v>
      </c>
      <c r="B47">
        <v>3.25</v>
      </c>
      <c r="D47">
        <v>3</v>
      </c>
      <c r="E47">
        <v>3</v>
      </c>
      <c r="F47">
        <v>3</v>
      </c>
      <c r="H47">
        <v>4</v>
      </c>
      <c r="I47">
        <v>5</v>
      </c>
      <c r="J47">
        <v>3.5</v>
      </c>
      <c r="K47">
        <v>5</v>
      </c>
      <c r="L47">
        <v>3.25</v>
      </c>
      <c r="N47">
        <v>3.75</v>
      </c>
      <c r="O47">
        <v>4.5</v>
      </c>
      <c r="P47">
        <v>5</v>
      </c>
      <c r="AB47">
        <v>3.25</v>
      </c>
      <c r="AI47">
        <v>3</v>
      </c>
    </row>
    <row r="48" spans="1:35" x14ac:dyDescent="0.25">
      <c r="A48" t="s">
        <v>53</v>
      </c>
      <c r="B48">
        <v>3.75</v>
      </c>
      <c r="D48">
        <v>4</v>
      </c>
      <c r="E48">
        <v>5</v>
      </c>
      <c r="F48">
        <v>0</v>
      </c>
      <c r="H48">
        <v>5</v>
      </c>
      <c r="I48">
        <v>5</v>
      </c>
      <c r="J48">
        <v>5</v>
      </c>
      <c r="K48">
        <v>3</v>
      </c>
      <c r="L48">
        <v>3.75</v>
      </c>
      <c r="N48">
        <v>4</v>
      </c>
      <c r="O48">
        <v>4.75</v>
      </c>
      <c r="P48">
        <v>4</v>
      </c>
      <c r="AB48">
        <v>3.5</v>
      </c>
      <c r="AI48">
        <v>2.5</v>
      </c>
    </row>
    <row r="49" spans="1:28" x14ac:dyDescent="0.25">
      <c r="A49" t="s">
        <v>53</v>
      </c>
      <c r="B49">
        <v>3.75</v>
      </c>
      <c r="D49">
        <v>5</v>
      </c>
      <c r="E49">
        <v>5</v>
      </c>
      <c r="F49">
        <v>5</v>
      </c>
      <c r="H49">
        <v>4</v>
      </c>
      <c r="I49">
        <v>5</v>
      </c>
      <c r="J49">
        <v>3.5</v>
      </c>
      <c r="K49">
        <v>4</v>
      </c>
      <c r="L49">
        <v>3.75</v>
      </c>
      <c r="N49">
        <v>4</v>
      </c>
      <c r="O49">
        <v>5</v>
      </c>
      <c r="P49">
        <v>5</v>
      </c>
      <c r="AB49">
        <v>3.5</v>
      </c>
    </row>
    <row r="50" spans="1:28" x14ac:dyDescent="0.25">
      <c r="A50" t="s">
        <v>53</v>
      </c>
      <c r="B50">
        <v>3</v>
      </c>
      <c r="D50">
        <v>4</v>
      </c>
      <c r="E50">
        <v>4.3</v>
      </c>
      <c r="F50">
        <v>5</v>
      </c>
      <c r="H50">
        <v>3</v>
      </c>
      <c r="I50">
        <v>5</v>
      </c>
      <c r="J50">
        <v>3.5</v>
      </c>
      <c r="K50">
        <v>4</v>
      </c>
      <c r="L50">
        <v>3</v>
      </c>
      <c r="N50">
        <v>5</v>
      </c>
      <c r="O50">
        <v>3.5</v>
      </c>
      <c r="P50">
        <v>3.5</v>
      </c>
      <c r="AB50">
        <v>2.75</v>
      </c>
    </row>
    <row r="51" spans="1:28" x14ac:dyDescent="0.25">
      <c r="A51" t="s">
        <v>53</v>
      </c>
      <c r="B51">
        <v>3</v>
      </c>
      <c r="D51">
        <v>5</v>
      </c>
      <c r="E51">
        <v>1</v>
      </c>
      <c r="F51">
        <v>5</v>
      </c>
      <c r="H51">
        <v>5</v>
      </c>
      <c r="I51">
        <v>3.5</v>
      </c>
      <c r="J51">
        <v>4</v>
      </c>
      <c r="K51">
        <v>4</v>
      </c>
      <c r="L51">
        <v>3</v>
      </c>
      <c r="N51">
        <v>3.5</v>
      </c>
      <c r="O51">
        <v>4</v>
      </c>
      <c r="P51">
        <v>4.5</v>
      </c>
      <c r="AB51">
        <v>3.75</v>
      </c>
    </row>
    <row r="52" spans="1:28" x14ac:dyDescent="0.25">
      <c r="A52" t="s">
        <v>53</v>
      </c>
      <c r="B52">
        <v>2.5</v>
      </c>
      <c r="D52">
        <v>4</v>
      </c>
      <c r="E52">
        <v>2</v>
      </c>
      <c r="F52">
        <v>0</v>
      </c>
      <c r="H52">
        <v>5</v>
      </c>
      <c r="I52">
        <v>4.25</v>
      </c>
      <c r="J52">
        <v>3.5</v>
      </c>
      <c r="K52">
        <v>4</v>
      </c>
      <c r="L52">
        <v>2.5</v>
      </c>
      <c r="N52">
        <v>3</v>
      </c>
      <c r="O52">
        <v>4</v>
      </c>
      <c r="P52">
        <v>4.25</v>
      </c>
      <c r="AB52">
        <v>3.75</v>
      </c>
    </row>
    <row r="53" spans="1:28" x14ac:dyDescent="0.25">
      <c r="A53" t="s">
        <v>53</v>
      </c>
      <c r="B53">
        <v>3.75</v>
      </c>
      <c r="D53">
        <v>4</v>
      </c>
      <c r="E53">
        <v>5</v>
      </c>
      <c r="F53">
        <v>3.75</v>
      </c>
      <c r="H53">
        <v>4</v>
      </c>
      <c r="I53">
        <v>3.75</v>
      </c>
      <c r="J53">
        <v>4</v>
      </c>
      <c r="K53">
        <v>4</v>
      </c>
      <c r="L53">
        <v>3.75</v>
      </c>
      <c r="N53">
        <v>3.5</v>
      </c>
      <c r="O53">
        <v>4.25</v>
      </c>
      <c r="P53">
        <v>4</v>
      </c>
      <c r="AB53">
        <v>3</v>
      </c>
    </row>
    <row r="54" spans="1:28" x14ac:dyDescent="0.25">
      <c r="A54" t="s">
        <v>53</v>
      </c>
      <c r="B54">
        <v>2.75</v>
      </c>
      <c r="D54">
        <v>5</v>
      </c>
      <c r="E54">
        <v>5</v>
      </c>
      <c r="F54">
        <v>4.75</v>
      </c>
      <c r="H54">
        <v>5</v>
      </c>
      <c r="I54">
        <v>3</v>
      </c>
      <c r="J54">
        <v>5</v>
      </c>
      <c r="K54">
        <v>4</v>
      </c>
      <c r="L54">
        <v>2.75</v>
      </c>
      <c r="N54">
        <v>3.5</v>
      </c>
      <c r="O54">
        <v>3.5</v>
      </c>
      <c r="P54">
        <v>3.75</v>
      </c>
      <c r="AB54">
        <v>3</v>
      </c>
    </row>
    <row r="55" spans="1:28" x14ac:dyDescent="0.25">
      <c r="A55" t="s">
        <v>53</v>
      </c>
      <c r="B55">
        <v>3.5</v>
      </c>
      <c r="D55">
        <v>5</v>
      </c>
      <c r="E55">
        <v>4.25</v>
      </c>
      <c r="F55">
        <v>3.5</v>
      </c>
      <c r="H55">
        <v>5</v>
      </c>
      <c r="I55">
        <v>4.5</v>
      </c>
      <c r="J55">
        <v>4.25</v>
      </c>
      <c r="K55">
        <v>4</v>
      </c>
      <c r="L55">
        <v>3.5</v>
      </c>
      <c r="N55">
        <v>4.25</v>
      </c>
      <c r="O55">
        <v>3.75</v>
      </c>
      <c r="P55">
        <v>3.75</v>
      </c>
      <c r="AB55">
        <v>3.75</v>
      </c>
    </row>
    <row r="56" spans="1:28" x14ac:dyDescent="0.25">
      <c r="A56" t="s">
        <v>53</v>
      </c>
      <c r="B56">
        <v>2.75</v>
      </c>
      <c r="D56">
        <v>3</v>
      </c>
      <c r="E56">
        <v>4.5</v>
      </c>
      <c r="F56">
        <v>4</v>
      </c>
      <c r="H56">
        <v>5</v>
      </c>
      <c r="I56">
        <v>4</v>
      </c>
      <c r="J56">
        <v>2.5</v>
      </c>
      <c r="K56">
        <v>2</v>
      </c>
      <c r="L56">
        <v>2.75</v>
      </c>
      <c r="N56">
        <v>4.5</v>
      </c>
      <c r="O56">
        <v>4.25</v>
      </c>
      <c r="P56">
        <v>3.75</v>
      </c>
      <c r="AB56">
        <v>4</v>
      </c>
    </row>
    <row r="57" spans="1:28" x14ac:dyDescent="0.25">
      <c r="A57" t="s">
        <v>53</v>
      </c>
      <c r="B57">
        <v>3.5</v>
      </c>
      <c r="D57">
        <v>4</v>
      </c>
      <c r="E57">
        <v>4.5</v>
      </c>
      <c r="F57">
        <v>4.75</v>
      </c>
      <c r="H57">
        <v>4</v>
      </c>
      <c r="I57">
        <v>4.75</v>
      </c>
      <c r="J57">
        <v>3.75</v>
      </c>
      <c r="K57">
        <v>4</v>
      </c>
      <c r="L57">
        <v>3.5</v>
      </c>
      <c r="N57">
        <v>3.5</v>
      </c>
      <c r="O57">
        <v>4</v>
      </c>
      <c r="P57">
        <v>4</v>
      </c>
      <c r="AB57">
        <v>2</v>
      </c>
    </row>
    <row r="58" spans="1:28" x14ac:dyDescent="0.25">
      <c r="A58" t="s">
        <v>53</v>
      </c>
      <c r="B58">
        <v>2</v>
      </c>
      <c r="D58">
        <v>5</v>
      </c>
      <c r="E58">
        <v>4.25</v>
      </c>
      <c r="F58">
        <v>4.25</v>
      </c>
      <c r="H58">
        <v>4</v>
      </c>
      <c r="I58">
        <v>3.5</v>
      </c>
      <c r="J58">
        <v>3.5</v>
      </c>
      <c r="K58">
        <v>4</v>
      </c>
      <c r="L58">
        <v>2</v>
      </c>
      <c r="N58">
        <v>3</v>
      </c>
      <c r="O58">
        <v>4.75</v>
      </c>
      <c r="P58">
        <v>3.75</v>
      </c>
      <c r="AB58">
        <v>1.5</v>
      </c>
    </row>
    <row r="59" spans="1:28" x14ac:dyDescent="0.25">
      <c r="A59" t="s">
        <v>53</v>
      </c>
      <c r="B59">
        <v>3</v>
      </c>
      <c r="D59">
        <v>5</v>
      </c>
      <c r="E59">
        <v>3.75</v>
      </c>
      <c r="F59">
        <v>1</v>
      </c>
      <c r="H59">
        <v>5</v>
      </c>
      <c r="I59">
        <v>3.75</v>
      </c>
      <c r="J59">
        <v>5</v>
      </c>
      <c r="K59">
        <v>3.75</v>
      </c>
      <c r="L59">
        <v>3</v>
      </c>
      <c r="N59">
        <v>4</v>
      </c>
      <c r="O59">
        <v>4</v>
      </c>
      <c r="P59">
        <v>3.75</v>
      </c>
      <c r="AB59">
        <v>2</v>
      </c>
    </row>
    <row r="60" spans="1:28" x14ac:dyDescent="0.25">
      <c r="A60" t="s">
        <v>53</v>
      </c>
      <c r="B60">
        <v>3.75</v>
      </c>
      <c r="D60">
        <v>5</v>
      </c>
      <c r="E60">
        <v>3.75</v>
      </c>
      <c r="F60">
        <v>4</v>
      </c>
      <c r="H60">
        <v>4.5</v>
      </c>
      <c r="I60">
        <v>3.5</v>
      </c>
      <c r="J60">
        <v>5</v>
      </c>
      <c r="K60">
        <v>4</v>
      </c>
      <c r="L60">
        <v>3.75</v>
      </c>
      <c r="N60">
        <v>3.5</v>
      </c>
      <c r="O60">
        <v>4.25</v>
      </c>
      <c r="P60">
        <v>3.5</v>
      </c>
      <c r="AB60">
        <v>3.5</v>
      </c>
    </row>
    <row r="61" spans="1:28" x14ac:dyDescent="0.25">
      <c r="A61" t="s">
        <v>53</v>
      </c>
      <c r="B61">
        <v>1.25</v>
      </c>
      <c r="D61">
        <v>5</v>
      </c>
      <c r="E61">
        <v>5</v>
      </c>
      <c r="F61">
        <v>3.5</v>
      </c>
      <c r="H61">
        <v>3.5</v>
      </c>
      <c r="I61">
        <v>5</v>
      </c>
      <c r="J61">
        <v>4.75</v>
      </c>
      <c r="K61">
        <v>5</v>
      </c>
      <c r="L61">
        <v>1.25</v>
      </c>
      <c r="N61">
        <v>5</v>
      </c>
      <c r="O61">
        <v>4.25</v>
      </c>
      <c r="P61">
        <v>4</v>
      </c>
      <c r="AB61">
        <v>3.25</v>
      </c>
    </row>
    <row r="62" spans="1:28" x14ac:dyDescent="0.25">
      <c r="A62" t="s">
        <v>53</v>
      </c>
      <c r="B62">
        <v>3</v>
      </c>
      <c r="D62">
        <v>4</v>
      </c>
      <c r="E62">
        <v>3.75</v>
      </c>
      <c r="F62">
        <v>0.25</v>
      </c>
      <c r="H62">
        <v>4</v>
      </c>
      <c r="I62">
        <v>4.5</v>
      </c>
      <c r="J62">
        <v>3.5</v>
      </c>
      <c r="K62">
        <v>5</v>
      </c>
      <c r="L62">
        <v>3</v>
      </c>
      <c r="N62">
        <v>5</v>
      </c>
      <c r="O62">
        <v>3.75</v>
      </c>
      <c r="P62">
        <v>4.5</v>
      </c>
      <c r="AB62">
        <v>2.5</v>
      </c>
    </row>
    <row r="63" spans="1:28" x14ac:dyDescent="0.25">
      <c r="A63" t="s">
        <v>53</v>
      </c>
      <c r="B63">
        <v>4.25</v>
      </c>
      <c r="D63">
        <v>5</v>
      </c>
      <c r="E63">
        <v>5</v>
      </c>
      <c r="F63">
        <v>0</v>
      </c>
      <c r="H63">
        <v>0</v>
      </c>
      <c r="I63">
        <v>3.75</v>
      </c>
      <c r="J63">
        <v>3.5</v>
      </c>
      <c r="K63">
        <v>4</v>
      </c>
      <c r="L63">
        <v>4.25</v>
      </c>
      <c r="N63">
        <v>3.5</v>
      </c>
      <c r="O63">
        <v>4.5</v>
      </c>
      <c r="P63">
        <v>5</v>
      </c>
      <c r="AB63">
        <v>3</v>
      </c>
    </row>
    <row r="64" spans="1:28" x14ac:dyDescent="0.25">
      <c r="A64" t="s">
        <v>53</v>
      </c>
      <c r="B64">
        <v>2.75</v>
      </c>
      <c r="D64">
        <v>4</v>
      </c>
      <c r="E64">
        <v>4.5</v>
      </c>
      <c r="F64">
        <v>3</v>
      </c>
      <c r="H64">
        <v>5</v>
      </c>
      <c r="I64">
        <v>4.25</v>
      </c>
      <c r="J64">
        <v>5</v>
      </c>
      <c r="K64">
        <v>4</v>
      </c>
      <c r="L64">
        <v>2.75</v>
      </c>
      <c r="N64">
        <v>3.5</v>
      </c>
      <c r="O64">
        <v>4.25</v>
      </c>
      <c r="P64">
        <v>4</v>
      </c>
      <c r="AB64">
        <v>3.5</v>
      </c>
    </row>
    <row r="65" spans="1:28" x14ac:dyDescent="0.25">
      <c r="A65" t="s">
        <v>53</v>
      </c>
      <c r="B65">
        <v>2.25</v>
      </c>
      <c r="D65">
        <v>5</v>
      </c>
      <c r="E65">
        <v>3.75</v>
      </c>
      <c r="F65">
        <v>3.5</v>
      </c>
      <c r="H65">
        <v>4</v>
      </c>
      <c r="I65">
        <v>3.75</v>
      </c>
      <c r="J65">
        <v>3.5</v>
      </c>
      <c r="K65">
        <v>5</v>
      </c>
      <c r="L65">
        <v>2.25</v>
      </c>
      <c r="N65">
        <v>4.5</v>
      </c>
      <c r="O65">
        <v>3.5</v>
      </c>
      <c r="P65">
        <v>3.75</v>
      </c>
      <c r="AB65">
        <v>4</v>
      </c>
    </row>
    <row r="66" spans="1:28" x14ac:dyDescent="0.25">
      <c r="A66" t="s">
        <v>53</v>
      </c>
      <c r="B66">
        <v>2</v>
      </c>
      <c r="D66">
        <v>3</v>
      </c>
      <c r="E66">
        <v>0</v>
      </c>
      <c r="F66">
        <v>5</v>
      </c>
      <c r="H66">
        <v>5</v>
      </c>
      <c r="I66">
        <v>2.75</v>
      </c>
      <c r="J66">
        <v>2.75</v>
      </c>
      <c r="K66">
        <v>5</v>
      </c>
      <c r="L66">
        <v>2</v>
      </c>
      <c r="N66">
        <v>5</v>
      </c>
      <c r="O66">
        <v>5</v>
      </c>
      <c r="P66">
        <v>4.5</v>
      </c>
      <c r="AB66">
        <v>4.25</v>
      </c>
    </row>
    <row r="67" spans="1:28" x14ac:dyDescent="0.25">
      <c r="A67" t="s">
        <v>53</v>
      </c>
      <c r="B67">
        <v>3</v>
      </c>
      <c r="D67">
        <v>5</v>
      </c>
      <c r="E67">
        <v>4.5</v>
      </c>
      <c r="F67">
        <v>5</v>
      </c>
      <c r="H67">
        <v>4.5</v>
      </c>
      <c r="I67">
        <v>2.5</v>
      </c>
      <c r="J67">
        <v>5</v>
      </c>
      <c r="K67">
        <v>5</v>
      </c>
      <c r="L67">
        <v>3</v>
      </c>
      <c r="N67">
        <v>3.25</v>
      </c>
      <c r="O67">
        <v>4.5</v>
      </c>
      <c r="P67">
        <v>3.75</v>
      </c>
      <c r="AB67">
        <v>3.75</v>
      </c>
    </row>
    <row r="68" spans="1:28" x14ac:dyDescent="0.25">
      <c r="A68" t="s">
        <v>53</v>
      </c>
      <c r="B68">
        <v>2.75</v>
      </c>
      <c r="D68">
        <v>4</v>
      </c>
      <c r="E68">
        <v>5</v>
      </c>
      <c r="F68">
        <v>3.25</v>
      </c>
      <c r="H68">
        <v>3.5</v>
      </c>
      <c r="I68">
        <v>3.5</v>
      </c>
      <c r="J68">
        <v>4</v>
      </c>
      <c r="K68">
        <v>5</v>
      </c>
      <c r="L68">
        <v>2.75</v>
      </c>
      <c r="N68">
        <v>4.5</v>
      </c>
      <c r="O68">
        <v>5</v>
      </c>
      <c r="P68">
        <v>3</v>
      </c>
      <c r="AB68">
        <v>2.75</v>
      </c>
    </row>
    <row r="69" spans="1:28" x14ac:dyDescent="0.25">
      <c r="A69" t="s">
        <v>53</v>
      </c>
      <c r="B69">
        <v>3.75</v>
      </c>
      <c r="D69">
        <v>5</v>
      </c>
      <c r="E69">
        <v>4</v>
      </c>
      <c r="F69">
        <v>3.25</v>
      </c>
      <c r="H69">
        <v>5</v>
      </c>
      <c r="I69">
        <v>3.5</v>
      </c>
      <c r="J69">
        <v>3.75</v>
      </c>
      <c r="K69">
        <v>4</v>
      </c>
      <c r="L69">
        <v>3.75</v>
      </c>
      <c r="N69">
        <v>5</v>
      </c>
      <c r="O69">
        <v>3.25</v>
      </c>
      <c r="P69">
        <v>4.25</v>
      </c>
      <c r="AB69">
        <v>3.25</v>
      </c>
    </row>
    <row r="70" spans="1:28" x14ac:dyDescent="0.25">
      <c r="A70" t="s">
        <v>53</v>
      </c>
      <c r="B70">
        <v>1.75</v>
      </c>
      <c r="D70">
        <v>5</v>
      </c>
      <c r="E70">
        <v>3.25</v>
      </c>
      <c r="F70">
        <v>4.5</v>
      </c>
      <c r="H70">
        <v>5</v>
      </c>
      <c r="I70">
        <v>4</v>
      </c>
      <c r="J70">
        <v>3.5</v>
      </c>
      <c r="K70">
        <v>4</v>
      </c>
      <c r="L70">
        <v>1.75</v>
      </c>
      <c r="N70">
        <v>5</v>
      </c>
      <c r="O70">
        <v>3.75</v>
      </c>
      <c r="P70">
        <v>2.5</v>
      </c>
      <c r="AB70">
        <v>3.75</v>
      </c>
    </row>
    <row r="71" spans="1:28" x14ac:dyDescent="0.25">
      <c r="A71" t="s">
        <v>53</v>
      </c>
      <c r="B71">
        <v>3.5</v>
      </c>
      <c r="D71">
        <v>4.75</v>
      </c>
      <c r="E71">
        <v>4.75</v>
      </c>
      <c r="F71">
        <v>4.5</v>
      </c>
      <c r="H71">
        <v>3.5</v>
      </c>
      <c r="I71">
        <v>3.75</v>
      </c>
      <c r="J71">
        <v>3.75</v>
      </c>
      <c r="K71">
        <v>4</v>
      </c>
      <c r="L71">
        <v>3.5</v>
      </c>
      <c r="N71">
        <v>4</v>
      </c>
      <c r="O71">
        <v>4</v>
      </c>
      <c r="P71">
        <v>3</v>
      </c>
    </row>
    <row r="72" spans="1:28" x14ac:dyDescent="0.25">
      <c r="A72" t="s">
        <v>53</v>
      </c>
      <c r="B72">
        <v>4.75</v>
      </c>
      <c r="D72">
        <v>5</v>
      </c>
      <c r="E72">
        <v>5</v>
      </c>
      <c r="F72">
        <v>5</v>
      </c>
      <c r="H72">
        <v>5</v>
      </c>
      <c r="I72">
        <v>4</v>
      </c>
      <c r="J72">
        <v>3.5</v>
      </c>
      <c r="K72">
        <v>5</v>
      </c>
      <c r="L72">
        <v>4.75</v>
      </c>
      <c r="N72">
        <v>4.75</v>
      </c>
      <c r="O72">
        <v>5</v>
      </c>
      <c r="P72">
        <v>3.5</v>
      </c>
    </row>
    <row r="73" spans="1:28" x14ac:dyDescent="0.25">
      <c r="A73" t="s">
        <v>53</v>
      </c>
      <c r="B73">
        <v>3</v>
      </c>
      <c r="D73">
        <v>4</v>
      </c>
      <c r="E73">
        <v>1.5</v>
      </c>
      <c r="F73">
        <v>3.25</v>
      </c>
      <c r="H73">
        <v>4.25</v>
      </c>
      <c r="I73">
        <v>3.75</v>
      </c>
      <c r="J73">
        <v>3.75</v>
      </c>
      <c r="K73">
        <v>4</v>
      </c>
      <c r="L73">
        <v>3</v>
      </c>
      <c r="N73">
        <v>4.5</v>
      </c>
      <c r="O73">
        <v>4.5</v>
      </c>
      <c r="P73">
        <v>4</v>
      </c>
    </row>
    <row r="74" spans="1:28" x14ac:dyDescent="0.25">
      <c r="A74" t="s">
        <v>53</v>
      </c>
      <c r="B74">
        <v>4</v>
      </c>
      <c r="D74">
        <v>5</v>
      </c>
      <c r="E74">
        <v>3.25</v>
      </c>
      <c r="F74">
        <v>3.5</v>
      </c>
      <c r="H74">
        <v>3.5</v>
      </c>
      <c r="I74">
        <v>3.75</v>
      </c>
      <c r="J74">
        <v>3</v>
      </c>
      <c r="K74">
        <v>5</v>
      </c>
      <c r="L74">
        <v>4</v>
      </c>
      <c r="N74">
        <v>3.5</v>
      </c>
      <c r="O74">
        <v>4</v>
      </c>
      <c r="P74">
        <v>5</v>
      </c>
    </row>
    <row r="75" spans="1:28" x14ac:dyDescent="0.25">
      <c r="A75" t="s">
        <v>53</v>
      </c>
      <c r="B75">
        <v>3.5</v>
      </c>
      <c r="D75">
        <v>3</v>
      </c>
      <c r="E75">
        <v>4</v>
      </c>
      <c r="F75">
        <v>0.25</v>
      </c>
      <c r="H75">
        <v>3.5</v>
      </c>
      <c r="I75">
        <v>3.5</v>
      </c>
      <c r="J75">
        <v>4</v>
      </c>
      <c r="K75">
        <v>3.75</v>
      </c>
      <c r="L75">
        <v>3.5</v>
      </c>
      <c r="N75">
        <v>4.5</v>
      </c>
      <c r="O75">
        <v>4</v>
      </c>
      <c r="P75">
        <v>3.75</v>
      </c>
    </row>
    <row r="76" spans="1:28" x14ac:dyDescent="0.25">
      <c r="A76" t="s">
        <v>53</v>
      </c>
      <c r="B76">
        <v>2.25</v>
      </c>
      <c r="D76">
        <v>5</v>
      </c>
      <c r="E76">
        <v>4.25</v>
      </c>
      <c r="F76">
        <v>2.5</v>
      </c>
      <c r="H76">
        <v>5</v>
      </c>
      <c r="I76">
        <v>3.75</v>
      </c>
      <c r="J76">
        <v>4</v>
      </c>
      <c r="K76">
        <v>3.75</v>
      </c>
      <c r="L76">
        <v>2.25</v>
      </c>
      <c r="N76">
        <v>4.25</v>
      </c>
      <c r="O76">
        <v>3.75</v>
      </c>
      <c r="P76">
        <v>4</v>
      </c>
    </row>
    <row r="77" spans="1:28" x14ac:dyDescent="0.25">
      <c r="A77" t="s">
        <v>53</v>
      </c>
      <c r="B77">
        <v>3.75</v>
      </c>
      <c r="D77">
        <v>5</v>
      </c>
      <c r="E77">
        <v>5</v>
      </c>
      <c r="F77">
        <v>4.25</v>
      </c>
      <c r="H77">
        <v>4.25</v>
      </c>
      <c r="I77">
        <v>4</v>
      </c>
      <c r="J77">
        <v>4</v>
      </c>
      <c r="K77">
        <v>3</v>
      </c>
      <c r="L77">
        <v>3.75</v>
      </c>
      <c r="N77">
        <v>5</v>
      </c>
      <c r="O77">
        <v>4</v>
      </c>
      <c r="P77">
        <v>4.25</v>
      </c>
    </row>
    <row r="78" spans="1:28" x14ac:dyDescent="0.25">
      <c r="A78" t="s">
        <v>53</v>
      </c>
      <c r="B78">
        <v>3.75</v>
      </c>
      <c r="D78">
        <v>4</v>
      </c>
      <c r="E78">
        <v>5</v>
      </c>
      <c r="F78">
        <v>3.5</v>
      </c>
      <c r="H78">
        <v>3.75</v>
      </c>
      <c r="I78">
        <v>5</v>
      </c>
      <c r="J78">
        <v>4</v>
      </c>
      <c r="K78">
        <v>3.25</v>
      </c>
      <c r="L78">
        <v>3.75</v>
      </c>
      <c r="N78">
        <v>2</v>
      </c>
      <c r="O78">
        <v>3.5</v>
      </c>
      <c r="P78">
        <v>4.25</v>
      </c>
    </row>
    <row r="79" spans="1:28" x14ac:dyDescent="0.25">
      <c r="A79" t="s">
        <v>53</v>
      </c>
      <c r="B79">
        <v>4.25</v>
      </c>
      <c r="D79">
        <v>5</v>
      </c>
      <c r="E79">
        <v>4.5</v>
      </c>
      <c r="F79">
        <v>1</v>
      </c>
      <c r="H79">
        <v>5</v>
      </c>
      <c r="I79">
        <v>3.75</v>
      </c>
      <c r="J79">
        <v>3.25</v>
      </c>
      <c r="K79">
        <v>4.25</v>
      </c>
      <c r="L79">
        <v>4.25</v>
      </c>
      <c r="N79">
        <v>5</v>
      </c>
      <c r="O79">
        <v>4.25</v>
      </c>
      <c r="P79">
        <v>4</v>
      </c>
    </row>
    <row r="80" spans="1:28" x14ac:dyDescent="0.25">
      <c r="A80" t="s">
        <v>53</v>
      </c>
      <c r="B80">
        <v>4.25</v>
      </c>
      <c r="D80">
        <v>3.5</v>
      </c>
      <c r="E80">
        <v>2.75</v>
      </c>
      <c r="F80">
        <v>3.5</v>
      </c>
      <c r="H80">
        <v>5</v>
      </c>
      <c r="I80">
        <v>4</v>
      </c>
      <c r="J80">
        <v>4</v>
      </c>
      <c r="K80">
        <v>2.5</v>
      </c>
      <c r="L80">
        <v>4.25</v>
      </c>
      <c r="N80">
        <v>5</v>
      </c>
      <c r="O80">
        <v>4</v>
      </c>
      <c r="P80">
        <v>4.5</v>
      </c>
    </row>
    <row r="81" spans="1:16" x14ac:dyDescent="0.25">
      <c r="A81" t="s">
        <v>53</v>
      </c>
      <c r="B81">
        <v>0.5</v>
      </c>
      <c r="D81">
        <v>5</v>
      </c>
      <c r="E81">
        <v>5</v>
      </c>
      <c r="F81">
        <v>2.5</v>
      </c>
      <c r="H81">
        <v>4</v>
      </c>
      <c r="I81">
        <v>5</v>
      </c>
      <c r="J81">
        <v>5</v>
      </c>
      <c r="K81">
        <v>3</v>
      </c>
      <c r="L81">
        <v>0.5</v>
      </c>
      <c r="N81">
        <v>5</v>
      </c>
      <c r="O81">
        <v>4.5</v>
      </c>
      <c r="P81">
        <v>3.5</v>
      </c>
    </row>
    <row r="82" spans="1:16" x14ac:dyDescent="0.25">
      <c r="A82" t="s">
        <v>53</v>
      </c>
      <c r="B82">
        <v>3.75</v>
      </c>
      <c r="D82">
        <v>4</v>
      </c>
      <c r="E82">
        <v>3.25</v>
      </c>
      <c r="F82">
        <v>4</v>
      </c>
      <c r="H82">
        <v>3.5</v>
      </c>
      <c r="I82">
        <v>4</v>
      </c>
      <c r="J82">
        <v>3.75</v>
      </c>
      <c r="K82">
        <v>3.75</v>
      </c>
      <c r="L82">
        <v>3.75</v>
      </c>
      <c r="N82">
        <v>3.75</v>
      </c>
      <c r="O82">
        <v>4.75</v>
      </c>
      <c r="P82">
        <v>3.5</v>
      </c>
    </row>
    <row r="83" spans="1:16" x14ac:dyDescent="0.25">
      <c r="A83" t="s">
        <v>53</v>
      </c>
      <c r="B83">
        <v>3.25</v>
      </c>
      <c r="D83">
        <v>4</v>
      </c>
      <c r="E83">
        <v>5</v>
      </c>
      <c r="F83">
        <v>5</v>
      </c>
      <c r="H83">
        <v>3.75</v>
      </c>
      <c r="I83">
        <v>4.25</v>
      </c>
      <c r="J83">
        <v>3.5</v>
      </c>
      <c r="K83">
        <v>3.75</v>
      </c>
      <c r="L83">
        <v>3.25</v>
      </c>
      <c r="N83">
        <v>2</v>
      </c>
      <c r="O83">
        <v>4</v>
      </c>
      <c r="P83">
        <v>2.75</v>
      </c>
    </row>
    <row r="84" spans="1:16" x14ac:dyDescent="0.25">
      <c r="A84" t="s">
        <v>53</v>
      </c>
      <c r="B84">
        <v>4.5</v>
      </c>
      <c r="D84">
        <v>1.75</v>
      </c>
      <c r="E84">
        <v>4</v>
      </c>
      <c r="F84">
        <v>0</v>
      </c>
      <c r="H84">
        <v>4</v>
      </c>
      <c r="I84">
        <v>4</v>
      </c>
      <c r="J84">
        <v>5</v>
      </c>
      <c r="K84">
        <v>5</v>
      </c>
      <c r="L84">
        <v>4.5</v>
      </c>
      <c r="N84">
        <v>3.75</v>
      </c>
      <c r="O84">
        <v>3.5</v>
      </c>
      <c r="P84">
        <v>3.5</v>
      </c>
    </row>
    <row r="85" spans="1:16" x14ac:dyDescent="0.25">
      <c r="A85" t="s">
        <v>53</v>
      </c>
      <c r="B85">
        <v>3.75</v>
      </c>
      <c r="D85">
        <v>5</v>
      </c>
      <c r="E85">
        <v>3.5</v>
      </c>
      <c r="F85">
        <v>4</v>
      </c>
      <c r="H85">
        <v>4</v>
      </c>
      <c r="I85">
        <v>3.5</v>
      </c>
      <c r="J85">
        <v>4.5</v>
      </c>
      <c r="K85">
        <v>2.75</v>
      </c>
      <c r="L85">
        <v>3.75</v>
      </c>
      <c r="N85">
        <v>3</v>
      </c>
      <c r="O85">
        <v>3.75</v>
      </c>
      <c r="P85">
        <v>1.75</v>
      </c>
    </row>
    <row r="86" spans="1:16" x14ac:dyDescent="0.25">
      <c r="A86" t="s">
        <v>53</v>
      </c>
      <c r="B86">
        <v>3.25</v>
      </c>
      <c r="D86">
        <v>5</v>
      </c>
      <c r="E86">
        <v>3.5</v>
      </c>
      <c r="F86">
        <v>4</v>
      </c>
      <c r="H86">
        <v>4</v>
      </c>
      <c r="I86">
        <v>4</v>
      </c>
      <c r="J86">
        <v>4</v>
      </c>
      <c r="K86">
        <v>3</v>
      </c>
      <c r="L86">
        <v>3.25</v>
      </c>
      <c r="N86">
        <v>3.5</v>
      </c>
      <c r="O86">
        <v>3.75</v>
      </c>
      <c r="P86">
        <v>3</v>
      </c>
    </row>
    <row r="87" spans="1:16" x14ac:dyDescent="0.25">
      <c r="A87" t="s">
        <v>53</v>
      </c>
      <c r="B87">
        <v>3.5</v>
      </c>
      <c r="D87">
        <v>5</v>
      </c>
      <c r="E87">
        <v>5</v>
      </c>
      <c r="F87">
        <v>4.25</v>
      </c>
      <c r="H87">
        <v>1</v>
      </c>
      <c r="I87">
        <v>3.75</v>
      </c>
      <c r="J87">
        <v>3.25</v>
      </c>
      <c r="K87">
        <v>3.5</v>
      </c>
      <c r="L87">
        <v>3.5</v>
      </c>
      <c r="N87">
        <v>5</v>
      </c>
      <c r="O87">
        <v>2.25</v>
      </c>
      <c r="P87">
        <v>2</v>
      </c>
    </row>
    <row r="88" spans="1:16" x14ac:dyDescent="0.25">
      <c r="A88" t="s">
        <v>53</v>
      </c>
      <c r="B88">
        <v>2</v>
      </c>
      <c r="D88">
        <v>3.8</v>
      </c>
      <c r="E88">
        <v>4.25</v>
      </c>
      <c r="F88">
        <v>1.5</v>
      </c>
      <c r="H88">
        <v>5</v>
      </c>
      <c r="I88">
        <v>5</v>
      </c>
      <c r="J88">
        <v>3.75</v>
      </c>
      <c r="K88">
        <v>3.5</v>
      </c>
      <c r="L88">
        <v>2</v>
      </c>
      <c r="N88">
        <v>3.25</v>
      </c>
      <c r="O88">
        <v>4</v>
      </c>
      <c r="P88">
        <v>4</v>
      </c>
    </row>
    <row r="89" spans="1:16" x14ac:dyDescent="0.25">
      <c r="A89" t="s">
        <v>53</v>
      </c>
      <c r="B89">
        <v>4</v>
      </c>
      <c r="D89">
        <v>5</v>
      </c>
      <c r="E89">
        <v>2</v>
      </c>
      <c r="F89">
        <v>3.25</v>
      </c>
      <c r="H89">
        <v>3.75</v>
      </c>
      <c r="I89">
        <v>5</v>
      </c>
      <c r="J89">
        <v>3.5</v>
      </c>
      <c r="K89">
        <v>4.5</v>
      </c>
      <c r="L89">
        <v>4</v>
      </c>
      <c r="N89">
        <v>5</v>
      </c>
      <c r="O89">
        <v>4.5</v>
      </c>
      <c r="P89">
        <v>3.75</v>
      </c>
    </row>
    <row r="90" spans="1:16" x14ac:dyDescent="0.25">
      <c r="A90" t="s">
        <v>53</v>
      </c>
      <c r="B90">
        <v>3.5</v>
      </c>
      <c r="D90">
        <v>3.5</v>
      </c>
      <c r="E90">
        <v>2.5</v>
      </c>
      <c r="F90">
        <v>3.5</v>
      </c>
      <c r="H90">
        <v>4.5</v>
      </c>
      <c r="I90">
        <v>3</v>
      </c>
      <c r="J90">
        <v>3.75</v>
      </c>
      <c r="K90">
        <v>3.5</v>
      </c>
      <c r="L90">
        <v>3.5</v>
      </c>
      <c r="N90">
        <v>4.5</v>
      </c>
      <c r="O90">
        <v>4.25</v>
      </c>
      <c r="P90">
        <v>3.75</v>
      </c>
    </row>
    <row r="91" spans="1:16" x14ac:dyDescent="0.25">
      <c r="A91" t="s">
        <v>53</v>
      </c>
      <c r="B91">
        <v>4</v>
      </c>
      <c r="D91">
        <v>3.75</v>
      </c>
      <c r="E91">
        <v>2.5</v>
      </c>
      <c r="F91">
        <v>5</v>
      </c>
      <c r="H91">
        <v>3.75</v>
      </c>
      <c r="I91">
        <v>3.25</v>
      </c>
      <c r="J91">
        <v>3.75</v>
      </c>
      <c r="K91">
        <v>1.75</v>
      </c>
      <c r="L91">
        <v>4</v>
      </c>
      <c r="N91">
        <v>4</v>
      </c>
      <c r="O91">
        <v>5</v>
      </c>
      <c r="P91">
        <v>3.75</v>
      </c>
    </row>
    <row r="92" spans="1:16" x14ac:dyDescent="0.25">
      <c r="A92" t="s">
        <v>53</v>
      </c>
      <c r="B92">
        <v>3.75</v>
      </c>
      <c r="D92">
        <v>5</v>
      </c>
      <c r="E92">
        <v>5</v>
      </c>
      <c r="F92">
        <v>3.5</v>
      </c>
      <c r="H92">
        <v>3.75</v>
      </c>
      <c r="I92">
        <v>2.5</v>
      </c>
      <c r="J92">
        <v>3</v>
      </c>
      <c r="K92">
        <v>3.25</v>
      </c>
      <c r="L92">
        <v>3.75</v>
      </c>
      <c r="N92">
        <v>3</v>
      </c>
      <c r="O92">
        <v>4.5</v>
      </c>
      <c r="P92">
        <v>0.5</v>
      </c>
    </row>
    <row r="93" spans="1:16" x14ac:dyDescent="0.25">
      <c r="A93" t="s">
        <v>53</v>
      </c>
      <c r="B93">
        <v>3.75</v>
      </c>
      <c r="D93">
        <v>3.75</v>
      </c>
      <c r="E93">
        <v>5</v>
      </c>
      <c r="F93">
        <v>3.5</v>
      </c>
      <c r="H93">
        <v>4</v>
      </c>
      <c r="I93">
        <v>4.25</v>
      </c>
      <c r="J93">
        <v>3.25</v>
      </c>
      <c r="K93">
        <v>4</v>
      </c>
      <c r="L93">
        <v>3.75</v>
      </c>
      <c r="N93">
        <v>3.5</v>
      </c>
      <c r="O93">
        <v>4.25</v>
      </c>
      <c r="P93">
        <v>3.5</v>
      </c>
    </row>
    <row r="94" spans="1:16" x14ac:dyDescent="0.25">
      <c r="A94" t="s">
        <v>53</v>
      </c>
      <c r="B94">
        <v>3.75</v>
      </c>
      <c r="D94">
        <v>3.75</v>
      </c>
      <c r="E94">
        <v>3.5</v>
      </c>
      <c r="F94">
        <v>3.5</v>
      </c>
      <c r="H94">
        <v>4</v>
      </c>
      <c r="I94">
        <v>2.75</v>
      </c>
      <c r="J94">
        <v>3.5</v>
      </c>
      <c r="K94">
        <v>3</v>
      </c>
      <c r="L94">
        <v>3.75</v>
      </c>
      <c r="N94">
        <v>3.75</v>
      </c>
      <c r="O94">
        <v>3.25</v>
      </c>
      <c r="P94">
        <v>3</v>
      </c>
    </row>
    <row r="95" spans="1:16" x14ac:dyDescent="0.25">
      <c r="A95" t="s">
        <v>53</v>
      </c>
      <c r="B95">
        <v>4</v>
      </c>
      <c r="D95">
        <v>5</v>
      </c>
      <c r="E95">
        <v>4.25</v>
      </c>
      <c r="F95">
        <v>4.25</v>
      </c>
      <c r="H95">
        <v>2.75</v>
      </c>
      <c r="I95">
        <v>3.75</v>
      </c>
      <c r="J95">
        <v>3.5</v>
      </c>
      <c r="K95">
        <v>0.5</v>
      </c>
      <c r="L95">
        <v>4</v>
      </c>
      <c r="N95">
        <v>3.75</v>
      </c>
      <c r="O95">
        <v>5</v>
      </c>
      <c r="P95">
        <v>3.25</v>
      </c>
    </row>
    <row r="96" spans="1:16" x14ac:dyDescent="0.25">
      <c r="A96" t="s">
        <v>53</v>
      </c>
      <c r="B96">
        <v>4</v>
      </c>
      <c r="D96">
        <v>3.8</v>
      </c>
      <c r="E96">
        <v>3.75</v>
      </c>
      <c r="F96">
        <v>3.5</v>
      </c>
      <c r="H96">
        <v>5</v>
      </c>
      <c r="I96">
        <v>3.75</v>
      </c>
      <c r="J96">
        <v>3.5</v>
      </c>
      <c r="K96">
        <v>4</v>
      </c>
      <c r="L96">
        <v>4</v>
      </c>
      <c r="N96">
        <v>3.5</v>
      </c>
      <c r="O96">
        <v>5</v>
      </c>
      <c r="P96">
        <v>3.5</v>
      </c>
    </row>
    <row r="97" spans="1:16" x14ac:dyDescent="0.25">
      <c r="A97" t="s">
        <v>53</v>
      </c>
      <c r="B97">
        <v>2</v>
      </c>
      <c r="D97">
        <v>4</v>
      </c>
      <c r="E97">
        <v>3.25</v>
      </c>
      <c r="F97">
        <v>3.75</v>
      </c>
      <c r="H97">
        <v>5</v>
      </c>
      <c r="I97">
        <v>2.5</v>
      </c>
      <c r="J97">
        <v>3.5</v>
      </c>
      <c r="K97">
        <v>3.5</v>
      </c>
      <c r="L97">
        <v>2</v>
      </c>
      <c r="N97" t="str">
        <v>Unrated</v>
      </c>
      <c r="O97">
        <v>5</v>
      </c>
      <c r="P97">
        <v>3.75</v>
      </c>
    </row>
    <row r="98" spans="1:16" x14ac:dyDescent="0.25">
      <c r="A98" t="s">
        <v>53</v>
      </c>
      <c r="B98">
        <v>3.5</v>
      </c>
      <c r="D98">
        <v>5</v>
      </c>
      <c r="E98">
        <v>5</v>
      </c>
      <c r="F98">
        <v>3</v>
      </c>
      <c r="H98">
        <v>4</v>
      </c>
      <c r="I98">
        <v>2</v>
      </c>
      <c r="J98">
        <v>3.75</v>
      </c>
      <c r="K98">
        <v>2.75</v>
      </c>
      <c r="L98">
        <v>3.5</v>
      </c>
      <c r="N98">
        <v>3.75</v>
      </c>
      <c r="O98">
        <v>4</v>
      </c>
      <c r="P98">
        <v>3.25</v>
      </c>
    </row>
    <row r="99" spans="1:16" x14ac:dyDescent="0.25">
      <c r="A99" t="s">
        <v>53</v>
      </c>
      <c r="B99">
        <v>3.5</v>
      </c>
      <c r="D99">
        <v>5</v>
      </c>
      <c r="E99">
        <v>5</v>
      </c>
      <c r="F99">
        <v>5</v>
      </c>
      <c r="H99">
        <v>4.5</v>
      </c>
      <c r="I99">
        <v>3.75</v>
      </c>
      <c r="J99">
        <v>3.75</v>
      </c>
      <c r="K99">
        <v>4.75</v>
      </c>
      <c r="L99">
        <v>3.5</v>
      </c>
      <c r="N99">
        <v>3.75</v>
      </c>
      <c r="O99">
        <v>4</v>
      </c>
      <c r="P99">
        <v>3.5</v>
      </c>
    </row>
    <row r="100" spans="1:16" x14ac:dyDescent="0.25">
      <c r="A100" t="s">
        <v>53</v>
      </c>
      <c r="B100">
        <v>3.75</v>
      </c>
      <c r="D100">
        <v>5</v>
      </c>
      <c r="E100">
        <v>2.25</v>
      </c>
      <c r="F100">
        <v>4.25</v>
      </c>
      <c r="H100">
        <v>4</v>
      </c>
      <c r="I100">
        <v>3.5</v>
      </c>
      <c r="J100">
        <v>4</v>
      </c>
      <c r="K100">
        <v>3.25</v>
      </c>
      <c r="L100">
        <v>3.75</v>
      </c>
      <c r="N100">
        <v>4</v>
      </c>
      <c r="O100">
        <v>5</v>
      </c>
      <c r="P100">
        <v>3.25</v>
      </c>
    </row>
    <row r="101" spans="1:16" x14ac:dyDescent="0.25">
      <c r="A101" t="s">
        <v>53</v>
      </c>
      <c r="B101">
        <v>3.5</v>
      </c>
      <c r="D101">
        <v>4.3</v>
      </c>
      <c r="E101">
        <v>3</v>
      </c>
      <c r="F101">
        <v>4</v>
      </c>
      <c r="H101">
        <v>3.25</v>
      </c>
      <c r="I101">
        <v>5</v>
      </c>
      <c r="J101">
        <v>3</v>
      </c>
      <c r="K101">
        <v>3.75</v>
      </c>
      <c r="L101">
        <v>3.5</v>
      </c>
      <c r="N101">
        <v>4</v>
      </c>
      <c r="O101">
        <v>3.5</v>
      </c>
      <c r="P101">
        <v>3</v>
      </c>
    </row>
    <row r="102" spans="1:16" x14ac:dyDescent="0.25">
      <c r="A102" t="s">
        <v>53</v>
      </c>
      <c r="B102">
        <v>2.8</v>
      </c>
      <c r="D102">
        <v>4</v>
      </c>
      <c r="E102">
        <v>1.75</v>
      </c>
      <c r="F102">
        <v>4.25</v>
      </c>
      <c r="H102">
        <v>3.5</v>
      </c>
      <c r="I102">
        <v>3.25</v>
      </c>
      <c r="J102">
        <v>3.25</v>
      </c>
      <c r="K102">
        <v>2.5</v>
      </c>
      <c r="L102">
        <v>2.8</v>
      </c>
      <c r="N102">
        <v>4</v>
      </c>
      <c r="O102">
        <v>5</v>
      </c>
      <c r="P102">
        <v>5</v>
      </c>
    </row>
    <row r="103" spans="1:16" x14ac:dyDescent="0.25">
      <c r="A103" t="s">
        <v>53</v>
      </c>
      <c r="B103">
        <v>2.5</v>
      </c>
      <c r="D103">
        <v>5</v>
      </c>
      <c r="E103">
        <v>5</v>
      </c>
      <c r="F103">
        <v>2.25</v>
      </c>
      <c r="H103">
        <v>3.75</v>
      </c>
      <c r="I103">
        <v>4.75</v>
      </c>
      <c r="J103">
        <v>3</v>
      </c>
      <c r="K103">
        <v>2.75</v>
      </c>
      <c r="L103">
        <v>2.5</v>
      </c>
      <c r="N103">
        <v>4.75</v>
      </c>
      <c r="O103">
        <v>4.5</v>
      </c>
      <c r="P103">
        <v>3.5</v>
      </c>
    </row>
    <row r="104" spans="1:16" x14ac:dyDescent="0.25">
      <c r="A104" t="s">
        <v>53</v>
      </c>
      <c r="B104">
        <v>3.75</v>
      </c>
      <c r="D104">
        <v>5</v>
      </c>
      <c r="E104">
        <v>4</v>
      </c>
      <c r="F104">
        <v>4</v>
      </c>
      <c r="H104">
        <v>3.25</v>
      </c>
      <c r="I104">
        <v>3</v>
      </c>
      <c r="J104">
        <v>3.5</v>
      </c>
      <c r="K104">
        <v>3.5</v>
      </c>
      <c r="L104">
        <v>3.75</v>
      </c>
      <c r="N104">
        <v>3.5</v>
      </c>
      <c r="O104">
        <v>2.75</v>
      </c>
      <c r="P104">
        <v>3.75</v>
      </c>
    </row>
    <row r="105" spans="1:16" x14ac:dyDescent="0.25">
      <c r="A105" t="s">
        <v>53</v>
      </c>
      <c r="B105">
        <v>2.75</v>
      </c>
      <c r="D105">
        <v>5</v>
      </c>
      <c r="E105">
        <v>4</v>
      </c>
      <c r="F105">
        <v>3.25</v>
      </c>
      <c r="H105">
        <v>4</v>
      </c>
      <c r="I105">
        <v>5</v>
      </c>
      <c r="J105">
        <v>3.75</v>
      </c>
      <c r="K105">
        <v>1.75</v>
      </c>
      <c r="L105">
        <v>2.75</v>
      </c>
      <c r="N105">
        <v>4</v>
      </c>
      <c r="O105">
        <v>4.25</v>
      </c>
      <c r="P105">
        <v>2.75</v>
      </c>
    </row>
    <row r="106" spans="1:16" x14ac:dyDescent="0.25">
      <c r="A106" t="s">
        <v>53</v>
      </c>
      <c r="B106">
        <v>2.75</v>
      </c>
      <c r="D106">
        <v>4.5</v>
      </c>
      <c r="E106">
        <v>3.25</v>
      </c>
      <c r="F106">
        <v>4.25</v>
      </c>
      <c r="H106">
        <v>4</v>
      </c>
      <c r="I106">
        <v>4.25</v>
      </c>
      <c r="J106">
        <v>1.25</v>
      </c>
      <c r="K106">
        <v>3.75</v>
      </c>
      <c r="L106">
        <v>2.75</v>
      </c>
      <c r="N106">
        <v>4.5</v>
      </c>
      <c r="O106">
        <v>4.75</v>
      </c>
      <c r="P106">
        <v>3</v>
      </c>
    </row>
    <row r="107" spans="1:16" x14ac:dyDescent="0.25">
      <c r="A107" t="s">
        <v>53</v>
      </c>
      <c r="B107">
        <v>1</v>
      </c>
      <c r="D107">
        <v>5</v>
      </c>
      <c r="E107">
        <v>3.75</v>
      </c>
      <c r="F107">
        <v>3.75</v>
      </c>
      <c r="H107">
        <v>3.5</v>
      </c>
      <c r="I107">
        <v>3.5</v>
      </c>
      <c r="J107">
        <v>3.5</v>
      </c>
      <c r="K107">
        <v>3.5</v>
      </c>
      <c r="L107">
        <v>1</v>
      </c>
      <c r="N107">
        <v>3.5</v>
      </c>
      <c r="O107">
        <v>3</v>
      </c>
      <c r="P107">
        <v>3.25</v>
      </c>
    </row>
    <row r="108" spans="1:16" x14ac:dyDescent="0.25">
      <c r="A108" t="s">
        <v>53</v>
      </c>
      <c r="B108">
        <v>2.5</v>
      </c>
      <c r="D108">
        <v>5</v>
      </c>
      <c r="E108">
        <v>2.5</v>
      </c>
      <c r="F108">
        <v>4</v>
      </c>
      <c r="H108">
        <v>4</v>
      </c>
      <c r="I108">
        <v>4.25</v>
      </c>
      <c r="J108">
        <v>3.25</v>
      </c>
      <c r="K108">
        <v>3</v>
      </c>
      <c r="L108">
        <v>2.5</v>
      </c>
      <c r="N108">
        <v>3.75</v>
      </c>
      <c r="O108">
        <v>4</v>
      </c>
      <c r="P108">
        <v>3.75</v>
      </c>
    </row>
    <row r="109" spans="1:16" x14ac:dyDescent="0.25">
      <c r="A109" t="s">
        <v>53</v>
      </c>
      <c r="B109">
        <v>3.5</v>
      </c>
      <c r="D109">
        <v>4.5</v>
      </c>
      <c r="E109">
        <v>3.75</v>
      </c>
      <c r="F109">
        <v>3.75</v>
      </c>
      <c r="H109">
        <v>3.75</v>
      </c>
      <c r="I109">
        <v>3.75</v>
      </c>
      <c r="J109">
        <v>2.5</v>
      </c>
      <c r="K109">
        <v>4</v>
      </c>
      <c r="L109">
        <v>3.5</v>
      </c>
      <c r="N109">
        <v>5</v>
      </c>
      <c r="O109">
        <v>4.75</v>
      </c>
      <c r="P109">
        <v>4</v>
      </c>
    </row>
    <row r="110" spans="1:16" x14ac:dyDescent="0.25">
      <c r="A110" t="s">
        <v>17</v>
      </c>
      <c r="B110">
        <v>5</v>
      </c>
      <c r="D110">
        <v>4</v>
      </c>
      <c r="E110">
        <v>3.5</v>
      </c>
      <c r="F110">
        <v>3.75</v>
      </c>
      <c r="H110">
        <v>4</v>
      </c>
      <c r="I110">
        <v>3.5</v>
      </c>
      <c r="J110">
        <v>3</v>
      </c>
      <c r="K110">
        <v>3.75</v>
      </c>
      <c r="N110">
        <v>5</v>
      </c>
      <c r="O110">
        <v>3</v>
      </c>
      <c r="P110">
        <v>1.5</v>
      </c>
    </row>
    <row r="111" spans="1:16" x14ac:dyDescent="0.25">
      <c r="A111" t="s">
        <v>17</v>
      </c>
      <c r="B111">
        <v>2.25</v>
      </c>
      <c r="D111">
        <v>3</v>
      </c>
      <c r="E111">
        <v>3.25</v>
      </c>
      <c r="F111">
        <v>3.75</v>
      </c>
      <c r="H111">
        <v>4.25</v>
      </c>
      <c r="J111">
        <v>4.75</v>
      </c>
      <c r="K111">
        <v>3.5</v>
      </c>
      <c r="N111">
        <v>3.75</v>
      </c>
      <c r="O111">
        <v>4</v>
      </c>
      <c r="P111">
        <v>2.75</v>
      </c>
    </row>
    <row r="112" spans="1:16" x14ac:dyDescent="0.25">
      <c r="A112" t="s">
        <v>17</v>
      </c>
      <c r="B112">
        <v>5</v>
      </c>
      <c r="D112">
        <v>4.25</v>
      </c>
      <c r="E112">
        <v>5</v>
      </c>
      <c r="F112">
        <v>3</v>
      </c>
      <c r="H112">
        <v>3.5</v>
      </c>
      <c r="J112">
        <v>3.5</v>
      </c>
      <c r="K112">
        <v>3</v>
      </c>
      <c r="N112">
        <v>3.75</v>
      </c>
      <c r="O112">
        <v>3</v>
      </c>
      <c r="P112">
        <v>4</v>
      </c>
    </row>
    <row r="113" spans="1:16" x14ac:dyDescent="0.25">
      <c r="A113" t="s">
        <v>17</v>
      </c>
      <c r="B113">
        <v>5</v>
      </c>
      <c r="D113">
        <v>3.5</v>
      </c>
      <c r="E113">
        <v>4.5</v>
      </c>
      <c r="F113">
        <v>4.25</v>
      </c>
      <c r="H113">
        <v>4.5</v>
      </c>
      <c r="J113">
        <v>3.75</v>
      </c>
      <c r="K113">
        <v>4.5</v>
      </c>
      <c r="N113">
        <v>4.5</v>
      </c>
      <c r="O113">
        <v>4.25</v>
      </c>
      <c r="P113">
        <v>4</v>
      </c>
    </row>
    <row r="114" spans="1:16" x14ac:dyDescent="0.25">
      <c r="A114" t="s">
        <v>17</v>
      </c>
      <c r="B114">
        <v>5</v>
      </c>
      <c r="D114">
        <v>4.5</v>
      </c>
      <c r="E114">
        <v>3.75</v>
      </c>
      <c r="F114">
        <v>3.75</v>
      </c>
      <c r="H114">
        <v>5</v>
      </c>
      <c r="J114">
        <v>3.5</v>
      </c>
      <c r="K114">
        <v>3.5</v>
      </c>
      <c r="N114">
        <v>4.5</v>
      </c>
      <c r="O114">
        <v>4.5</v>
      </c>
      <c r="P114">
        <v>2.75</v>
      </c>
    </row>
    <row r="115" spans="1:16" x14ac:dyDescent="0.25">
      <c r="A115" t="s">
        <v>17</v>
      </c>
      <c r="B115">
        <v>4.75</v>
      </c>
      <c r="D115">
        <v>4</v>
      </c>
      <c r="E115">
        <v>3.25</v>
      </c>
      <c r="F115">
        <v>4</v>
      </c>
      <c r="H115">
        <v>4</v>
      </c>
      <c r="J115">
        <v>1.75</v>
      </c>
      <c r="K115">
        <v>3.25</v>
      </c>
      <c r="N115">
        <v>3.75</v>
      </c>
      <c r="O115">
        <v>5</v>
      </c>
      <c r="P115">
        <v>3.5</v>
      </c>
    </row>
    <row r="116" spans="1:16" x14ac:dyDescent="0.25">
      <c r="A116" t="s">
        <v>17</v>
      </c>
      <c r="B116">
        <v>1.5</v>
      </c>
      <c r="D116">
        <v>0</v>
      </c>
      <c r="E116">
        <v>4</v>
      </c>
      <c r="F116">
        <v>4</v>
      </c>
      <c r="H116">
        <v>3.5</v>
      </c>
      <c r="J116">
        <v>1.5</v>
      </c>
      <c r="K116">
        <v>3.75</v>
      </c>
      <c r="N116">
        <v>3.75</v>
      </c>
      <c r="O116">
        <v>4.5</v>
      </c>
      <c r="P116">
        <v>3.5</v>
      </c>
    </row>
    <row r="117" spans="1:16" x14ac:dyDescent="0.25">
      <c r="A117" t="s">
        <v>17</v>
      </c>
      <c r="B117">
        <v>5</v>
      </c>
      <c r="D117">
        <v>4</v>
      </c>
      <c r="E117">
        <v>3.75</v>
      </c>
      <c r="F117">
        <v>3.75</v>
      </c>
      <c r="H117">
        <v>4</v>
      </c>
      <c r="J117">
        <v>3.5</v>
      </c>
      <c r="K117">
        <v>2.5</v>
      </c>
      <c r="N117">
        <v>4.75</v>
      </c>
      <c r="O117">
        <v>1.5</v>
      </c>
      <c r="P117">
        <v>3.5</v>
      </c>
    </row>
    <row r="118" spans="1:16" x14ac:dyDescent="0.25">
      <c r="A118" t="s">
        <v>17</v>
      </c>
      <c r="B118">
        <v>5</v>
      </c>
      <c r="D118">
        <v>4.75</v>
      </c>
      <c r="E118">
        <v>4</v>
      </c>
      <c r="F118">
        <v>3.5</v>
      </c>
      <c r="H118">
        <v>4</v>
      </c>
      <c r="J118">
        <v>0.25</v>
      </c>
      <c r="K118">
        <v>4.25</v>
      </c>
      <c r="N118">
        <v>5</v>
      </c>
      <c r="O118">
        <v>2.5</v>
      </c>
      <c r="P118">
        <v>3.75</v>
      </c>
    </row>
    <row r="119" spans="1:16" x14ac:dyDescent="0.25">
      <c r="A119" t="s">
        <v>17</v>
      </c>
      <c r="B119">
        <v>5</v>
      </c>
      <c r="D119">
        <v>5</v>
      </c>
      <c r="E119">
        <v>1</v>
      </c>
      <c r="F119">
        <v>5</v>
      </c>
      <c r="H119">
        <v>3.75</v>
      </c>
      <c r="J119">
        <v>1.75</v>
      </c>
      <c r="K119">
        <v>3.75</v>
      </c>
      <c r="N119">
        <v>3.5</v>
      </c>
      <c r="O119">
        <v>4.5</v>
      </c>
      <c r="P119">
        <v>3.75</v>
      </c>
    </row>
    <row r="120" spans="1:16" x14ac:dyDescent="0.25">
      <c r="A120" t="s">
        <v>17</v>
      </c>
      <c r="B120">
        <v>3.5</v>
      </c>
      <c r="D120">
        <v>5</v>
      </c>
      <c r="E120">
        <v>4.25</v>
      </c>
      <c r="F120">
        <v>2.75</v>
      </c>
      <c r="H120">
        <v>5</v>
      </c>
      <c r="J120">
        <v>3.75</v>
      </c>
      <c r="K120">
        <v>3.5</v>
      </c>
      <c r="N120">
        <v>3.5</v>
      </c>
      <c r="O120">
        <v>2</v>
      </c>
      <c r="P120">
        <v>3.75</v>
      </c>
    </row>
    <row r="121" spans="1:16" x14ac:dyDescent="0.25">
      <c r="A121" t="s">
        <v>17</v>
      </c>
      <c r="B121">
        <v>3.75</v>
      </c>
      <c r="D121">
        <v>5</v>
      </c>
      <c r="E121">
        <v>3.75</v>
      </c>
      <c r="F121">
        <v>3.75</v>
      </c>
      <c r="H121">
        <v>4</v>
      </c>
      <c r="J121">
        <v>3.25</v>
      </c>
      <c r="K121">
        <v>2.75</v>
      </c>
      <c r="N121">
        <v>4.5</v>
      </c>
      <c r="O121">
        <v>4</v>
      </c>
      <c r="P121">
        <v>5</v>
      </c>
    </row>
    <row r="122" spans="1:16" x14ac:dyDescent="0.25">
      <c r="A122" t="s">
        <v>17</v>
      </c>
      <c r="B122">
        <v>5</v>
      </c>
      <c r="D122">
        <v>3.5</v>
      </c>
      <c r="E122">
        <v>3.75</v>
      </c>
      <c r="F122">
        <v>5</v>
      </c>
      <c r="H122">
        <v>4</v>
      </c>
      <c r="J122">
        <v>2.5</v>
      </c>
      <c r="K122">
        <v>2.25</v>
      </c>
      <c r="N122">
        <v>3.25</v>
      </c>
      <c r="O122">
        <v>5</v>
      </c>
      <c r="P122">
        <v>3.25</v>
      </c>
    </row>
    <row r="123" spans="1:16" x14ac:dyDescent="0.25">
      <c r="A123" t="s">
        <v>17</v>
      </c>
      <c r="B123">
        <v>3.75</v>
      </c>
      <c r="D123">
        <v>0.75</v>
      </c>
      <c r="E123">
        <v>5</v>
      </c>
      <c r="F123">
        <v>3.5</v>
      </c>
      <c r="H123">
        <v>3.75</v>
      </c>
      <c r="J123">
        <v>3.25</v>
      </c>
      <c r="K123">
        <v>2.5</v>
      </c>
      <c r="N123">
        <v>4.25</v>
      </c>
      <c r="O123">
        <v>5</v>
      </c>
      <c r="P123">
        <v>3.75</v>
      </c>
    </row>
    <row r="124" spans="1:16" x14ac:dyDescent="0.25">
      <c r="A124" t="s">
        <v>17</v>
      </c>
      <c r="B124">
        <v>0</v>
      </c>
      <c r="D124">
        <v>4.5</v>
      </c>
      <c r="E124">
        <v>4</v>
      </c>
      <c r="F124">
        <v>5</v>
      </c>
      <c r="H124">
        <v>3.75</v>
      </c>
      <c r="J124">
        <v>3.25</v>
      </c>
      <c r="K124">
        <v>3</v>
      </c>
      <c r="N124">
        <v>3.5</v>
      </c>
      <c r="O124">
        <v>4.5</v>
      </c>
      <c r="P124">
        <v>4</v>
      </c>
    </row>
    <row r="125" spans="1:16" x14ac:dyDescent="0.25">
      <c r="A125" t="s">
        <v>17</v>
      </c>
      <c r="B125">
        <v>3.25</v>
      </c>
      <c r="D125">
        <v>4.5</v>
      </c>
      <c r="E125">
        <v>3.75</v>
      </c>
      <c r="F125">
        <v>4.25</v>
      </c>
      <c r="H125">
        <v>3.5</v>
      </c>
      <c r="J125">
        <v>3.5</v>
      </c>
      <c r="K125">
        <v>4.25</v>
      </c>
      <c r="N125">
        <v>5</v>
      </c>
      <c r="O125">
        <v>3</v>
      </c>
      <c r="P125">
        <v>3</v>
      </c>
    </row>
    <row r="126" spans="1:16" x14ac:dyDescent="0.25">
      <c r="A126" t="s">
        <v>17</v>
      </c>
      <c r="B126">
        <v>3.75</v>
      </c>
      <c r="D126">
        <v>5</v>
      </c>
      <c r="E126">
        <v>3.75</v>
      </c>
      <c r="F126">
        <v>3.75</v>
      </c>
      <c r="H126">
        <v>4.5</v>
      </c>
      <c r="J126">
        <v>2.75</v>
      </c>
      <c r="K126">
        <v>4</v>
      </c>
      <c r="N126">
        <v>3.75</v>
      </c>
      <c r="O126">
        <v>3</v>
      </c>
      <c r="P126">
        <v>2.75</v>
      </c>
    </row>
    <row r="127" spans="1:16" x14ac:dyDescent="0.25">
      <c r="A127" t="s">
        <v>17</v>
      </c>
      <c r="B127">
        <v>3.75</v>
      </c>
      <c r="D127">
        <v>4.75</v>
      </c>
      <c r="E127">
        <v>3.5</v>
      </c>
      <c r="F127">
        <v>3.5</v>
      </c>
      <c r="H127">
        <v>5</v>
      </c>
      <c r="J127">
        <v>3</v>
      </c>
      <c r="K127">
        <v>2.75</v>
      </c>
      <c r="N127">
        <v>5</v>
      </c>
      <c r="O127">
        <v>4.25</v>
      </c>
      <c r="P127">
        <v>3.25</v>
      </c>
    </row>
    <row r="128" spans="1:16" x14ac:dyDescent="0.25">
      <c r="A128" t="s">
        <v>17</v>
      </c>
      <c r="B128">
        <v>3.5</v>
      </c>
      <c r="D128">
        <v>4.5</v>
      </c>
      <c r="E128">
        <v>3.25</v>
      </c>
      <c r="F128">
        <v>4.25</v>
      </c>
      <c r="H128">
        <v>4.25</v>
      </c>
      <c r="J128">
        <v>1.25</v>
      </c>
      <c r="K128">
        <v>5</v>
      </c>
      <c r="N128">
        <v>4</v>
      </c>
      <c r="P128">
        <v>3</v>
      </c>
    </row>
    <row r="129" spans="1:16" x14ac:dyDescent="0.25">
      <c r="A129" t="s">
        <v>17</v>
      </c>
      <c r="B129">
        <v>3.75</v>
      </c>
      <c r="D129">
        <v>3.5</v>
      </c>
      <c r="E129">
        <v>4.25</v>
      </c>
      <c r="F129">
        <v>4</v>
      </c>
      <c r="H129">
        <v>4.75</v>
      </c>
      <c r="J129">
        <v>3.5</v>
      </c>
      <c r="K129">
        <v>2.5</v>
      </c>
      <c r="N129">
        <v>5</v>
      </c>
      <c r="P129">
        <v>3.25</v>
      </c>
    </row>
    <row r="130" spans="1:16" x14ac:dyDescent="0.25">
      <c r="A130" t="s">
        <v>17</v>
      </c>
      <c r="B130">
        <v>4.75</v>
      </c>
      <c r="D130">
        <v>5</v>
      </c>
      <c r="E130">
        <v>4.5</v>
      </c>
      <c r="F130">
        <v>3.75</v>
      </c>
      <c r="H130">
        <v>4</v>
      </c>
      <c r="J130">
        <v>3.25</v>
      </c>
      <c r="K130">
        <v>3.75</v>
      </c>
      <c r="N130">
        <v>3.25</v>
      </c>
      <c r="P130">
        <v>1.25</v>
      </c>
    </row>
    <row r="131" spans="1:16" x14ac:dyDescent="0.25">
      <c r="A131" t="s">
        <v>17</v>
      </c>
      <c r="B131">
        <v>4</v>
      </c>
      <c r="D131">
        <v>5</v>
      </c>
      <c r="E131">
        <v>5</v>
      </c>
      <c r="F131">
        <v>3.75</v>
      </c>
      <c r="H131">
        <v>4.25</v>
      </c>
      <c r="J131">
        <v>3.5</v>
      </c>
      <c r="K131">
        <v>3.25</v>
      </c>
      <c r="N131">
        <v>3.25</v>
      </c>
      <c r="P131">
        <v>3.5</v>
      </c>
    </row>
    <row r="132" spans="1:16" x14ac:dyDescent="0.25">
      <c r="A132" t="s">
        <v>17</v>
      </c>
      <c r="B132">
        <v>3.5</v>
      </c>
      <c r="D132">
        <v>4.5</v>
      </c>
      <c r="E132">
        <v>4</v>
      </c>
      <c r="F132">
        <v>4</v>
      </c>
      <c r="H132">
        <v>3.75</v>
      </c>
      <c r="J132">
        <v>3.25</v>
      </c>
      <c r="K132">
        <v>3</v>
      </c>
      <c r="N132">
        <v>4.75</v>
      </c>
      <c r="P132">
        <v>3.5</v>
      </c>
    </row>
    <row r="133" spans="1:16" x14ac:dyDescent="0.25">
      <c r="A133" t="s">
        <v>17</v>
      </c>
      <c r="B133">
        <v>2.5</v>
      </c>
      <c r="D133">
        <v>5</v>
      </c>
      <c r="E133">
        <v>3.25</v>
      </c>
      <c r="F133">
        <v>3.75</v>
      </c>
      <c r="H133">
        <v>3.5</v>
      </c>
      <c r="J133">
        <v>3</v>
      </c>
      <c r="K133">
        <v>4.5</v>
      </c>
      <c r="N133">
        <v>3.75</v>
      </c>
      <c r="P133">
        <v>2.25</v>
      </c>
    </row>
    <row r="134" spans="1:16" x14ac:dyDescent="0.25">
      <c r="A134" t="s">
        <v>17</v>
      </c>
      <c r="B134">
        <v>4</v>
      </c>
      <c r="D134">
        <v>4</v>
      </c>
      <c r="E134">
        <v>4.25</v>
      </c>
      <c r="F134">
        <v>4</v>
      </c>
      <c r="H134">
        <v>3.5</v>
      </c>
      <c r="J134">
        <v>3.5</v>
      </c>
      <c r="K134">
        <v>4.25</v>
      </c>
      <c r="N134">
        <v>3.75</v>
      </c>
      <c r="P134">
        <v>3.75</v>
      </c>
    </row>
    <row r="135" spans="1:16" x14ac:dyDescent="0.25">
      <c r="A135" t="s">
        <v>17</v>
      </c>
      <c r="B135">
        <v>3</v>
      </c>
      <c r="D135">
        <v>2.75</v>
      </c>
      <c r="E135">
        <v>3.75</v>
      </c>
      <c r="F135">
        <v>3.5</v>
      </c>
      <c r="H135">
        <v>4.5</v>
      </c>
      <c r="J135">
        <v>3.5</v>
      </c>
      <c r="K135">
        <v>3.5</v>
      </c>
      <c r="N135">
        <v>4</v>
      </c>
      <c r="P135">
        <v>4.5</v>
      </c>
    </row>
    <row r="136" spans="1:16" x14ac:dyDescent="0.25">
      <c r="A136" t="s">
        <v>17</v>
      </c>
      <c r="B136">
        <v>4</v>
      </c>
      <c r="D136">
        <v>5</v>
      </c>
      <c r="E136">
        <v>3.25</v>
      </c>
      <c r="F136">
        <v>4.25</v>
      </c>
      <c r="H136">
        <v>4</v>
      </c>
      <c r="J136">
        <v>3.5</v>
      </c>
      <c r="K136">
        <v>4</v>
      </c>
      <c r="N136">
        <v>4.5</v>
      </c>
      <c r="P136">
        <v>3.75</v>
      </c>
    </row>
    <row r="137" spans="1:16" x14ac:dyDescent="0.25">
      <c r="A137" t="s">
        <v>17</v>
      </c>
      <c r="B137">
        <v>3</v>
      </c>
      <c r="D137">
        <v>3</v>
      </c>
      <c r="E137">
        <v>3.5</v>
      </c>
      <c r="F137">
        <v>3.5</v>
      </c>
      <c r="H137">
        <v>4</v>
      </c>
      <c r="J137">
        <v>2</v>
      </c>
      <c r="K137">
        <v>3</v>
      </c>
      <c r="N137">
        <v>3.75</v>
      </c>
      <c r="P137">
        <v>4</v>
      </c>
    </row>
    <row r="138" spans="1:16" x14ac:dyDescent="0.25">
      <c r="A138" t="s">
        <v>17</v>
      </c>
      <c r="B138">
        <v>3</v>
      </c>
      <c r="D138">
        <v>3.5</v>
      </c>
      <c r="E138">
        <v>5</v>
      </c>
      <c r="F138">
        <v>2.75</v>
      </c>
      <c r="H138">
        <v>4.5</v>
      </c>
      <c r="J138">
        <v>0.9</v>
      </c>
      <c r="K138">
        <v>1</v>
      </c>
      <c r="N138">
        <v>4.5</v>
      </c>
      <c r="P138">
        <v>4</v>
      </c>
    </row>
    <row r="139" spans="1:16" x14ac:dyDescent="0.25">
      <c r="A139" t="s">
        <v>17</v>
      </c>
      <c r="B139">
        <v>2</v>
      </c>
      <c r="D139">
        <v>5</v>
      </c>
      <c r="E139">
        <v>3.75</v>
      </c>
      <c r="F139">
        <v>4</v>
      </c>
      <c r="H139">
        <v>3.75</v>
      </c>
      <c r="J139">
        <v>3.1</v>
      </c>
      <c r="N139">
        <v>3.75</v>
      </c>
      <c r="P139">
        <v>4.25</v>
      </c>
    </row>
    <row r="140" spans="1:16" x14ac:dyDescent="0.25">
      <c r="A140" t="s">
        <v>17</v>
      </c>
      <c r="B140">
        <v>5</v>
      </c>
      <c r="D140">
        <v>4</v>
      </c>
      <c r="E140">
        <v>5</v>
      </c>
      <c r="F140">
        <v>4.5</v>
      </c>
      <c r="H140">
        <v>4.5</v>
      </c>
      <c r="J140">
        <v>3.25</v>
      </c>
      <c r="N140">
        <v>4.25</v>
      </c>
      <c r="P140">
        <v>0.5</v>
      </c>
    </row>
    <row r="141" spans="1:16" x14ac:dyDescent="0.25">
      <c r="A141" t="s">
        <v>17</v>
      </c>
      <c r="B141">
        <v>3.75</v>
      </c>
      <c r="D141">
        <v>4.5</v>
      </c>
      <c r="E141">
        <v>3.75</v>
      </c>
      <c r="F141">
        <v>4.25</v>
      </c>
      <c r="H141">
        <v>5</v>
      </c>
      <c r="J141">
        <v>3.5</v>
      </c>
      <c r="N141">
        <v>4.25</v>
      </c>
      <c r="P141">
        <v>4.25</v>
      </c>
    </row>
    <row r="142" spans="1:16" x14ac:dyDescent="0.25">
      <c r="A142" t="s">
        <v>17</v>
      </c>
      <c r="B142">
        <v>3</v>
      </c>
      <c r="D142">
        <v>4</v>
      </c>
      <c r="E142">
        <v>5</v>
      </c>
      <c r="F142">
        <v>4</v>
      </c>
      <c r="H142">
        <v>4.75</v>
      </c>
      <c r="J142">
        <v>2.75</v>
      </c>
      <c r="N142">
        <v>4</v>
      </c>
      <c r="P142">
        <v>3.75</v>
      </c>
    </row>
    <row r="143" spans="1:16" x14ac:dyDescent="0.25">
      <c r="A143" t="s">
        <v>17</v>
      </c>
      <c r="B143">
        <v>5</v>
      </c>
      <c r="D143">
        <v>4.75</v>
      </c>
      <c r="E143">
        <v>4.25</v>
      </c>
      <c r="F143">
        <v>2.75</v>
      </c>
      <c r="H143">
        <v>3.75</v>
      </c>
      <c r="J143">
        <v>1</v>
      </c>
      <c r="N143">
        <v>4</v>
      </c>
      <c r="P143">
        <v>0</v>
      </c>
    </row>
    <row r="144" spans="1:16" x14ac:dyDescent="0.25">
      <c r="A144" t="s">
        <v>17</v>
      </c>
      <c r="B144">
        <v>4</v>
      </c>
      <c r="D144">
        <v>4.75</v>
      </c>
      <c r="E144">
        <v>3.75</v>
      </c>
      <c r="F144">
        <v>5</v>
      </c>
      <c r="H144">
        <v>3.5</v>
      </c>
      <c r="J144">
        <v>2</v>
      </c>
      <c r="N144">
        <v>2.5</v>
      </c>
      <c r="P144">
        <v>0</v>
      </c>
    </row>
    <row r="145" spans="1:16" x14ac:dyDescent="0.25">
      <c r="A145" t="s">
        <v>17</v>
      </c>
      <c r="B145">
        <v>4</v>
      </c>
      <c r="D145">
        <v>5</v>
      </c>
      <c r="E145">
        <v>4</v>
      </c>
      <c r="F145">
        <v>3.75</v>
      </c>
      <c r="H145">
        <v>4.5</v>
      </c>
      <c r="J145">
        <v>3.25</v>
      </c>
      <c r="N145">
        <v>2.5</v>
      </c>
      <c r="P145">
        <v>1.75</v>
      </c>
    </row>
    <row r="146" spans="1:16" x14ac:dyDescent="0.25">
      <c r="A146" t="s">
        <v>17</v>
      </c>
      <c r="B146">
        <v>4</v>
      </c>
      <c r="D146">
        <v>5</v>
      </c>
      <c r="E146">
        <v>4</v>
      </c>
      <c r="F146">
        <v>5</v>
      </c>
      <c r="H146">
        <v>4.25</v>
      </c>
      <c r="J146">
        <v>3</v>
      </c>
      <c r="N146">
        <v>3.25</v>
      </c>
      <c r="P146">
        <v>1.5</v>
      </c>
    </row>
    <row r="147" spans="1:16" x14ac:dyDescent="0.25">
      <c r="A147" t="s">
        <v>17</v>
      </c>
      <c r="B147">
        <v>0</v>
      </c>
      <c r="D147">
        <v>4.5</v>
      </c>
      <c r="E147">
        <v>3.5</v>
      </c>
      <c r="F147">
        <v>4</v>
      </c>
      <c r="H147">
        <v>4</v>
      </c>
      <c r="J147">
        <v>3.25</v>
      </c>
      <c r="N147">
        <v>2.75</v>
      </c>
      <c r="P147">
        <v>3.5</v>
      </c>
    </row>
    <row r="148" spans="1:16" x14ac:dyDescent="0.25">
      <c r="A148" t="s">
        <v>17</v>
      </c>
      <c r="B148">
        <v>4</v>
      </c>
      <c r="D148">
        <v>4.5</v>
      </c>
      <c r="E148">
        <v>5</v>
      </c>
      <c r="F148">
        <v>4</v>
      </c>
      <c r="H148">
        <v>3.5</v>
      </c>
      <c r="J148">
        <v>2.75</v>
      </c>
      <c r="N148">
        <v>3.5</v>
      </c>
      <c r="P148">
        <v>3.75</v>
      </c>
    </row>
    <row r="149" spans="1:16" x14ac:dyDescent="0.25">
      <c r="A149" t="s">
        <v>17</v>
      </c>
      <c r="B149">
        <v>4</v>
      </c>
      <c r="D149">
        <v>4.75</v>
      </c>
      <c r="E149">
        <v>5</v>
      </c>
      <c r="F149">
        <v>4</v>
      </c>
      <c r="H149">
        <v>3</v>
      </c>
      <c r="J149">
        <v>3.5</v>
      </c>
      <c r="N149">
        <v>5</v>
      </c>
      <c r="P149">
        <v>4.5</v>
      </c>
    </row>
    <row r="150" spans="1:16" x14ac:dyDescent="0.25">
      <c r="A150" t="s">
        <v>17</v>
      </c>
      <c r="B150">
        <v>4</v>
      </c>
      <c r="D150">
        <v>4.25</v>
      </c>
      <c r="E150">
        <v>3.75</v>
      </c>
      <c r="F150">
        <v>5</v>
      </c>
      <c r="H150">
        <v>3.25</v>
      </c>
      <c r="J150">
        <v>4.5</v>
      </c>
      <c r="N150">
        <v>4</v>
      </c>
      <c r="P150">
        <v>4.5</v>
      </c>
    </row>
    <row r="151" spans="1:16" x14ac:dyDescent="0.25">
      <c r="A151" t="s">
        <v>17</v>
      </c>
      <c r="B151">
        <v>3</v>
      </c>
      <c r="D151">
        <v>4.5</v>
      </c>
      <c r="E151">
        <v>4</v>
      </c>
      <c r="F151">
        <v>4.5</v>
      </c>
      <c r="H151">
        <v>3.25</v>
      </c>
      <c r="J151">
        <v>3.5</v>
      </c>
      <c r="N151">
        <v>2.5</v>
      </c>
      <c r="P151">
        <v>4</v>
      </c>
    </row>
    <row r="152" spans="1:16" x14ac:dyDescent="0.25">
      <c r="A152" t="s">
        <v>17</v>
      </c>
      <c r="B152">
        <v>3</v>
      </c>
      <c r="D152">
        <v>3.25</v>
      </c>
      <c r="E152">
        <v>4.25</v>
      </c>
      <c r="F152">
        <v>4</v>
      </c>
      <c r="H152">
        <v>5</v>
      </c>
      <c r="J152">
        <v>4</v>
      </c>
      <c r="N152">
        <v>3.75</v>
      </c>
      <c r="P152">
        <v>3.75</v>
      </c>
    </row>
    <row r="153" spans="1:16" x14ac:dyDescent="0.25">
      <c r="A153" t="s">
        <v>17</v>
      </c>
      <c r="B153">
        <v>4</v>
      </c>
      <c r="D153">
        <v>4.5</v>
      </c>
      <c r="E153">
        <v>3.5</v>
      </c>
      <c r="F153">
        <v>4.25</v>
      </c>
      <c r="H153">
        <v>3.75</v>
      </c>
      <c r="J153">
        <v>3.5</v>
      </c>
      <c r="N153">
        <v>2</v>
      </c>
      <c r="P153">
        <v>3.5</v>
      </c>
    </row>
    <row r="154" spans="1:16" x14ac:dyDescent="0.25">
      <c r="A154" t="s">
        <v>17</v>
      </c>
      <c r="B154">
        <v>5</v>
      </c>
      <c r="D154">
        <v>2.75</v>
      </c>
      <c r="E154">
        <v>3.5</v>
      </c>
      <c r="F154">
        <v>2</v>
      </c>
      <c r="H154">
        <v>4.25</v>
      </c>
      <c r="J154">
        <v>4.75</v>
      </c>
      <c r="N154">
        <v>3.25</v>
      </c>
      <c r="P154">
        <v>4.75</v>
      </c>
    </row>
    <row r="155" spans="1:16" x14ac:dyDescent="0.25">
      <c r="A155" t="s">
        <v>17</v>
      </c>
      <c r="B155">
        <v>3</v>
      </c>
      <c r="D155">
        <v>4.25</v>
      </c>
      <c r="E155">
        <v>3.75</v>
      </c>
      <c r="F155">
        <v>4</v>
      </c>
      <c r="H155">
        <v>4.5</v>
      </c>
      <c r="J155">
        <v>2.75</v>
      </c>
      <c r="N155">
        <v>4.5</v>
      </c>
      <c r="P155">
        <v>3.75</v>
      </c>
    </row>
    <row r="156" spans="1:16" x14ac:dyDescent="0.25">
      <c r="A156" t="s">
        <v>17</v>
      </c>
      <c r="B156">
        <v>0</v>
      </c>
      <c r="D156">
        <v>4</v>
      </c>
      <c r="E156">
        <v>4.75</v>
      </c>
      <c r="F156">
        <v>3</v>
      </c>
      <c r="H156">
        <v>4.25</v>
      </c>
      <c r="J156">
        <v>3.5</v>
      </c>
      <c r="N156">
        <v>3.25</v>
      </c>
      <c r="P156">
        <v>3.25</v>
      </c>
    </row>
    <row r="157" spans="1:16" x14ac:dyDescent="0.25">
      <c r="A157" t="s">
        <v>17</v>
      </c>
      <c r="B157">
        <v>5</v>
      </c>
      <c r="D157">
        <v>2.75</v>
      </c>
      <c r="E157">
        <v>1.5</v>
      </c>
      <c r="F157">
        <v>4.5</v>
      </c>
      <c r="H157">
        <v>4</v>
      </c>
      <c r="J157">
        <v>3</v>
      </c>
      <c r="N157">
        <v>2.9</v>
      </c>
      <c r="P157">
        <v>3</v>
      </c>
    </row>
    <row r="158" spans="1:16" x14ac:dyDescent="0.25">
      <c r="A158" t="s">
        <v>17</v>
      </c>
      <c r="B158">
        <v>5</v>
      </c>
      <c r="D158">
        <v>3</v>
      </c>
      <c r="E158">
        <v>2.75</v>
      </c>
      <c r="F158">
        <v>4</v>
      </c>
      <c r="H158">
        <v>2</v>
      </c>
      <c r="J158">
        <v>3.25</v>
      </c>
      <c r="P158">
        <v>0.25</v>
      </c>
    </row>
    <row r="159" spans="1:16" x14ac:dyDescent="0.25">
      <c r="A159" t="s">
        <v>17</v>
      </c>
      <c r="B159">
        <v>5</v>
      </c>
      <c r="D159">
        <v>3.25</v>
      </c>
      <c r="E159">
        <v>2.75</v>
      </c>
      <c r="F159">
        <v>3.75</v>
      </c>
      <c r="H159">
        <v>4.75</v>
      </c>
      <c r="J159">
        <v>3.75</v>
      </c>
      <c r="P159">
        <v>3.75</v>
      </c>
    </row>
    <row r="160" spans="1:16" x14ac:dyDescent="0.25">
      <c r="A160" t="s">
        <v>17</v>
      </c>
      <c r="B160">
        <v>0</v>
      </c>
      <c r="D160">
        <v>0.25</v>
      </c>
      <c r="E160">
        <v>4.25</v>
      </c>
      <c r="F160">
        <v>4.25</v>
      </c>
      <c r="H160">
        <v>3.5</v>
      </c>
      <c r="J160">
        <v>2.5</v>
      </c>
      <c r="P160">
        <v>2</v>
      </c>
    </row>
    <row r="161" spans="1:16" x14ac:dyDescent="0.25">
      <c r="A161" t="s">
        <v>17</v>
      </c>
      <c r="B161">
        <v>3.75</v>
      </c>
      <c r="D161">
        <v>2.75</v>
      </c>
      <c r="E161">
        <v>1.5</v>
      </c>
      <c r="F161">
        <v>3.25</v>
      </c>
      <c r="H161">
        <v>4.75</v>
      </c>
      <c r="J161">
        <v>2</v>
      </c>
      <c r="P161">
        <v>4.5</v>
      </c>
    </row>
    <row r="162" spans="1:16" x14ac:dyDescent="0.25">
      <c r="A162" t="s">
        <v>17</v>
      </c>
      <c r="B162">
        <v>4.75</v>
      </c>
      <c r="D162">
        <v>1</v>
      </c>
      <c r="E162">
        <v>3.25</v>
      </c>
      <c r="F162">
        <v>4</v>
      </c>
      <c r="H162">
        <v>5</v>
      </c>
      <c r="J162">
        <v>3.25</v>
      </c>
      <c r="P162">
        <v>2.5</v>
      </c>
    </row>
    <row r="163" spans="1:16" x14ac:dyDescent="0.25">
      <c r="A163" t="s">
        <v>17</v>
      </c>
      <c r="B163">
        <v>3.5</v>
      </c>
      <c r="D163">
        <v>2.25</v>
      </c>
      <c r="E163">
        <v>1.25</v>
      </c>
      <c r="F163">
        <v>1.75</v>
      </c>
      <c r="H163">
        <v>5</v>
      </c>
      <c r="J163">
        <v>3.75</v>
      </c>
      <c r="P163">
        <v>4.25</v>
      </c>
    </row>
    <row r="164" spans="1:16" x14ac:dyDescent="0.25">
      <c r="A164" t="s">
        <v>17</v>
      </c>
      <c r="B164">
        <v>4</v>
      </c>
      <c r="D164">
        <v>4</v>
      </c>
      <c r="E164">
        <v>3.25</v>
      </c>
      <c r="F164">
        <v>3.75</v>
      </c>
      <c r="H164">
        <v>3.5</v>
      </c>
      <c r="J164">
        <v>3</v>
      </c>
      <c r="P164">
        <v>2</v>
      </c>
    </row>
    <row r="165" spans="1:16" x14ac:dyDescent="0.25">
      <c r="A165" t="s">
        <v>17</v>
      </c>
      <c r="B165">
        <v>4.75</v>
      </c>
      <c r="D165">
        <v>5</v>
      </c>
      <c r="E165">
        <v>3.25</v>
      </c>
      <c r="F165">
        <v>5</v>
      </c>
      <c r="H165">
        <v>4</v>
      </c>
      <c r="J165">
        <v>2</v>
      </c>
      <c r="P165">
        <v>1.75</v>
      </c>
    </row>
    <row r="166" spans="1:16" x14ac:dyDescent="0.25">
      <c r="A166" t="s">
        <v>17</v>
      </c>
      <c r="B166">
        <v>4.25</v>
      </c>
      <c r="D166">
        <v>4.25</v>
      </c>
      <c r="E166">
        <v>3.75</v>
      </c>
      <c r="F166">
        <v>3.5</v>
      </c>
      <c r="H166">
        <v>3.5</v>
      </c>
      <c r="J166">
        <v>2.75</v>
      </c>
      <c r="P166">
        <v>0</v>
      </c>
    </row>
    <row r="167" spans="1:16" x14ac:dyDescent="0.25">
      <c r="A167" t="s">
        <v>17</v>
      </c>
      <c r="B167">
        <v>1</v>
      </c>
      <c r="D167">
        <v>2.5</v>
      </c>
      <c r="E167">
        <v>3.75</v>
      </c>
      <c r="F167">
        <v>3.5</v>
      </c>
      <c r="H167">
        <v>5</v>
      </c>
      <c r="J167">
        <v>2.5</v>
      </c>
      <c r="P167">
        <v>2.2999999999999998</v>
      </c>
    </row>
    <row r="168" spans="1:16" x14ac:dyDescent="0.25">
      <c r="A168" t="s">
        <v>17</v>
      </c>
      <c r="B168">
        <v>4</v>
      </c>
      <c r="D168">
        <v>3.5</v>
      </c>
      <c r="E168">
        <v>4</v>
      </c>
      <c r="F168">
        <v>3.75</v>
      </c>
      <c r="H168">
        <v>3.5</v>
      </c>
      <c r="J168">
        <v>3</v>
      </c>
      <c r="P168">
        <v>1.75</v>
      </c>
    </row>
    <row r="169" spans="1:16" x14ac:dyDescent="0.25">
      <c r="A169" t="s">
        <v>17</v>
      </c>
      <c r="B169">
        <v>3.5</v>
      </c>
      <c r="D169">
        <v>3.75</v>
      </c>
      <c r="E169">
        <v>2.1</v>
      </c>
      <c r="F169">
        <v>3</v>
      </c>
      <c r="H169">
        <v>3.5</v>
      </c>
      <c r="J169">
        <v>2</v>
      </c>
      <c r="P169">
        <v>1</v>
      </c>
    </row>
    <row r="170" spans="1:16" x14ac:dyDescent="0.25">
      <c r="A170" t="s">
        <v>17</v>
      </c>
      <c r="B170">
        <v>0.25</v>
      </c>
      <c r="D170">
        <v>3.5</v>
      </c>
      <c r="E170">
        <v>3.25</v>
      </c>
      <c r="F170">
        <v>3.5</v>
      </c>
      <c r="H170">
        <v>4.25</v>
      </c>
      <c r="J170">
        <v>3.75</v>
      </c>
      <c r="P170">
        <v>3</v>
      </c>
    </row>
    <row r="171" spans="1:16" x14ac:dyDescent="0.25">
      <c r="A171" t="s">
        <v>17</v>
      </c>
      <c r="B171">
        <v>0</v>
      </c>
      <c r="D171">
        <v>3.75</v>
      </c>
      <c r="E171">
        <v>1.5</v>
      </c>
      <c r="F171">
        <v>3.75</v>
      </c>
      <c r="H171">
        <v>4.25</v>
      </c>
      <c r="J171">
        <v>2.5</v>
      </c>
    </row>
    <row r="172" spans="1:16" x14ac:dyDescent="0.25">
      <c r="A172" t="s">
        <v>17</v>
      </c>
      <c r="B172">
        <v>3</v>
      </c>
      <c r="D172">
        <v>3.5</v>
      </c>
      <c r="E172">
        <v>3.75</v>
      </c>
      <c r="F172">
        <v>3.75</v>
      </c>
      <c r="H172">
        <v>5</v>
      </c>
      <c r="J172">
        <v>1.75</v>
      </c>
    </row>
    <row r="173" spans="1:16" x14ac:dyDescent="0.25">
      <c r="A173" t="s">
        <v>17</v>
      </c>
      <c r="B173">
        <v>3.5</v>
      </c>
      <c r="D173">
        <v>3.25</v>
      </c>
      <c r="E173">
        <v>0.25</v>
      </c>
      <c r="F173">
        <v>3.5</v>
      </c>
      <c r="H173">
        <v>5</v>
      </c>
      <c r="J173">
        <v>2.5</v>
      </c>
    </row>
    <row r="174" spans="1:16" x14ac:dyDescent="0.25">
      <c r="A174" t="s">
        <v>17</v>
      </c>
      <c r="B174">
        <v>5</v>
      </c>
      <c r="D174">
        <v>4.25</v>
      </c>
      <c r="E174">
        <v>4</v>
      </c>
      <c r="F174">
        <v>3.25</v>
      </c>
      <c r="H174">
        <v>2.75</v>
      </c>
      <c r="J174">
        <v>2.5</v>
      </c>
    </row>
    <row r="175" spans="1:16" x14ac:dyDescent="0.25">
      <c r="A175" t="s">
        <v>17</v>
      </c>
      <c r="B175">
        <v>5</v>
      </c>
      <c r="D175">
        <v>4</v>
      </c>
      <c r="E175">
        <v>0</v>
      </c>
      <c r="F175">
        <v>3.5</v>
      </c>
      <c r="H175">
        <v>3.75</v>
      </c>
      <c r="J175">
        <v>2.75</v>
      </c>
    </row>
    <row r="176" spans="1:16" x14ac:dyDescent="0.25">
      <c r="A176" t="s">
        <v>17</v>
      </c>
      <c r="B176">
        <v>3.25</v>
      </c>
      <c r="D176">
        <v>4.5</v>
      </c>
      <c r="E176">
        <v>1.75</v>
      </c>
      <c r="F176">
        <v>4</v>
      </c>
      <c r="H176">
        <v>3.75</v>
      </c>
      <c r="J176">
        <v>5</v>
      </c>
    </row>
    <row r="177" spans="1:10" x14ac:dyDescent="0.25">
      <c r="A177" t="s">
        <v>17</v>
      </c>
      <c r="B177">
        <v>3.25</v>
      </c>
      <c r="D177">
        <v>3.5</v>
      </c>
      <c r="E177">
        <v>3.75</v>
      </c>
      <c r="F177">
        <v>4.25</v>
      </c>
      <c r="H177">
        <v>4.25</v>
      </c>
      <c r="J177">
        <v>5</v>
      </c>
    </row>
    <row r="178" spans="1:10" x14ac:dyDescent="0.25">
      <c r="A178" t="s">
        <v>17</v>
      </c>
      <c r="B178">
        <v>4.5</v>
      </c>
      <c r="D178">
        <v>3</v>
      </c>
      <c r="E178">
        <v>3.75</v>
      </c>
      <c r="F178">
        <v>4</v>
      </c>
      <c r="H178">
        <v>3.75</v>
      </c>
      <c r="J178">
        <v>0.1</v>
      </c>
    </row>
    <row r="179" spans="1:10" x14ac:dyDescent="0.25">
      <c r="A179" t="s">
        <v>17</v>
      </c>
      <c r="B179">
        <v>4.5</v>
      </c>
      <c r="D179">
        <v>3.75</v>
      </c>
      <c r="E179">
        <v>4.25</v>
      </c>
      <c r="F179">
        <v>4.75</v>
      </c>
      <c r="H179">
        <v>3.75</v>
      </c>
      <c r="J179">
        <v>1.5</v>
      </c>
    </row>
    <row r="180" spans="1:10" x14ac:dyDescent="0.25">
      <c r="A180" t="s">
        <v>17</v>
      </c>
      <c r="B180">
        <v>5</v>
      </c>
      <c r="D180">
        <v>2</v>
      </c>
      <c r="E180">
        <v>3.75</v>
      </c>
      <c r="F180">
        <v>5</v>
      </c>
      <c r="H180">
        <v>4.75</v>
      </c>
      <c r="J180">
        <v>3.7</v>
      </c>
    </row>
    <row r="181" spans="1:10" x14ac:dyDescent="0.25">
      <c r="A181" t="s">
        <v>17</v>
      </c>
      <c r="B181">
        <v>3.25</v>
      </c>
      <c r="D181">
        <v>3.75</v>
      </c>
      <c r="E181">
        <v>2.25</v>
      </c>
      <c r="F181">
        <v>4</v>
      </c>
      <c r="H181">
        <v>3.75</v>
      </c>
      <c r="J181">
        <v>3.6</v>
      </c>
    </row>
    <row r="182" spans="1:10" x14ac:dyDescent="0.25">
      <c r="A182" t="s">
        <v>17</v>
      </c>
      <c r="B182">
        <v>3.5</v>
      </c>
      <c r="D182">
        <v>4.75</v>
      </c>
      <c r="E182">
        <v>3.75</v>
      </c>
      <c r="F182">
        <v>4.5</v>
      </c>
      <c r="H182">
        <v>4</v>
      </c>
      <c r="J182">
        <v>3.1</v>
      </c>
    </row>
    <row r="183" spans="1:10" x14ac:dyDescent="0.25">
      <c r="A183" t="s">
        <v>17</v>
      </c>
      <c r="B183">
        <v>0.25</v>
      </c>
      <c r="D183">
        <v>4</v>
      </c>
      <c r="E183">
        <v>2.5</v>
      </c>
      <c r="F183">
        <v>3.75</v>
      </c>
      <c r="H183">
        <v>4.75</v>
      </c>
      <c r="J183">
        <v>0.5</v>
      </c>
    </row>
    <row r="184" spans="1:10" x14ac:dyDescent="0.25">
      <c r="A184" t="s">
        <v>17</v>
      </c>
      <c r="B184">
        <v>2.5</v>
      </c>
      <c r="D184">
        <v>4.5</v>
      </c>
      <c r="E184">
        <v>2.75</v>
      </c>
      <c r="F184">
        <v>4.25</v>
      </c>
      <c r="H184">
        <v>5</v>
      </c>
      <c r="J184">
        <v>2.5</v>
      </c>
    </row>
    <row r="185" spans="1:10" x14ac:dyDescent="0.25">
      <c r="A185" t="s">
        <v>17</v>
      </c>
      <c r="B185">
        <v>4.25</v>
      </c>
      <c r="D185">
        <v>3.75</v>
      </c>
      <c r="E185">
        <v>3.25</v>
      </c>
      <c r="F185">
        <v>5</v>
      </c>
      <c r="H185">
        <v>3.25</v>
      </c>
      <c r="J185">
        <v>2</v>
      </c>
    </row>
    <row r="186" spans="1:10" x14ac:dyDescent="0.25">
      <c r="A186" t="s">
        <v>17</v>
      </c>
      <c r="B186">
        <v>3.5</v>
      </c>
      <c r="D186">
        <v>3</v>
      </c>
      <c r="E186">
        <v>3.75</v>
      </c>
      <c r="F186">
        <v>4.25</v>
      </c>
      <c r="H186">
        <v>4</v>
      </c>
      <c r="J186">
        <v>2.75</v>
      </c>
    </row>
    <row r="187" spans="1:10" x14ac:dyDescent="0.25">
      <c r="A187" t="s">
        <v>17</v>
      </c>
      <c r="B187">
        <v>1</v>
      </c>
      <c r="D187">
        <v>4.75</v>
      </c>
      <c r="E187">
        <v>3.75</v>
      </c>
      <c r="F187">
        <v>3.75</v>
      </c>
      <c r="H187">
        <v>3.5</v>
      </c>
      <c r="J187">
        <v>0.5</v>
      </c>
    </row>
    <row r="188" spans="1:10" x14ac:dyDescent="0.25">
      <c r="A188" t="s">
        <v>17</v>
      </c>
      <c r="B188">
        <v>3.5</v>
      </c>
      <c r="D188">
        <v>4.75</v>
      </c>
      <c r="E188">
        <v>4.25</v>
      </c>
      <c r="F188">
        <v>4</v>
      </c>
      <c r="H188">
        <v>3.75</v>
      </c>
      <c r="J188">
        <v>3</v>
      </c>
    </row>
    <row r="189" spans="1:10" x14ac:dyDescent="0.25">
      <c r="A189" t="s">
        <v>17</v>
      </c>
      <c r="B189">
        <v>2.5</v>
      </c>
      <c r="D189">
        <v>5</v>
      </c>
      <c r="E189">
        <v>1.25</v>
      </c>
      <c r="F189">
        <v>3.5</v>
      </c>
      <c r="H189">
        <v>3.75</v>
      </c>
      <c r="J189">
        <v>3.5</v>
      </c>
    </row>
    <row r="190" spans="1:10" x14ac:dyDescent="0.25">
      <c r="A190" t="s">
        <v>17</v>
      </c>
      <c r="B190">
        <v>4</v>
      </c>
      <c r="D190">
        <v>3.75</v>
      </c>
      <c r="E190">
        <v>3.75</v>
      </c>
      <c r="F190">
        <v>3.5</v>
      </c>
      <c r="H190">
        <v>3.75</v>
      </c>
      <c r="J190">
        <v>1</v>
      </c>
    </row>
    <row r="191" spans="1:10" x14ac:dyDescent="0.25">
      <c r="A191" t="s">
        <v>17</v>
      </c>
      <c r="B191">
        <v>5</v>
      </c>
      <c r="D191">
        <v>4</v>
      </c>
      <c r="E191">
        <v>1.75</v>
      </c>
      <c r="F191">
        <v>4.5</v>
      </c>
      <c r="H191">
        <v>1.1000000000000001</v>
      </c>
      <c r="J191">
        <v>2</v>
      </c>
    </row>
    <row r="192" spans="1:10" x14ac:dyDescent="0.25">
      <c r="A192" t="s">
        <v>17</v>
      </c>
      <c r="B192">
        <v>0</v>
      </c>
      <c r="D192">
        <v>5</v>
      </c>
      <c r="E192">
        <v>3.75</v>
      </c>
      <c r="F192">
        <v>4.25</v>
      </c>
      <c r="H192">
        <v>3.5</v>
      </c>
      <c r="J192">
        <v>2</v>
      </c>
    </row>
    <row r="193" spans="1:8" x14ac:dyDescent="0.25">
      <c r="A193" t="s">
        <v>17</v>
      </c>
      <c r="B193">
        <v>4</v>
      </c>
      <c r="D193">
        <v>4.25</v>
      </c>
      <c r="E193">
        <v>3.25</v>
      </c>
      <c r="F193">
        <v>4.5</v>
      </c>
      <c r="H193">
        <v>2.75</v>
      </c>
    </row>
    <row r="194" spans="1:8" x14ac:dyDescent="0.25">
      <c r="A194" t="s">
        <v>17</v>
      </c>
      <c r="B194">
        <v>4</v>
      </c>
      <c r="D194">
        <v>3.75</v>
      </c>
      <c r="E194">
        <v>3.5</v>
      </c>
      <c r="F194">
        <v>3</v>
      </c>
      <c r="H194">
        <v>3.5</v>
      </c>
    </row>
    <row r="195" spans="1:8" x14ac:dyDescent="0.25">
      <c r="A195" t="s">
        <v>17</v>
      </c>
      <c r="B195">
        <v>4.25</v>
      </c>
      <c r="D195">
        <v>4</v>
      </c>
      <c r="E195">
        <v>2.75</v>
      </c>
      <c r="F195">
        <v>3.25</v>
      </c>
      <c r="H195">
        <v>3.5</v>
      </c>
    </row>
    <row r="196" spans="1:8" x14ac:dyDescent="0.25">
      <c r="A196" t="s">
        <v>17</v>
      </c>
      <c r="B196">
        <v>1.5</v>
      </c>
      <c r="D196">
        <v>3.25</v>
      </c>
      <c r="E196">
        <v>5</v>
      </c>
      <c r="F196">
        <v>3.5</v>
      </c>
      <c r="H196">
        <v>2.75</v>
      </c>
    </row>
    <row r="197" spans="1:8" x14ac:dyDescent="0.25">
      <c r="A197" t="s">
        <v>17</v>
      </c>
      <c r="B197">
        <v>3.25</v>
      </c>
      <c r="D197">
        <v>3.75</v>
      </c>
      <c r="E197">
        <v>0</v>
      </c>
      <c r="F197">
        <v>3.25</v>
      </c>
      <c r="H197">
        <v>4</v>
      </c>
    </row>
    <row r="198" spans="1:8" x14ac:dyDescent="0.25">
      <c r="A198" t="s">
        <v>17</v>
      </c>
      <c r="B198">
        <v>3.5</v>
      </c>
      <c r="D198">
        <v>3.75</v>
      </c>
      <c r="E198">
        <v>4</v>
      </c>
      <c r="F198">
        <v>3.5</v>
      </c>
      <c r="H198">
        <v>3.5</v>
      </c>
    </row>
    <row r="199" spans="1:8" x14ac:dyDescent="0.25">
      <c r="A199" t="s">
        <v>17</v>
      </c>
      <c r="B199">
        <v>5</v>
      </c>
      <c r="D199">
        <v>4</v>
      </c>
      <c r="E199">
        <v>2</v>
      </c>
      <c r="F199">
        <v>3.25</v>
      </c>
      <c r="H199">
        <v>3.5</v>
      </c>
    </row>
    <row r="200" spans="1:8" x14ac:dyDescent="0.25">
      <c r="A200" t="s">
        <v>17</v>
      </c>
      <c r="B200">
        <v>3.5</v>
      </c>
      <c r="D200">
        <v>3.75</v>
      </c>
      <c r="E200">
        <v>3.75</v>
      </c>
      <c r="F200">
        <v>3.75</v>
      </c>
      <c r="H200">
        <v>4</v>
      </c>
    </row>
    <row r="201" spans="1:8" x14ac:dyDescent="0.25">
      <c r="A201" t="s">
        <v>17</v>
      </c>
      <c r="B201">
        <v>3.5</v>
      </c>
      <c r="D201">
        <v>3.75</v>
      </c>
      <c r="E201">
        <v>3.75</v>
      </c>
      <c r="F201">
        <v>3.75</v>
      </c>
      <c r="H201">
        <v>2.5</v>
      </c>
    </row>
    <row r="202" spans="1:8" x14ac:dyDescent="0.25">
      <c r="A202" t="s">
        <v>17</v>
      </c>
      <c r="B202">
        <v>3.5</v>
      </c>
      <c r="D202">
        <v>5</v>
      </c>
      <c r="E202">
        <v>3</v>
      </c>
      <c r="F202">
        <v>3.5</v>
      </c>
      <c r="H202">
        <v>4</v>
      </c>
    </row>
    <row r="203" spans="1:8" x14ac:dyDescent="0.25">
      <c r="A203" t="s">
        <v>17</v>
      </c>
      <c r="B203">
        <v>4.25</v>
      </c>
      <c r="D203">
        <v>2.25</v>
      </c>
      <c r="E203">
        <v>3.25</v>
      </c>
      <c r="F203">
        <v>3.75</v>
      </c>
      <c r="H203">
        <v>5</v>
      </c>
    </row>
    <row r="204" spans="1:8" x14ac:dyDescent="0.25">
      <c r="A204" t="s">
        <v>17</v>
      </c>
      <c r="B204">
        <v>3.5</v>
      </c>
      <c r="D204">
        <v>4.25</v>
      </c>
      <c r="E204">
        <v>1.5</v>
      </c>
      <c r="F204">
        <v>5</v>
      </c>
      <c r="H204">
        <v>3.25</v>
      </c>
    </row>
    <row r="205" spans="1:8" x14ac:dyDescent="0.25">
      <c r="A205" t="s">
        <v>17</v>
      </c>
      <c r="B205">
        <v>3.75</v>
      </c>
      <c r="D205">
        <v>4</v>
      </c>
      <c r="E205">
        <v>3.75</v>
      </c>
      <c r="F205">
        <v>3.75</v>
      </c>
      <c r="H205">
        <v>2.75</v>
      </c>
    </row>
    <row r="206" spans="1:8" x14ac:dyDescent="0.25">
      <c r="A206" t="s">
        <v>17</v>
      </c>
      <c r="B206">
        <v>3</v>
      </c>
      <c r="D206">
        <v>3.75</v>
      </c>
      <c r="E206">
        <v>4.5</v>
      </c>
      <c r="F206">
        <v>3.5</v>
      </c>
      <c r="H206">
        <v>4.25</v>
      </c>
    </row>
    <row r="207" spans="1:8" x14ac:dyDescent="0.25">
      <c r="A207" t="s">
        <v>17</v>
      </c>
      <c r="B207">
        <v>5</v>
      </c>
      <c r="D207">
        <v>5</v>
      </c>
      <c r="E207">
        <v>3</v>
      </c>
      <c r="F207">
        <v>3.25</v>
      </c>
      <c r="H207">
        <v>4.75</v>
      </c>
    </row>
    <row r="208" spans="1:8" x14ac:dyDescent="0.25">
      <c r="A208" t="s">
        <v>17</v>
      </c>
      <c r="B208">
        <v>4.25</v>
      </c>
      <c r="D208">
        <v>2.5</v>
      </c>
      <c r="E208">
        <v>3.25</v>
      </c>
      <c r="F208">
        <v>4</v>
      </c>
      <c r="H208">
        <v>4.25</v>
      </c>
    </row>
    <row r="209" spans="1:8" x14ac:dyDescent="0.25">
      <c r="A209" t="s">
        <v>17</v>
      </c>
      <c r="B209">
        <v>4</v>
      </c>
      <c r="D209">
        <v>3.75</v>
      </c>
      <c r="E209">
        <v>3.5</v>
      </c>
      <c r="F209">
        <v>3.25</v>
      </c>
      <c r="H209">
        <v>3.5</v>
      </c>
    </row>
    <row r="210" spans="1:8" x14ac:dyDescent="0.25">
      <c r="A210" t="s">
        <v>17</v>
      </c>
      <c r="B210">
        <v>4.25</v>
      </c>
      <c r="D210">
        <v>3</v>
      </c>
      <c r="E210">
        <v>3.25</v>
      </c>
      <c r="F210">
        <v>3.25</v>
      </c>
      <c r="H210">
        <v>3.75</v>
      </c>
    </row>
    <row r="211" spans="1:8" x14ac:dyDescent="0.25">
      <c r="A211" t="s">
        <v>17</v>
      </c>
      <c r="B211">
        <v>2.25</v>
      </c>
      <c r="D211">
        <v>3.5</v>
      </c>
      <c r="E211">
        <v>3.4</v>
      </c>
      <c r="F211">
        <v>4</v>
      </c>
      <c r="H211">
        <v>3.75</v>
      </c>
    </row>
    <row r="212" spans="1:8" x14ac:dyDescent="0.25">
      <c r="A212" t="s">
        <v>17</v>
      </c>
      <c r="B212">
        <v>4</v>
      </c>
      <c r="D212">
        <v>5</v>
      </c>
      <c r="E212">
        <v>3</v>
      </c>
      <c r="F212">
        <v>3.25</v>
      </c>
      <c r="H212">
        <v>2.5</v>
      </c>
    </row>
    <row r="213" spans="1:8" x14ac:dyDescent="0.25">
      <c r="A213" t="s">
        <v>17</v>
      </c>
      <c r="B213">
        <v>3.25</v>
      </c>
      <c r="D213">
        <v>3.25</v>
      </c>
      <c r="E213">
        <v>4.25</v>
      </c>
      <c r="F213">
        <v>4</v>
      </c>
      <c r="H213">
        <v>3.25</v>
      </c>
    </row>
    <row r="214" spans="1:8" x14ac:dyDescent="0.25">
      <c r="A214" t="s">
        <v>17</v>
      </c>
      <c r="B214">
        <v>4.25</v>
      </c>
      <c r="D214">
        <v>3.75</v>
      </c>
      <c r="E214">
        <v>2.85</v>
      </c>
      <c r="F214">
        <v>3.5</v>
      </c>
      <c r="H214">
        <v>3.25</v>
      </c>
    </row>
    <row r="215" spans="1:8" x14ac:dyDescent="0.25">
      <c r="A215" t="s">
        <v>17</v>
      </c>
      <c r="B215">
        <v>3.75</v>
      </c>
      <c r="D215">
        <v>4.5</v>
      </c>
      <c r="E215">
        <v>2.75</v>
      </c>
      <c r="F215">
        <v>4</v>
      </c>
      <c r="H215">
        <v>3</v>
      </c>
    </row>
    <row r="216" spans="1:8" x14ac:dyDescent="0.25">
      <c r="A216" t="s">
        <v>17</v>
      </c>
      <c r="B216">
        <v>4</v>
      </c>
      <c r="D216">
        <v>3.75</v>
      </c>
      <c r="E216">
        <v>2.5</v>
      </c>
      <c r="F216">
        <v>3.5</v>
      </c>
      <c r="H216">
        <v>5</v>
      </c>
    </row>
    <row r="217" spans="1:8" x14ac:dyDescent="0.25">
      <c r="A217" t="s">
        <v>17</v>
      </c>
      <c r="B217">
        <v>3.75</v>
      </c>
      <c r="D217">
        <v>5</v>
      </c>
      <c r="E217">
        <v>1</v>
      </c>
      <c r="F217">
        <v>4</v>
      </c>
      <c r="H217">
        <v>3</v>
      </c>
    </row>
    <row r="218" spans="1:8" x14ac:dyDescent="0.25">
      <c r="A218" t="s">
        <v>17</v>
      </c>
      <c r="B218">
        <v>3.75</v>
      </c>
      <c r="D218">
        <v>3.5</v>
      </c>
      <c r="E218">
        <v>3.2</v>
      </c>
      <c r="F218">
        <v>3.25</v>
      </c>
      <c r="H218">
        <v>4.25</v>
      </c>
    </row>
    <row r="219" spans="1:8" x14ac:dyDescent="0.25">
      <c r="A219" t="s">
        <v>17</v>
      </c>
      <c r="B219">
        <v>3.75</v>
      </c>
      <c r="D219">
        <v>4.25</v>
      </c>
      <c r="E219">
        <v>3.65</v>
      </c>
      <c r="F219">
        <v>3.5</v>
      </c>
      <c r="H219">
        <v>3.75</v>
      </c>
    </row>
    <row r="220" spans="1:8" x14ac:dyDescent="0.25">
      <c r="A220" t="s">
        <v>17</v>
      </c>
      <c r="B220">
        <v>3</v>
      </c>
      <c r="D220">
        <v>3.5</v>
      </c>
      <c r="E220">
        <v>3.5</v>
      </c>
      <c r="F220">
        <v>3.75</v>
      </c>
      <c r="H220">
        <v>3</v>
      </c>
    </row>
    <row r="221" spans="1:8" x14ac:dyDescent="0.25">
      <c r="A221" t="s">
        <v>17</v>
      </c>
      <c r="B221">
        <v>4.25</v>
      </c>
      <c r="D221">
        <v>4</v>
      </c>
      <c r="E221">
        <v>3.5</v>
      </c>
      <c r="F221">
        <v>3</v>
      </c>
      <c r="H221">
        <v>3.75</v>
      </c>
    </row>
    <row r="222" spans="1:8" x14ac:dyDescent="0.25">
      <c r="A222" t="s">
        <v>17</v>
      </c>
      <c r="B222">
        <v>3.75</v>
      </c>
      <c r="D222">
        <v>3.75</v>
      </c>
      <c r="E222">
        <v>4</v>
      </c>
      <c r="F222">
        <v>2.75</v>
      </c>
      <c r="H222">
        <v>3</v>
      </c>
    </row>
    <row r="223" spans="1:8" x14ac:dyDescent="0.25">
      <c r="A223" t="s">
        <v>17</v>
      </c>
      <c r="B223">
        <v>4</v>
      </c>
      <c r="D223">
        <v>3.25</v>
      </c>
      <c r="E223">
        <v>3</v>
      </c>
      <c r="F223">
        <v>3</v>
      </c>
      <c r="H223">
        <v>3.5</v>
      </c>
    </row>
    <row r="224" spans="1:8" x14ac:dyDescent="0.25">
      <c r="A224" t="s">
        <v>17</v>
      </c>
      <c r="B224">
        <v>4</v>
      </c>
      <c r="D224">
        <v>4.75</v>
      </c>
      <c r="E224">
        <v>0</v>
      </c>
      <c r="F224">
        <v>3.75</v>
      </c>
      <c r="H224">
        <v>3.25</v>
      </c>
    </row>
    <row r="225" spans="1:8" x14ac:dyDescent="0.25">
      <c r="A225" t="s">
        <v>17</v>
      </c>
      <c r="B225">
        <v>3.75</v>
      </c>
      <c r="D225">
        <v>5</v>
      </c>
      <c r="E225">
        <v>3</v>
      </c>
      <c r="F225">
        <v>1.75</v>
      </c>
      <c r="H225">
        <v>3.25</v>
      </c>
    </row>
    <row r="226" spans="1:8" x14ac:dyDescent="0.25">
      <c r="A226" t="s">
        <v>17</v>
      </c>
      <c r="B226">
        <v>3.5</v>
      </c>
      <c r="D226">
        <v>4</v>
      </c>
      <c r="F226">
        <v>3.25</v>
      </c>
      <c r="H226">
        <v>4.5</v>
      </c>
    </row>
    <row r="227" spans="1:8" x14ac:dyDescent="0.25">
      <c r="A227" t="s">
        <v>17</v>
      </c>
      <c r="B227">
        <v>5</v>
      </c>
      <c r="D227">
        <v>4.75</v>
      </c>
      <c r="F227">
        <v>1.5</v>
      </c>
      <c r="H227">
        <v>3.75</v>
      </c>
    </row>
    <row r="228" spans="1:8" x14ac:dyDescent="0.25">
      <c r="A228" t="s">
        <v>17</v>
      </c>
      <c r="B228">
        <v>2.75</v>
      </c>
      <c r="D228">
        <v>5</v>
      </c>
      <c r="F228">
        <v>3.75</v>
      </c>
      <c r="H228">
        <v>3.75</v>
      </c>
    </row>
    <row r="229" spans="1:8" x14ac:dyDescent="0.25">
      <c r="A229" t="s">
        <v>17</v>
      </c>
      <c r="B229">
        <v>3.75</v>
      </c>
      <c r="D229">
        <v>3.5</v>
      </c>
      <c r="F229">
        <v>2.5</v>
      </c>
      <c r="H229">
        <v>3.25</v>
      </c>
    </row>
    <row r="230" spans="1:8" x14ac:dyDescent="0.25">
      <c r="A230" t="s">
        <v>17</v>
      </c>
      <c r="B230">
        <v>5</v>
      </c>
      <c r="D230">
        <v>4.25</v>
      </c>
      <c r="F230">
        <v>2.75</v>
      </c>
      <c r="H230">
        <v>3</v>
      </c>
    </row>
    <row r="231" spans="1:8" x14ac:dyDescent="0.25">
      <c r="A231" t="s">
        <v>17</v>
      </c>
      <c r="B231">
        <v>3.5</v>
      </c>
      <c r="D231">
        <v>4.25</v>
      </c>
      <c r="F231">
        <v>3</v>
      </c>
      <c r="H231">
        <v>3.5</v>
      </c>
    </row>
    <row r="232" spans="1:8" x14ac:dyDescent="0.25">
      <c r="A232" t="s">
        <v>17</v>
      </c>
      <c r="B232">
        <v>5</v>
      </c>
      <c r="D232">
        <v>5</v>
      </c>
      <c r="F232">
        <v>3.25</v>
      </c>
      <c r="H232">
        <v>3.75</v>
      </c>
    </row>
    <row r="233" spans="1:8" x14ac:dyDescent="0.25">
      <c r="A233" t="s">
        <v>17</v>
      </c>
      <c r="B233">
        <v>4.25</v>
      </c>
      <c r="D233">
        <v>4.5</v>
      </c>
      <c r="F233">
        <v>2</v>
      </c>
      <c r="H233">
        <v>3.75</v>
      </c>
    </row>
    <row r="234" spans="1:8" x14ac:dyDescent="0.25">
      <c r="A234" t="s">
        <v>17</v>
      </c>
      <c r="B234">
        <v>3.75</v>
      </c>
      <c r="D234">
        <v>5</v>
      </c>
      <c r="F234">
        <v>1.5</v>
      </c>
      <c r="H234">
        <v>3</v>
      </c>
    </row>
    <row r="235" spans="1:8" x14ac:dyDescent="0.25">
      <c r="A235" t="s">
        <v>17</v>
      </c>
      <c r="B235">
        <v>3.5</v>
      </c>
      <c r="D235">
        <v>4.75</v>
      </c>
      <c r="F235">
        <v>4.25</v>
      </c>
      <c r="H235">
        <v>3.5</v>
      </c>
    </row>
    <row r="236" spans="1:8" x14ac:dyDescent="0.25">
      <c r="A236" t="s">
        <v>17</v>
      </c>
      <c r="B236">
        <v>4.25</v>
      </c>
      <c r="D236">
        <v>4</v>
      </c>
      <c r="F236">
        <v>2.5</v>
      </c>
      <c r="H236">
        <v>3.75</v>
      </c>
    </row>
    <row r="237" spans="1:8" x14ac:dyDescent="0.25">
      <c r="A237" t="s">
        <v>17</v>
      </c>
      <c r="B237">
        <v>4</v>
      </c>
      <c r="D237">
        <v>5</v>
      </c>
      <c r="F237">
        <v>2.5</v>
      </c>
      <c r="H237">
        <v>3.75</v>
      </c>
    </row>
    <row r="238" spans="1:8" x14ac:dyDescent="0.25">
      <c r="A238" t="s">
        <v>17</v>
      </c>
      <c r="B238">
        <v>3.75</v>
      </c>
      <c r="D238">
        <v>3.75</v>
      </c>
      <c r="F238">
        <v>2.75</v>
      </c>
      <c r="H238">
        <v>2.5</v>
      </c>
    </row>
    <row r="239" spans="1:8" x14ac:dyDescent="0.25">
      <c r="A239" t="s">
        <v>17</v>
      </c>
      <c r="B239">
        <v>3.75</v>
      </c>
      <c r="D239">
        <v>3.75</v>
      </c>
      <c r="F239">
        <v>3.75</v>
      </c>
      <c r="H239">
        <v>3.25</v>
      </c>
    </row>
    <row r="240" spans="1:8" x14ac:dyDescent="0.25">
      <c r="A240" t="s">
        <v>17</v>
      </c>
      <c r="B240">
        <v>4</v>
      </c>
      <c r="D240">
        <v>4</v>
      </c>
      <c r="F240">
        <v>3.25</v>
      </c>
      <c r="H240">
        <v>3.5</v>
      </c>
    </row>
    <row r="241" spans="1:8" x14ac:dyDescent="0.25">
      <c r="A241" t="s">
        <v>17</v>
      </c>
      <c r="B241">
        <v>3.75</v>
      </c>
      <c r="D241">
        <v>4.25</v>
      </c>
      <c r="F241">
        <v>1.75</v>
      </c>
      <c r="H241">
        <v>3.125</v>
      </c>
    </row>
    <row r="242" spans="1:8" x14ac:dyDescent="0.25">
      <c r="A242" t="s">
        <v>17</v>
      </c>
      <c r="B242">
        <v>4</v>
      </c>
      <c r="D242">
        <v>3.75</v>
      </c>
      <c r="F242">
        <v>3.25</v>
      </c>
      <c r="H242">
        <v>3.75</v>
      </c>
    </row>
    <row r="243" spans="1:8" x14ac:dyDescent="0.25">
      <c r="A243" t="s">
        <v>17</v>
      </c>
      <c r="B243">
        <v>3.5</v>
      </c>
      <c r="D243">
        <v>4.25</v>
      </c>
      <c r="F243">
        <v>3.75</v>
      </c>
      <c r="H243">
        <v>3.5</v>
      </c>
    </row>
    <row r="244" spans="1:8" x14ac:dyDescent="0.25">
      <c r="A244" t="s">
        <v>17</v>
      </c>
      <c r="B244">
        <v>4.25</v>
      </c>
      <c r="D244">
        <v>4.25</v>
      </c>
      <c r="F244">
        <v>1.5</v>
      </c>
      <c r="H244">
        <v>3.5</v>
      </c>
    </row>
    <row r="245" spans="1:8" x14ac:dyDescent="0.25">
      <c r="A245" t="s">
        <v>17</v>
      </c>
      <c r="B245">
        <v>3.5</v>
      </c>
      <c r="D245">
        <v>4</v>
      </c>
      <c r="F245">
        <v>3.25</v>
      </c>
      <c r="H245">
        <v>4.5</v>
      </c>
    </row>
    <row r="246" spans="1:8" x14ac:dyDescent="0.25">
      <c r="A246" t="s">
        <v>17</v>
      </c>
      <c r="B246">
        <v>2.75</v>
      </c>
      <c r="D246">
        <v>5</v>
      </c>
      <c r="F246">
        <v>3.5</v>
      </c>
      <c r="H246">
        <v>3.5</v>
      </c>
    </row>
    <row r="247" spans="1:8" x14ac:dyDescent="0.25">
      <c r="A247" t="s">
        <v>17</v>
      </c>
      <c r="B247">
        <v>4</v>
      </c>
      <c r="D247">
        <v>3.25</v>
      </c>
      <c r="F247">
        <v>2.75</v>
      </c>
      <c r="H247">
        <v>3.5</v>
      </c>
    </row>
    <row r="248" spans="1:8" x14ac:dyDescent="0.25">
      <c r="A248" t="s">
        <v>17</v>
      </c>
      <c r="B248">
        <v>4.5</v>
      </c>
      <c r="D248">
        <v>4.25</v>
      </c>
      <c r="F248">
        <v>3.5</v>
      </c>
      <c r="H248">
        <v>2.5</v>
      </c>
    </row>
    <row r="249" spans="1:8" x14ac:dyDescent="0.25">
      <c r="A249" t="s">
        <v>17</v>
      </c>
      <c r="B249">
        <v>4.25</v>
      </c>
      <c r="D249">
        <v>4.25</v>
      </c>
      <c r="F249">
        <v>3</v>
      </c>
      <c r="H249">
        <v>4.25</v>
      </c>
    </row>
    <row r="250" spans="1:8" x14ac:dyDescent="0.25">
      <c r="A250" t="s">
        <v>17</v>
      </c>
      <c r="B250">
        <v>4</v>
      </c>
      <c r="D250">
        <v>5</v>
      </c>
      <c r="F250">
        <v>1.5</v>
      </c>
      <c r="H250">
        <v>3.75</v>
      </c>
    </row>
    <row r="251" spans="1:8" x14ac:dyDescent="0.25">
      <c r="A251" t="s">
        <v>17</v>
      </c>
      <c r="B251">
        <v>2.75</v>
      </c>
      <c r="D251">
        <v>4</v>
      </c>
      <c r="F251">
        <v>3.25</v>
      </c>
      <c r="H251">
        <v>3.75</v>
      </c>
    </row>
    <row r="252" spans="1:8" x14ac:dyDescent="0.25">
      <c r="A252" t="s">
        <v>17</v>
      </c>
      <c r="B252">
        <v>5</v>
      </c>
      <c r="D252">
        <v>3.25</v>
      </c>
      <c r="F252">
        <v>2.75</v>
      </c>
      <c r="H252">
        <v>3.25</v>
      </c>
    </row>
    <row r="253" spans="1:8" x14ac:dyDescent="0.25">
      <c r="A253" t="s">
        <v>17</v>
      </c>
      <c r="B253">
        <v>3.75</v>
      </c>
      <c r="D253">
        <v>4.75</v>
      </c>
      <c r="F253">
        <v>4.5</v>
      </c>
      <c r="H253">
        <v>3.75</v>
      </c>
    </row>
    <row r="254" spans="1:8" x14ac:dyDescent="0.25">
      <c r="A254" t="s">
        <v>17</v>
      </c>
      <c r="B254">
        <v>5</v>
      </c>
      <c r="D254">
        <v>4.25</v>
      </c>
      <c r="F254">
        <v>3.5</v>
      </c>
      <c r="H254">
        <v>2.75</v>
      </c>
    </row>
    <row r="255" spans="1:8" x14ac:dyDescent="0.25">
      <c r="A255" t="s">
        <v>17</v>
      </c>
      <c r="B255">
        <v>4</v>
      </c>
      <c r="D255">
        <v>4</v>
      </c>
      <c r="F255">
        <v>3.75</v>
      </c>
      <c r="H255">
        <v>3.25</v>
      </c>
    </row>
    <row r="256" spans="1:8" x14ac:dyDescent="0.25">
      <c r="A256" t="s">
        <v>17</v>
      </c>
      <c r="B256">
        <v>4</v>
      </c>
      <c r="D256">
        <v>4.75</v>
      </c>
      <c r="F256">
        <v>2.25</v>
      </c>
      <c r="H256">
        <v>3.75</v>
      </c>
    </row>
    <row r="257" spans="1:8" x14ac:dyDescent="0.25">
      <c r="A257" t="s">
        <v>17</v>
      </c>
      <c r="B257">
        <v>4</v>
      </c>
      <c r="D257">
        <v>3.5</v>
      </c>
      <c r="F257">
        <v>2.75</v>
      </c>
      <c r="H257">
        <v>3.75</v>
      </c>
    </row>
    <row r="258" spans="1:8" x14ac:dyDescent="0.25">
      <c r="A258" t="s">
        <v>17</v>
      </c>
      <c r="B258">
        <v>5</v>
      </c>
      <c r="D258">
        <v>3.25</v>
      </c>
      <c r="F258">
        <v>3.75</v>
      </c>
      <c r="H258">
        <v>3</v>
      </c>
    </row>
    <row r="259" spans="1:8" x14ac:dyDescent="0.25">
      <c r="A259" t="s">
        <v>17</v>
      </c>
      <c r="B259">
        <v>4.5</v>
      </c>
      <c r="D259">
        <v>4.5</v>
      </c>
      <c r="F259">
        <v>0</v>
      </c>
      <c r="H259">
        <v>2</v>
      </c>
    </row>
    <row r="260" spans="1:8" x14ac:dyDescent="0.25">
      <c r="A260" t="s">
        <v>17</v>
      </c>
      <c r="B260">
        <v>4</v>
      </c>
      <c r="D260">
        <v>3.25</v>
      </c>
      <c r="F260">
        <v>2.5</v>
      </c>
      <c r="H260">
        <v>3.25</v>
      </c>
    </row>
    <row r="261" spans="1:8" x14ac:dyDescent="0.25">
      <c r="A261" t="s">
        <v>17</v>
      </c>
      <c r="B261">
        <v>4.25</v>
      </c>
      <c r="D261">
        <v>4</v>
      </c>
      <c r="F261">
        <v>2.75</v>
      </c>
      <c r="H261">
        <v>3.75</v>
      </c>
    </row>
    <row r="262" spans="1:8" x14ac:dyDescent="0.25">
      <c r="A262" t="s">
        <v>17</v>
      </c>
      <c r="B262">
        <v>2</v>
      </c>
      <c r="D262">
        <v>1.25</v>
      </c>
      <c r="F262">
        <v>3.75</v>
      </c>
      <c r="H262">
        <v>4</v>
      </c>
    </row>
    <row r="263" spans="1:8" x14ac:dyDescent="0.25">
      <c r="A263" t="s">
        <v>17</v>
      </c>
      <c r="B263">
        <v>4</v>
      </c>
      <c r="D263">
        <v>1</v>
      </c>
      <c r="F263">
        <v>1.25</v>
      </c>
      <c r="H263">
        <v>4</v>
      </c>
    </row>
    <row r="264" spans="1:8" x14ac:dyDescent="0.25">
      <c r="A264" t="s">
        <v>17</v>
      </c>
      <c r="B264">
        <v>3</v>
      </c>
      <c r="D264">
        <v>3.75</v>
      </c>
      <c r="F264">
        <v>2.5</v>
      </c>
      <c r="H264">
        <v>3.75</v>
      </c>
    </row>
    <row r="265" spans="1:8" x14ac:dyDescent="0.25">
      <c r="A265" t="s">
        <v>17</v>
      </c>
      <c r="B265">
        <v>4.5</v>
      </c>
      <c r="D265">
        <v>3.75</v>
      </c>
      <c r="F265">
        <v>3.75</v>
      </c>
      <c r="H265">
        <v>3.5</v>
      </c>
    </row>
    <row r="266" spans="1:8" x14ac:dyDescent="0.25">
      <c r="A266" t="s">
        <v>17</v>
      </c>
      <c r="B266">
        <v>4</v>
      </c>
      <c r="D266">
        <v>3.5</v>
      </c>
      <c r="F266">
        <v>2.75</v>
      </c>
      <c r="H266">
        <v>3.5</v>
      </c>
    </row>
    <row r="267" spans="1:8" x14ac:dyDescent="0.25">
      <c r="A267" t="s">
        <v>17</v>
      </c>
      <c r="B267">
        <v>3.75</v>
      </c>
      <c r="D267">
        <v>4.5</v>
      </c>
      <c r="F267">
        <v>3</v>
      </c>
      <c r="H267">
        <v>3.75</v>
      </c>
    </row>
    <row r="268" spans="1:8" x14ac:dyDescent="0.25">
      <c r="A268" t="s">
        <v>17</v>
      </c>
      <c r="B268">
        <v>4.25</v>
      </c>
      <c r="D268">
        <v>5</v>
      </c>
      <c r="F268">
        <v>3.25</v>
      </c>
      <c r="H268">
        <v>1.75</v>
      </c>
    </row>
    <row r="269" spans="1:8" x14ac:dyDescent="0.25">
      <c r="A269" t="s">
        <v>17</v>
      </c>
      <c r="B269">
        <v>3.25</v>
      </c>
      <c r="D269">
        <v>4.5</v>
      </c>
      <c r="F269">
        <v>2.75</v>
      </c>
      <c r="H269">
        <v>3.75</v>
      </c>
    </row>
    <row r="270" spans="1:8" x14ac:dyDescent="0.25">
      <c r="A270" t="s">
        <v>17</v>
      </c>
      <c r="B270">
        <v>4</v>
      </c>
      <c r="D270">
        <v>4</v>
      </c>
      <c r="F270">
        <v>3</v>
      </c>
      <c r="H270">
        <v>2.75</v>
      </c>
    </row>
    <row r="271" spans="1:8" x14ac:dyDescent="0.25">
      <c r="A271" t="s">
        <v>17</v>
      </c>
      <c r="B271">
        <v>1.75</v>
      </c>
      <c r="D271">
        <v>4.25</v>
      </c>
      <c r="F271">
        <v>3.5</v>
      </c>
      <c r="H271">
        <v>4</v>
      </c>
    </row>
    <row r="272" spans="1:8" x14ac:dyDescent="0.25">
      <c r="A272" t="s">
        <v>17</v>
      </c>
      <c r="B272">
        <v>3.75</v>
      </c>
      <c r="D272">
        <v>4.25</v>
      </c>
      <c r="F272">
        <v>2.25</v>
      </c>
      <c r="H272">
        <v>3</v>
      </c>
    </row>
    <row r="273" spans="1:8" x14ac:dyDescent="0.25">
      <c r="A273" t="s">
        <v>17</v>
      </c>
      <c r="B273">
        <v>5</v>
      </c>
      <c r="D273">
        <v>5</v>
      </c>
      <c r="F273">
        <v>5</v>
      </c>
      <c r="H273">
        <v>2</v>
      </c>
    </row>
    <row r="274" spans="1:8" x14ac:dyDescent="0.25">
      <c r="A274" t="s">
        <v>17</v>
      </c>
      <c r="B274">
        <v>3.5</v>
      </c>
      <c r="D274">
        <v>4.25</v>
      </c>
      <c r="F274">
        <v>2.125</v>
      </c>
      <c r="H274">
        <v>2.25</v>
      </c>
    </row>
    <row r="275" spans="1:8" x14ac:dyDescent="0.25">
      <c r="A275" t="s">
        <v>17</v>
      </c>
      <c r="B275">
        <v>3.5</v>
      </c>
      <c r="D275">
        <v>5</v>
      </c>
      <c r="F275">
        <v>2.25</v>
      </c>
      <c r="H275">
        <v>4.25</v>
      </c>
    </row>
    <row r="276" spans="1:8" x14ac:dyDescent="0.25">
      <c r="A276" t="s">
        <v>17</v>
      </c>
      <c r="B276">
        <v>3.75</v>
      </c>
      <c r="D276">
        <v>4.75</v>
      </c>
      <c r="F276">
        <v>4</v>
      </c>
      <c r="H276">
        <v>4</v>
      </c>
    </row>
    <row r="277" spans="1:8" x14ac:dyDescent="0.25">
      <c r="A277" t="s">
        <v>17</v>
      </c>
      <c r="B277">
        <v>3</v>
      </c>
      <c r="D277">
        <v>4.75</v>
      </c>
      <c r="F277">
        <v>3.75</v>
      </c>
      <c r="H277">
        <v>4</v>
      </c>
    </row>
    <row r="278" spans="1:8" x14ac:dyDescent="0.25">
      <c r="A278" t="s">
        <v>17</v>
      </c>
      <c r="B278">
        <v>3.5</v>
      </c>
      <c r="D278">
        <v>4.75</v>
      </c>
      <c r="F278">
        <v>4</v>
      </c>
      <c r="H278">
        <v>3.5</v>
      </c>
    </row>
    <row r="279" spans="1:8" x14ac:dyDescent="0.25">
      <c r="A279" t="s">
        <v>17</v>
      </c>
      <c r="B279">
        <v>3.75</v>
      </c>
      <c r="D279">
        <v>3.75</v>
      </c>
      <c r="F279">
        <v>3.75</v>
      </c>
      <c r="H279">
        <v>4.125</v>
      </c>
    </row>
    <row r="280" spans="1:8" x14ac:dyDescent="0.25">
      <c r="A280" t="s">
        <v>17</v>
      </c>
      <c r="B280">
        <v>3.75</v>
      </c>
      <c r="D280">
        <v>4.5</v>
      </c>
      <c r="F280">
        <v>3</v>
      </c>
      <c r="H280">
        <v>3</v>
      </c>
    </row>
    <row r="281" spans="1:8" x14ac:dyDescent="0.25">
      <c r="A281" t="s">
        <v>17</v>
      </c>
      <c r="B281">
        <v>3.5</v>
      </c>
      <c r="D281">
        <v>3.75</v>
      </c>
      <c r="F281">
        <v>3.5</v>
      </c>
      <c r="H281">
        <v>3.75</v>
      </c>
    </row>
    <row r="282" spans="1:8" x14ac:dyDescent="0.25">
      <c r="A282" t="s">
        <v>17</v>
      </c>
      <c r="B282">
        <v>3.25</v>
      </c>
      <c r="D282">
        <v>3.25</v>
      </c>
      <c r="F282">
        <v>3.5</v>
      </c>
      <c r="H282">
        <v>2.25</v>
      </c>
    </row>
    <row r="283" spans="1:8" x14ac:dyDescent="0.25">
      <c r="A283" t="s">
        <v>17</v>
      </c>
      <c r="B283">
        <v>3.5</v>
      </c>
      <c r="D283">
        <v>3.5</v>
      </c>
      <c r="F283">
        <v>1.5</v>
      </c>
      <c r="H283">
        <v>0</v>
      </c>
    </row>
    <row r="284" spans="1:8" x14ac:dyDescent="0.25">
      <c r="A284" t="s">
        <v>17</v>
      </c>
      <c r="B284">
        <v>4</v>
      </c>
      <c r="D284">
        <v>4</v>
      </c>
      <c r="F284">
        <v>3.5</v>
      </c>
      <c r="H284">
        <v>4.25</v>
      </c>
    </row>
    <row r="285" spans="1:8" x14ac:dyDescent="0.25">
      <c r="A285" t="s">
        <v>17</v>
      </c>
      <c r="B285">
        <v>4.25</v>
      </c>
      <c r="D285">
        <v>4.25</v>
      </c>
      <c r="F285">
        <v>3.5</v>
      </c>
      <c r="H285">
        <v>3.5</v>
      </c>
    </row>
    <row r="286" spans="1:8" x14ac:dyDescent="0.25">
      <c r="A286" t="s">
        <v>17</v>
      </c>
      <c r="B286">
        <v>4</v>
      </c>
      <c r="D286">
        <v>4.75</v>
      </c>
      <c r="F286">
        <v>3.5</v>
      </c>
      <c r="H286">
        <v>2.5</v>
      </c>
    </row>
    <row r="287" spans="1:8" x14ac:dyDescent="0.25">
      <c r="A287" t="s">
        <v>17</v>
      </c>
      <c r="B287">
        <v>4.75</v>
      </c>
      <c r="D287">
        <v>3</v>
      </c>
      <c r="F287">
        <v>4.25</v>
      </c>
      <c r="H287">
        <v>2.25</v>
      </c>
    </row>
    <row r="288" spans="1:8" x14ac:dyDescent="0.25">
      <c r="A288" t="s">
        <v>17</v>
      </c>
      <c r="B288">
        <v>5</v>
      </c>
      <c r="D288">
        <v>4.25</v>
      </c>
      <c r="F288">
        <v>3.25</v>
      </c>
      <c r="H288">
        <v>3.5</v>
      </c>
    </row>
    <row r="289" spans="1:8" x14ac:dyDescent="0.25">
      <c r="A289" t="s">
        <v>17</v>
      </c>
      <c r="B289">
        <v>4</v>
      </c>
      <c r="D289">
        <v>3</v>
      </c>
      <c r="F289">
        <v>3.5</v>
      </c>
      <c r="H289">
        <v>4</v>
      </c>
    </row>
    <row r="290" spans="1:8" x14ac:dyDescent="0.25">
      <c r="A290" t="s">
        <v>17</v>
      </c>
      <c r="B290">
        <v>4.5</v>
      </c>
      <c r="D290">
        <v>2.75</v>
      </c>
      <c r="F290">
        <v>4</v>
      </c>
      <c r="H290">
        <v>4</v>
      </c>
    </row>
    <row r="291" spans="1:8" x14ac:dyDescent="0.25">
      <c r="A291" t="s">
        <v>17</v>
      </c>
      <c r="B291">
        <v>3.75</v>
      </c>
      <c r="D291">
        <v>4</v>
      </c>
      <c r="F291">
        <v>4</v>
      </c>
      <c r="H291">
        <v>3.75</v>
      </c>
    </row>
    <row r="292" spans="1:8" x14ac:dyDescent="0.25">
      <c r="A292" t="s">
        <v>17</v>
      </c>
      <c r="B292">
        <v>4.25</v>
      </c>
      <c r="D292">
        <v>4.5</v>
      </c>
      <c r="F292">
        <v>4</v>
      </c>
      <c r="H292">
        <v>4</v>
      </c>
    </row>
    <row r="293" spans="1:8" x14ac:dyDescent="0.25">
      <c r="A293" t="s">
        <v>17</v>
      </c>
      <c r="B293">
        <v>5</v>
      </c>
      <c r="D293">
        <v>4.5</v>
      </c>
      <c r="F293">
        <v>3.75</v>
      </c>
      <c r="H293">
        <v>2.8</v>
      </c>
    </row>
    <row r="294" spans="1:8" x14ac:dyDescent="0.25">
      <c r="A294" t="s">
        <v>17</v>
      </c>
      <c r="B294">
        <v>4.25</v>
      </c>
      <c r="D294">
        <v>4.5</v>
      </c>
      <c r="F294">
        <v>3</v>
      </c>
      <c r="H294">
        <v>2.9</v>
      </c>
    </row>
    <row r="295" spans="1:8" x14ac:dyDescent="0.25">
      <c r="A295" t="s">
        <v>17</v>
      </c>
      <c r="B295">
        <v>3.75</v>
      </c>
      <c r="D295">
        <v>5</v>
      </c>
      <c r="F295">
        <v>2.75</v>
      </c>
      <c r="H295">
        <v>4</v>
      </c>
    </row>
    <row r="296" spans="1:8" x14ac:dyDescent="0.25">
      <c r="A296" t="s">
        <v>17</v>
      </c>
      <c r="B296">
        <v>4</v>
      </c>
      <c r="D296">
        <v>4</v>
      </c>
      <c r="F296">
        <v>2</v>
      </c>
      <c r="H296">
        <v>3.75</v>
      </c>
    </row>
    <row r="297" spans="1:8" x14ac:dyDescent="0.25">
      <c r="A297" t="s">
        <v>17</v>
      </c>
      <c r="B297">
        <v>3.5</v>
      </c>
      <c r="D297">
        <v>4</v>
      </c>
      <c r="F297">
        <v>2</v>
      </c>
      <c r="H297">
        <v>3.25</v>
      </c>
    </row>
    <row r="298" spans="1:8" x14ac:dyDescent="0.25">
      <c r="A298" t="s">
        <v>17</v>
      </c>
      <c r="B298">
        <v>3.5</v>
      </c>
      <c r="D298">
        <v>2.75</v>
      </c>
      <c r="F298">
        <v>4</v>
      </c>
      <c r="H298">
        <v>1.1000000000000001</v>
      </c>
    </row>
    <row r="299" spans="1:8" x14ac:dyDescent="0.25">
      <c r="A299" t="s">
        <v>17</v>
      </c>
      <c r="B299">
        <v>4.5</v>
      </c>
      <c r="D299">
        <v>4.25</v>
      </c>
      <c r="F299">
        <v>3.75</v>
      </c>
      <c r="H299">
        <v>3.25</v>
      </c>
    </row>
    <row r="300" spans="1:8" x14ac:dyDescent="0.25">
      <c r="A300" t="s">
        <v>17</v>
      </c>
      <c r="B300">
        <v>4.25</v>
      </c>
      <c r="D300">
        <v>4.125</v>
      </c>
      <c r="F300">
        <v>3</v>
      </c>
      <c r="H300">
        <v>1.8</v>
      </c>
    </row>
    <row r="301" spans="1:8" x14ac:dyDescent="0.25">
      <c r="A301" t="s">
        <v>17</v>
      </c>
      <c r="B301">
        <v>4.5</v>
      </c>
      <c r="D301">
        <v>4.25</v>
      </c>
      <c r="F301">
        <v>3.5</v>
      </c>
      <c r="H301">
        <v>3.75</v>
      </c>
    </row>
    <row r="302" spans="1:8" x14ac:dyDescent="0.25">
      <c r="A302" t="s">
        <v>17</v>
      </c>
      <c r="B302">
        <v>3</v>
      </c>
      <c r="D302">
        <v>4</v>
      </c>
      <c r="F302">
        <v>4.5</v>
      </c>
      <c r="H302">
        <v>4</v>
      </c>
    </row>
    <row r="303" spans="1:8" x14ac:dyDescent="0.25">
      <c r="A303" t="s">
        <v>17</v>
      </c>
      <c r="B303">
        <v>3.25</v>
      </c>
      <c r="D303">
        <v>4</v>
      </c>
      <c r="F303">
        <v>2.5</v>
      </c>
      <c r="H303">
        <v>3.5</v>
      </c>
    </row>
    <row r="304" spans="1:8" x14ac:dyDescent="0.25">
      <c r="A304" t="s">
        <v>17</v>
      </c>
      <c r="B304">
        <v>3.5</v>
      </c>
      <c r="D304">
        <v>3.5</v>
      </c>
      <c r="F304">
        <v>2</v>
      </c>
      <c r="H304">
        <v>4</v>
      </c>
    </row>
    <row r="305" spans="1:8" x14ac:dyDescent="0.25">
      <c r="A305" t="s">
        <v>17</v>
      </c>
      <c r="B305">
        <v>3.25</v>
      </c>
      <c r="D305">
        <v>3.5</v>
      </c>
      <c r="F305">
        <v>3.25</v>
      </c>
      <c r="H305">
        <v>3.5</v>
      </c>
    </row>
    <row r="306" spans="1:8" x14ac:dyDescent="0.25">
      <c r="A306" t="s">
        <v>17</v>
      </c>
      <c r="B306">
        <v>3.5</v>
      </c>
      <c r="D306">
        <v>4</v>
      </c>
      <c r="F306">
        <v>3.5</v>
      </c>
      <c r="H306">
        <v>3.5</v>
      </c>
    </row>
    <row r="307" spans="1:8" x14ac:dyDescent="0.25">
      <c r="A307" t="s">
        <v>17</v>
      </c>
      <c r="B307">
        <v>3.25</v>
      </c>
      <c r="D307">
        <v>3.5</v>
      </c>
      <c r="F307">
        <v>4.5</v>
      </c>
      <c r="H307">
        <v>2.5</v>
      </c>
    </row>
    <row r="308" spans="1:8" x14ac:dyDescent="0.25">
      <c r="A308" t="s">
        <v>17</v>
      </c>
      <c r="B308">
        <v>3.75</v>
      </c>
      <c r="D308">
        <v>4.5</v>
      </c>
      <c r="F308">
        <v>2</v>
      </c>
      <c r="H308">
        <v>3.5</v>
      </c>
    </row>
    <row r="309" spans="1:8" x14ac:dyDescent="0.25">
      <c r="A309" t="s">
        <v>17</v>
      </c>
      <c r="B309">
        <v>3.75</v>
      </c>
      <c r="D309">
        <v>4</v>
      </c>
      <c r="F309">
        <v>3.25</v>
      </c>
      <c r="H309">
        <v>2</v>
      </c>
    </row>
    <row r="310" spans="1:8" x14ac:dyDescent="0.25">
      <c r="A310" t="s">
        <v>17</v>
      </c>
      <c r="B310">
        <v>3.5</v>
      </c>
      <c r="D310">
        <v>3</v>
      </c>
      <c r="F310">
        <v>3</v>
      </c>
      <c r="H310">
        <v>2</v>
      </c>
    </row>
    <row r="311" spans="1:8" x14ac:dyDescent="0.25">
      <c r="A311" t="s">
        <v>17</v>
      </c>
      <c r="B311">
        <v>3.75</v>
      </c>
      <c r="D311">
        <v>4.75</v>
      </c>
      <c r="F311">
        <v>1.75</v>
      </c>
    </row>
    <row r="312" spans="1:8" x14ac:dyDescent="0.25">
      <c r="A312" t="s">
        <v>17</v>
      </c>
      <c r="B312">
        <v>5</v>
      </c>
      <c r="D312">
        <v>4.5</v>
      </c>
      <c r="F312">
        <v>1.75</v>
      </c>
    </row>
    <row r="313" spans="1:8" x14ac:dyDescent="0.25">
      <c r="A313" t="s">
        <v>17</v>
      </c>
      <c r="B313">
        <v>3.75</v>
      </c>
      <c r="D313">
        <v>4.5</v>
      </c>
      <c r="F313">
        <v>4.5</v>
      </c>
    </row>
    <row r="314" spans="1:8" x14ac:dyDescent="0.25">
      <c r="A314" t="s">
        <v>17</v>
      </c>
      <c r="B314">
        <v>3.5</v>
      </c>
      <c r="D314">
        <v>3.75</v>
      </c>
      <c r="F314">
        <v>1.75</v>
      </c>
    </row>
    <row r="315" spans="1:8" x14ac:dyDescent="0.25">
      <c r="A315" t="s">
        <v>17</v>
      </c>
      <c r="B315">
        <v>3.25</v>
      </c>
      <c r="D315">
        <v>3.75</v>
      </c>
      <c r="F315">
        <v>2</v>
      </c>
    </row>
    <row r="316" spans="1:8" x14ac:dyDescent="0.25">
      <c r="A316" t="s">
        <v>17</v>
      </c>
      <c r="B316">
        <v>4</v>
      </c>
      <c r="D316">
        <v>3</v>
      </c>
      <c r="F316">
        <v>2</v>
      </c>
    </row>
    <row r="317" spans="1:8" x14ac:dyDescent="0.25">
      <c r="A317" t="s">
        <v>17</v>
      </c>
      <c r="B317">
        <v>3.25</v>
      </c>
      <c r="D317">
        <v>4.25</v>
      </c>
      <c r="F317">
        <v>2</v>
      </c>
    </row>
    <row r="318" spans="1:8" x14ac:dyDescent="0.25">
      <c r="A318" t="s">
        <v>17</v>
      </c>
      <c r="B318">
        <v>3.25</v>
      </c>
      <c r="D318">
        <v>3</v>
      </c>
      <c r="F318">
        <v>4</v>
      </c>
    </row>
    <row r="319" spans="1:8" x14ac:dyDescent="0.25">
      <c r="A319" t="s">
        <v>17</v>
      </c>
      <c r="B319">
        <v>4</v>
      </c>
      <c r="D319">
        <v>3.75</v>
      </c>
      <c r="F319">
        <v>2.5</v>
      </c>
    </row>
    <row r="320" spans="1:8" x14ac:dyDescent="0.25">
      <c r="A320" t="s">
        <v>17</v>
      </c>
      <c r="B320">
        <v>3.25</v>
      </c>
      <c r="D320">
        <v>3.75</v>
      </c>
      <c r="F320">
        <v>3.5</v>
      </c>
    </row>
    <row r="321" spans="1:6" x14ac:dyDescent="0.25">
      <c r="A321" t="s">
        <v>17</v>
      </c>
      <c r="B321">
        <v>4</v>
      </c>
      <c r="D321">
        <v>3.25</v>
      </c>
      <c r="F321">
        <v>2</v>
      </c>
    </row>
    <row r="322" spans="1:6" x14ac:dyDescent="0.25">
      <c r="A322" t="s">
        <v>17</v>
      </c>
      <c r="B322">
        <v>3.5</v>
      </c>
      <c r="D322">
        <v>4.75</v>
      </c>
      <c r="F322">
        <v>4.5</v>
      </c>
    </row>
    <row r="323" spans="1:6" x14ac:dyDescent="0.25">
      <c r="A323" t="s">
        <v>17</v>
      </c>
      <c r="B323">
        <v>4</v>
      </c>
      <c r="D323">
        <v>3.5</v>
      </c>
      <c r="F323">
        <v>1.5</v>
      </c>
    </row>
    <row r="324" spans="1:6" x14ac:dyDescent="0.25">
      <c r="A324" t="s">
        <v>17</v>
      </c>
      <c r="B324">
        <v>3.5</v>
      </c>
      <c r="D324">
        <v>3.75</v>
      </c>
      <c r="F324">
        <v>0.5</v>
      </c>
    </row>
    <row r="325" spans="1:6" x14ac:dyDescent="0.25">
      <c r="A325" t="s">
        <v>17</v>
      </c>
      <c r="B325">
        <v>4</v>
      </c>
      <c r="D325">
        <v>3.75</v>
      </c>
      <c r="F325">
        <v>3.75</v>
      </c>
    </row>
    <row r="326" spans="1:6" x14ac:dyDescent="0.25">
      <c r="A326" t="s">
        <v>17</v>
      </c>
      <c r="B326">
        <v>3.25</v>
      </c>
      <c r="D326">
        <v>1.5</v>
      </c>
    </row>
    <row r="327" spans="1:6" x14ac:dyDescent="0.25">
      <c r="A327" t="s">
        <v>17</v>
      </c>
      <c r="B327">
        <v>3.5</v>
      </c>
      <c r="D327">
        <v>3</v>
      </c>
    </row>
    <row r="328" spans="1:6" x14ac:dyDescent="0.25">
      <c r="A328" t="s">
        <v>17</v>
      </c>
      <c r="B328">
        <v>3.75</v>
      </c>
      <c r="D328">
        <v>4</v>
      </c>
    </row>
    <row r="329" spans="1:6" x14ac:dyDescent="0.25">
      <c r="A329" t="s">
        <v>17</v>
      </c>
      <c r="B329">
        <v>3</v>
      </c>
      <c r="D329">
        <v>3.75</v>
      </c>
    </row>
    <row r="330" spans="1:6" x14ac:dyDescent="0.25">
      <c r="A330" t="s">
        <v>17</v>
      </c>
      <c r="B330">
        <v>2.75</v>
      </c>
      <c r="D330">
        <v>5</v>
      </c>
    </row>
    <row r="331" spans="1:6" x14ac:dyDescent="0.25">
      <c r="A331" t="s">
        <v>17</v>
      </c>
      <c r="B331">
        <v>3</v>
      </c>
      <c r="D331">
        <v>3.5</v>
      </c>
    </row>
    <row r="332" spans="1:6" x14ac:dyDescent="0.25">
      <c r="A332" t="s">
        <v>17</v>
      </c>
      <c r="B332">
        <v>3.75</v>
      </c>
      <c r="D332">
        <v>3.5</v>
      </c>
    </row>
    <row r="333" spans="1:6" x14ac:dyDescent="0.25">
      <c r="A333" t="s">
        <v>17</v>
      </c>
      <c r="B333">
        <v>1.75</v>
      </c>
      <c r="D333">
        <v>3</v>
      </c>
    </row>
    <row r="334" spans="1:6" x14ac:dyDescent="0.25">
      <c r="A334" t="s">
        <v>17</v>
      </c>
      <c r="B334">
        <v>3.25</v>
      </c>
      <c r="D334">
        <v>5</v>
      </c>
    </row>
    <row r="335" spans="1:6" x14ac:dyDescent="0.25">
      <c r="A335" t="s">
        <v>17</v>
      </c>
      <c r="B335">
        <v>1.5</v>
      </c>
      <c r="D335">
        <v>3.75</v>
      </c>
    </row>
    <row r="336" spans="1:6" x14ac:dyDescent="0.25">
      <c r="A336" t="s">
        <v>17</v>
      </c>
      <c r="B336">
        <v>3.75</v>
      </c>
      <c r="D336">
        <v>2</v>
      </c>
    </row>
    <row r="337" spans="1:4" x14ac:dyDescent="0.25">
      <c r="A337" t="s">
        <v>17</v>
      </c>
      <c r="B337">
        <v>2.5</v>
      </c>
      <c r="D337">
        <v>2.75</v>
      </c>
    </row>
    <row r="338" spans="1:4" x14ac:dyDescent="0.25">
      <c r="A338" t="s">
        <v>17</v>
      </c>
      <c r="B338">
        <v>2.75</v>
      </c>
      <c r="D338">
        <v>3.25</v>
      </c>
    </row>
    <row r="339" spans="1:4" x14ac:dyDescent="0.25">
      <c r="A339" t="s">
        <v>17</v>
      </c>
      <c r="B339">
        <v>3</v>
      </c>
      <c r="D339">
        <v>2.5</v>
      </c>
    </row>
    <row r="340" spans="1:4" x14ac:dyDescent="0.25">
      <c r="A340" t="s">
        <v>17</v>
      </c>
      <c r="B340">
        <v>3.25</v>
      </c>
      <c r="D340">
        <v>3.25</v>
      </c>
    </row>
    <row r="341" spans="1:4" x14ac:dyDescent="0.25">
      <c r="A341" t="s">
        <v>17</v>
      </c>
      <c r="B341">
        <v>2</v>
      </c>
      <c r="D341">
        <v>4</v>
      </c>
    </row>
    <row r="342" spans="1:4" x14ac:dyDescent="0.25">
      <c r="A342" t="s">
        <v>17</v>
      </c>
      <c r="B342">
        <v>1.5</v>
      </c>
      <c r="D342">
        <v>3.5</v>
      </c>
    </row>
    <row r="343" spans="1:4" x14ac:dyDescent="0.25">
      <c r="A343" t="s">
        <v>17</v>
      </c>
      <c r="B343">
        <v>4.25</v>
      </c>
      <c r="D343">
        <v>3.5</v>
      </c>
    </row>
    <row r="344" spans="1:4" x14ac:dyDescent="0.25">
      <c r="A344" t="s">
        <v>17</v>
      </c>
      <c r="B344">
        <v>2.5</v>
      </c>
      <c r="D344">
        <v>2.5</v>
      </c>
    </row>
    <row r="345" spans="1:4" x14ac:dyDescent="0.25">
      <c r="A345" t="s">
        <v>17</v>
      </c>
      <c r="B345">
        <v>2.5</v>
      </c>
      <c r="D345">
        <v>4</v>
      </c>
    </row>
    <row r="346" spans="1:4" x14ac:dyDescent="0.25">
      <c r="A346" t="s">
        <v>17</v>
      </c>
      <c r="B346">
        <v>2.75</v>
      </c>
      <c r="D346">
        <v>3</v>
      </c>
    </row>
    <row r="347" spans="1:4" x14ac:dyDescent="0.25">
      <c r="A347" t="s">
        <v>17</v>
      </c>
      <c r="B347">
        <v>3.75</v>
      </c>
      <c r="D347">
        <v>1</v>
      </c>
    </row>
    <row r="348" spans="1:4" x14ac:dyDescent="0.25">
      <c r="A348" t="s">
        <v>17</v>
      </c>
      <c r="B348">
        <v>3.25</v>
      </c>
      <c r="D348">
        <v>5</v>
      </c>
    </row>
    <row r="349" spans="1:4" x14ac:dyDescent="0.25">
      <c r="A349" t="s">
        <v>17</v>
      </c>
      <c r="B349">
        <v>1.75</v>
      </c>
      <c r="D349">
        <v>4</v>
      </c>
    </row>
    <row r="350" spans="1:4" x14ac:dyDescent="0.25">
      <c r="A350" t="s">
        <v>17</v>
      </c>
      <c r="B350">
        <v>3.25</v>
      </c>
      <c r="D350">
        <v>4</v>
      </c>
    </row>
    <row r="351" spans="1:4" x14ac:dyDescent="0.25">
      <c r="A351" t="s">
        <v>17</v>
      </c>
      <c r="B351">
        <v>3.75</v>
      </c>
      <c r="D351">
        <v>3</v>
      </c>
    </row>
    <row r="352" spans="1:4" x14ac:dyDescent="0.25">
      <c r="A352" t="s">
        <v>17</v>
      </c>
      <c r="B352">
        <v>1.5</v>
      </c>
      <c r="D352">
        <v>2</v>
      </c>
    </row>
    <row r="353" spans="1:4" x14ac:dyDescent="0.25">
      <c r="A353" t="s">
        <v>17</v>
      </c>
      <c r="B353">
        <v>3.25</v>
      </c>
      <c r="D353">
        <v>2.5</v>
      </c>
    </row>
    <row r="354" spans="1:4" x14ac:dyDescent="0.25">
      <c r="A354" t="s">
        <v>17</v>
      </c>
      <c r="B354">
        <v>3.5</v>
      </c>
    </row>
    <row r="355" spans="1:4" x14ac:dyDescent="0.25">
      <c r="A355" t="s">
        <v>17</v>
      </c>
      <c r="B355">
        <v>2.75</v>
      </c>
    </row>
    <row r="356" spans="1:4" x14ac:dyDescent="0.25">
      <c r="A356" t="s">
        <v>17</v>
      </c>
      <c r="B356">
        <v>3.5</v>
      </c>
    </row>
    <row r="357" spans="1:4" x14ac:dyDescent="0.25">
      <c r="A357" t="s">
        <v>17</v>
      </c>
      <c r="B357">
        <v>3</v>
      </c>
    </row>
    <row r="358" spans="1:4" x14ac:dyDescent="0.25">
      <c r="A358" t="s">
        <v>17</v>
      </c>
      <c r="B358">
        <v>1.5</v>
      </c>
    </row>
    <row r="359" spans="1:4" x14ac:dyDescent="0.25">
      <c r="A359" t="s">
        <v>17</v>
      </c>
      <c r="B359">
        <v>3.25</v>
      </c>
    </row>
    <row r="360" spans="1:4" x14ac:dyDescent="0.25">
      <c r="A360" t="s">
        <v>17</v>
      </c>
      <c r="B360">
        <v>2.75</v>
      </c>
    </row>
    <row r="361" spans="1:4" x14ac:dyDescent="0.25">
      <c r="A361" t="s">
        <v>17</v>
      </c>
      <c r="B361">
        <v>4.5</v>
      </c>
    </row>
    <row r="362" spans="1:4" x14ac:dyDescent="0.25">
      <c r="A362" t="s">
        <v>17</v>
      </c>
      <c r="B362">
        <v>3.5</v>
      </c>
    </row>
    <row r="363" spans="1:4" x14ac:dyDescent="0.25">
      <c r="A363" t="s">
        <v>17</v>
      </c>
      <c r="B363">
        <v>3.75</v>
      </c>
    </row>
    <row r="364" spans="1:4" x14ac:dyDescent="0.25">
      <c r="A364" t="s">
        <v>17</v>
      </c>
      <c r="B364">
        <v>2.25</v>
      </c>
    </row>
    <row r="365" spans="1:4" x14ac:dyDescent="0.25">
      <c r="A365" t="s">
        <v>17</v>
      </c>
      <c r="B365">
        <v>2.75</v>
      </c>
    </row>
    <row r="366" spans="1:4" x14ac:dyDescent="0.25">
      <c r="A366" t="s">
        <v>17</v>
      </c>
      <c r="B366">
        <v>3.75</v>
      </c>
    </row>
    <row r="367" spans="1:4" x14ac:dyDescent="0.25">
      <c r="A367" t="s">
        <v>17</v>
      </c>
      <c r="B367">
        <v>0</v>
      </c>
    </row>
    <row r="368" spans="1:4" x14ac:dyDescent="0.25">
      <c r="A368" t="s">
        <v>17</v>
      </c>
      <c r="B368">
        <v>2.5</v>
      </c>
    </row>
    <row r="369" spans="1:2" x14ac:dyDescent="0.25">
      <c r="A369" t="s">
        <v>17</v>
      </c>
      <c r="B369">
        <v>2.75</v>
      </c>
    </row>
    <row r="370" spans="1:2" x14ac:dyDescent="0.25">
      <c r="A370" t="s">
        <v>17</v>
      </c>
      <c r="B370">
        <v>3.75</v>
      </c>
    </row>
    <row r="371" spans="1:2" x14ac:dyDescent="0.25">
      <c r="A371" t="s">
        <v>17</v>
      </c>
      <c r="B371">
        <v>1.25</v>
      </c>
    </row>
    <row r="372" spans="1:2" x14ac:dyDescent="0.25">
      <c r="A372" t="s">
        <v>17</v>
      </c>
      <c r="B372">
        <v>2.5</v>
      </c>
    </row>
    <row r="373" spans="1:2" x14ac:dyDescent="0.25">
      <c r="A373" t="s">
        <v>17</v>
      </c>
      <c r="B373">
        <v>3.75</v>
      </c>
    </row>
    <row r="374" spans="1:2" x14ac:dyDescent="0.25">
      <c r="A374" t="s">
        <v>17</v>
      </c>
      <c r="B374">
        <v>2.75</v>
      </c>
    </row>
    <row r="375" spans="1:2" x14ac:dyDescent="0.25">
      <c r="A375" t="s">
        <v>17</v>
      </c>
      <c r="B375">
        <v>3</v>
      </c>
    </row>
    <row r="376" spans="1:2" x14ac:dyDescent="0.25">
      <c r="A376" t="s">
        <v>17</v>
      </c>
      <c r="B376">
        <v>3.25</v>
      </c>
    </row>
    <row r="377" spans="1:2" x14ac:dyDescent="0.25">
      <c r="A377" t="s">
        <v>17</v>
      </c>
      <c r="B377">
        <v>2.75</v>
      </c>
    </row>
    <row r="378" spans="1:2" x14ac:dyDescent="0.25">
      <c r="A378" t="s">
        <v>17</v>
      </c>
      <c r="B378">
        <v>3</v>
      </c>
    </row>
    <row r="379" spans="1:2" x14ac:dyDescent="0.25">
      <c r="A379" t="s">
        <v>17</v>
      </c>
      <c r="B379">
        <v>3.5</v>
      </c>
    </row>
    <row r="380" spans="1:2" x14ac:dyDescent="0.25">
      <c r="A380" t="s">
        <v>17</v>
      </c>
      <c r="B380">
        <v>2.25</v>
      </c>
    </row>
    <row r="381" spans="1:2" x14ac:dyDescent="0.25">
      <c r="A381" t="s">
        <v>17</v>
      </c>
      <c r="B381">
        <v>5</v>
      </c>
    </row>
    <row r="382" spans="1:2" x14ac:dyDescent="0.25">
      <c r="A382" t="s">
        <v>17</v>
      </c>
      <c r="B382">
        <v>2.125</v>
      </c>
    </row>
    <row r="383" spans="1:2" x14ac:dyDescent="0.25">
      <c r="A383" t="s">
        <v>17</v>
      </c>
      <c r="B383">
        <v>2.25</v>
      </c>
    </row>
    <row r="384" spans="1:2" x14ac:dyDescent="0.25">
      <c r="A384" t="s">
        <v>17</v>
      </c>
      <c r="B384">
        <v>4</v>
      </c>
    </row>
    <row r="385" spans="1:2" x14ac:dyDescent="0.25">
      <c r="A385" t="s">
        <v>17</v>
      </c>
      <c r="B385">
        <v>3.75</v>
      </c>
    </row>
    <row r="386" spans="1:2" x14ac:dyDescent="0.25">
      <c r="A386" t="s">
        <v>17</v>
      </c>
      <c r="B386">
        <v>4</v>
      </c>
    </row>
    <row r="387" spans="1:2" x14ac:dyDescent="0.25">
      <c r="A387" t="s">
        <v>17</v>
      </c>
      <c r="B387">
        <v>3.75</v>
      </c>
    </row>
    <row r="388" spans="1:2" x14ac:dyDescent="0.25">
      <c r="A388" t="s">
        <v>17</v>
      </c>
      <c r="B388">
        <v>3</v>
      </c>
    </row>
    <row r="389" spans="1:2" x14ac:dyDescent="0.25">
      <c r="A389" t="s">
        <v>17</v>
      </c>
      <c r="B389">
        <v>3.5</v>
      </c>
    </row>
    <row r="390" spans="1:2" x14ac:dyDescent="0.25">
      <c r="A390" t="s">
        <v>17</v>
      </c>
      <c r="B390">
        <v>3.5</v>
      </c>
    </row>
    <row r="391" spans="1:2" x14ac:dyDescent="0.25">
      <c r="A391" t="s">
        <v>17</v>
      </c>
      <c r="B391">
        <v>1.5</v>
      </c>
    </row>
    <row r="392" spans="1:2" x14ac:dyDescent="0.25">
      <c r="A392" t="s">
        <v>17</v>
      </c>
      <c r="B392">
        <v>3.5</v>
      </c>
    </row>
    <row r="393" spans="1:2" x14ac:dyDescent="0.25">
      <c r="A393" t="s">
        <v>17</v>
      </c>
      <c r="B393">
        <v>3.5</v>
      </c>
    </row>
    <row r="394" spans="1:2" x14ac:dyDescent="0.25">
      <c r="A394" t="s">
        <v>17</v>
      </c>
      <c r="B394">
        <v>3.5</v>
      </c>
    </row>
    <row r="395" spans="1:2" x14ac:dyDescent="0.25">
      <c r="A395" t="s">
        <v>17</v>
      </c>
      <c r="B395">
        <v>4.25</v>
      </c>
    </row>
    <row r="396" spans="1:2" x14ac:dyDescent="0.25">
      <c r="A396" t="s">
        <v>17</v>
      </c>
      <c r="B396">
        <v>3.25</v>
      </c>
    </row>
    <row r="397" spans="1:2" x14ac:dyDescent="0.25">
      <c r="A397" t="s">
        <v>17</v>
      </c>
      <c r="B397">
        <v>3.5</v>
      </c>
    </row>
    <row r="398" spans="1:2" x14ac:dyDescent="0.25">
      <c r="A398" t="s">
        <v>17</v>
      </c>
      <c r="B398">
        <v>4</v>
      </c>
    </row>
    <row r="399" spans="1:2" x14ac:dyDescent="0.25">
      <c r="A399" t="s">
        <v>17</v>
      </c>
      <c r="B399">
        <v>4</v>
      </c>
    </row>
    <row r="400" spans="1:2" x14ac:dyDescent="0.25">
      <c r="A400" t="s">
        <v>17</v>
      </c>
      <c r="B400">
        <v>4</v>
      </c>
    </row>
    <row r="401" spans="1:2" x14ac:dyDescent="0.25">
      <c r="A401" t="s">
        <v>17</v>
      </c>
      <c r="B401">
        <v>3.75</v>
      </c>
    </row>
    <row r="402" spans="1:2" x14ac:dyDescent="0.25">
      <c r="A402" t="s">
        <v>17</v>
      </c>
      <c r="B402">
        <v>3</v>
      </c>
    </row>
    <row r="403" spans="1:2" x14ac:dyDescent="0.25">
      <c r="A403" t="s">
        <v>17</v>
      </c>
      <c r="B403">
        <v>2.75</v>
      </c>
    </row>
    <row r="404" spans="1:2" x14ac:dyDescent="0.25">
      <c r="A404" t="s">
        <v>17</v>
      </c>
      <c r="B404">
        <v>2</v>
      </c>
    </row>
    <row r="405" spans="1:2" x14ac:dyDescent="0.25">
      <c r="A405" t="s">
        <v>17</v>
      </c>
      <c r="B405">
        <v>2</v>
      </c>
    </row>
    <row r="406" spans="1:2" x14ac:dyDescent="0.25">
      <c r="A406" t="s">
        <v>17</v>
      </c>
      <c r="B406">
        <v>4</v>
      </c>
    </row>
    <row r="407" spans="1:2" x14ac:dyDescent="0.25">
      <c r="A407" t="s">
        <v>17</v>
      </c>
      <c r="B407">
        <v>3.75</v>
      </c>
    </row>
    <row r="408" spans="1:2" x14ac:dyDescent="0.25">
      <c r="A408" t="s">
        <v>17</v>
      </c>
      <c r="B408">
        <v>3</v>
      </c>
    </row>
    <row r="409" spans="1:2" x14ac:dyDescent="0.25">
      <c r="A409" t="s">
        <v>17</v>
      </c>
      <c r="B409">
        <v>3.5</v>
      </c>
    </row>
    <row r="410" spans="1:2" x14ac:dyDescent="0.25">
      <c r="A410" t="s">
        <v>17</v>
      </c>
      <c r="B410">
        <v>4.5</v>
      </c>
    </row>
    <row r="411" spans="1:2" x14ac:dyDescent="0.25">
      <c r="A411" t="s">
        <v>17</v>
      </c>
      <c r="B411">
        <v>2.5</v>
      </c>
    </row>
    <row r="412" spans="1:2" x14ac:dyDescent="0.25">
      <c r="A412" t="s">
        <v>17</v>
      </c>
      <c r="B412">
        <v>2</v>
      </c>
    </row>
    <row r="413" spans="1:2" x14ac:dyDescent="0.25">
      <c r="A413" t="s">
        <v>17</v>
      </c>
      <c r="B413">
        <v>3.25</v>
      </c>
    </row>
    <row r="414" spans="1:2" x14ac:dyDescent="0.25">
      <c r="A414" t="s">
        <v>17</v>
      </c>
      <c r="B414">
        <v>3.5</v>
      </c>
    </row>
    <row r="415" spans="1:2" x14ac:dyDescent="0.25">
      <c r="A415" t="s">
        <v>17</v>
      </c>
      <c r="B415">
        <v>4.5</v>
      </c>
    </row>
    <row r="416" spans="1:2" x14ac:dyDescent="0.25">
      <c r="A416" t="s">
        <v>17</v>
      </c>
      <c r="B416">
        <v>2</v>
      </c>
    </row>
    <row r="417" spans="1:2" x14ac:dyDescent="0.25">
      <c r="A417" t="s">
        <v>17</v>
      </c>
      <c r="B417">
        <v>3.25</v>
      </c>
    </row>
    <row r="418" spans="1:2" x14ac:dyDescent="0.25">
      <c r="A418" t="s">
        <v>17</v>
      </c>
      <c r="B418">
        <v>3</v>
      </c>
    </row>
    <row r="419" spans="1:2" x14ac:dyDescent="0.25">
      <c r="A419" t="s">
        <v>17</v>
      </c>
      <c r="B419">
        <v>1.75</v>
      </c>
    </row>
    <row r="420" spans="1:2" x14ac:dyDescent="0.25">
      <c r="A420" t="s">
        <v>17</v>
      </c>
      <c r="B420">
        <v>1.75</v>
      </c>
    </row>
    <row r="421" spans="1:2" x14ac:dyDescent="0.25">
      <c r="A421" t="s">
        <v>17</v>
      </c>
      <c r="B421">
        <v>4.5</v>
      </c>
    </row>
    <row r="422" spans="1:2" x14ac:dyDescent="0.25">
      <c r="A422" t="s">
        <v>17</v>
      </c>
      <c r="B422">
        <v>1.75</v>
      </c>
    </row>
    <row r="423" spans="1:2" x14ac:dyDescent="0.25">
      <c r="A423" t="s">
        <v>17</v>
      </c>
      <c r="B423">
        <v>2</v>
      </c>
    </row>
    <row r="424" spans="1:2" x14ac:dyDescent="0.25">
      <c r="A424" t="s">
        <v>17</v>
      </c>
      <c r="B424">
        <v>2</v>
      </c>
    </row>
    <row r="425" spans="1:2" x14ac:dyDescent="0.25">
      <c r="A425" t="s">
        <v>17</v>
      </c>
      <c r="B425">
        <v>2</v>
      </c>
    </row>
    <row r="426" spans="1:2" x14ac:dyDescent="0.25">
      <c r="A426" t="s">
        <v>17</v>
      </c>
      <c r="B426">
        <v>4</v>
      </c>
    </row>
    <row r="427" spans="1:2" x14ac:dyDescent="0.25">
      <c r="A427" t="s">
        <v>17</v>
      </c>
      <c r="B427">
        <v>2.5</v>
      </c>
    </row>
    <row r="428" spans="1:2" x14ac:dyDescent="0.25">
      <c r="A428" t="s">
        <v>17</v>
      </c>
      <c r="B428">
        <v>3.5</v>
      </c>
    </row>
    <row r="429" spans="1:2" x14ac:dyDescent="0.25">
      <c r="A429" t="s">
        <v>17</v>
      </c>
      <c r="B429">
        <v>2</v>
      </c>
    </row>
    <row r="430" spans="1:2" x14ac:dyDescent="0.25">
      <c r="A430" t="s">
        <v>17</v>
      </c>
      <c r="B430">
        <v>4.5</v>
      </c>
    </row>
    <row r="431" spans="1:2" x14ac:dyDescent="0.25">
      <c r="A431" t="s">
        <v>17</v>
      </c>
      <c r="B431">
        <v>1.5</v>
      </c>
    </row>
    <row r="432" spans="1:2" x14ac:dyDescent="0.25">
      <c r="A432" t="s">
        <v>17</v>
      </c>
      <c r="B432">
        <v>0.5</v>
      </c>
    </row>
    <row r="433" spans="1:2" x14ac:dyDescent="0.25">
      <c r="A433" t="s">
        <v>17</v>
      </c>
      <c r="B433">
        <v>3.75</v>
      </c>
    </row>
    <row r="434" spans="1:2" x14ac:dyDescent="0.25">
      <c r="A434" t="s">
        <v>516</v>
      </c>
      <c r="B434">
        <v>2</v>
      </c>
    </row>
    <row r="435" spans="1:2" x14ac:dyDescent="0.25">
      <c r="A435" t="s">
        <v>516</v>
      </c>
      <c r="B435">
        <v>5</v>
      </c>
    </row>
    <row r="436" spans="1:2" x14ac:dyDescent="0.25">
      <c r="A436" t="s">
        <v>516</v>
      </c>
      <c r="B436">
        <v>3</v>
      </c>
    </row>
    <row r="437" spans="1:2" x14ac:dyDescent="0.25">
      <c r="A437" t="s">
        <v>516</v>
      </c>
      <c r="B437">
        <v>3</v>
      </c>
    </row>
    <row r="438" spans="1:2" x14ac:dyDescent="0.25">
      <c r="A438" t="s">
        <v>516</v>
      </c>
      <c r="B438">
        <v>5</v>
      </c>
    </row>
    <row r="439" spans="1:2" x14ac:dyDescent="0.25">
      <c r="A439" t="s">
        <v>516</v>
      </c>
      <c r="B439">
        <v>3.3</v>
      </c>
    </row>
    <row r="440" spans="1:2" x14ac:dyDescent="0.25">
      <c r="A440" t="s">
        <v>516</v>
      </c>
      <c r="B440">
        <v>2</v>
      </c>
    </row>
    <row r="441" spans="1:2" x14ac:dyDescent="0.25">
      <c r="A441" t="s">
        <v>516</v>
      </c>
      <c r="B441">
        <v>2.5</v>
      </c>
    </row>
    <row r="442" spans="1:2" x14ac:dyDescent="0.25">
      <c r="A442" t="s">
        <v>516</v>
      </c>
      <c r="B442">
        <v>0</v>
      </c>
    </row>
    <row r="443" spans="1:2" x14ac:dyDescent="0.25">
      <c r="A443" t="s">
        <v>516</v>
      </c>
      <c r="B443">
        <v>3</v>
      </c>
    </row>
    <row r="444" spans="1:2" x14ac:dyDescent="0.25">
      <c r="A444" t="s">
        <v>516</v>
      </c>
      <c r="B444">
        <v>5</v>
      </c>
    </row>
    <row r="445" spans="1:2" x14ac:dyDescent="0.25">
      <c r="A445" t="s">
        <v>516</v>
      </c>
      <c r="B445">
        <v>3.75</v>
      </c>
    </row>
    <row r="446" spans="1:2" x14ac:dyDescent="0.25">
      <c r="A446" t="s">
        <v>516</v>
      </c>
      <c r="B446">
        <v>3.5</v>
      </c>
    </row>
    <row r="447" spans="1:2" x14ac:dyDescent="0.25">
      <c r="A447" t="s">
        <v>516</v>
      </c>
      <c r="B447">
        <v>4.25</v>
      </c>
    </row>
    <row r="448" spans="1:2" x14ac:dyDescent="0.25">
      <c r="A448" t="s">
        <v>516</v>
      </c>
      <c r="B448">
        <v>4</v>
      </c>
    </row>
    <row r="449" spans="1:2" x14ac:dyDescent="0.25">
      <c r="A449" t="s">
        <v>516</v>
      </c>
      <c r="B449">
        <v>3.5</v>
      </c>
    </row>
    <row r="450" spans="1:2" x14ac:dyDescent="0.25">
      <c r="A450" t="s">
        <v>516</v>
      </c>
      <c r="B450">
        <v>1.5</v>
      </c>
    </row>
    <row r="451" spans="1:2" x14ac:dyDescent="0.25">
      <c r="A451" t="s">
        <v>516</v>
      </c>
      <c r="B451">
        <v>0.5</v>
      </c>
    </row>
    <row r="452" spans="1:2" x14ac:dyDescent="0.25">
      <c r="A452" t="s">
        <v>516</v>
      </c>
      <c r="B452">
        <v>1.75</v>
      </c>
    </row>
    <row r="453" spans="1:2" x14ac:dyDescent="0.25">
      <c r="A453" t="s">
        <v>516</v>
      </c>
      <c r="B453">
        <v>2</v>
      </c>
    </row>
    <row r="454" spans="1:2" x14ac:dyDescent="0.25">
      <c r="A454" t="s">
        <v>516</v>
      </c>
      <c r="B454">
        <v>1.5</v>
      </c>
    </row>
    <row r="455" spans="1:2" x14ac:dyDescent="0.25">
      <c r="A455" t="s">
        <v>516</v>
      </c>
      <c r="B455">
        <v>1.5</v>
      </c>
    </row>
    <row r="456" spans="1:2" x14ac:dyDescent="0.25">
      <c r="A456" t="s">
        <v>516</v>
      </c>
      <c r="B456">
        <v>2.75</v>
      </c>
    </row>
    <row r="457" spans="1:2" x14ac:dyDescent="0.25">
      <c r="A457" t="s">
        <v>516</v>
      </c>
      <c r="B457">
        <v>3.25</v>
      </c>
    </row>
    <row r="458" spans="1:2" x14ac:dyDescent="0.25">
      <c r="A458" t="s">
        <v>516</v>
      </c>
      <c r="B458">
        <v>3.5</v>
      </c>
    </row>
    <row r="459" spans="1:2" x14ac:dyDescent="0.25">
      <c r="A459" t="s">
        <v>516</v>
      </c>
      <c r="B459">
        <v>3.25</v>
      </c>
    </row>
    <row r="460" spans="1:2" x14ac:dyDescent="0.25">
      <c r="A460" t="s">
        <v>516</v>
      </c>
      <c r="B460">
        <v>5</v>
      </c>
    </row>
    <row r="461" spans="1:2" x14ac:dyDescent="0.25">
      <c r="A461" t="s">
        <v>516</v>
      </c>
      <c r="B461">
        <v>2.25</v>
      </c>
    </row>
    <row r="462" spans="1:2" x14ac:dyDescent="0.25">
      <c r="A462" t="s">
        <v>516</v>
      </c>
      <c r="B462">
        <v>2.75</v>
      </c>
    </row>
    <row r="463" spans="1:2" x14ac:dyDescent="0.25">
      <c r="A463" t="s">
        <v>516</v>
      </c>
      <c r="B463">
        <v>1</v>
      </c>
    </row>
    <row r="464" spans="1:2" x14ac:dyDescent="0.25">
      <c r="A464" t="s">
        <v>516</v>
      </c>
      <c r="B464">
        <v>3.25</v>
      </c>
    </row>
    <row r="465" spans="1:2" x14ac:dyDescent="0.25">
      <c r="A465" t="s">
        <v>516</v>
      </c>
      <c r="B465">
        <v>3.25</v>
      </c>
    </row>
    <row r="466" spans="1:2" x14ac:dyDescent="0.25">
      <c r="A466" t="s">
        <v>516</v>
      </c>
      <c r="B466">
        <v>3.75</v>
      </c>
    </row>
    <row r="467" spans="1:2" x14ac:dyDescent="0.25">
      <c r="A467" t="s">
        <v>516</v>
      </c>
      <c r="B467">
        <v>3</v>
      </c>
    </row>
    <row r="468" spans="1:2" x14ac:dyDescent="0.25">
      <c r="A468" t="s">
        <v>516</v>
      </c>
      <c r="B468">
        <v>3.75</v>
      </c>
    </row>
    <row r="469" spans="1:2" x14ac:dyDescent="0.25">
      <c r="A469" t="s">
        <v>516</v>
      </c>
      <c r="B469">
        <v>4.25</v>
      </c>
    </row>
    <row r="470" spans="1:2" x14ac:dyDescent="0.25">
      <c r="A470" t="s">
        <v>516</v>
      </c>
      <c r="B470">
        <v>1.5</v>
      </c>
    </row>
    <row r="471" spans="1:2" x14ac:dyDescent="0.25">
      <c r="A471" t="s">
        <v>516</v>
      </c>
      <c r="B471">
        <v>3.75</v>
      </c>
    </row>
    <row r="472" spans="1:2" x14ac:dyDescent="0.25">
      <c r="A472" t="s">
        <v>516</v>
      </c>
      <c r="B472">
        <v>3</v>
      </c>
    </row>
    <row r="473" spans="1:2" x14ac:dyDescent="0.25">
      <c r="A473" t="s">
        <v>516</v>
      </c>
      <c r="B473">
        <v>3</v>
      </c>
    </row>
    <row r="474" spans="1:2" x14ac:dyDescent="0.25">
      <c r="A474" t="s">
        <v>516</v>
      </c>
      <c r="B474">
        <v>4</v>
      </c>
    </row>
    <row r="475" spans="1:2" x14ac:dyDescent="0.25">
      <c r="A475" t="s">
        <v>516</v>
      </c>
      <c r="B475">
        <v>1.5</v>
      </c>
    </row>
    <row r="476" spans="1:2" x14ac:dyDescent="0.25">
      <c r="A476" t="s">
        <v>516</v>
      </c>
      <c r="B476">
        <v>3</v>
      </c>
    </row>
    <row r="477" spans="1:2" x14ac:dyDescent="0.25">
      <c r="A477" t="s">
        <v>516</v>
      </c>
      <c r="B477">
        <v>1</v>
      </c>
    </row>
    <row r="478" spans="1:2" x14ac:dyDescent="0.25">
      <c r="A478" t="s">
        <v>516</v>
      </c>
      <c r="B478">
        <v>2.25</v>
      </c>
    </row>
    <row r="479" spans="1:2" x14ac:dyDescent="0.25">
      <c r="A479" t="s">
        <v>516</v>
      </c>
      <c r="B479">
        <v>3.25</v>
      </c>
    </row>
    <row r="480" spans="1:2" x14ac:dyDescent="0.25">
      <c r="A480" t="s">
        <v>516</v>
      </c>
      <c r="B480">
        <v>3.5</v>
      </c>
    </row>
    <row r="481" spans="1:2" x14ac:dyDescent="0.25">
      <c r="A481" t="s">
        <v>516</v>
      </c>
      <c r="B481">
        <v>3.5</v>
      </c>
    </row>
    <row r="482" spans="1:2" x14ac:dyDescent="0.25">
      <c r="A482" t="s">
        <v>516</v>
      </c>
      <c r="B482">
        <v>2.75</v>
      </c>
    </row>
    <row r="483" spans="1:2" x14ac:dyDescent="0.25">
      <c r="A483" t="s">
        <v>516</v>
      </c>
      <c r="B483">
        <v>3.75</v>
      </c>
    </row>
    <row r="484" spans="1:2" x14ac:dyDescent="0.25">
      <c r="A484" t="s">
        <v>516</v>
      </c>
      <c r="B484">
        <v>3.75</v>
      </c>
    </row>
    <row r="485" spans="1:2" x14ac:dyDescent="0.25">
      <c r="A485" t="s">
        <v>516</v>
      </c>
      <c r="B485">
        <v>3</v>
      </c>
    </row>
    <row r="486" spans="1:2" x14ac:dyDescent="0.25">
      <c r="A486" t="s">
        <v>516</v>
      </c>
      <c r="B486">
        <v>3</v>
      </c>
    </row>
    <row r="487" spans="1:2" x14ac:dyDescent="0.25">
      <c r="A487" t="s">
        <v>516</v>
      </c>
      <c r="B487">
        <v>3.75</v>
      </c>
    </row>
    <row r="488" spans="1:2" x14ac:dyDescent="0.25">
      <c r="A488" t="s">
        <v>516</v>
      </c>
      <c r="B488">
        <v>4</v>
      </c>
    </row>
    <row r="489" spans="1:2" x14ac:dyDescent="0.25">
      <c r="A489" t="s">
        <v>516</v>
      </c>
      <c r="B489">
        <v>2</v>
      </c>
    </row>
    <row r="490" spans="1:2" x14ac:dyDescent="0.25">
      <c r="A490" t="s">
        <v>516</v>
      </c>
      <c r="B490">
        <v>1.5</v>
      </c>
    </row>
    <row r="491" spans="1:2" x14ac:dyDescent="0.25">
      <c r="A491" t="s">
        <v>516</v>
      </c>
      <c r="B491">
        <v>2</v>
      </c>
    </row>
    <row r="492" spans="1:2" x14ac:dyDescent="0.25">
      <c r="A492" t="s">
        <v>516</v>
      </c>
      <c r="B492">
        <v>3.5</v>
      </c>
    </row>
    <row r="493" spans="1:2" x14ac:dyDescent="0.25">
      <c r="A493" t="s">
        <v>516</v>
      </c>
      <c r="B493">
        <v>3.25</v>
      </c>
    </row>
    <row r="494" spans="1:2" x14ac:dyDescent="0.25">
      <c r="A494" t="s">
        <v>516</v>
      </c>
      <c r="B494">
        <v>2.5</v>
      </c>
    </row>
    <row r="495" spans="1:2" x14ac:dyDescent="0.25">
      <c r="A495" t="s">
        <v>516</v>
      </c>
      <c r="B495">
        <v>3</v>
      </c>
    </row>
    <row r="496" spans="1:2" x14ac:dyDescent="0.25">
      <c r="A496" t="s">
        <v>516</v>
      </c>
      <c r="B496">
        <v>3.5</v>
      </c>
    </row>
    <row r="497" spans="1:2" x14ac:dyDescent="0.25">
      <c r="A497" t="s">
        <v>516</v>
      </c>
      <c r="B497">
        <v>4</v>
      </c>
    </row>
    <row r="498" spans="1:2" x14ac:dyDescent="0.25">
      <c r="A498" t="s">
        <v>516</v>
      </c>
      <c r="B498">
        <v>4.25</v>
      </c>
    </row>
    <row r="499" spans="1:2" x14ac:dyDescent="0.25">
      <c r="A499" t="s">
        <v>516</v>
      </c>
      <c r="B499">
        <v>3.75</v>
      </c>
    </row>
    <row r="500" spans="1:2" x14ac:dyDescent="0.25">
      <c r="A500" t="s">
        <v>516</v>
      </c>
      <c r="B500">
        <v>2.75</v>
      </c>
    </row>
    <row r="501" spans="1:2" x14ac:dyDescent="0.25">
      <c r="A501" t="s">
        <v>516</v>
      </c>
      <c r="B501">
        <v>3.25</v>
      </c>
    </row>
    <row r="502" spans="1:2" x14ac:dyDescent="0.25">
      <c r="A502" t="s">
        <v>516</v>
      </c>
      <c r="B502">
        <v>3.75</v>
      </c>
    </row>
    <row r="503" spans="1:2" x14ac:dyDescent="0.25">
      <c r="A503" t="s">
        <v>38</v>
      </c>
      <c r="B503">
        <v>5</v>
      </c>
    </row>
    <row r="504" spans="1:2" x14ac:dyDescent="0.25">
      <c r="A504" t="s">
        <v>38</v>
      </c>
      <c r="B504">
        <v>5</v>
      </c>
    </row>
    <row r="505" spans="1:2" x14ac:dyDescent="0.25">
      <c r="A505" t="s">
        <v>38</v>
      </c>
      <c r="B505">
        <v>5</v>
      </c>
    </row>
    <row r="506" spans="1:2" x14ac:dyDescent="0.25">
      <c r="A506" t="s">
        <v>38</v>
      </c>
      <c r="B506">
        <v>5</v>
      </c>
    </row>
    <row r="507" spans="1:2" x14ac:dyDescent="0.25">
      <c r="A507" t="s">
        <v>38</v>
      </c>
      <c r="B507">
        <v>3.5</v>
      </c>
    </row>
    <row r="508" spans="1:2" x14ac:dyDescent="0.25">
      <c r="A508" t="s">
        <v>38</v>
      </c>
      <c r="B508">
        <v>3.25</v>
      </c>
    </row>
    <row r="509" spans="1:2" x14ac:dyDescent="0.25">
      <c r="A509" t="s">
        <v>38</v>
      </c>
      <c r="B509">
        <v>4</v>
      </c>
    </row>
    <row r="510" spans="1:2" x14ac:dyDescent="0.25">
      <c r="A510" t="s">
        <v>38</v>
      </c>
      <c r="B510">
        <v>4</v>
      </c>
    </row>
    <row r="511" spans="1:2" x14ac:dyDescent="0.25">
      <c r="A511" t="s">
        <v>38</v>
      </c>
      <c r="B511">
        <v>3</v>
      </c>
    </row>
    <row r="512" spans="1:2" x14ac:dyDescent="0.25">
      <c r="A512" t="s">
        <v>38</v>
      </c>
      <c r="B512">
        <v>4</v>
      </c>
    </row>
    <row r="513" spans="1:2" x14ac:dyDescent="0.25">
      <c r="A513" t="s">
        <v>38</v>
      </c>
      <c r="B513">
        <v>3</v>
      </c>
    </row>
    <row r="514" spans="1:2" x14ac:dyDescent="0.25">
      <c r="A514" t="s">
        <v>38</v>
      </c>
      <c r="B514">
        <v>2.75</v>
      </c>
    </row>
    <row r="515" spans="1:2" x14ac:dyDescent="0.25">
      <c r="A515" t="s">
        <v>38</v>
      </c>
      <c r="B515">
        <v>3.5</v>
      </c>
    </row>
    <row r="516" spans="1:2" x14ac:dyDescent="0.25">
      <c r="A516" t="s">
        <v>38</v>
      </c>
      <c r="B516">
        <v>3.5</v>
      </c>
    </row>
    <row r="517" spans="1:2" x14ac:dyDescent="0.25">
      <c r="A517" t="s">
        <v>38</v>
      </c>
      <c r="B517">
        <v>4</v>
      </c>
    </row>
    <row r="518" spans="1:2" x14ac:dyDescent="0.25">
      <c r="A518" t="s">
        <v>38</v>
      </c>
      <c r="B518">
        <v>3</v>
      </c>
    </row>
    <row r="519" spans="1:2" x14ac:dyDescent="0.25">
      <c r="A519" t="s">
        <v>38</v>
      </c>
      <c r="B519">
        <v>5</v>
      </c>
    </row>
    <row r="520" spans="1:2" x14ac:dyDescent="0.25">
      <c r="A520" t="s">
        <v>38</v>
      </c>
      <c r="B520">
        <v>4</v>
      </c>
    </row>
    <row r="521" spans="1:2" x14ac:dyDescent="0.25">
      <c r="A521" t="s">
        <v>38</v>
      </c>
      <c r="B521">
        <v>4</v>
      </c>
    </row>
    <row r="522" spans="1:2" x14ac:dyDescent="0.25">
      <c r="A522" t="s">
        <v>38</v>
      </c>
      <c r="B522">
        <v>5</v>
      </c>
    </row>
    <row r="523" spans="1:2" x14ac:dyDescent="0.25">
      <c r="A523" t="s">
        <v>38</v>
      </c>
      <c r="B523">
        <v>4</v>
      </c>
    </row>
    <row r="524" spans="1:2" x14ac:dyDescent="0.25">
      <c r="A524" t="s">
        <v>38</v>
      </c>
      <c r="B524">
        <v>5</v>
      </c>
    </row>
    <row r="525" spans="1:2" x14ac:dyDescent="0.25">
      <c r="A525" t="s">
        <v>38</v>
      </c>
      <c r="B525">
        <v>4</v>
      </c>
    </row>
    <row r="526" spans="1:2" x14ac:dyDescent="0.25">
      <c r="A526" t="s">
        <v>38</v>
      </c>
      <c r="B526">
        <v>4</v>
      </c>
    </row>
    <row r="527" spans="1:2" x14ac:dyDescent="0.25">
      <c r="A527" t="s">
        <v>38</v>
      </c>
      <c r="B527">
        <v>4</v>
      </c>
    </row>
    <row r="528" spans="1:2" x14ac:dyDescent="0.25">
      <c r="A528" t="s">
        <v>38</v>
      </c>
      <c r="B528">
        <v>3.5</v>
      </c>
    </row>
    <row r="529" spans="1:2" x14ac:dyDescent="0.25">
      <c r="A529" t="s">
        <v>38</v>
      </c>
      <c r="B529">
        <v>5</v>
      </c>
    </row>
    <row r="530" spans="1:2" x14ac:dyDescent="0.25">
      <c r="A530" t="s">
        <v>38</v>
      </c>
      <c r="B530">
        <v>5</v>
      </c>
    </row>
    <row r="531" spans="1:2" x14ac:dyDescent="0.25">
      <c r="A531" t="s">
        <v>38</v>
      </c>
      <c r="B531">
        <v>4</v>
      </c>
    </row>
    <row r="532" spans="1:2" x14ac:dyDescent="0.25">
      <c r="A532" t="s">
        <v>38</v>
      </c>
      <c r="B532">
        <v>3.5</v>
      </c>
    </row>
    <row r="533" spans="1:2" x14ac:dyDescent="0.25">
      <c r="A533" t="s">
        <v>38</v>
      </c>
      <c r="B533">
        <v>3.5</v>
      </c>
    </row>
    <row r="534" spans="1:2" x14ac:dyDescent="0.25">
      <c r="A534" t="s">
        <v>38</v>
      </c>
      <c r="B534">
        <v>3.25</v>
      </c>
    </row>
    <row r="535" spans="1:2" x14ac:dyDescent="0.25">
      <c r="A535" t="s">
        <v>38</v>
      </c>
      <c r="B535">
        <v>4</v>
      </c>
    </row>
    <row r="536" spans="1:2" x14ac:dyDescent="0.25">
      <c r="A536" t="s">
        <v>38</v>
      </c>
      <c r="B536">
        <v>4</v>
      </c>
    </row>
    <row r="537" spans="1:2" x14ac:dyDescent="0.25">
      <c r="A537" t="s">
        <v>38</v>
      </c>
      <c r="B537">
        <v>4</v>
      </c>
    </row>
    <row r="538" spans="1:2" x14ac:dyDescent="0.25">
      <c r="A538" t="s">
        <v>38</v>
      </c>
      <c r="B538">
        <v>3.5</v>
      </c>
    </row>
    <row r="539" spans="1:2" x14ac:dyDescent="0.25">
      <c r="A539" t="s">
        <v>38</v>
      </c>
      <c r="B539">
        <v>4</v>
      </c>
    </row>
    <row r="540" spans="1:2" x14ac:dyDescent="0.25">
      <c r="A540" t="s">
        <v>38</v>
      </c>
      <c r="B540">
        <v>4</v>
      </c>
    </row>
    <row r="541" spans="1:2" x14ac:dyDescent="0.25">
      <c r="A541" t="s">
        <v>38</v>
      </c>
      <c r="B541">
        <v>3.75</v>
      </c>
    </row>
    <row r="542" spans="1:2" x14ac:dyDescent="0.25">
      <c r="A542" t="s">
        <v>38</v>
      </c>
      <c r="B542">
        <v>2</v>
      </c>
    </row>
    <row r="543" spans="1:2" x14ac:dyDescent="0.25">
      <c r="A543" t="s">
        <v>38</v>
      </c>
      <c r="B543">
        <v>4</v>
      </c>
    </row>
    <row r="544" spans="1:2" x14ac:dyDescent="0.25">
      <c r="A544" t="s">
        <v>38</v>
      </c>
      <c r="B544">
        <v>3.5</v>
      </c>
    </row>
    <row r="545" spans="1:2" x14ac:dyDescent="0.25">
      <c r="A545" t="s">
        <v>38</v>
      </c>
      <c r="B545">
        <v>3</v>
      </c>
    </row>
    <row r="546" spans="1:2" x14ac:dyDescent="0.25">
      <c r="A546" t="s">
        <v>38</v>
      </c>
      <c r="B546">
        <v>3.75</v>
      </c>
    </row>
    <row r="547" spans="1:2" x14ac:dyDescent="0.25">
      <c r="A547" t="s">
        <v>38</v>
      </c>
      <c r="B547">
        <v>4</v>
      </c>
    </row>
    <row r="548" spans="1:2" x14ac:dyDescent="0.25">
      <c r="A548" t="s">
        <v>38</v>
      </c>
      <c r="B548">
        <v>3.5</v>
      </c>
    </row>
    <row r="549" spans="1:2" x14ac:dyDescent="0.25">
      <c r="A549" t="s">
        <v>38</v>
      </c>
      <c r="B549">
        <v>5</v>
      </c>
    </row>
    <row r="550" spans="1:2" x14ac:dyDescent="0.25">
      <c r="A550" t="s">
        <v>38</v>
      </c>
      <c r="B550">
        <v>3.5</v>
      </c>
    </row>
    <row r="551" spans="1:2" x14ac:dyDescent="0.25">
      <c r="A551" t="s">
        <v>38</v>
      </c>
      <c r="B551">
        <v>3.5</v>
      </c>
    </row>
    <row r="552" spans="1:2" x14ac:dyDescent="0.25">
      <c r="A552" t="s">
        <v>38</v>
      </c>
      <c r="B552">
        <v>4</v>
      </c>
    </row>
    <row r="553" spans="1:2" x14ac:dyDescent="0.25">
      <c r="A553" t="s">
        <v>38</v>
      </c>
      <c r="B553">
        <v>3.5</v>
      </c>
    </row>
    <row r="554" spans="1:2" x14ac:dyDescent="0.25">
      <c r="A554" t="s">
        <v>38</v>
      </c>
      <c r="B554">
        <v>4</v>
      </c>
    </row>
    <row r="555" spans="1:2" x14ac:dyDescent="0.25">
      <c r="A555" t="s">
        <v>38</v>
      </c>
      <c r="B555">
        <v>5</v>
      </c>
    </row>
    <row r="556" spans="1:2" x14ac:dyDescent="0.25">
      <c r="A556" t="s">
        <v>38</v>
      </c>
      <c r="B556">
        <v>4.25</v>
      </c>
    </row>
    <row r="557" spans="1:2" x14ac:dyDescent="0.25">
      <c r="A557" t="s">
        <v>38</v>
      </c>
      <c r="B557">
        <v>2.5</v>
      </c>
    </row>
    <row r="558" spans="1:2" x14ac:dyDescent="0.25">
      <c r="A558" t="s">
        <v>38</v>
      </c>
      <c r="B558">
        <v>3.75</v>
      </c>
    </row>
    <row r="559" spans="1:2" x14ac:dyDescent="0.25">
      <c r="A559" t="s">
        <v>38</v>
      </c>
      <c r="B559">
        <v>3.5</v>
      </c>
    </row>
    <row r="560" spans="1:2" x14ac:dyDescent="0.25">
      <c r="A560" t="s">
        <v>38</v>
      </c>
      <c r="B560">
        <v>5</v>
      </c>
    </row>
    <row r="561" spans="1:2" x14ac:dyDescent="0.25">
      <c r="A561" t="s">
        <v>38</v>
      </c>
      <c r="B561">
        <v>5</v>
      </c>
    </row>
    <row r="562" spans="1:2" x14ac:dyDescent="0.25">
      <c r="A562" t="s">
        <v>38</v>
      </c>
      <c r="B562">
        <v>4.75</v>
      </c>
    </row>
    <row r="563" spans="1:2" x14ac:dyDescent="0.25">
      <c r="A563" t="s">
        <v>38</v>
      </c>
      <c r="B563">
        <v>3.5</v>
      </c>
    </row>
    <row r="564" spans="1:2" x14ac:dyDescent="0.25">
      <c r="A564" t="s">
        <v>38</v>
      </c>
      <c r="B564">
        <v>3.5</v>
      </c>
    </row>
    <row r="565" spans="1:2" x14ac:dyDescent="0.25">
      <c r="A565" t="s">
        <v>38</v>
      </c>
      <c r="B565">
        <v>5</v>
      </c>
    </row>
    <row r="566" spans="1:2" x14ac:dyDescent="0.25">
      <c r="A566" t="s">
        <v>38</v>
      </c>
      <c r="B566">
        <v>3.5</v>
      </c>
    </row>
    <row r="567" spans="1:2" x14ac:dyDescent="0.25">
      <c r="A567" t="s">
        <v>38</v>
      </c>
      <c r="B567">
        <v>2.75</v>
      </c>
    </row>
    <row r="568" spans="1:2" x14ac:dyDescent="0.25">
      <c r="A568" t="s">
        <v>38</v>
      </c>
      <c r="B568">
        <v>5</v>
      </c>
    </row>
    <row r="569" spans="1:2" x14ac:dyDescent="0.25">
      <c r="A569" t="s">
        <v>38</v>
      </c>
      <c r="B569">
        <v>4</v>
      </c>
    </row>
    <row r="570" spans="1:2" x14ac:dyDescent="0.25">
      <c r="A570" t="s">
        <v>38</v>
      </c>
      <c r="B570">
        <v>3.75</v>
      </c>
    </row>
    <row r="571" spans="1:2" x14ac:dyDescent="0.25">
      <c r="A571" t="s">
        <v>38</v>
      </c>
      <c r="B571">
        <v>3.5</v>
      </c>
    </row>
    <row r="572" spans="1:2" x14ac:dyDescent="0.25">
      <c r="A572" t="s">
        <v>38</v>
      </c>
      <c r="B572">
        <v>3.75</v>
      </c>
    </row>
    <row r="573" spans="1:2" x14ac:dyDescent="0.25">
      <c r="A573" t="s">
        <v>38</v>
      </c>
      <c r="B573">
        <v>3.5</v>
      </c>
    </row>
    <row r="574" spans="1:2" x14ac:dyDescent="0.25">
      <c r="A574" t="s">
        <v>38</v>
      </c>
      <c r="B574">
        <v>3.75</v>
      </c>
    </row>
    <row r="575" spans="1:2" x14ac:dyDescent="0.25">
      <c r="A575" t="s">
        <v>38</v>
      </c>
      <c r="B575">
        <v>3</v>
      </c>
    </row>
    <row r="576" spans="1:2" x14ac:dyDescent="0.25">
      <c r="A576" t="s">
        <v>38</v>
      </c>
      <c r="B576">
        <v>4</v>
      </c>
    </row>
    <row r="577" spans="1:2" x14ac:dyDescent="0.25">
      <c r="A577" t="s">
        <v>38</v>
      </c>
      <c r="B577">
        <v>4</v>
      </c>
    </row>
    <row r="578" spans="1:2" x14ac:dyDescent="0.25">
      <c r="A578" t="s">
        <v>38</v>
      </c>
      <c r="B578">
        <v>4</v>
      </c>
    </row>
    <row r="579" spans="1:2" x14ac:dyDescent="0.25">
      <c r="A579" t="s">
        <v>38</v>
      </c>
      <c r="B579">
        <v>4</v>
      </c>
    </row>
    <row r="580" spans="1:2" x14ac:dyDescent="0.25">
      <c r="A580" t="s">
        <v>38</v>
      </c>
      <c r="B580">
        <v>3.25</v>
      </c>
    </row>
    <row r="581" spans="1:2" x14ac:dyDescent="0.25">
      <c r="A581" t="s">
        <v>38</v>
      </c>
      <c r="B581">
        <v>4</v>
      </c>
    </row>
    <row r="582" spans="1:2" x14ac:dyDescent="0.25">
      <c r="A582" t="s">
        <v>38</v>
      </c>
      <c r="B582">
        <v>5</v>
      </c>
    </row>
    <row r="583" spans="1:2" x14ac:dyDescent="0.25">
      <c r="A583" t="s">
        <v>38</v>
      </c>
      <c r="B583">
        <v>3.75</v>
      </c>
    </row>
    <row r="584" spans="1:2" x14ac:dyDescent="0.25">
      <c r="A584" t="s">
        <v>38</v>
      </c>
      <c r="B584">
        <v>3.5</v>
      </c>
    </row>
    <row r="585" spans="1:2" x14ac:dyDescent="0.25">
      <c r="A585" t="s">
        <v>38</v>
      </c>
      <c r="B585">
        <v>5</v>
      </c>
    </row>
    <row r="586" spans="1:2" x14ac:dyDescent="0.25">
      <c r="A586" t="s">
        <v>38</v>
      </c>
      <c r="B586">
        <v>4.5</v>
      </c>
    </row>
    <row r="587" spans="1:2" x14ac:dyDescent="0.25">
      <c r="A587" t="s">
        <v>38</v>
      </c>
      <c r="B587">
        <v>4</v>
      </c>
    </row>
    <row r="588" spans="1:2" x14ac:dyDescent="0.25">
      <c r="A588" t="s">
        <v>38</v>
      </c>
      <c r="B588">
        <v>3.25</v>
      </c>
    </row>
    <row r="589" spans="1:2" x14ac:dyDescent="0.25">
      <c r="A589" t="s">
        <v>38</v>
      </c>
      <c r="B589">
        <v>3.75</v>
      </c>
    </row>
    <row r="590" spans="1:2" x14ac:dyDescent="0.25">
      <c r="A590" t="s">
        <v>38</v>
      </c>
      <c r="B590">
        <v>3.5</v>
      </c>
    </row>
    <row r="591" spans="1:2" x14ac:dyDescent="0.25">
      <c r="A591" t="s">
        <v>38</v>
      </c>
      <c r="B591">
        <v>3.75</v>
      </c>
    </row>
    <row r="592" spans="1:2" x14ac:dyDescent="0.25">
      <c r="A592" t="s">
        <v>38</v>
      </c>
      <c r="B592">
        <v>3.75</v>
      </c>
    </row>
    <row r="593" spans="1:2" x14ac:dyDescent="0.25">
      <c r="A593" t="s">
        <v>38</v>
      </c>
      <c r="B593">
        <v>3</v>
      </c>
    </row>
    <row r="594" spans="1:2" x14ac:dyDescent="0.25">
      <c r="A594" t="s">
        <v>38</v>
      </c>
      <c r="B594">
        <v>3.25</v>
      </c>
    </row>
    <row r="595" spans="1:2" x14ac:dyDescent="0.25">
      <c r="A595" t="s">
        <v>38</v>
      </c>
      <c r="B595">
        <v>3.5</v>
      </c>
    </row>
    <row r="596" spans="1:2" x14ac:dyDescent="0.25">
      <c r="A596" t="s">
        <v>38</v>
      </c>
      <c r="B596">
        <v>3.5</v>
      </c>
    </row>
    <row r="597" spans="1:2" x14ac:dyDescent="0.25">
      <c r="A597" t="s">
        <v>38</v>
      </c>
      <c r="B597">
        <v>3.5</v>
      </c>
    </row>
    <row r="598" spans="1:2" x14ac:dyDescent="0.25">
      <c r="A598" t="s">
        <v>38</v>
      </c>
      <c r="B598">
        <v>3.5</v>
      </c>
    </row>
    <row r="599" spans="1:2" x14ac:dyDescent="0.25">
      <c r="A599" t="s">
        <v>38</v>
      </c>
      <c r="B599">
        <v>3.75</v>
      </c>
    </row>
    <row r="600" spans="1:2" x14ac:dyDescent="0.25">
      <c r="A600" t="s">
        <v>38</v>
      </c>
      <c r="B600">
        <v>3.75</v>
      </c>
    </row>
    <row r="601" spans="1:2" x14ac:dyDescent="0.25">
      <c r="A601" t="s">
        <v>38</v>
      </c>
      <c r="B601">
        <v>4</v>
      </c>
    </row>
    <row r="602" spans="1:2" x14ac:dyDescent="0.25">
      <c r="A602" t="s">
        <v>38</v>
      </c>
      <c r="B602">
        <v>3</v>
      </c>
    </row>
    <row r="603" spans="1:2" x14ac:dyDescent="0.25">
      <c r="A603" t="s">
        <v>38</v>
      </c>
      <c r="B603">
        <v>3.25</v>
      </c>
    </row>
    <row r="604" spans="1:2" x14ac:dyDescent="0.25">
      <c r="A604" t="s">
        <v>38</v>
      </c>
      <c r="B604">
        <v>3</v>
      </c>
    </row>
    <row r="605" spans="1:2" x14ac:dyDescent="0.25">
      <c r="A605" t="s">
        <v>38</v>
      </c>
      <c r="B605">
        <v>3.5</v>
      </c>
    </row>
    <row r="606" spans="1:2" x14ac:dyDescent="0.25">
      <c r="A606" t="s">
        <v>38</v>
      </c>
      <c r="B606">
        <v>3.75</v>
      </c>
    </row>
    <row r="607" spans="1:2" x14ac:dyDescent="0.25">
      <c r="A607" t="s">
        <v>38</v>
      </c>
      <c r="B607">
        <v>1.25</v>
      </c>
    </row>
    <row r="608" spans="1:2" x14ac:dyDescent="0.25">
      <c r="A608" t="s">
        <v>38</v>
      </c>
      <c r="B608">
        <v>3.5</v>
      </c>
    </row>
    <row r="609" spans="1:2" x14ac:dyDescent="0.25">
      <c r="A609" t="s">
        <v>38</v>
      </c>
      <c r="B609">
        <v>3.25</v>
      </c>
    </row>
    <row r="610" spans="1:2" x14ac:dyDescent="0.25">
      <c r="A610" t="s">
        <v>38</v>
      </c>
      <c r="B610">
        <v>2.5</v>
      </c>
    </row>
    <row r="611" spans="1:2" x14ac:dyDescent="0.25">
      <c r="A611" t="s">
        <v>38</v>
      </c>
      <c r="B611">
        <v>3</v>
      </c>
    </row>
    <row r="612" spans="1:2" x14ac:dyDescent="0.25">
      <c r="A612" t="s">
        <v>38</v>
      </c>
      <c r="B612">
        <v>4.75</v>
      </c>
    </row>
    <row r="613" spans="1:2" x14ac:dyDescent="0.25">
      <c r="A613" t="s">
        <v>38</v>
      </c>
      <c r="B613">
        <v>3.5</v>
      </c>
    </row>
    <row r="614" spans="1:2" x14ac:dyDescent="0.25">
      <c r="A614" t="s">
        <v>38</v>
      </c>
      <c r="B614">
        <v>3.75</v>
      </c>
    </row>
    <row r="615" spans="1:2" x14ac:dyDescent="0.25">
      <c r="A615" t="s">
        <v>38</v>
      </c>
      <c r="B615">
        <v>3.5</v>
      </c>
    </row>
    <row r="616" spans="1:2" x14ac:dyDescent="0.25">
      <c r="A616" t="s">
        <v>38</v>
      </c>
      <c r="B616">
        <v>1.75</v>
      </c>
    </row>
    <row r="617" spans="1:2" x14ac:dyDescent="0.25">
      <c r="A617" t="s">
        <v>38</v>
      </c>
      <c r="B617">
        <v>1.5</v>
      </c>
    </row>
    <row r="618" spans="1:2" x14ac:dyDescent="0.25">
      <c r="A618" t="s">
        <v>38</v>
      </c>
      <c r="B618">
        <v>3.5</v>
      </c>
    </row>
    <row r="619" spans="1:2" x14ac:dyDescent="0.25">
      <c r="A619" t="s">
        <v>38</v>
      </c>
      <c r="B619">
        <v>0.25</v>
      </c>
    </row>
    <row r="620" spans="1:2" x14ac:dyDescent="0.25">
      <c r="A620" t="s">
        <v>38</v>
      </c>
      <c r="B620">
        <v>1.75</v>
      </c>
    </row>
    <row r="621" spans="1:2" x14ac:dyDescent="0.25">
      <c r="A621" t="s">
        <v>38</v>
      </c>
      <c r="B621">
        <v>3.75</v>
      </c>
    </row>
    <row r="622" spans="1:2" x14ac:dyDescent="0.25">
      <c r="A622" t="s">
        <v>38</v>
      </c>
      <c r="B622">
        <v>3.25</v>
      </c>
    </row>
    <row r="623" spans="1:2" x14ac:dyDescent="0.25">
      <c r="A623" t="s">
        <v>38</v>
      </c>
      <c r="B623">
        <v>2.5</v>
      </c>
    </row>
    <row r="624" spans="1:2" x14ac:dyDescent="0.25">
      <c r="A624" t="s">
        <v>38</v>
      </c>
      <c r="B624">
        <v>3.25</v>
      </c>
    </row>
    <row r="625" spans="1:2" x14ac:dyDescent="0.25">
      <c r="A625" t="s">
        <v>38</v>
      </c>
      <c r="B625">
        <v>3.25</v>
      </c>
    </row>
    <row r="626" spans="1:2" x14ac:dyDescent="0.25">
      <c r="A626" t="s">
        <v>38</v>
      </c>
      <c r="B626">
        <v>3.5</v>
      </c>
    </row>
    <row r="627" spans="1:2" x14ac:dyDescent="0.25">
      <c r="A627" t="s">
        <v>38</v>
      </c>
      <c r="B627">
        <v>2.75</v>
      </c>
    </row>
    <row r="628" spans="1:2" x14ac:dyDescent="0.25">
      <c r="A628" t="s">
        <v>38</v>
      </c>
      <c r="B628">
        <v>3</v>
      </c>
    </row>
    <row r="629" spans="1:2" x14ac:dyDescent="0.25">
      <c r="A629" t="s">
        <v>38</v>
      </c>
      <c r="B629">
        <v>1.25</v>
      </c>
    </row>
    <row r="630" spans="1:2" x14ac:dyDescent="0.25">
      <c r="A630" t="s">
        <v>38</v>
      </c>
      <c r="B630">
        <v>3.5</v>
      </c>
    </row>
    <row r="631" spans="1:2" x14ac:dyDescent="0.25">
      <c r="A631" t="s">
        <v>38</v>
      </c>
      <c r="B631">
        <v>3.25</v>
      </c>
    </row>
    <row r="632" spans="1:2" x14ac:dyDescent="0.25">
      <c r="A632" t="s">
        <v>38</v>
      </c>
      <c r="B632">
        <v>3.5</v>
      </c>
    </row>
    <row r="633" spans="1:2" x14ac:dyDescent="0.25">
      <c r="A633" t="s">
        <v>38</v>
      </c>
      <c r="B633">
        <v>3.25</v>
      </c>
    </row>
    <row r="634" spans="1:2" x14ac:dyDescent="0.25">
      <c r="A634" t="s">
        <v>38</v>
      </c>
      <c r="B634">
        <v>3</v>
      </c>
    </row>
    <row r="635" spans="1:2" x14ac:dyDescent="0.25">
      <c r="A635" t="s">
        <v>38</v>
      </c>
      <c r="B635">
        <v>3.5</v>
      </c>
    </row>
    <row r="636" spans="1:2" x14ac:dyDescent="0.25">
      <c r="A636" t="s">
        <v>38</v>
      </c>
      <c r="B636">
        <v>3.5</v>
      </c>
    </row>
    <row r="637" spans="1:2" x14ac:dyDescent="0.25">
      <c r="A637" t="s">
        <v>38</v>
      </c>
      <c r="B637">
        <v>3.5</v>
      </c>
    </row>
    <row r="638" spans="1:2" x14ac:dyDescent="0.25">
      <c r="A638" t="s">
        <v>38</v>
      </c>
      <c r="B638">
        <v>2</v>
      </c>
    </row>
    <row r="639" spans="1:2" x14ac:dyDescent="0.25">
      <c r="A639" t="s">
        <v>38</v>
      </c>
      <c r="B639">
        <v>0.9</v>
      </c>
    </row>
    <row r="640" spans="1:2" x14ac:dyDescent="0.25">
      <c r="A640" t="s">
        <v>38</v>
      </c>
      <c r="B640">
        <v>3.1</v>
      </c>
    </row>
    <row r="641" spans="1:2" x14ac:dyDescent="0.25">
      <c r="A641" t="s">
        <v>38</v>
      </c>
      <c r="B641">
        <v>3.25</v>
      </c>
    </row>
    <row r="642" spans="1:2" x14ac:dyDescent="0.25">
      <c r="A642" t="s">
        <v>38</v>
      </c>
      <c r="B642">
        <v>3.5</v>
      </c>
    </row>
    <row r="643" spans="1:2" x14ac:dyDescent="0.25">
      <c r="A643" t="s">
        <v>38</v>
      </c>
      <c r="B643">
        <v>2.75</v>
      </c>
    </row>
    <row r="644" spans="1:2" x14ac:dyDescent="0.25">
      <c r="A644" t="s">
        <v>38</v>
      </c>
      <c r="B644">
        <v>1</v>
      </c>
    </row>
    <row r="645" spans="1:2" x14ac:dyDescent="0.25">
      <c r="A645" t="s">
        <v>38</v>
      </c>
      <c r="B645">
        <v>2</v>
      </c>
    </row>
    <row r="646" spans="1:2" x14ac:dyDescent="0.25">
      <c r="A646" t="s">
        <v>38</v>
      </c>
      <c r="B646">
        <v>3.25</v>
      </c>
    </row>
    <row r="647" spans="1:2" x14ac:dyDescent="0.25">
      <c r="A647" t="s">
        <v>38</v>
      </c>
      <c r="B647">
        <v>3</v>
      </c>
    </row>
    <row r="648" spans="1:2" x14ac:dyDescent="0.25">
      <c r="A648" t="s">
        <v>38</v>
      </c>
      <c r="B648">
        <v>3.25</v>
      </c>
    </row>
    <row r="649" spans="1:2" x14ac:dyDescent="0.25">
      <c r="A649" t="s">
        <v>38</v>
      </c>
      <c r="B649">
        <v>2.75</v>
      </c>
    </row>
    <row r="650" spans="1:2" x14ac:dyDescent="0.25">
      <c r="A650" t="s">
        <v>38</v>
      </c>
      <c r="B650">
        <v>3.5</v>
      </c>
    </row>
    <row r="651" spans="1:2" x14ac:dyDescent="0.25">
      <c r="A651" t="s">
        <v>38</v>
      </c>
      <c r="B651">
        <v>4.5</v>
      </c>
    </row>
    <row r="652" spans="1:2" x14ac:dyDescent="0.25">
      <c r="A652" t="s">
        <v>38</v>
      </c>
      <c r="B652">
        <v>3.5</v>
      </c>
    </row>
    <row r="653" spans="1:2" x14ac:dyDescent="0.25">
      <c r="A653" t="s">
        <v>38</v>
      </c>
      <c r="B653">
        <v>4</v>
      </c>
    </row>
    <row r="654" spans="1:2" x14ac:dyDescent="0.25">
      <c r="A654" t="s">
        <v>38</v>
      </c>
      <c r="B654">
        <v>3.5</v>
      </c>
    </row>
    <row r="655" spans="1:2" x14ac:dyDescent="0.25">
      <c r="A655" t="s">
        <v>38</v>
      </c>
      <c r="B655">
        <v>4.75</v>
      </c>
    </row>
    <row r="656" spans="1:2" x14ac:dyDescent="0.25">
      <c r="A656" t="s">
        <v>38</v>
      </c>
      <c r="B656">
        <v>2.75</v>
      </c>
    </row>
    <row r="657" spans="1:2" x14ac:dyDescent="0.25">
      <c r="A657" t="s">
        <v>38</v>
      </c>
      <c r="B657">
        <v>3.5</v>
      </c>
    </row>
    <row r="658" spans="1:2" x14ac:dyDescent="0.25">
      <c r="A658" t="s">
        <v>38</v>
      </c>
      <c r="B658">
        <v>3</v>
      </c>
    </row>
    <row r="659" spans="1:2" x14ac:dyDescent="0.25">
      <c r="A659" t="s">
        <v>38</v>
      </c>
      <c r="B659">
        <v>3.25</v>
      </c>
    </row>
    <row r="660" spans="1:2" x14ac:dyDescent="0.25">
      <c r="A660" t="s">
        <v>38</v>
      </c>
      <c r="B660">
        <v>3.75</v>
      </c>
    </row>
    <row r="661" spans="1:2" x14ac:dyDescent="0.25">
      <c r="A661" t="s">
        <v>38</v>
      </c>
      <c r="B661">
        <v>2.5</v>
      </c>
    </row>
    <row r="662" spans="1:2" x14ac:dyDescent="0.25">
      <c r="A662" t="s">
        <v>38</v>
      </c>
      <c r="B662">
        <v>2</v>
      </c>
    </row>
    <row r="663" spans="1:2" x14ac:dyDescent="0.25">
      <c r="A663" t="s">
        <v>38</v>
      </c>
      <c r="B663">
        <v>3.25</v>
      </c>
    </row>
    <row r="664" spans="1:2" x14ac:dyDescent="0.25">
      <c r="A664" t="s">
        <v>38</v>
      </c>
      <c r="B664">
        <v>3.75</v>
      </c>
    </row>
    <row r="665" spans="1:2" x14ac:dyDescent="0.25">
      <c r="A665" t="s">
        <v>38</v>
      </c>
      <c r="B665">
        <v>3</v>
      </c>
    </row>
    <row r="666" spans="1:2" x14ac:dyDescent="0.25">
      <c r="A666" t="s">
        <v>38</v>
      </c>
      <c r="B666">
        <v>2</v>
      </c>
    </row>
    <row r="667" spans="1:2" x14ac:dyDescent="0.25">
      <c r="A667" t="s">
        <v>38</v>
      </c>
      <c r="B667">
        <v>2.75</v>
      </c>
    </row>
    <row r="668" spans="1:2" x14ac:dyDescent="0.25">
      <c r="A668" t="s">
        <v>38</v>
      </c>
      <c r="B668">
        <v>2.5</v>
      </c>
    </row>
    <row r="669" spans="1:2" x14ac:dyDescent="0.25">
      <c r="A669" t="s">
        <v>38</v>
      </c>
      <c r="B669">
        <v>3</v>
      </c>
    </row>
    <row r="670" spans="1:2" x14ac:dyDescent="0.25">
      <c r="A670" t="s">
        <v>38</v>
      </c>
      <c r="B670">
        <v>2</v>
      </c>
    </row>
    <row r="671" spans="1:2" x14ac:dyDescent="0.25">
      <c r="A671" t="s">
        <v>38</v>
      </c>
      <c r="B671">
        <v>3.75</v>
      </c>
    </row>
    <row r="672" spans="1:2" x14ac:dyDescent="0.25">
      <c r="A672" t="s">
        <v>38</v>
      </c>
      <c r="B672">
        <v>2.5</v>
      </c>
    </row>
    <row r="673" spans="1:2" x14ac:dyDescent="0.25">
      <c r="A673" t="s">
        <v>38</v>
      </c>
      <c r="B673">
        <v>1.75</v>
      </c>
    </row>
    <row r="674" spans="1:2" x14ac:dyDescent="0.25">
      <c r="A674" t="s">
        <v>38</v>
      </c>
      <c r="B674">
        <v>2.5</v>
      </c>
    </row>
    <row r="675" spans="1:2" x14ac:dyDescent="0.25">
      <c r="A675" t="s">
        <v>38</v>
      </c>
      <c r="B675">
        <v>2.5</v>
      </c>
    </row>
    <row r="676" spans="1:2" x14ac:dyDescent="0.25">
      <c r="A676" t="s">
        <v>38</v>
      </c>
      <c r="B676">
        <v>2.75</v>
      </c>
    </row>
    <row r="677" spans="1:2" x14ac:dyDescent="0.25">
      <c r="A677" t="s">
        <v>38</v>
      </c>
      <c r="B677">
        <v>5</v>
      </c>
    </row>
    <row r="678" spans="1:2" x14ac:dyDescent="0.25">
      <c r="A678" t="s">
        <v>38</v>
      </c>
      <c r="B678">
        <v>5</v>
      </c>
    </row>
    <row r="679" spans="1:2" x14ac:dyDescent="0.25">
      <c r="A679" t="s">
        <v>38</v>
      </c>
      <c r="B679">
        <v>0.1</v>
      </c>
    </row>
    <row r="680" spans="1:2" x14ac:dyDescent="0.25">
      <c r="A680" t="s">
        <v>38</v>
      </c>
      <c r="B680">
        <v>1.5</v>
      </c>
    </row>
    <row r="681" spans="1:2" x14ac:dyDescent="0.25">
      <c r="A681" t="s">
        <v>38</v>
      </c>
      <c r="B681">
        <v>3.7</v>
      </c>
    </row>
    <row r="682" spans="1:2" x14ac:dyDescent="0.25">
      <c r="A682" t="s">
        <v>38</v>
      </c>
      <c r="B682">
        <v>3.6</v>
      </c>
    </row>
    <row r="683" spans="1:2" x14ac:dyDescent="0.25">
      <c r="A683" t="s">
        <v>38</v>
      </c>
      <c r="B683">
        <v>3.1</v>
      </c>
    </row>
    <row r="684" spans="1:2" x14ac:dyDescent="0.25">
      <c r="A684" t="s">
        <v>38</v>
      </c>
      <c r="B684">
        <v>0.5</v>
      </c>
    </row>
    <row r="685" spans="1:2" x14ac:dyDescent="0.25">
      <c r="A685" t="s">
        <v>38</v>
      </c>
      <c r="B685">
        <v>2.5</v>
      </c>
    </row>
    <row r="686" spans="1:2" x14ac:dyDescent="0.25">
      <c r="A686" t="s">
        <v>38</v>
      </c>
      <c r="B686">
        <v>2</v>
      </c>
    </row>
    <row r="687" spans="1:2" x14ac:dyDescent="0.25">
      <c r="A687" t="s">
        <v>38</v>
      </c>
      <c r="B687">
        <v>2.75</v>
      </c>
    </row>
    <row r="688" spans="1:2" x14ac:dyDescent="0.25">
      <c r="A688" t="s">
        <v>38</v>
      </c>
      <c r="B688">
        <v>0.5</v>
      </c>
    </row>
    <row r="689" spans="1:2" x14ac:dyDescent="0.25">
      <c r="A689" t="s">
        <v>38</v>
      </c>
      <c r="B689">
        <v>3</v>
      </c>
    </row>
    <row r="690" spans="1:2" x14ac:dyDescent="0.25">
      <c r="A690" t="s">
        <v>38</v>
      </c>
      <c r="B690">
        <v>3.5</v>
      </c>
    </row>
    <row r="691" spans="1:2" x14ac:dyDescent="0.25">
      <c r="A691" t="s">
        <v>38</v>
      </c>
      <c r="B691">
        <v>1</v>
      </c>
    </row>
    <row r="692" spans="1:2" x14ac:dyDescent="0.25">
      <c r="A692" t="s">
        <v>38</v>
      </c>
      <c r="B692">
        <v>2</v>
      </c>
    </row>
    <row r="693" spans="1:2" x14ac:dyDescent="0.25">
      <c r="A693" t="s">
        <v>38</v>
      </c>
      <c r="B693">
        <v>2</v>
      </c>
    </row>
    <row r="694" spans="1:2" x14ac:dyDescent="0.25">
      <c r="A694" t="s">
        <v>14</v>
      </c>
      <c r="B694">
        <v>5</v>
      </c>
    </row>
    <row r="695" spans="1:2" x14ac:dyDescent="0.25">
      <c r="A695" t="s">
        <v>14</v>
      </c>
      <c r="B695">
        <v>5</v>
      </c>
    </row>
    <row r="696" spans="1:2" x14ac:dyDescent="0.25">
      <c r="A696" t="s">
        <v>14</v>
      </c>
      <c r="B696">
        <v>1</v>
      </c>
    </row>
    <row r="697" spans="1:2" x14ac:dyDescent="0.25">
      <c r="A697" t="s">
        <v>14</v>
      </c>
      <c r="B697">
        <v>2.75</v>
      </c>
    </row>
    <row r="698" spans="1:2" x14ac:dyDescent="0.25">
      <c r="A698" t="s">
        <v>14</v>
      </c>
      <c r="B698">
        <v>3.25</v>
      </c>
    </row>
    <row r="699" spans="1:2" x14ac:dyDescent="0.25">
      <c r="A699" t="s">
        <v>14</v>
      </c>
      <c r="B699">
        <v>5</v>
      </c>
    </row>
    <row r="700" spans="1:2" x14ac:dyDescent="0.25">
      <c r="A700" t="s">
        <v>14</v>
      </c>
      <c r="B700">
        <v>5</v>
      </c>
    </row>
    <row r="701" spans="1:2" x14ac:dyDescent="0.25">
      <c r="A701" t="s">
        <v>14</v>
      </c>
      <c r="B701">
        <v>4</v>
      </c>
    </row>
    <row r="702" spans="1:2" x14ac:dyDescent="0.25">
      <c r="A702" t="s">
        <v>14</v>
      </c>
      <c r="B702">
        <v>4.75</v>
      </c>
    </row>
    <row r="703" spans="1:2" x14ac:dyDescent="0.25">
      <c r="A703" t="s">
        <v>14</v>
      </c>
      <c r="B703">
        <v>5</v>
      </c>
    </row>
    <row r="704" spans="1:2" x14ac:dyDescent="0.25">
      <c r="A704" t="s">
        <v>14</v>
      </c>
      <c r="B704">
        <v>5</v>
      </c>
    </row>
    <row r="705" spans="1:2" x14ac:dyDescent="0.25">
      <c r="A705" t="s">
        <v>14</v>
      </c>
      <c r="B705">
        <v>3.5</v>
      </c>
    </row>
    <row r="706" spans="1:2" x14ac:dyDescent="0.25">
      <c r="A706" t="s">
        <v>14</v>
      </c>
      <c r="B706">
        <v>5</v>
      </c>
    </row>
    <row r="707" spans="1:2" x14ac:dyDescent="0.25">
      <c r="A707" t="s">
        <v>14</v>
      </c>
      <c r="B707">
        <v>5</v>
      </c>
    </row>
    <row r="708" spans="1:2" x14ac:dyDescent="0.25">
      <c r="A708" t="s">
        <v>14</v>
      </c>
      <c r="B708">
        <v>4.25</v>
      </c>
    </row>
    <row r="709" spans="1:2" x14ac:dyDescent="0.25">
      <c r="A709" t="s">
        <v>14</v>
      </c>
      <c r="B709">
        <v>5</v>
      </c>
    </row>
    <row r="710" spans="1:2" x14ac:dyDescent="0.25">
      <c r="A710" t="s">
        <v>14</v>
      </c>
      <c r="B710">
        <v>3.5</v>
      </c>
    </row>
    <row r="711" spans="1:2" x14ac:dyDescent="0.25">
      <c r="A711" t="s">
        <v>14</v>
      </c>
      <c r="B711">
        <v>5</v>
      </c>
    </row>
    <row r="712" spans="1:2" x14ac:dyDescent="0.25">
      <c r="A712" t="s">
        <v>14</v>
      </c>
      <c r="B712">
        <v>5</v>
      </c>
    </row>
    <row r="713" spans="1:2" x14ac:dyDescent="0.25">
      <c r="A713" t="s">
        <v>14</v>
      </c>
      <c r="B713">
        <v>4.5</v>
      </c>
    </row>
    <row r="714" spans="1:2" x14ac:dyDescent="0.25">
      <c r="A714" t="s">
        <v>14</v>
      </c>
      <c r="B714">
        <v>4.75</v>
      </c>
    </row>
    <row r="715" spans="1:2" x14ac:dyDescent="0.25">
      <c r="A715" t="s">
        <v>14</v>
      </c>
      <c r="B715">
        <v>5</v>
      </c>
    </row>
    <row r="716" spans="1:2" x14ac:dyDescent="0.25">
      <c r="A716" t="s">
        <v>14</v>
      </c>
      <c r="B716">
        <v>1</v>
      </c>
    </row>
    <row r="717" spans="1:2" x14ac:dyDescent="0.25">
      <c r="A717" t="s">
        <v>14</v>
      </c>
      <c r="B717">
        <v>4</v>
      </c>
    </row>
    <row r="718" spans="1:2" x14ac:dyDescent="0.25">
      <c r="A718" t="s">
        <v>14</v>
      </c>
      <c r="B718">
        <v>5</v>
      </c>
    </row>
    <row r="719" spans="1:2" x14ac:dyDescent="0.25">
      <c r="A719" t="s">
        <v>14</v>
      </c>
      <c r="B719">
        <v>3.5</v>
      </c>
    </row>
    <row r="720" spans="1:2" x14ac:dyDescent="0.25">
      <c r="A720" t="s">
        <v>14</v>
      </c>
      <c r="B720">
        <v>5</v>
      </c>
    </row>
    <row r="721" spans="1:2" x14ac:dyDescent="0.25">
      <c r="A721" t="s">
        <v>14</v>
      </c>
      <c r="B721">
        <v>3.8</v>
      </c>
    </row>
    <row r="722" spans="1:2" x14ac:dyDescent="0.25">
      <c r="A722" t="s">
        <v>14</v>
      </c>
      <c r="B722">
        <v>4</v>
      </c>
    </row>
    <row r="723" spans="1:2" x14ac:dyDescent="0.25">
      <c r="A723" t="s">
        <v>14</v>
      </c>
      <c r="B723">
        <v>1</v>
      </c>
    </row>
    <row r="724" spans="1:2" x14ac:dyDescent="0.25">
      <c r="A724" t="s">
        <v>14</v>
      </c>
      <c r="B724">
        <v>5</v>
      </c>
    </row>
    <row r="725" spans="1:2" x14ac:dyDescent="0.25">
      <c r="A725" t="s">
        <v>14</v>
      </c>
      <c r="B725">
        <v>4</v>
      </c>
    </row>
    <row r="726" spans="1:2" x14ac:dyDescent="0.25">
      <c r="A726" t="s">
        <v>14</v>
      </c>
      <c r="B726">
        <v>4</v>
      </c>
    </row>
    <row r="727" spans="1:2" x14ac:dyDescent="0.25">
      <c r="A727" t="s">
        <v>14</v>
      </c>
      <c r="B727">
        <v>3</v>
      </c>
    </row>
    <row r="728" spans="1:2" x14ac:dyDescent="0.25">
      <c r="A728" t="s">
        <v>14</v>
      </c>
      <c r="B728">
        <v>4</v>
      </c>
    </row>
    <row r="729" spans="1:2" x14ac:dyDescent="0.25">
      <c r="A729" t="s">
        <v>14</v>
      </c>
      <c r="B729">
        <v>5</v>
      </c>
    </row>
    <row r="730" spans="1:2" x14ac:dyDescent="0.25">
      <c r="A730" t="s">
        <v>14</v>
      </c>
      <c r="B730">
        <v>5</v>
      </c>
    </row>
    <row r="731" spans="1:2" x14ac:dyDescent="0.25">
      <c r="A731" t="s">
        <v>14</v>
      </c>
      <c r="B731">
        <v>5</v>
      </c>
    </row>
    <row r="732" spans="1:2" x14ac:dyDescent="0.25">
      <c r="A732" t="s">
        <v>14</v>
      </c>
      <c r="B732">
        <v>5</v>
      </c>
    </row>
    <row r="733" spans="1:2" x14ac:dyDescent="0.25">
      <c r="A733" t="s">
        <v>14</v>
      </c>
      <c r="B733">
        <v>2</v>
      </c>
    </row>
    <row r="734" spans="1:2" x14ac:dyDescent="0.25">
      <c r="A734" t="s">
        <v>14</v>
      </c>
      <c r="B734">
        <v>4</v>
      </c>
    </row>
    <row r="735" spans="1:2" x14ac:dyDescent="0.25">
      <c r="A735" t="s">
        <v>14</v>
      </c>
      <c r="B735">
        <v>4</v>
      </c>
    </row>
    <row r="736" spans="1:2" x14ac:dyDescent="0.25">
      <c r="A736" t="s">
        <v>14</v>
      </c>
      <c r="B736">
        <v>4</v>
      </c>
    </row>
    <row r="737" spans="1:2" x14ac:dyDescent="0.25">
      <c r="A737" t="s">
        <v>14</v>
      </c>
      <c r="B737">
        <v>5</v>
      </c>
    </row>
    <row r="738" spans="1:2" x14ac:dyDescent="0.25">
      <c r="A738" t="s">
        <v>14</v>
      </c>
      <c r="B738">
        <v>5</v>
      </c>
    </row>
    <row r="739" spans="1:2" x14ac:dyDescent="0.25">
      <c r="A739" t="s">
        <v>14</v>
      </c>
      <c r="B739">
        <v>3</v>
      </c>
    </row>
    <row r="740" spans="1:2" x14ac:dyDescent="0.25">
      <c r="A740" t="s">
        <v>14</v>
      </c>
      <c r="B740">
        <v>5</v>
      </c>
    </row>
    <row r="741" spans="1:2" x14ac:dyDescent="0.25">
      <c r="A741" t="s">
        <v>14</v>
      </c>
      <c r="B741">
        <v>5</v>
      </c>
    </row>
    <row r="742" spans="1:2" x14ac:dyDescent="0.25">
      <c r="A742" t="s">
        <v>14</v>
      </c>
      <c r="B742">
        <v>4.3</v>
      </c>
    </row>
    <row r="743" spans="1:2" x14ac:dyDescent="0.25">
      <c r="A743" t="s">
        <v>14</v>
      </c>
      <c r="B743">
        <v>1</v>
      </c>
    </row>
    <row r="744" spans="1:2" x14ac:dyDescent="0.25">
      <c r="A744" t="s">
        <v>14</v>
      </c>
      <c r="B744">
        <v>2</v>
      </c>
    </row>
    <row r="745" spans="1:2" x14ac:dyDescent="0.25">
      <c r="A745" t="s">
        <v>14</v>
      </c>
      <c r="B745">
        <v>5</v>
      </c>
    </row>
    <row r="746" spans="1:2" x14ac:dyDescent="0.25">
      <c r="A746" t="s">
        <v>14</v>
      </c>
      <c r="B746">
        <v>5</v>
      </c>
    </row>
    <row r="747" spans="1:2" x14ac:dyDescent="0.25">
      <c r="A747" t="s">
        <v>14</v>
      </c>
      <c r="B747">
        <v>4.25</v>
      </c>
    </row>
    <row r="748" spans="1:2" x14ac:dyDescent="0.25">
      <c r="A748" t="s">
        <v>14</v>
      </c>
      <c r="B748">
        <v>4.5</v>
      </c>
    </row>
    <row r="749" spans="1:2" x14ac:dyDescent="0.25">
      <c r="A749" t="s">
        <v>14</v>
      </c>
      <c r="B749">
        <v>4.5</v>
      </c>
    </row>
    <row r="750" spans="1:2" x14ac:dyDescent="0.25">
      <c r="A750" t="s">
        <v>14</v>
      </c>
      <c r="B750">
        <v>4.25</v>
      </c>
    </row>
    <row r="751" spans="1:2" x14ac:dyDescent="0.25">
      <c r="A751" t="s">
        <v>14</v>
      </c>
      <c r="B751">
        <v>3.75</v>
      </c>
    </row>
    <row r="752" spans="1:2" x14ac:dyDescent="0.25">
      <c r="A752" t="s">
        <v>14</v>
      </c>
      <c r="B752">
        <v>3.75</v>
      </c>
    </row>
    <row r="753" spans="1:2" x14ac:dyDescent="0.25">
      <c r="A753" t="s">
        <v>14</v>
      </c>
      <c r="B753">
        <v>5</v>
      </c>
    </row>
    <row r="754" spans="1:2" x14ac:dyDescent="0.25">
      <c r="A754" t="s">
        <v>14</v>
      </c>
      <c r="B754">
        <v>3.75</v>
      </c>
    </row>
    <row r="755" spans="1:2" x14ac:dyDescent="0.25">
      <c r="A755" t="s">
        <v>14</v>
      </c>
      <c r="B755">
        <v>5</v>
      </c>
    </row>
    <row r="756" spans="1:2" x14ac:dyDescent="0.25">
      <c r="A756" t="s">
        <v>14</v>
      </c>
      <c r="B756">
        <v>4.5</v>
      </c>
    </row>
    <row r="757" spans="1:2" x14ac:dyDescent="0.25">
      <c r="A757" t="s">
        <v>14</v>
      </c>
      <c r="B757">
        <v>3.75</v>
      </c>
    </row>
    <row r="758" spans="1:2" x14ac:dyDescent="0.25">
      <c r="A758" t="s">
        <v>14</v>
      </c>
      <c r="B758">
        <v>0</v>
      </c>
    </row>
    <row r="759" spans="1:2" x14ac:dyDescent="0.25">
      <c r="A759" t="s">
        <v>14</v>
      </c>
      <c r="B759">
        <v>4.5</v>
      </c>
    </row>
    <row r="760" spans="1:2" x14ac:dyDescent="0.25">
      <c r="A760" t="s">
        <v>14</v>
      </c>
      <c r="B760">
        <v>5</v>
      </c>
    </row>
    <row r="761" spans="1:2" x14ac:dyDescent="0.25">
      <c r="A761" t="s">
        <v>14</v>
      </c>
      <c r="B761">
        <v>4</v>
      </c>
    </row>
    <row r="762" spans="1:2" x14ac:dyDescent="0.25">
      <c r="A762" t="s">
        <v>14</v>
      </c>
      <c r="B762">
        <v>3.25</v>
      </c>
    </row>
    <row r="763" spans="1:2" x14ac:dyDescent="0.25">
      <c r="A763" t="s">
        <v>14</v>
      </c>
      <c r="B763">
        <v>4.75</v>
      </c>
    </row>
    <row r="764" spans="1:2" x14ac:dyDescent="0.25">
      <c r="A764" t="s">
        <v>14</v>
      </c>
      <c r="B764">
        <v>5</v>
      </c>
    </row>
    <row r="765" spans="1:2" x14ac:dyDescent="0.25">
      <c r="A765" t="s">
        <v>14</v>
      </c>
      <c r="B765">
        <v>1.5</v>
      </c>
    </row>
    <row r="766" spans="1:2" x14ac:dyDescent="0.25">
      <c r="A766" t="s">
        <v>14</v>
      </c>
      <c r="B766">
        <v>3.25</v>
      </c>
    </row>
    <row r="767" spans="1:2" x14ac:dyDescent="0.25">
      <c r="A767" t="s">
        <v>14</v>
      </c>
      <c r="B767">
        <v>4</v>
      </c>
    </row>
    <row r="768" spans="1:2" x14ac:dyDescent="0.25">
      <c r="A768" t="s">
        <v>14</v>
      </c>
      <c r="B768">
        <v>4.25</v>
      </c>
    </row>
    <row r="769" spans="1:2" x14ac:dyDescent="0.25">
      <c r="A769" t="s">
        <v>14</v>
      </c>
      <c r="B769">
        <v>5</v>
      </c>
    </row>
    <row r="770" spans="1:2" x14ac:dyDescent="0.25">
      <c r="A770" t="s">
        <v>14</v>
      </c>
      <c r="B770">
        <v>5</v>
      </c>
    </row>
    <row r="771" spans="1:2" x14ac:dyDescent="0.25">
      <c r="A771" t="s">
        <v>14</v>
      </c>
      <c r="B771">
        <v>4.5</v>
      </c>
    </row>
    <row r="772" spans="1:2" x14ac:dyDescent="0.25">
      <c r="A772" t="s">
        <v>14</v>
      </c>
      <c r="B772">
        <v>2.75</v>
      </c>
    </row>
    <row r="773" spans="1:2" x14ac:dyDescent="0.25">
      <c r="A773" t="s">
        <v>14</v>
      </c>
      <c r="B773">
        <v>5</v>
      </c>
    </row>
    <row r="774" spans="1:2" x14ac:dyDescent="0.25">
      <c r="A774" t="s">
        <v>14</v>
      </c>
      <c r="B774">
        <v>3.25</v>
      </c>
    </row>
    <row r="775" spans="1:2" x14ac:dyDescent="0.25">
      <c r="A775" t="s">
        <v>14</v>
      </c>
      <c r="B775">
        <v>5</v>
      </c>
    </row>
    <row r="776" spans="1:2" x14ac:dyDescent="0.25">
      <c r="A776" t="s">
        <v>14</v>
      </c>
      <c r="B776">
        <v>4</v>
      </c>
    </row>
    <row r="777" spans="1:2" x14ac:dyDescent="0.25">
      <c r="A777" t="s">
        <v>14</v>
      </c>
      <c r="B777">
        <v>3.5</v>
      </c>
    </row>
    <row r="778" spans="1:2" x14ac:dyDescent="0.25">
      <c r="A778" t="s">
        <v>14</v>
      </c>
      <c r="B778">
        <v>3.5</v>
      </c>
    </row>
    <row r="779" spans="1:2" x14ac:dyDescent="0.25">
      <c r="A779" t="s">
        <v>14</v>
      </c>
      <c r="B779">
        <v>5</v>
      </c>
    </row>
    <row r="780" spans="1:2" x14ac:dyDescent="0.25">
      <c r="A780" t="s">
        <v>14</v>
      </c>
      <c r="B780">
        <v>4.25</v>
      </c>
    </row>
    <row r="781" spans="1:2" x14ac:dyDescent="0.25">
      <c r="A781" t="s">
        <v>14</v>
      </c>
      <c r="B781">
        <v>2</v>
      </c>
    </row>
    <row r="782" spans="1:2" x14ac:dyDescent="0.25">
      <c r="A782" t="s">
        <v>14</v>
      </c>
      <c r="B782">
        <v>2.5</v>
      </c>
    </row>
    <row r="783" spans="1:2" x14ac:dyDescent="0.25">
      <c r="A783" t="s">
        <v>14</v>
      </c>
      <c r="B783">
        <v>2.5</v>
      </c>
    </row>
    <row r="784" spans="1:2" x14ac:dyDescent="0.25">
      <c r="A784" t="s">
        <v>14</v>
      </c>
      <c r="B784">
        <v>5</v>
      </c>
    </row>
    <row r="785" spans="1:2" x14ac:dyDescent="0.25">
      <c r="A785" t="s">
        <v>14</v>
      </c>
      <c r="B785">
        <v>5</v>
      </c>
    </row>
    <row r="786" spans="1:2" x14ac:dyDescent="0.25">
      <c r="A786" t="s">
        <v>14</v>
      </c>
      <c r="B786">
        <v>3.5</v>
      </c>
    </row>
    <row r="787" spans="1:2" x14ac:dyDescent="0.25">
      <c r="A787" t="s">
        <v>14</v>
      </c>
      <c r="B787">
        <v>4.25</v>
      </c>
    </row>
    <row r="788" spans="1:2" x14ac:dyDescent="0.25">
      <c r="A788" t="s">
        <v>14</v>
      </c>
      <c r="B788">
        <v>3.75</v>
      </c>
    </row>
    <row r="789" spans="1:2" x14ac:dyDescent="0.25">
      <c r="A789" t="s">
        <v>14</v>
      </c>
      <c r="B789">
        <v>3.25</v>
      </c>
    </row>
    <row r="790" spans="1:2" x14ac:dyDescent="0.25">
      <c r="A790" t="s">
        <v>14</v>
      </c>
      <c r="B790">
        <v>5</v>
      </c>
    </row>
    <row r="791" spans="1:2" x14ac:dyDescent="0.25">
      <c r="A791" t="s">
        <v>14</v>
      </c>
      <c r="B791">
        <v>5</v>
      </c>
    </row>
    <row r="792" spans="1:2" x14ac:dyDescent="0.25">
      <c r="A792" t="s">
        <v>14</v>
      </c>
      <c r="B792">
        <v>2.25</v>
      </c>
    </row>
    <row r="793" spans="1:2" x14ac:dyDescent="0.25">
      <c r="A793" t="s">
        <v>14</v>
      </c>
      <c r="B793">
        <v>3</v>
      </c>
    </row>
    <row r="794" spans="1:2" x14ac:dyDescent="0.25">
      <c r="A794" t="s">
        <v>14</v>
      </c>
      <c r="B794">
        <v>1.75</v>
      </c>
    </row>
    <row r="795" spans="1:2" x14ac:dyDescent="0.25">
      <c r="A795" t="s">
        <v>14</v>
      </c>
      <c r="B795">
        <v>5</v>
      </c>
    </row>
    <row r="796" spans="1:2" x14ac:dyDescent="0.25">
      <c r="A796" t="s">
        <v>14</v>
      </c>
      <c r="B796">
        <v>4</v>
      </c>
    </row>
    <row r="797" spans="1:2" x14ac:dyDescent="0.25">
      <c r="A797" t="s">
        <v>14</v>
      </c>
      <c r="B797">
        <v>4</v>
      </c>
    </row>
    <row r="798" spans="1:2" x14ac:dyDescent="0.25">
      <c r="A798" t="s">
        <v>14</v>
      </c>
      <c r="B798">
        <v>3.25</v>
      </c>
    </row>
    <row r="799" spans="1:2" x14ac:dyDescent="0.25">
      <c r="A799" t="s">
        <v>14</v>
      </c>
      <c r="B799">
        <v>3.75</v>
      </c>
    </row>
    <row r="800" spans="1:2" x14ac:dyDescent="0.25">
      <c r="A800" t="s">
        <v>14</v>
      </c>
      <c r="B800">
        <v>2.5</v>
      </c>
    </row>
    <row r="801" spans="1:2" x14ac:dyDescent="0.25">
      <c r="A801" t="s">
        <v>14</v>
      </c>
      <c r="B801">
        <v>3.75</v>
      </c>
    </row>
    <row r="802" spans="1:2" x14ac:dyDescent="0.25">
      <c r="A802" t="s">
        <v>14</v>
      </c>
      <c r="B802">
        <v>3.5</v>
      </c>
    </row>
    <row r="803" spans="1:2" x14ac:dyDescent="0.25">
      <c r="A803" t="s">
        <v>14</v>
      </c>
      <c r="B803">
        <v>3.25</v>
      </c>
    </row>
    <row r="804" spans="1:2" x14ac:dyDescent="0.25">
      <c r="A804" t="s">
        <v>14</v>
      </c>
      <c r="B804">
        <v>5</v>
      </c>
    </row>
    <row r="805" spans="1:2" x14ac:dyDescent="0.25">
      <c r="A805" t="s">
        <v>14</v>
      </c>
      <c r="B805">
        <v>4.5</v>
      </c>
    </row>
    <row r="806" spans="1:2" x14ac:dyDescent="0.25">
      <c r="A806" t="s">
        <v>14</v>
      </c>
      <c r="B806">
        <v>3.75</v>
      </c>
    </row>
    <row r="807" spans="1:2" x14ac:dyDescent="0.25">
      <c r="A807" t="s">
        <v>14</v>
      </c>
      <c r="B807">
        <v>3.25</v>
      </c>
    </row>
    <row r="808" spans="1:2" x14ac:dyDescent="0.25">
      <c r="A808" t="s">
        <v>14</v>
      </c>
      <c r="B808">
        <v>4</v>
      </c>
    </row>
    <row r="809" spans="1:2" x14ac:dyDescent="0.25">
      <c r="A809" t="s">
        <v>14</v>
      </c>
      <c r="B809">
        <v>3.75</v>
      </c>
    </row>
    <row r="810" spans="1:2" x14ac:dyDescent="0.25">
      <c r="A810" t="s">
        <v>14</v>
      </c>
      <c r="B810">
        <v>4</v>
      </c>
    </row>
    <row r="811" spans="1:2" x14ac:dyDescent="0.25">
      <c r="A811" t="s">
        <v>14</v>
      </c>
      <c r="B811">
        <v>1</v>
      </c>
    </row>
    <row r="812" spans="1:2" x14ac:dyDescent="0.25">
      <c r="A812" t="s">
        <v>14</v>
      </c>
      <c r="B812">
        <v>4.25</v>
      </c>
    </row>
    <row r="813" spans="1:2" x14ac:dyDescent="0.25">
      <c r="A813" t="s">
        <v>14</v>
      </c>
      <c r="B813">
        <v>3.75</v>
      </c>
    </row>
    <row r="814" spans="1:2" x14ac:dyDescent="0.25">
      <c r="A814" t="s">
        <v>14</v>
      </c>
      <c r="B814">
        <v>3.75</v>
      </c>
    </row>
    <row r="815" spans="1:2" x14ac:dyDescent="0.25">
      <c r="A815" t="s">
        <v>14</v>
      </c>
      <c r="B815">
        <v>5</v>
      </c>
    </row>
    <row r="816" spans="1:2" x14ac:dyDescent="0.25">
      <c r="A816" t="s">
        <v>14</v>
      </c>
      <c r="B816">
        <v>4</v>
      </c>
    </row>
    <row r="817" spans="1:2" x14ac:dyDescent="0.25">
      <c r="A817" t="s">
        <v>14</v>
      </c>
      <c r="B817">
        <v>3.75</v>
      </c>
    </row>
    <row r="818" spans="1:2" x14ac:dyDescent="0.25">
      <c r="A818" t="s">
        <v>14</v>
      </c>
      <c r="B818">
        <v>3.75</v>
      </c>
    </row>
    <row r="819" spans="1:2" x14ac:dyDescent="0.25">
      <c r="A819" t="s">
        <v>14</v>
      </c>
      <c r="B819">
        <v>3.5</v>
      </c>
    </row>
    <row r="820" spans="1:2" x14ac:dyDescent="0.25">
      <c r="A820" t="s">
        <v>14</v>
      </c>
      <c r="B820">
        <v>3.25</v>
      </c>
    </row>
    <row r="821" spans="1:2" x14ac:dyDescent="0.25">
      <c r="A821" t="s">
        <v>14</v>
      </c>
      <c r="B821">
        <v>4.25</v>
      </c>
    </row>
    <row r="822" spans="1:2" x14ac:dyDescent="0.25">
      <c r="A822" t="s">
        <v>14</v>
      </c>
      <c r="B822">
        <v>4.5</v>
      </c>
    </row>
    <row r="823" spans="1:2" x14ac:dyDescent="0.25">
      <c r="A823" t="s">
        <v>14</v>
      </c>
      <c r="B823">
        <v>5</v>
      </c>
    </row>
    <row r="824" spans="1:2" x14ac:dyDescent="0.25">
      <c r="A824" t="s">
        <v>14</v>
      </c>
      <c r="B824">
        <v>4</v>
      </c>
    </row>
    <row r="825" spans="1:2" x14ac:dyDescent="0.25">
      <c r="A825" t="s">
        <v>14</v>
      </c>
      <c r="B825">
        <v>3.25</v>
      </c>
    </row>
    <row r="826" spans="1:2" x14ac:dyDescent="0.25">
      <c r="A826" t="s">
        <v>14</v>
      </c>
      <c r="B826">
        <v>4.25</v>
      </c>
    </row>
    <row r="827" spans="1:2" x14ac:dyDescent="0.25">
      <c r="A827" t="s">
        <v>14</v>
      </c>
      <c r="B827">
        <v>3.75</v>
      </c>
    </row>
    <row r="828" spans="1:2" x14ac:dyDescent="0.25">
      <c r="A828" t="s">
        <v>14</v>
      </c>
      <c r="B828">
        <v>3.25</v>
      </c>
    </row>
    <row r="829" spans="1:2" x14ac:dyDescent="0.25">
      <c r="A829" t="s">
        <v>14</v>
      </c>
      <c r="B829">
        <v>3.5</v>
      </c>
    </row>
    <row r="830" spans="1:2" x14ac:dyDescent="0.25">
      <c r="A830" t="s">
        <v>14</v>
      </c>
      <c r="B830">
        <v>5</v>
      </c>
    </row>
    <row r="831" spans="1:2" x14ac:dyDescent="0.25">
      <c r="A831" t="s">
        <v>14</v>
      </c>
      <c r="B831">
        <v>3.75</v>
      </c>
    </row>
    <row r="832" spans="1:2" x14ac:dyDescent="0.25">
      <c r="A832" t="s">
        <v>14</v>
      </c>
      <c r="B832">
        <v>5</v>
      </c>
    </row>
    <row r="833" spans="1:2" x14ac:dyDescent="0.25">
      <c r="A833" t="s">
        <v>14</v>
      </c>
      <c r="B833">
        <v>3.75</v>
      </c>
    </row>
    <row r="834" spans="1:2" x14ac:dyDescent="0.25">
      <c r="A834" t="s">
        <v>14</v>
      </c>
      <c r="B834">
        <v>5</v>
      </c>
    </row>
    <row r="835" spans="1:2" x14ac:dyDescent="0.25">
      <c r="A835" t="s">
        <v>14</v>
      </c>
      <c r="B835">
        <v>4.25</v>
      </c>
    </row>
    <row r="836" spans="1:2" x14ac:dyDescent="0.25">
      <c r="A836" t="s">
        <v>14</v>
      </c>
      <c r="B836">
        <v>3.75</v>
      </c>
    </row>
    <row r="837" spans="1:2" x14ac:dyDescent="0.25">
      <c r="A837" t="s">
        <v>14</v>
      </c>
      <c r="B837">
        <v>4</v>
      </c>
    </row>
    <row r="838" spans="1:2" x14ac:dyDescent="0.25">
      <c r="A838" t="s">
        <v>14</v>
      </c>
      <c r="B838">
        <v>4</v>
      </c>
    </row>
    <row r="839" spans="1:2" x14ac:dyDescent="0.25">
      <c r="A839" t="s">
        <v>14</v>
      </c>
      <c r="B839">
        <v>3.5</v>
      </c>
    </row>
    <row r="840" spans="1:2" x14ac:dyDescent="0.25">
      <c r="A840" t="s">
        <v>14</v>
      </c>
      <c r="B840">
        <v>5</v>
      </c>
    </row>
    <row r="841" spans="1:2" x14ac:dyDescent="0.25">
      <c r="A841" t="s">
        <v>14</v>
      </c>
      <c r="B841">
        <v>5</v>
      </c>
    </row>
    <row r="842" spans="1:2" x14ac:dyDescent="0.25">
      <c r="A842" t="s">
        <v>14</v>
      </c>
      <c r="B842">
        <v>3.75</v>
      </c>
    </row>
    <row r="843" spans="1:2" x14ac:dyDescent="0.25">
      <c r="A843" t="s">
        <v>14</v>
      </c>
      <c r="B843">
        <v>4</v>
      </c>
    </row>
    <row r="844" spans="1:2" x14ac:dyDescent="0.25">
      <c r="A844" t="s">
        <v>14</v>
      </c>
      <c r="B844">
        <v>4.25</v>
      </c>
    </row>
    <row r="845" spans="1:2" x14ac:dyDescent="0.25">
      <c r="A845" t="s">
        <v>14</v>
      </c>
      <c r="B845">
        <v>3.5</v>
      </c>
    </row>
    <row r="846" spans="1:2" x14ac:dyDescent="0.25">
      <c r="A846" t="s">
        <v>14</v>
      </c>
      <c r="B846">
        <v>3.5</v>
      </c>
    </row>
    <row r="847" spans="1:2" x14ac:dyDescent="0.25">
      <c r="A847" t="s">
        <v>14</v>
      </c>
      <c r="B847">
        <v>3.75</v>
      </c>
    </row>
    <row r="848" spans="1:2" x14ac:dyDescent="0.25">
      <c r="A848" t="s">
        <v>14</v>
      </c>
      <c r="B848">
        <v>4.75</v>
      </c>
    </row>
    <row r="849" spans="1:2" x14ac:dyDescent="0.25">
      <c r="A849" t="s">
        <v>14</v>
      </c>
      <c r="B849">
        <v>1.5</v>
      </c>
    </row>
    <row r="850" spans="1:2" x14ac:dyDescent="0.25">
      <c r="A850" t="s">
        <v>14</v>
      </c>
      <c r="B850">
        <v>2.75</v>
      </c>
    </row>
    <row r="851" spans="1:2" x14ac:dyDescent="0.25">
      <c r="A851" t="s">
        <v>14</v>
      </c>
      <c r="B851">
        <v>2.75</v>
      </c>
    </row>
    <row r="852" spans="1:2" x14ac:dyDescent="0.25">
      <c r="A852" t="s">
        <v>14</v>
      </c>
      <c r="B852">
        <v>4.25</v>
      </c>
    </row>
    <row r="853" spans="1:2" x14ac:dyDescent="0.25">
      <c r="A853" t="s">
        <v>14</v>
      </c>
      <c r="B853">
        <v>1.5</v>
      </c>
    </row>
    <row r="854" spans="1:2" x14ac:dyDescent="0.25">
      <c r="A854" t="s">
        <v>14</v>
      </c>
      <c r="B854">
        <v>3.25</v>
      </c>
    </row>
    <row r="855" spans="1:2" x14ac:dyDescent="0.25">
      <c r="A855" t="s">
        <v>14</v>
      </c>
      <c r="B855">
        <v>1.25</v>
      </c>
    </row>
    <row r="856" spans="1:2" x14ac:dyDescent="0.25">
      <c r="A856" t="s">
        <v>14</v>
      </c>
      <c r="B856">
        <v>3.25</v>
      </c>
    </row>
    <row r="857" spans="1:2" x14ac:dyDescent="0.25">
      <c r="A857" t="s">
        <v>14</v>
      </c>
      <c r="B857">
        <v>3.25</v>
      </c>
    </row>
    <row r="858" spans="1:2" x14ac:dyDescent="0.25">
      <c r="A858" t="s">
        <v>14</v>
      </c>
      <c r="B858">
        <v>3.75</v>
      </c>
    </row>
    <row r="859" spans="1:2" x14ac:dyDescent="0.25">
      <c r="A859" t="s">
        <v>14</v>
      </c>
      <c r="B859">
        <v>3.75</v>
      </c>
    </row>
    <row r="860" spans="1:2" x14ac:dyDescent="0.25">
      <c r="A860" t="s">
        <v>14</v>
      </c>
      <c r="B860">
        <v>4</v>
      </c>
    </row>
    <row r="861" spans="1:2" x14ac:dyDescent="0.25">
      <c r="A861" t="s">
        <v>14</v>
      </c>
      <c r="B861">
        <v>2.1</v>
      </c>
    </row>
    <row r="862" spans="1:2" x14ac:dyDescent="0.25">
      <c r="A862" t="s">
        <v>14</v>
      </c>
      <c r="B862">
        <v>3.25</v>
      </c>
    </row>
    <row r="863" spans="1:2" x14ac:dyDescent="0.25">
      <c r="A863" t="s">
        <v>14</v>
      </c>
      <c r="B863">
        <v>1.5</v>
      </c>
    </row>
    <row r="864" spans="1:2" x14ac:dyDescent="0.25">
      <c r="A864" t="s">
        <v>14</v>
      </c>
      <c r="B864">
        <v>3.75</v>
      </c>
    </row>
    <row r="865" spans="1:2" x14ac:dyDescent="0.25">
      <c r="A865" t="s">
        <v>14</v>
      </c>
      <c r="B865">
        <v>0.25</v>
      </c>
    </row>
    <row r="866" spans="1:2" x14ac:dyDescent="0.25">
      <c r="A866" t="s">
        <v>14</v>
      </c>
      <c r="B866">
        <v>4</v>
      </c>
    </row>
    <row r="867" spans="1:2" x14ac:dyDescent="0.25">
      <c r="A867" t="s">
        <v>14</v>
      </c>
      <c r="B867">
        <v>0</v>
      </c>
    </row>
    <row r="868" spans="1:2" x14ac:dyDescent="0.25">
      <c r="A868" t="s">
        <v>14</v>
      </c>
      <c r="B868">
        <v>1.75</v>
      </c>
    </row>
    <row r="869" spans="1:2" x14ac:dyDescent="0.25">
      <c r="A869" t="s">
        <v>14</v>
      </c>
      <c r="B869">
        <v>3.75</v>
      </c>
    </row>
    <row r="870" spans="1:2" x14ac:dyDescent="0.25">
      <c r="A870" t="s">
        <v>14</v>
      </c>
      <c r="B870">
        <v>3.75</v>
      </c>
    </row>
    <row r="871" spans="1:2" x14ac:dyDescent="0.25">
      <c r="A871" t="s">
        <v>14</v>
      </c>
      <c r="B871">
        <v>4.25</v>
      </c>
    </row>
    <row r="872" spans="1:2" x14ac:dyDescent="0.25">
      <c r="A872" t="s">
        <v>14</v>
      </c>
      <c r="B872">
        <v>3.75</v>
      </c>
    </row>
    <row r="873" spans="1:2" x14ac:dyDescent="0.25">
      <c r="A873" t="s">
        <v>14</v>
      </c>
      <c r="B873">
        <v>2.25</v>
      </c>
    </row>
    <row r="874" spans="1:2" x14ac:dyDescent="0.25">
      <c r="A874" t="s">
        <v>14</v>
      </c>
      <c r="B874">
        <v>3.75</v>
      </c>
    </row>
    <row r="875" spans="1:2" x14ac:dyDescent="0.25">
      <c r="A875" t="s">
        <v>14</v>
      </c>
      <c r="B875">
        <v>2.5</v>
      </c>
    </row>
    <row r="876" spans="1:2" x14ac:dyDescent="0.25">
      <c r="A876" t="s">
        <v>14</v>
      </c>
      <c r="B876">
        <v>2.75</v>
      </c>
    </row>
    <row r="877" spans="1:2" x14ac:dyDescent="0.25">
      <c r="A877" t="s">
        <v>14</v>
      </c>
      <c r="B877">
        <v>3.25</v>
      </c>
    </row>
    <row r="878" spans="1:2" x14ac:dyDescent="0.25">
      <c r="A878" t="s">
        <v>14</v>
      </c>
      <c r="B878">
        <v>3.75</v>
      </c>
    </row>
    <row r="879" spans="1:2" x14ac:dyDescent="0.25">
      <c r="A879" t="s">
        <v>14</v>
      </c>
      <c r="B879">
        <v>3.75</v>
      </c>
    </row>
    <row r="880" spans="1:2" x14ac:dyDescent="0.25">
      <c r="A880" t="s">
        <v>14</v>
      </c>
      <c r="B880">
        <v>4.25</v>
      </c>
    </row>
    <row r="881" spans="1:2" x14ac:dyDescent="0.25">
      <c r="A881" t="s">
        <v>14</v>
      </c>
      <c r="B881">
        <v>1.25</v>
      </c>
    </row>
    <row r="882" spans="1:2" x14ac:dyDescent="0.25">
      <c r="A882" t="s">
        <v>14</v>
      </c>
      <c r="B882">
        <v>3.75</v>
      </c>
    </row>
    <row r="883" spans="1:2" x14ac:dyDescent="0.25">
      <c r="A883" t="s">
        <v>14</v>
      </c>
      <c r="B883">
        <v>1.75</v>
      </c>
    </row>
    <row r="884" spans="1:2" x14ac:dyDescent="0.25">
      <c r="A884" t="s">
        <v>14</v>
      </c>
      <c r="B884">
        <v>3.75</v>
      </c>
    </row>
    <row r="885" spans="1:2" x14ac:dyDescent="0.25">
      <c r="A885" t="s">
        <v>14</v>
      </c>
      <c r="B885">
        <v>3.25</v>
      </c>
    </row>
    <row r="886" spans="1:2" x14ac:dyDescent="0.25">
      <c r="A886" t="s">
        <v>14</v>
      </c>
      <c r="B886">
        <v>3.5</v>
      </c>
    </row>
    <row r="887" spans="1:2" x14ac:dyDescent="0.25">
      <c r="A887" t="s">
        <v>14</v>
      </c>
      <c r="B887">
        <v>2.75</v>
      </c>
    </row>
    <row r="888" spans="1:2" x14ac:dyDescent="0.25">
      <c r="A888" t="s">
        <v>14</v>
      </c>
      <c r="B888">
        <v>5</v>
      </c>
    </row>
    <row r="889" spans="1:2" x14ac:dyDescent="0.25">
      <c r="A889" t="s">
        <v>14</v>
      </c>
      <c r="B889">
        <v>0</v>
      </c>
    </row>
    <row r="890" spans="1:2" x14ac:dyDescent="0.25">
      <c r="A890" t="s">
        <v>14</v>
      </c>
      <c r="B890">
        <v>4</v>
      </c>
    </row>
    <row r="891" spans="1:2" x14ac:dyDescent="0.25">
      <c r="A891" t="s">
        <v>14</v>
      </c>
      <c r="B891">
        <v>2</v>
      </c>
    </row>
    <row r="892" spans="1:2" x14ac:dyDescent="0.25">
      <c r="A892" t="s">
        <v>14</v>
      </c>
      <c r="B892">
        <v>3.75</v>
      </c>
    </row>
    <row r="893" spans="1:2" x14ac:dyDescent="0.25">
      <c r="A893" t="s">
        <v>14</v>
      </c>
      <c r="B893">
        <v>3.75</v>
      </c>
    </row>
    <row r="894" spans="1:2" x14ac:dyDescent="0.25">
      <c r="A894" t="s">
        <v>14</v>
      </c>
      <c r="B894">
        <v>3</v>
      </c>
    </row>
    <row r="895" spans="1:2" x14ac:dyDescent="0.25">
      <c r="A895" t="s">
        <v>14</v>
      </c>
      <c r="B895">
        <v>3.25</v>
      </c>
    </row>
    <row r="896" spans="1:2" x14ac:dyDescent="0.25">
      <c r="A896" t="s">
        <v>14</v>
      </c>
      <c r="B896">
        <v>1.5</v>
      </c>
    </row>
    <row r="897" spans="1:2" x14ac:dyDescent="0.25">
      <c r="A897" t="s">
        <v>14</v>
      </c>
      <c r="B897">
        <v>3.75</v>
      </c>
    </row>
    <row r="898" spans="1:2" x14ac:dyDescent="0.25">
      <c r="A898" t="s">
        <v>14</v>
      </c>
      <c r="B898">
        <v>4.5</v>
      </c>
    </row>
    <row r="899" spans="1:2" x14ac:dyDescent="0.25">
      <c r="A899" t="s">
        <v>14</v>
      </c>
      <c r="B899">
        <v>3</v>
      </c>
    </row>
    <row r="900" spans="1:2" x14ac:dyDescent="0.25">
      <c r="A900" t="s">
        <v>14</v>
      </c>
      <c r="B900">
        <v>3.25</v>
      </c>
    </row>
    <row r="901" spans="1:2" x14ac:dyDescent="0.25">
      <c r="A901" t="s">
        <v>14</v>
      </c>
      <c r="B901">
        <v>3.5</v>
      </c>
    </row>
    <row r="902" spans="1:2" x14ac:dyDescent="0.25">
      <c r="A902" t="s">
        <v>14</v>
      </c>
      <c r="B902">
        <v>3.25</v>
      </c>
    </row>
    <row r="903" spans="1:2" x14ac:dyDescent="0.25">
      <c r="A903" t="s">
        <v>14</v>
      </c>
      <c r="B903">
        <v>3.4</v>
      </c>
    </row>
    <row r="904" spans="1:2" x14ac:dyDescent="0.25">
      <c r="A904" t="s">
        <v>14</v>
      </c>
      <c r="B904">
        <v>3</v>
      </c>
    </row>
    <row r="905" spans="1:2" x14ac:dyDescent="0.25">
      <c r="A905" t="s">
        <v>14</v>
      </c>
      <c r="B905">
        <v>4.25</v>
      </c>
    </row>
    <row r="906" spans="1:2" x14ac:dyDescent="0.25">
      <c r="A906" t="s">
        <v>14</v>
      </c>
      <c r="B906">
        <v>2.85</v>
      </c>
    </row>
    <row r="907" spans="1:2" x14ac:dyDescent="0.25">
      <c r="A907" t="s">
        <v>14</v>
      </c>
      <c r="B907">
        <v>2.75</v>
      </c>
    </row>
    <row r="908" spans="1:2" x14ac:dyDescent="0.25">
      <c r="A908" t="s">
        <v>14</v>
      </c>
      <c r="B908">
        <v>2.5</v>
      </c>
    </row>
    <row r="909" spans="1:2" x14ac:dyDescent="0.25">
      <c r="A909" t="s">
        <v>14</v>
      </c>
      <c r="B909">
        <v>1</v>
      </c>
    </row>
    <row r="910" spans="1:2" x14ac:dyDescent="0.25">
      <c r="A910" t="s">
        <v>14</v>
      </c>
      <c r="B910">
        <v>3.2</v>
      </c>
    </row>
    <row r="911" spans="1:2" x14ac:dyDescent="0.25">
      <c r="A911" t="s">
        <v>14</v>
      </c>
      <c r="B911">
        <v>3.65</v>
      </c>
    </row>
    <row r="912" spans="1:2" x14ac:dyDescent="0.25">
      <c r="A912" t="s">
        <v>14</v>
      </c>
      <c r="B912">
        <v>3.5</v>
      </c>
    </row>
    <row r="913" spans="1:2" x14ac:dyDescent="0.25">
      <c r="A913" t="s">
        <v>14</v>
      </c>
      <c r="B913">
        <v>3.5</v>
      </c>
    </row>
    <row r="914" spans="1:2" x14ac:dyDescent="0.25">
      <c r="A914" t="s">
        <v>14</v>
      </c>
      <c r="B914">
        <v>4</v>
      </c>
    </row>
    <row r="915" spans="1:2" x14ac:dyDescent="0.25">
      <c r="A915" t="s">
        <v>14</v>
      </c>
      <c r="B915">
        <v>3</v>
      </c>
    </row>
    <row r="916" spans="1:2" x14ac:dyDescent="0.25">
      <c r="A916" t="s">
        <v>14</v>
      </c>
      <c r="B916">
        <v>0</v>
      </c>
    </row>
    <row r="917" spans="1:2" x14ac:dyDescent="0.25">
      <c r="A917" t="s">
        <v>14</v>
      </c>
      <c r="B917">
        <v>3</v>
      </c>
    </row>
    <row r="918" spans="1:2" x14ac:dyDescent="0.25">
      <c r="A918" t="s">
        <v>1270</v>
      </c>
      <c r="B918">
        <v>3</v>
      </c>
    </row>
    <row r="919" spans="1:2" x14ac:dyDescent="0.25">
      <c r="A919" t="s">
        <v>1270</v>
      </c>
      <c r="B919">
        <v>3.5</v>
      </c>
    </row>
    <row r="920" spans="1:2" x14ac:dyDescent="0.25">
      <c r="A920" t="s">
        <v>1270</v>
      </c>
      <c r="B920">
        <v>3.25</v>
      </c>
    </row>
    <row r="921" spans="1:2" x14ac:dyDescent="0.25">
      <c r="A921" t="s">
        <v>25</v>
      </c>
      <c r="B921">
        <v>5</v>
      </c>
    </row>
    <row r="922" spans="1:2" x14ac:dyDescent="0.25">
      <c r="A922" t="s">
        <v>25</v>
      </c>
      <c r="B922">
        <v>5</v>
      </c>
    </row>
    <row r="923" spans="1:2" x14ac:dyDescent="0.25">
      <c r="A923" t="s">
        <v>25</v>
      </c>
      <c r="B923">
        <v>4.75</v>
      </c>
    </row>
    <row r="924" spans="1:2" x14ac:dyDescent="0.25">
      <c r="A924" t="s">
        <v>25</v>
      </c>
      <c r="B924">
        <v>5</v>
      </c>
    </row>
    <row r="925" spans="1:2" x14ac:dyDescent="0.25">
      <c r="A925" t="s">
        <v>25</v>
      </c>
      <c r="B925">
        <v>5</v>
      </c>
    </row>
    <row r="926" spans="1:2" x14ac:dyDescent="0.25">
      <c r="A926" t="s">
        <v>25</v>
      </c>
      <c r="B926">
        <v>4.25</v>
      </c>
    </row>
    <row r="927" spans="1:2" x14ac:dyDescent="0.25">
      <c r="A927" t="s">
        <v>25</v>
      </c>
      <c r="B927">
        <v>3.75</v>
      </c>
    </row>
    <row r="928" spans="1:2" x14ac:dyDescent="0.25">
      <c r="A928" t="s">
        <v>25</v>
      </c>
      <c r="B928">
        <v>4.75</v>
      </c>
    </row>
    <row r="929" spans="1:2" x14ac:dyDescent="0.25">
      <c r="A929" t="s">
        <v>25</v>
      </c>
      <c r="B929">
        <v>4.25</v>
      </c>
    </row>
    <row r="930" spans="1:2" x14ac:dyDescent="0.25">
      <c r="A930" t="s">
        <v>25</v>
      </c>
      <c r="B930">
        <v>4</v>
      </c>
    </row>
    <row r="931" spans="1:2" x14ac:dyDescent="0.25">
      <c r="A931" t="s">
        <v>25</v>
      </c>
      <c r="B931">
        <v>4.25</v>
      </c>
    </row>
    <row r="932" spans="1:2" x14ac:dyDescent="0.25">
      <c r="A932" t="s">
        <v>25</v>
      </c>
      <c r="B932">
        <v>5</v>
      </c>
    </row>
    <row r="933" spans="1:2" x14ac:dyDescent="0.25">
      <c r="A933" t="s">
        <v>25</v>
      </c>
      <c r="B933" t="s">
        <v>76</v>
      </c>
    </row>
    <row r="934" spans="1:2" x14ac:dyDescent="0.25">
      <c r="A934" t="s">
        <v>25</v>
      </c>
      <c r="B934">
        <v>5</v>
      </c>
    </row>
    <row r="935" spans="1:2" x14ac:dyDescent="0.25">
      <c r="A935" t="s">
        <v>25</v>
      </c>
      <c r="B935">
        <v>2</v>
      </c>
    </row>
    <row r="936" spans="1:2" x14ac:dyDescent="0.25">
      <c r="A936" t="s">
        <v>25</v>
      </c>
      <c r="B936">
        <v>4.5</v>
      </c>
    </row>
    <row r="937" spans="1:2" x14ac:dyDescent="0.25">
      <c r="A937" t="s">
        <v>25</v>
      </c>
      <c r="B937">
        <v>4.5</v>
      </c>
    </row>
    <row r="938" spans="1:2" x14ac:dyDescent="0.25">
      <c r="A938" t="s">
        <v>25</v>
      </c>
      <c r="B938">
        <v>1</v>
      </c>
    </row>
    <row r="939" spans="1:2" x14ac:dyDescent="0.25">
      <c r="A939" t="s">
        <v>25</v>
      </c>
      <c r="B939">
        <v>5</v>
      </c>
    </row>
    <row r="940" spans="1:2" x14ac:dyDescent="0.25">
      <c r="A940" t="s">
        <v>25</v>
      </c>
      <c r="B940">
        <v>3.75</v>
      </c>
    </row>
    <row r="941" spans="1:2" x14ac:dyDescent="0.25">
      <c r="A941" t="s">
        <v>25</v>
      </c>
      <c r="B941">
        <v>3</v>
      </c>
    </row>
    <row r="942" spans="1:2" x14ac:dyDescent="0.25">
      <c r="A942" t="s">
        <v>25</v>
      </c>
      <c r="B942">
        <v>5</v>
      </c>
    </row>
    <row r="943" spans="1:2" x14ac:dyDescent="0.25">
      <c r="A943" t="s">
        <v>25</v>
      </c>
      <c r="B943">
        <v>3.75</v>
      </c>
    </row>
    <row r="944" spans="1:2" x14ac:dyDescent="0.25">
      <c r="A944" t="s">
        <v>25</v>
      </c>
      <c r="B944">
        <v>4</v>
      </c>
    </row>
    <row r="945" spans="1:2" x14ac:dyDescent="0.25">
      <c r="A945" t="s">
        <v>25</v>
      </c>
      <c r="B945">
        <v>4.25</v>
      </c>
    </row>
    <row r="946" spans="1:2" x14ac:dyDescent="0.25">
      <c r="A946" t="s">
        <v>25</v>
      </c>
      <c r="B946">
        <v>3.5</v>
      </c>
    </row>
    <row r="947" spans="1:2" x14ac:dyDescent="0.25">
      <c r="A947" t="s">
        <v>25</v>
      </c>
      <c r="B947">
        <v>2</v>
      </c>
    </row>
    <row r="948" spans="1:2" x14ac:dyDescent="0.25">
      <c r="A948" t="s">
        <v>25</v>
      </c>
      <c r="B948" t="s">
        <v>76</v>
      </c>
    </row>
    <row r="949" spans="1:2" x14ac:dyDescent="0.25">
      <c r="A949" t="s">
        <v>25</v>
      </c>
      <c r="B949">
        <v>3.75</v>
      </c>
    </row>
    <row r="950" spans="1:2" x14ac:dyDescent="0.25">
      <c r="A950" t="s">
        <v>25</v>
      </c>
      <c r="B950">
        <v>4</v>
      </c>
    </row>
    <row r="951" spans="1:2" x14ac:dyDescent="0.25">
      <c r="A951" t="s">
        <v>25</v>
      </c>
      <c r="B951">
        <v>5</v>
      </c>
    </row>
    <row r="952" spans="1:2" x14ac:dyDescent="0.25">
      <c r="A952" t="s">
        <v>25</v>
      </c>
      <c r="B952">
        <v>0.5</v>
      </c>
    </row>
    <row r="953" spans="1:2" x14ac:dyDescent="0.25">
      <c r="A953" t="s">
        <v>25</v>
      </c>
      <c r="B953">
        <v>3.75</v>
      </c>
    </row>
    <row r="954" spans="1:2" x14ac:dyDescent="0.25">
      <c r="A954" t="s">
        <v>25</v>
      </c>
      <c r="B954">
        <v>4.5</v>
      </c>
    </row>
    <row r="955" spans="1:2" x14ac:dyDescent="0.25">
      <c r="A955" t="s">
        <v>25</v>
      </c>
      <c r="B955">
        <v>4.25</v>
      </c>
    </row>
    <row r="956" spans="1:2" x14ac:dyDescent="0.25">
      <c r="A956" t="s">
        <v>25</v>
      </c>
      <c r="B956">
        <v>3.75</v>
      </c>
    </row>
    <row r="957" spans="1:2" x14ac:dyDescent="0.25">
      <c r="A957" t="s">
        <v>25</v>
      </c>
      <c r="B957">
        <v>4</v>
      </c>
    </row>
    <row r="958" spans="1:2" x14ac:dyDescent="0.25">
      <c r="A958" t="s">
        <v>25</v>
      </c>
      <c r="B958">
        <v>5</v>
      </c>
    </row>
    <row r="959" spans="1:2" x14ac:dyDescent="0.25">
      <c r="A959" t="s">
        <v>25</v>
      </c>
      <c r="B959">
        <v>5</v>
      </c>
    </row>
    <row r="960" spans="1:2" x14ac:dyDescent="0.25">
      <c r="A960" t="s">
        <v>25</v>
      </c>
      <c r="B960">
        <v>4</v>
      </c>
    </row>
    <row r="961" spans="1:2" x14ac:dyDescent="0.25">
      <c r="A961" t="s">
        <v>25</v>
      </c>
      <c r="B961">
        <v>4</v>
      </c>
    </row>
    <row r="962" spans="1:2" x14ac:dyDescent="0.25">
      <c r="A962" t="s">
        <v>25</v>
      </c>
      <c r="B962">
        <v>4</v>
      </c>
    </row>
    <row r="963" spans="1:2" x14ac:dyDescent="0.25">
      <c r="A963" t="s">
        <v>25</v>
      </c>
      <c r="B963">
        <v>5</v>
      </c>
    </row>
    <row r="964" spans="1:2" x14ac:dyDescent="0.25">
      <c r="A964" t="s">
        <v>25</v>
      </c>
      <c r="B964">
        <v>5</v>
      </c>
    </row>
    <row r="965" spans="1:2" x14ac:dyDescent="0.25">
      <c r="A965" t="s">
        <v>25</v>
      </c>
      <c r="B965">
        <v>3.5</v>
      </c>
    </row>
    <row r="966" spans="1:2" x14ac:dyDescent="0.25">
      <c r="A966" t="s">
        <v>25</v>
      </c>
      <c r="B966">
        <v>4</v>
      </c>
    </row>
    <row r="967" spans="1:2" x14ac:dyDescent="0.25">
      <c r="A967" t="s">
        <v>25</v>
      </c>
      <c r="B967">
        <v>5</v>
      </c>
    </row>
    <row r="968" spans="1:2" x14ac:dyDescent="0.25">
      <c r="A968" t="s">
        <v>25</v>
      </c>
      <c r="B968">
        <v>4</v>
      </c>
    </row>
    <row r="969" spans="1:2" x14ac:dyDescent="0.25">
      <c r="A969" t="s">
        <v>25</v>
      </c>
      <c r="B969">
        <v>3</v>
      </c>
    </row>
    <row r="970" spans="1:2" x14ac:dyDescent="0.25">
      <c r="A970" t="s">
        <v>25</v>
      </c>
      <c r="B970">
        <v>5</v>
      </c>
    </row>
    <row r="971" spans="1:2" x14ac:dyDescent="0.25">
      <c r="A971" t="s">
        <v>25</v>
      </c>
      <c r="B971">
        <v>5</v>
      </c>
    </row>
    <row r="972" spans="1:2" x14ac:dyDescent="0.25">
      <c r="A972" t="s">
        <v>25</v>
      </c>
      <c r="B972">
        <v>4</v>
      </c>
    </row>
    <row r="973" spans="1:2" x14ac:dyDescent="0.25">
      <c r="A973" t="s">
        <v>25</v>
      </c>
      <c r="B973">
        <v>5</v>
      </c>
    </row>
    <row r="974" spans="1:2" x14ac:dyDescent="0.25">
      <c r="A974" t="s">
        <v>25</v>
      </c>
      <c r="B974">
        <v>5</v>
      </c>
    </row>
    <row r="975" spans="1:2" x14ac:dyDescent="0.25">
      <c r="A975" t="s">
        <v>25</v>
      </c>
      <c r="B975">
        <v>5</v>
      </c>
    </row>
    <row r="976" spans="1:2" x14ac:dyDescent="0.25">
      <c r="A976" t="s">
        <v>25</v>
      </c>
      <c r="B976">
        <v>4</v>
      </c>
    </row>
    <row r="977" spans="1:2" x14ac:dyDescent="0.25">
      <c r="A977" t="s">
        <v>25</v>
      </c>
      <c r="B977">
        <v>4</v>
      </c>
    </row>
    <row r="978" spans="1:2" x14ac:dyDescent="0.25">
      <c r="A978" t="s">
        <v>25</v>
      </c>
      <c r="B978">
        <v>5</v>
      </c>
    </row>
    <row r="979" spans="1:2" x14ac:dyDescent="0.25">
      <c r="A979" t="s">
        <v>25</v>
      </c>
      <c r="B979">
        <v>4.5</v>
      </c>
    </row>
    <row r="980" spans="1:2" x14ac:dyDescent="0.25">
      <c r="A980" t="s">
        <v>25</v>
      </c>
      <c r="B980">
        <v>3.5</v>
      </c>
    </row>
    <row r="981" spans="1:2" x14ac:dyDescent="0.25">
      <c r="A981" t="s">
        <v>25</v>
      </c>
      <c r="B981">
        <v>4</v>
      </c>
    </row>
    <row r="982" spans="1:2" x14ac:dyDescent="0.25">
      <c r="A982" t="s">
        <v>25</v>
      </c>
      <c r="B982">
        <v>0</v>
      </c>
    </row>
    <row r="983" spans="1:2" x14ac:dyDescent="0.25">
      <c r="A983" t="s">
        <v>25</v>
      </c>
      <c r="B983">
        <v>5</v>
      </c>
    </row>
    <row r="984" spans="1:2" x14ac:dyDescent="0.25">
      <c r="A984" t="s">
        <v>25</v>
      </c>
      <c r="B984">
        <v>4</v>
      </c>
    </row>
    <row r="985" spans="1:2" x14ac:dyDescent="0.25">
      <c r="A985" t="s">
        <v>25</v>
      </c>
      <c r="B985">
        <v>5</v>
      </c>
    </row>
    <row r="986" spans="1:2" x14ac:dyDescent="0.25">
      <c r="A986" t="s">
        <v>25</v>
      </c>
      <c r="B986">
        <v>4.5</v>
      </c>
    </row>
    <row r="987" spans="1:2" x14ac:dyDescent="0.25">
      <c r="A987" t="s">
        <v>25</v>
      </c>
      <c r="B987">
        <v>3.5</v>
      </c>
    </row>
    <row r="988" spans="1:2" x14ac:dyDescent="0.25">
      <c r="A988" t="s">
        <v>25</v>
      </c>
      <c r="B988">
        <v>5</v>
      </c>
    </row>
    <row r="989" spans="1:2" x14ac:dyDescent="0.25">
      <c r="A989" t="s">
        <v>25</v>
      </c>
      <c r="B989">
        <v>5</v>
      </c>
    </row>
    <row r="990" spans="1:2" x14ac:dyDescent="0.25">
      <c r="A990" t="s">
        <v>25</v>
      </c>
      <c r="B990">
        <v>3.5</v>
      </c>
    </row>
    <row r="991" spans="1:2" x14ac:dyDescent="0.25">
      <c r="A991" t="s">
        <v>25</v>
      </c>
      <c r="B991">
        <v>5</v>
      </c>
    </row>
    <row r="992" spans="1:2" x14ac:dyDescent="0.25">
      <c r="A992" t="s">
        <v>25</v>
      </c>
      <c r="B992">
        <v>4.25</v>
      </c>
    </row>
    <row r="993" spans="1:2" x14ac:dyDescent="0.25">
      <c r="A993" t="s">
        <v>25</v>
      </c>
      <c r="B993">
        <v>3.5</v>
      </c>
    </row>
    <row r="994" spans="1:2" x14ac:dyDescent="0.25">
      <c r="A994" t="s">
        <v>25</v>
      </c>
      <c r="B994">
        <v>3.5</v>
      </c>
    </row>
    <row r="995" spans="1:2" x14ac:dyDescent="0.25">
      <c r="A995" t="s">
        <v>25</v>
      </c>
      <c r="B995">
        <v>5</v>
      </c>
    </row>
    <row r="996" spans="1:2" x14ac:dyDescent="0.25">
      <c r="A996" t="s">
        <v>25</v>
      </c>
      <c r="B996">
        <v>4.25</v>
      </c>
    </row>
    <row r="997" spans="1:2" x14ac:dyDescent="0.25">
      <c r="A997" t="s">
        <v>25</v>
      </c>
      <c r="B997">
        <v>3.75</v>
      </c>
    </row>
    <row r="998" spans="1:2" x14ac:dyDescent="0.25">
      <c r="A998" t="s">
        <v>25</v>
      </c>
      <c r="B998">
        <v>5</v>
      </c>
    </row>
    <row r="999" spans="1:2" x14ac:dyDescent="0.25">
      <c r="A999" t="s">
        <v>25</v>
      </c>
      <c r="B999">
        <v>5</v>
      </c>
    </row>
    <row r="1000" spans="1:2" x14ac:dyDescent="0.25">
      <c r="A1000" t="s">
        <v>25</v>
      </c>
      <c r="B1000">
        <v>4</v>
      </c>
    </row>
    <row r="1001" spans="1:2" x14ac:dyDescent="0.25">
      <c r="A1001" t="s">
        <v>25</v>
      </c>
      <c r="B1001">
        <v>3.5</v>
      </c>
    </row>
    <row r="1002" spans="1:2" x14ac:dyDescent="0.25">
      <c r="A1002" t="s">
        <v>25</v>
      </c>
      <c r="B1002">
        <v>3.75</v>
      </c>
    </row>
    <row r="1003" spans="1:2" x14ac:dyDescent="0.25">
      <c r="A1003" t="s">
        <v>25</v>
      </c>
      <c r="B1003">
        <v>4</v>
      </c>
    </row>
    <row r="1004" spans="1:2" x14ac:dyDescent="0.25">
      <c r="A1004" t="s">
        <v>25</v>
      </c>
      <c r="B1004">
        <v>4</v>
      </c>
    </row>
    <row r="1005" spans="1:2" x14ac:dyDescent="0.25">
      <c r="A1005" t="s">
        <v>25</v>
      </c>
      <c r="B1005">
        <v>4</v>
      </c>
    </row>
    <row r="1006" spans="1:2" x14ac:dyDescent="0.25">
      <c r="A1006" t="s">
        <v>25</v>
      </c>
      <c r="B1006">
        <v>1</v>
      </c>
    </row>
    <row r="1007" spans="1:2" x14ac:dyDescent="0.25">
      <c r="A1007" t="s">
        <v>25</v>
      </c>
      <c r="B1007">
        <v>5</v>
      </c>
    </row>
    <row r="1008" spans="1:2" x14ac:dyDescent="0.25">
      <c r="A1008" t="s">
        <v>25</v>
      </c>
      <c r="B1008">
        <v>3.75</v>
      </c>
    </row>
    <row r="1009" spans="1:2" x14ac:dyDescent="0.25">
      <c r="A1009" t="s">
        <v>25</v>
      </c>
      <c r="B1009">
        <v>4.5</v>
      </c>
    </row>
    <row r="1010" spans="1:2" x14ac:dyDescent="0.25">
      <c r="A1010" t="s">
        <v>25</v>
      </c>
      <c r="B1010">
        <v>3.75</v>
      </c>
    </row>
    <row r="1011" spans="1:2" x14ac:dyDescent="0.25">
      <c r="A1011" t="s">
        <v>25</v>
      </c>
      <c r="B1011">
        <v>3.75</v>
      </c>
    </row>
    <row r="1012" spans="1:2" x14ac:dyDescent="0.25">
      <c r="A1012" t="s">
        <v>25</v>
      </c>
      <c r="B1012">
        <v>4</v>
      </c>
    </row>
    <row r="1013" spans="1:2" x14ac:dyDescent="0.25">
      <c r="A1013" t="s">
        <v>25</v>
      </c>
      <c r="B1013">
        <v>4</v>
      </c>
    </row>
    <row r="1014" spans="1:2" x14ac:dyDescent="0.25">
      <c r="A1014" t="s">
        <v>25</v>
      </c>
      <c r="B1014">
        <v>2.75</v>
      </c>
    </row>
    <row r="1015" spans="1:2" x14ac:dyDescent="0.25">
      <c r="A1015" t="s">
        <v>25</v>
      </c>
      <c r="B1015">
        <v>5</v>
      </c>
    </row>
    <row r="1016" spans="1:2" x14ac:dyDescent="0.25">
      <c r="A1016" t="s">
        <v>25</v>
      </c>
      <c r="B1016">
        <v>5</v>
      </c>
    </row>
    <row r="1017" spans="1:2" x14ac:dyDescent="0.25">
      <c r="A1017" t="s">
        <v>25</v>
      </c>
      <c r="B1017">
        <v>4</v>
      </c>
    </row>
    <row r="1018" spans="1:2" x14ac:dyDescent="0.25">
      <c r="A1018" t="s">
        <v>25</v>
      </c>
      <c r="B1018">
        <v>4.5</v>
      </c>
    </row>
    <row r="1019" spans="1:2" x14ac:dyDescent="0.25">
      <c r="A1019" t="s">
        <v>25</v>
      </c>
      <c r="B1019">
        <v>4</v>
      </c>
    </row>
    <row r="1020" spans="1:2" x14ac:dyDescent="0.25">
      <c r="A1020" t="s">
        <v>25</v>
      </c>
      <c r="B1020">
        <v>3.25</v>
      </c>
    </row>
    <row r="1021" spans="1:2" x14ac:dyDescent="0.25">
      <c r="A1021" t="s">
        <v>25</v>
      </c>
      <c r="B1021">
        <v>3.5</v>
      </c>
    </row>
    <row r="1022" spans="1:2" x14ac:dyDescent="0.25">
      <c r="A1022" t="s">
        <v>25</v>
      </c>
      <c r="B1022">
        <v>3.75</v>
      </c>
    </row>
    <row r="1023" spans="1:2" x14ac:dyDescent="0.25">
      <c r="A1023" t="s">
        <v>25</v>
      </c>
      <c r="B1023">
        <v>3.25</v>
      </c>
    </row>
    <row r="1024" spans="1:2" x14ac:dyDescent="0.25">
      <c r="A1024" t="s">
        <v>25</v>
      </c>
      <c r="B1024">
        <v>4</v>
      </c>
    </row>
    <row r="1025" spans="1:2" x14ac:dyDescent="0.25">
      <c r="A1025" t="s">
        <v>25</v>
      </c>
      <c r="B1025">
        <v>4</v>
      </c>
    </row>
    <row r="1026" spans="1:2" x14ac:dyDescent="0.25">
      <c r="A1026" t="s">
        <v>25</v>
      </c>
      <c r="B1026">
        <v>3.5</v>
      </c>
    </row>
    <row r="1027" spans="1:2" x14ac:dyDescent="0.25">
      <c r="A1027" t="s">
        <v>25</v>
      </c>
      <c r="B1027">
        <v>4</v>
      </c>
    </row>
    <row r="1028" spans="1:2" x14ac:dyDescent="0.25">
      <c r="A1028" t="s">
        <v>25</v>
      </c>
      <c r="B1028">
        <v>3.75</v>
      </c>
    </row>
    <row r="1029" spans="1:2" x14ac:dyDescent="0.25">
      <c r="A1029" t="s">
        <v>25</v>
      </c>
      <c r="B1029">
        <v>4</v>
      </c>
    </row>
    <row r="1030" spans="1:2" x14ac:dyDescent="0.25">
      <c r="A1030" t="s">
        <v>25</v>
      </c>
      <c r="B1030">
        <v>4.25</v>
      </c>
    </row>
    <row r="1031" spans="1:2" x14ac:dyDescent="0.25">
      <c r="A1031" t="s">
        <v>25</v>
      </c>
      <c r="B1031">
        <v>3.5</v>
      </c>
    </row>
    <row r="1032" spans="1:2" x14ac:dyDescent="0.25">
      <c r="A1032" t="s">
        <v>25</v>
      </c>
      <c r="B1032">
        <v>4.5</v>
      </c>
    </row>
    <row r="1033" spans="1:2" x14ac:dyDescent="0.25">
      <c r="A1033" t="s">
        <v>25</v>
      </c>
      <c r="B1033">
        <v>5</v>
      </c>
    </row>
    <row r="1034" spans="1:2" x14ac:dyDescent="0.25">
      <c r="A1034" t="s">
        <v>25</v>
      </c>
      <c r="B1034">
        <v>4</v>
      </c>
    </row>
    <row r="1035" spans="1:2" x14ac:dyDescent="0.25">
      <c r="A1035" t="s">
        <v>25</v>
      </c>
      <c r="B1035">
        <v>3.5</v>
      </c>
    </row>
    <row r="1036" spans="1:2" x14ac:dyDescent="0.25">
      <c r="A1036" t="s">
        <v>25</v>
      </c>
      <c r="B1036">
        <v>4</v>
      </c>
    </row>
    <row r="1037" spans="1:2" x14ac:dyDescent="0.25">
      <c r="A1037" t="s">
        <v>25</v>
      </c>
      <c r="B1037">
        <v>4</v>
      </c>
    </row>
    <row r="1038" spans="1:2" x14ac:dyDescent="0.25">
      <c r="A1038" t="s">
        <v>25</v>
      </c>
      <c r="B1038">
        <v>3.75</v>
      </c>
    </row>
    <row r="1039" spans="1:2" x14ac:dyDescent="0.25">
      <c r="A1039" t="s">
        <v>25</v>
      </c>
      <c r="B1039">
        <v>5</v>
      </c>
    </row>
    <row r="1040" spans="1:2" x14ac:dyDescent="0.25">
      <c r="A1040" t="s">
        <v>25</v>
      </c>
      <c r="B1040">
        <v>4</v>
      </c>
    </row>
    <row r="1041" spans="1:2" x14ac:dyDescent="0.25">
      <c r="A1041" t="s">
        <v>25</v>
      </c>
      <c r="B1041">
        <v>4</v>
      </c>
    </row>
    <row r="1042" spans="1:2" x14ac:dyDescent="0.25">
      <c r="A1042" t="s">
        <v>25</v>
      </c>
      <c r="B1042">
        <v>3.75</v>
      </c>
    </row>
    <row r="1043" spans="1:2" x14ac:dyDescent="0.25">
      <c r="A1043" t="s">
        <v>25</v>
      </c>
      <c r="B1043">
        <v>3.75</v>
      </c>
    </row>
    <row r="1044" spans="1:2" x14ac:dyDescent="0.25">
      <c r="A1044" t="s">
        <v>25</v>
      </c>
      <c r="B1044">
        <v>3.5</v>
      </c>
    </row>
    <row r="1045" spans="1:2" x14ac:dyDescent="0.25">
      <c r="A1045" t="s">
        <v>25</v>
      </c>
      <c r="B1045">
        <v>4.5</v>
      </c>
    </row>
    <row r="1046" spans="1:2" x14ac:dyDescent="0.25">
      <c r="A1046" t="s">
        <v>25</v>
      </c>
      <c r="B1046">
        <v>5</v>
      </c>
    </row>
    <row r="1047" spans="1:2" x14ac:dyDescent="0.25">
      <c r="A1047" t="s">
        <v>25</v>
      </c>
      <c r="B1047">
        <v>4.25</v>
      </c>
    </row>
    <row r="1048" spans="1:2" x14ac:dyDescent="0.25">
      <c r="A1048" t="s">
        <v>25</v>
      </c>
      <c r="B1048">
        <v>4.75</v>
      </c>
    </row>
    <row r="1049" spans="1:2" x14ac:dyDescent="0.25">
      <c r="A1049" t="s">
        <v>25</v>
      </c>
      <c r="B1049">
        <v>4</v>
      </c>
    </row>
    <row r="1050" spans="1:2" x14ac:dyDescent="0.25">
      <c r="A1050" t="s">
        <v>25</v>
      </c>
      <c r="B1050">
        <v>4.25</v>
      </c>
    </row>
    <row r="1051" spans="1:2" x14ac:dyDescent="0.25">
      <c r="A1051" t="s">
        <v>25</v>
      </c>
      <c r="B1051">
        <v>3.75</v>
      </c>
    </row>
    <row r="1052" spans="1:2" x14ac:dyDescent="0.25">
      <c r="A1052" t="s">
        <v>25</v>
      </c>
      <c r="B1052">
        <v>3.5</v>
      </c>
    </row>
    <row r="1053" spans="1:2" x14ac:dyDescent="0.25">
      <c r="A1053" t="s">
        <v>25</v>
      </c>
      <c r="B1053">
        <v>3.5</v>
      </c>
    </row>
    <row r="1054" spans="1:2" x14ac:dyDescent="0.25">
      <c r="A1054" t="s">
        <v>25</v>
      </c>
      <c r="B1054">
        <v>4.5</v>
      </c>
    </row>
    <row r="1055" spans="1:2" x14ac:dyDescent="0.25">
      <c r="A1055" t="s">
        <v>25</v>
      </c>
      <c r="B1055">
        <v>4</v>
      </c>
    </row>
    <row r="1056" spans="1:2" x14ac:dyDescent="0.25">
      <c r="A1056" t="s">
        <v>25</v>
      </c>
      <c r="B1056">
        <v>4</v>
      </c>
    </row>
    <row r="1057" spans="1:2" x14ac:dyDescent="0.25">
      <c r="A1057" t="s">
        <v>25</v>
      </c>
      <c r="B1057">
        <v>4.5</v>
      </c>
    </row>
    <row r="1058" spans="1:2" x14ac:dyDescent="0.25">
      <c r="A1058" t="s">
        <v>25</v>
      </c>
      <c r="B1058">
        <v>3.75</v>
      </c>
    </row>
    <row r="1059" spans="1:2" x14ac:dyDescent="0.25">
      <c r="A1059" t="s">
        <v>25</v>
      </c>
      <c r="B1059">
        <v>4.5</v>
      </c>
    </row>
    <row r="1060" spans="1:2" x14ac:dyDescent="0.25">
      <c r="A1060" t="s">
        <v>25</v>
      </c>
      <c r="B1060">
        <v>5</v>
      </c>
    </row>
    <row r="1061" spans="1:2" x14ac:dyDescent="0.25">
      <c r="A1061" t="s">
        <v>25</v>
      </c>
      <c r="B1061">
        <v>4.75</v>
      </c>
    </row>
    <row r="1062" spans="1:2" x14ac:dyDescent="0.25">
      <c r="A1062" t="s">
        <v>25</v>
      </c>
      <c r="B1062">
        <v>3.75</v>
      </c>
    </row>
    <row r="1063" spans="1:2" x14ac:dyDescent="0.25">
      <c r="A1063" t="s">
        <v>25</v>
      </c>
      <c r="B1063">
        <v>3.5</v>
      </c>
    </row>
    <row r="1064" spans="1:2" x14ac:dyDescent="0.25">
      <c r="A1064" t="s">
        <v>25</v>
      </c>
      <c r="B1064">
        <v>4.5</v>
      </c>
    </row>
    <row r="1065" spans="1:2" x14ac:dyDescent="0.25">
      <c r="A1065" t="s">
        <v>25</v>
      </c>
      <c r="B1065">
        <v>4.25</v>
      </c>
    </row>
    <row r="1066" spans="1:2" x14ac:dyDescent="0.25">
      <c r="A1066" t="s">
        <v>25</v>
      </c>
      <c r="B1066">
        <v>4</v>
      </c>
    </row>
    <row r="1067" spans="1:2" x14ac:dyDescent="0.25">
      <c r="A1067" t="s">
        <v>25</v>
      </c>
      <c r="B1067">
        <v>3.5</v>
      </c>
    </row>
    <row r="1068" spans="1:2" x14ac:dyDescent="0.25">
      <c r="A1068" t="s">
        <v>25</v>
      </c>
      <c r="B1068">
        <v>3</v>
      </c>
    </row>
    <row r="1069" spans="1:2" x14ac:dyDescent="0.25">
      <c r="A1069" t="s">
        <v>25</v>
      </c>
      <c r="B1069">
        <v>3.25</v>
      </c>
    </row>
    <row r="1070" spans="1:2" x14ac:dyDescent="0.25">
      <c r="A1070" t="s">
        <v>25</v>
      </c>
      <c r="B1070">
        <v>3.25</v>
      </c>
    </row>
    <row r="1071" spans="1:2" x14ac:dyDescent="0.25">
      <c r="A1071" t="s">
        <v>25</v>
      </c>
      <c r="B1071">
        <v>5</v>
      </c>
    </row>
    <row r="1072" spans="1:2" x14ac:dyDescent="0.25">
      <c r="A1072" t="s">
        <v>25</v>
      </c>
      <c r="B1072">
        <v>3.75</v>
      </c>
    </row>
    <row r="1073" spans="1:2" x14ac:dyDescent="0.25">
      <c r="A1073" t="s">
        <v>25</v>
      </c>
      <c r="B1073">
        <v>4.25</v>
      </c>
    </row>
    <row r="1074" spans="1:2" x14ac:dyDescent="0.25">
      <c r="A1074" t="s">
        <v>25</v>
      </c>
      <c r="B1074">
        <v>4.5</v>
      </c>
    </row>
    <row r="1075" spans="1:2" x14ac:dyDescent="0.25">
      <c r="A1075" t="s">
        <v>25</v>
      </c>
      <c r="B1075">
        <v>4.25</v>
      </c>
    </row>
    <row r="1076" spans="1:2" x14ac:dyDescent="0.25">
      <c r="A1076" t="s">
        <v>25</v>
      </c>
      <c r="B1076">
        <v>4</v>
      </c>
    </row>
    <row r="1077" spans="1:2" x14ac:dyDescent="0.25">
      <c r="A1077" t="s">
        <v>25</v>
      </c>
      <c r="B1077">
        <v>2</v>
      </c>
    </row>
    <row r="1078" spans="1:2" x14ac:dyDescent="0.25">
      <c r="A1078" t="s">
        <v>25</v>
      </c>
      <c r="B1078">
        <v>4.75</v>
      </c>
    </row>
    <row r="1079" spans="1:2" x14ac:dyDescent="0.25">
      <c r="A1079" t="s">
        <v>25</v>
      </c>
      <c r="B1079">
        <v>3.5</v>
      </c>
    </row>
    <row r="1080" spans="1:2" x14ac:dyDescent="0.25">
      <c r="A1080" t="s">
        <v>25</v>
      </c>
      <c r="B1080">
        <v>4.75</v>
      </c>
    </row>
    <row r="1081" spans="1:2" x14ac:dyDescent="0.25">
      <c r="A1081" t="s">
        <v>25</v>
      </c>
      <c r="B1081">
        <v>5</v>
      </c>
    </row>
    <row r="1082" spans="1:2" x14ac:dyDescent="0.25">
      <c r="A1082" t="s">
        <v>25</v>
      </c>
      <c r="B1082">
        <v>5</v>
      </c>
    </row>
    <row r="1083" spans="1:2" x14ac:dyDescent="0.25">
      <c r="A1083" t="s">
        <v>25</v>
      </c>
      <c r="B1083">
        <v>3.5</v>
      </c>
    </row>
    <row r="1084" spans="1:2" x14ac:dyDescent="0.25">
      <c r="A1084" t="s">
        <v>25</v>
      </c>
      <c r="B1084">
        <v>4</v>
      </c>
    </row>
    <row r="1085" spans="1:2" x14ac:dyDescent="0.25">
      <c r="A1085" t="s">
        <v>25</v>
      </c>
      <c r="B1085">
        <v>3.5</v>
      </c>
    </row>
    <row r="1086" spans="1:2" x14ac:dyDescent="0.25">
      <c r="A1086" t="s">
        <v>25</v>
      </c>
      <c r="B1086">
        <v>5</v>
      </c>
    </row>
    <row r="1087" spans="1:2" x14ac:dyDescent="0.25">
      <c r="A1087" t="s">
        <v>25</v>
      </c>
      <c r="B1087">
        <v>3.5</v>
      </c>
    </row>
    <row r="1088" spans="1:2" x14ac:dyDescent="0.25">
      <c r="A1088" t="s">
        <v>25</v>
      </c>
      <c r="B1088">
        <v>3.5</v>
      </c>
    </row>
    <row r="1089" spans="1:2" x14ac:dyDescent="0.25">
      <c r="A1089" t="s">
        <v>25</v>
      </c>
      <c r="B1089">
        <v>4.25</v>
      </c>
    </row>
    <row r="1090" spans="1:2" x14ac:dyDescent="0.25">
      <c r="A1090" t="s">
        <v>25</v>
      </c>
      <c r="B1090">
        <v>4.25</v>
      </c>
    </row>
    <row r="1091" spans="1:2" x14ac:dyDescent="0.25">
      <c r="A1091" t="s">
        <v>25</v>
      </c>
      <c r="B1091">
        <v>5</v>
      </c>
    </row>
    <row r="1092" spans="1:2" x14ac:dyDescent="0.25">
      <c r="A1092" t="s">
        <v>25</v>
      </c>
      <c r="B1092">
        <v>5</v>
      </c>
    </row>
    <row r="1093" spans="1:2" x14ac:dyDescent="0.25">
      <c r="A1093" t="s">
        <v>25</v>
      </c>
      <c r="B1093">
        <v>2.75</v>
      </c>
    </row>
    <row r="1094" spans="1:2" x14ac:dyDescent="0.25">
      <c r="A1094" t="s">
        <v>25</v>
      </c>
      <c r="B1094">
        <v>3.75</v>
      </c>
    </row>
    <row r="1095" spans="1:2" x14ac:dyDescent="0.25">
      <c r="A1095" t="s">
        <v>25</v>
      </c>
      <c r="B1095">
        <v>3.75</v>
      </c>
    </row>
    <row r="1096" spans="1:2" x14ac:dyDescent="0.25">
      <c r="A1096" t="s">
        <v>25</v>
      </c>
      <c r="B1096">
        <v>4.25</v>
      </c>
    </row>
    <row r="1097" spans="1:2" x14ac:dyDescent="0.25">
      <c r="A1097" t="s">
        <v>25</v>
      </c>
      <c r="B1097">
        <v>3.75</v>
      </c>
    </row>
    <row r="1098" spans="1:2" x14ac:dyDescent="0.25">
      <c r="A1098" t="s">
        <v>25</v>
      </c>
      <c r="B1098">
        <v>3.75</v>
      </c>
    </row>
    <row r="1099" spans="1:2" x14ac:dyDescent="0.25">
      <c r="A1099" t="s">
        <v>25</v>
      </c>
      <c r="B1099">
        <v>4.75</v>
      </c>
    </row>
    <row r="1100" spans="1:2" x14ac:dyDescent="0.25">
      <c r="A1100" t="s">
        <v>25</v>
      </c>
      <c r="B1100">
        <v>3.75</v>
      </c>
    </row>
    <row r="1101" spans="1:2" x14ac:dyDescent="0.25">
      <c r="A1101" t="s">
        <v>25</v>
      </c>
      <c r="B1101">
        <v>4</v>
      </c>
    </row>
    <row r="1102" spans="1:2" x14ac:dyDescent="0.25">
      <c r="A1102" t="s">
        <v>25</v>
      </c>
      <c r="B1102">
        <v>4.75</v>
      </c>
    </row>
    <row r="1103" spans="1:2" x14ac:dyDescent="0.25">
      <c r="A1103" t="s">
        <v>25</v>
      </c>
      <c r="B1103">
        <v>5</v>
      </c>
    </row>
    <row r="1104" spans="1:2" x14ac:dyDescent="0.25">
      <c r="A1104" t="s">
        <v>25</v>
      </c>
      <c r="B1104">
        <v>3.25</v>
      </c>
    </row>
    <row r="1105" spans="1:2" x14ac:dyDescent="0.25">
      <c r="A1105" t="s">
        <v>25</v>
      </c>
      <c r="B1105">
        <v>4</v>
      </c>
    </row>
    <row r="1106" spans="1:2" x14ac:dyDescent="0.25">
      <c r="A1106" t="s">
        <v>25</v>
      </c>
      <c r="B1106">
        <v>3.5</v>
      </c>
    </row>
    <row r="1107" spans="1:2" x14ac:dyDescent="0.25">
      <c r="A1107" t="s">
        <v>25</v>
      </c>
      <c r="B1107">
        <v>3.75</v>
      </c>
    </row>
    <row r="1108" spans="1:2" x14ac:dyDescent="0.25">
      <c r="A1108" t="s">
        <v>25</v>
      </c>
      <c r="B1108">
        <v>3.75</v>
      </c>
    </row>
    <row r="1109" spans="1:2" x14ac:dyDescent="0.25">
      <c r="A1109" t="s">
        <v>25</v>
      </c>
      <c r="B1109">
        <v>3.75</v>
      </c>
    </row>
    <row r="1110" spans="1:2" x14ac:dyDescent="0.25">
      <c r="A1110" t="s">
        <v>25</v>
      </c>
      <c r="B1110">
        <v>1.1000000000000001</v>
      </c>
    </row>
    <row r="1111" spans="1:2" x14ac:dyDescent="0.25">
      <c r="A1111" t="s">
        <v>25</v>
      </c>
      <c r="B1111">
        <v>3.5</v>
      </c>
    </row>
    <row r="1112" spans="1:2" x14ac:dyDescent="0.25">
      <c r="A1112" t="s">
        <v>25</v>
      </c>
      <c r="B1112">
        <v>2.75</v>
      </c>
    </row>
    <row r="1113" spans="1:2" x14ac:dyDescent="0.25">
      <c r="A1113" t="s">
        <v>25</v>
      </c>
      <c r="B1113">
        <v>3.5</v>
      </c>
    </row>
    <row r="1114" spans="1:2" x14ac:dyDescent="0.25">
      <c r="A1114" t="s">
        <v>25</v>
      </c>
      <c r="B1114">
        <v>3.5</v>
      </c>
    </row>
    <row r="1115" spans="1:2" x14ac:dyDescent="0.25">
      <c r="A1115" t="s">
        <v>25</v>
      </c>
      <c r="B1115">
        <v>2.75</v>
      </c>
    </row>
    <row r="1116" spans="1:2" x14ac:dyDescent="0.25">
      <c r="A1116" t="s">
        <v>25</v>
      </c>
      <c r="B1116">
        <v>4</v>
      </c>
    </row>
    <row r="1117" spans="1:2" x14ac:dyDescent="0.25">
      <c r="A1117" t="s">
        <v>25</v>
      </c>
      <c r="B1117">
        <v>3.5</v>
      </c>
    </row>
    <row r="1118" spans="1:2" x14ac:dyDescent="0.25">
      <c r="A1118" t="s">
        <v>25</v>
      </c>
      <c r="B1118">
        <v>3.5</v>
      </c>
    </row>
    <row r="1119" spans="1:2" x14ac:dyDescent="0.25">
      <c r="A1119" t="s">
        <v>25</v>
      </c>
      <c r="B1119">
        <v>4</v>
      </c>
    </row>
    <row r="1120" spans="1:2" x14ac:dyDescent="0.25">
      <c r="A1120" t="s">
        <v>25</v>
      </c>
      <c r="B1120">
        <v>2.5</v>
      </c>
    </row>
    <row r="1121" spans="1:2" x14ac:dyDescent="0.25">
      <c r="A1121" t="s">
        <v>25</v>
      </c>
      <c r="B1121">
        <v>4</v>
      </c>
    </row>
    <row r="1122" spans="1:2" x14ac:dyDescent="0.25">
      <c r="A1122" t="s">
        <v>25</v>
      </c>
      <c r="B1122">
        <v>5</v>
      </c>
    </row>
    <row r="1123" spans="1:2" x14ac:dyDescent="0.25">
      <c r="A1123" t="s">
        <v>25</v>
      </c>
      <c r="B1123">
        <v>3.25</v>
      </c>
    </row>
    <row r="1124" spans="1:2" x14ac:dyDescent="0.25">
      <c r="A1124" t="s">
        <v>25</v>
      </c>
      <c r="B1124">
        <v>2.75</v>
      </c>
    </row>
    <row r="1125" spans="1:2" x14ac:dyDescent="0.25">
      <c r="A1125" t="s">
        <v>25</v>
      </c>
      <c r="B1125">
        <v>4.25</v>
      </c>
    </row>
    <row r="1126" spans="1:2" x14ac:dyDescent="0.25">
      <c r="A1126" t="s">
        <v>25</v>
      </c>
      <c r="B1126">
        <v>4.75</v>
      </c>
    </row>
    <row r="1127" spans="1:2" x14ac:dyDescent="0.25">
      <c r="A1127" t="s">
        <v>25</v>
      </c>
      <c r="B1127">
        <v>4.25</v>
      </c>
    </row>
    <row r="1128" spans="1:2" x14ac:dyDescent="0.25">
      <c r="A1128" t="s">
        <v>25</v>
      </c>
      <c r="B1128">
        <v>3.5</v>
      </c>
    </row>
    <row r="1129" spans="1:2" x14ac:dyDescent="0.25">
      <c r="A1129" t="s">
        <v>25</v>
      </c>
      <c r="B1129">
        <v>3.75</v>
      </c>
    </row>
    <row r="1130" spans="1:2" x14ac:dyDescent="0.25">
      <c r="A1130" t="s">
        <v>25</v>
      </c>
      <c r="B1130">
        <v>3.75</v>
      </c>
    </row>
    <row r="1131" spans="1:2" x14ac:dyDescent="0.25">
      <c r="A1131" t="s">
        <v>25</v>
      </c>
      <c r="B1131">
        <v>2.5</v>
      </c>
    </row>
    <row r="1132" spans="1:2" x14ac:dyDescent="0.25">
      <c r="A1132" t="s">
        <v>25</v>
      </c>
      <c r="B1132">
        <v>3.25</v>
      </c>
    </row>
    <row r="1133" spans="1:2" x14ac:dyDescent="0.25">
      <c r="A1133" t="s">
        <v>25</v>
      </c>
      <c r="B1133">
        <v>3.25</v>
      </c>
    </row>
    <row r="1134" spans="1:2" x14ac:dyDescent="0.25">
      <c r="A1134" t="s">
        <v>25</v>
      </c>
      <c r="B1134">
        <v>3</v>
      </c>
    </row>
    <row r="1135" spans="1:2" x14ac:dyDescent="0.25">
      <c r="A1135" t="s">
        <v>25</v>
      </c>
      <c r="B1135">
        <v>5</v>
      </c>
    </row>
    <row r="1136" spans="1:2" x14ac:dyDescent="0.25">
      <c r="A1136" t="s">
        <v>25</v>
      </c>
      <c r="B1136">
        <v>3</v>
      </c>
    </row>
    <row r="1137" spans="1:2" x14ac:dyDescent="0.25">
      <c r="A1137" t="s">
        <v>25</v>
      </c>
      <c r="B1137">
        <v>4.25</v>
      </c>
    </row>
    <row r="1138" spans="1:2" x14ac:dyDescent="0.25">
      <c r="A1138" t="s">
        <v>25</v>
      </c>
      <c r="B1138">
        <v>3.75</v>
      </c>
    </row>
    <row r="1139" spans="1:2" x14ac:dyDescent="0.25">
      <c r="A1139" t="s">
        <v>25</v>
      </c>
      <c r="B1139">
        <v>3</v>
      </c>
    </row>
    <row r="1140" spans="1:2" x14ac:dyDescent="0.25">
      <c r="A1140" t="s">
        <v>25</v>
      </c>
      <c r="B1140">
        <v>3.75</v>
      </c>
    </row>
    <row r="1141" spans="1:2" x14ac:dyDescent="0.25">
      <c r="A1141" t="s">
        <v>25</v>
      </c>
      <c r="B1141">
        <v>3</v>
      </c>
    </row>
    <row r="1142" spans="1:2" x14ac:dyDescent="0.25">
      <c r="A1142" t="s">
        <v>25</v>
      </c>
      <c r="B1142">
        <v>3.5</v>
      </c>
    </row>
    <row r="1143" spans="1:2" x14ac:dyDescent="0.25">
      <c r="A1143" t="s">
        <v>25</v>
      </c>
      <c r="B1143">
        <v>3.25</v>
      </c>
    </row>
    <row r="1144" spans="1:2" x14ac:dyDescent="0.25">
      <c r="A1144" t="s">
        <v>25</v>
      </c>
      <c r="B1144">
        <v>3.25</v>
      </c>
    </row>
    <row r="1145" spans="1:2" x14ac:dyDescent="0.25">
      <c r="A1145" t="s">
        <v>25</v>
      </c>
      <c r="B1145">
        <v>4.5</v>
      </c>
    </row>
    <row r="1146" spans="1:2" x14ac:dyDescent="0.25">
      <c r="A1146" t="s">
        <v>25</v>
      </c>
      <c r="B1146">
        <v>3.75</v>
      </c>
    </row>
    <row r="1147" spans="1:2" x14ac:dyDescent="0.25">
      <c r="A1147" t="s">
        <v>25</v>
      </c>
      <c r="B1147">
        <v>3.75</v>
      </c>
    </row>
    <row r="1148" spans="1:2" x14ac:dyDescent="0.25">
      <c r="A1148" t="s">
        <v>25</v>
      </c>
      <c r="B1148">
        <v>3.25</v>
      </c>
    </row>
    <row r="1149" spans="1:2" x14ac:dyDescent="0.25">
      <c r="A1149" t="s">
        <v>25</v>
      </c>
      <c r="B1149">
        <v>3</v>
      </c>
    </row>
    <row r="1150" spans="1:2" x14ac:dyDescent="0.25">
      <c r="A1150" t="s">
        <v>25</v>
      </c>
      <c r="B1150">
        <v>3.5</v>
      </c>
    </row>
    <row r="1151" spans="1:2" x14ac:dyDescent="0.25">
      <c r="A1151" t="s">
        <v>25</v>
      </c>
      <c r="B1151">
        <v>3.75</v>
      </c>
    </row>
    <row r="1152" spans="1:2" x14ac:dyDescent="0.25">
      <c r="A1152" t="s">
        <v>25</v>
      </c>
      <c r="B1152">
        <v>3.75</v>
      </c>
    </row>
    <row r="1153" spans="1:2" x14ac:dyDescent="0.25">
      <c r="A1153" t="s">
        <v>25</v>
      </c>
      <c r="B1153">
        <v>3</v>
      </c>
    </row>
    <row r="1154" spans="1:2" x14ac:dyDescent="0.25">
      <c r="A1154" t="s">
        <v>25</v>
      </c>
      <c r="B1154">
        <v>3.5</v>
      </c>
    </row>
    <row r="1155" spans="1:2" x14ac:dyDescent="0.25">
      <c r="A1155" t="s">
        <v>25</v>
      </c>
      <c r="B1155">
        <v>3.75</v>
      </c>
    </row>
    <row r="1156" spans="1:2" x14ac:dyDescent="0.25">
      <c r="A1156" t="s">
        <v>25</v>
      </c>
      <c r="B1156">
        <v>3.75</v>
      </c>
    </row>
    <row r="1157" spans="1:2" x14ac:dyDescent="0.25">
      <c r="A1157" t="s">
        <v>25</v>
      </c>
      <c r="B1157">
        <v>2.5</v>
      </c>
    </row>
    <row r="1158" spans="1:2" x14ac:dyDescent="0.25">
      <c r="A1158" t="s">
        <v>25</v>
      </c>
      <c r="B1158">
        <v>3.25</v>
      </c>
    </row>
    <row r="1159" spans="1:2" x14ac:dyDescent="0.25">
      <c r="A1159" t="s">
        <v>25</v>
      </c>
      <c r="B1159">
        <v>3.5</v>
      </c>
    </row>
    <row r="1160" spans="1:2" x14ac:dyDescent="0.25">
      <c r="A1160" t="s">
        <v>25</v>
      </c>
      <c r="B1160">
        <v>3.125</v>
      </c>
    </row>
    <row r="1161" spans="1:2" x14ac:dyDescent="0.25">
      <c r="A1161" t="s">
        <v>25</v>
      </c>
      <c r="B1161">
        <v>3.75</v>
      </c>
    </row>
    <row r="1162" spans="1:2" x14ac:dyDescent="0.25">
      <c r="A1162" t="s">
        <v>25</v>
      </c>
      <c r="B1162">
        <v>3.5</v>
      </c>
    </row>
    <row r="1163" spans="1:2" x14ac:dyDescent="0.25">
      <c r="A1163" t="s">
        <v>25</v>
      </c>
      <c r="B1163">
        <v>3.5</v>
      </c>
    </row>
    <row r="1164" spans="1:2" x14ac:dyDescent="0.25">
      <c r="A1164" t="s">
        <v>25</v>
      </c>
      <c r="B1164">
        <v>4.5</v>
      </c>
    </row>
    <row r="1165" spans="1:2" x14ac:dyDescent="0.25">
      <c r="A1165" t="s">
        <v>25</v>
      </c>
      <c r="B1165">
        <v>3.5</v>
      </c>
    </row>
    <row r="1166" spans="1:2" x14ac:dyDescent="0.25">
      <c r="A1166" t="s">
        <v>25</v>
      </c>
      <c r="B1166">
        <v>3.5</v>
      </c>
    </row>
    <row r="1167" spans="1:2" x14ac:dyDescent="0.25">
      <c r="A1167" t="s">
        <v>25</v>
      </c>
      <c r="B1167">
        <v>2.5</v>
      </c>
    </row>
    <row r="1168" spans="1:2" x14ac:dyDescent="0.25">
      <c r="A1168" t="s">
        <v>25</v>
      </c>
      <c r="B1168">
        <v>4.25</v>
      </c>
    </row>
    <row r="1169" spans="1:2" x14ac:dyDescent="0.25">
      <c r="A1169" t="s">
        <v>25</v>
      </c>
      <c r="B1169">
        <v>3.75</v>
      </c>
    </row>
    <row r="1170" spans="1:2" x14ac:dyDescent="0.25">
      <c r="A1170" t="s">
        <v>25</v>
      </c>
      <c r="B1170">
        <v>3.75</v>
      </c>
    </row>
    <row r="1171" spans="1:2" x14ac:dyDescent="0.25">
      <c r="A1171" t="s">
        <v>25</v>
      </c>
      <c r="B1171">
        <v>3.25</v>
      </c>
    </row>
    <row r="1172" spans="1:2" x14ac:dyDescent="0.25">
      <c r="A1172" t="s">
        <v>25</v>
      </c>
      <c r="B1172">
        <v>3.75</v>
      </c>
    </row>
    <row r="1173" spans="1:2" x14ac:dyDescent="0.25">
      <c r="A1173" t="s">
        <v>25</v>
      </c>
      <c r="B1173">
        <v>2.75</v>
      </c>
    </row>
    <row r="1174" spans="1:2" x14ac:dyDescent="0.25">
      <c r="A1174" t="s">
        <v>25</v>
      </c>
      <c r="B1174">
        <v>3.25</v>
      </c>
    </row>
    <row r="1175" spans="1:2" x14ac:dyDescent="0.25">
      <c r="A1175" t="s">
        <v>25</v>
      </c>
      <c r="B1175">
        <v>3.75</v>
      </c>
    </row>
    <row r="1176" spans="1:2" x14ac:dyDescent="0.25">
      <c r="A1176" t="s">
        <v>25</v>
      </c>
      <c r="B1176">
        <v>3.75</v>
      </c>
    </row>
    <row r="1177" spans="1:2" x14ac:dyDescent="0.25">
      <c r="A1177" t="s">
        <v>25</v>
      </c>
      <c r="B1177">
        <v>3</v>
      </c>
    </row>
    <row r="1178" spans="1:2" x14ac:dyDescent="0.25">
      <c r="A1178" t="s">
        <v>25</v>
      </c>
      <c r="B1178">
        <v>2</v>
      </c>
    </row>
    <row r="1179" spans="1:2" x14ac:dyDescent="0.25">
      <c r="A1179" t="s">
        <v>25</v>
      </c>
      <c r="B1179">
        <v>3.25</v>
      </c>
    </row>
    <row r="1180" spans="1:2" x14ac:dyDescent="0.25">
      <c r="A1180" t="s">
        <v>25</v>
      </c>
      <c r="B1180">
        <v>3.75</v>
      </c>
    </row>
    <row r="1181" spans="1:2" x14ac:dyDescent="0.25">
      <c r="A1181" t="s">
        <v>25</v>
      </c>
      <c r="B1181">
        <v>4</v>
      </c>
    </row>
    <row r="1182" spans="1:2" x14ac:dyDescent="0.25">
      <c r="A1182" t="s">
        <v>25</v>
      </c>
      <c r="B1182">
        <v>4</v>
      </c>
    </row>
    <row r="1183" spans="1:2" x14ac:dyDescent="0.25">
      <c r="A1183" t="s">
        <v>25</v>
      </c>
      <c r="B1183">
        <v>3.75</v>
      </c>
    </row>
    <row r="1184" spans="1:2" x14ac:dyDescent="0.25">
      <c r="A1184" t="s">
        <v>25</v>
      </c>
      <c r="B1184">
        <v>3.5</v>
      </c>
    </row>
    <row r="1185" spans="1:2" x14ac:dyDescent="0.25">
      <c r="A1185" t="s">
        <v>25</v>
      </c>
      <c r="B1185">
        <v>3.5</v>
      </c>
    </row>
    <row r="1186" spans="1:2" x14ac:dyDescent="0.25">
      <c r="A1186" t="s">
        <v>25</v>
      </c>
      <c r="B1186">
        <v>3.75</v>
      </c>
    </row>
    <row r="1187" spans="1:2" x14ac:dyDescent="0.25">
      <c r="A1187" t="s">
        <v>25</v>
      </c>
      <c r="B1187">
        <v>1.75</v>
      </c>
    </row>
    <row r="1188" spans="1:2" x14ac:dyDescent="0.25">
      <c r="A1188" t="s">
        <v>25</v>
      </c>
      <c r="B1188">
        <v>3.75</v>
      </c>
    </row>
    <row r="1189" spans="1:2" x14ac:dyDescent="0.25">
      <c r="A1189" t="s">
        <v>25</v>
      </c>
      <c r="B1189">
        <v>2.75</v>
      </c>
    </row>
    <row r="1190" spans="1:2" x14ac:dyDescent="0.25">
      <c r="A1190" t="s">
        <v>25</v>
      </c>
      <c r="B1190">
        <v>4</v>
      </c>
    </row>
    <row r="1191" spans="1:2" x14ac:dyDescent="0.25">
      <c r="A1191" t="s">
        <v>25</v>
      </c>
      <c r="B1191">
        <v>3</v>
      </c>
    </row>
    <row r="1192" spans="1:2" x14ac:dyDescent="0.25">
      <c r="A1192" t="s">
        <v>25</v>
      </c>
      <c r="B1192">
        <v>2</v>
      </c>
    </row>
    <row r="1193" spans="1:2" x14ac:dyDescent="0.25">
      <c r="A1193" t="s">
        <v>25</v>
      </c>
      <c r="B1193">
        <v>2.25</v>
      </c>
    </row>
    <row r="1194" spans="1:2" x14ac:dyDescent="0.25">
      <c r="A1194" t="s">
        <v>25</v>
      </c>
      <c r="B1194">
        <v>4.25</v>
      </c>
    </row>
    <row r="1195" spans="1:2" x14ac:dyDescent="0.25">
      <c r="A1195" t="s">
        <v>25</v>
      </c>
      <c r="B1195">
        <v>4</v>
      </c>
    </row>
    <row r="1196" spans="1:2" x14ac:dyDescent="0.25">
      <c r="A1196" t="s">
        <v>25</v>
      </c>
      <c r="B1196">
        <v>4</v>
      </c>
    </row>
    <row r="1197" spans="1:2" x14ac:dyDescent="0.25">
      <c r="A1197" t="s">
        <v>25</v>
      </c>
      <c r="B1197">
        <v>3.5</v>
      </c>
    </row>
    <row r="1198" spans="1:2" x14ac:dyDescent="0.25">
      <c r="A1198" t="s">
        <v>25</v>
      </c>
      <c r="B1198">
        <v>4.125</v>
      </c>
    </row>
    <row r="1199" spans="1:2" x14ac:dyDescent="0.25">
      <c r="A1199" t="s">
        <v>25</v>
      </c>
      <c r="B1199">
        <v>3</v>
      </c>
    </row>
    <row r="1200" spans="1:2" x14ac:dyDescent="0.25">
      <c r="A1200" t="s">
        <v>25</v>
      </c>
      <c r="B1200">
        <v>3.75</v>
      </c>
    </row>
    <row r="1201" spans="1:2" x14ac:dyDescent="0.25">
      <c r="A1201" t="s">
        <v>25</v>
      </c>
      <c r="B1201">
        <v>2.25</v>
      </c>
    </row>
    <row r="1202" spans="1:2" x14ac:dyDescent="0.25">
      <c r="A1202" t="s">
        <v>25</v>
      </c>
      <c r="B1202">
        <v>0</v>
      </c>
    </row>
    <row r="1203" spans="1:2" x14ac:dyDescent="0.25">
      <c r="A1203" t="s">
        <v>25</v>
      </c>
      <c r="B1203">
        <v>4.25</v>
      </c>
    </row>
    <row r="1204" spans="1:2" x14ac:dyDescent="0.25">
      <c r="A1204" t="s">
        <v>25</v>
      </c>
      <c r="B1204">
        <v>3.5</v>
      </c>
    </row>
    <row r="1205" spans="1:2" x14ac:dyDescent="0.25">
      <c r="A1205" t="s">
        <v>25</v>
      </c>
      <c r="B1205">
        <v>2.5</v>
      </c>
    </row>
    <row r="1206" spans="1:2" x14ac:dyDescent="0.25">
      <c r="A1206" t="s">
        <v>25</v>
      </c>
      <c r="B1206">
        <v>2.25</v>
      </c>
    </row>
    <row r="1207" spans="1:2" x14ac:dyDescent="0.25">
      <c r="A1207" t="s">
        <v>25</v>
      </c>
      <c r="B1207">
        <v>3.5</v>
      </c>
    </row>
    <row r="1208" spans="1:2" x14ac:dyDescent="0.25">
      <c r="A1208" t="s">
        <v>25</v>
      </c>
      <c r="B1208">
        <v>4</v>
      </c>
    </row>
    <row r="1209" spans="1:2" x14ac:dyDescent="0.25">
      <c r="A1209" t="s">
        <v>25</v>
      </c>
      <c r="B1209">
        <v>4</v>
      </c>
    </row>
    <row r="1210" spans="1:2" x14ac:dyDescent="0.25">
      <c r="A1210" t="s">
        <v>25</v>
      </c>
      <c r="B1210">
        <v>3.75</v>
      </c>
    </row>
    <row r="1211" spans="1:2" x14ac:dyDescent="0.25">
      <c r="A1211" t="s">
        <v>25</v>
      </c>
      <c r="B1211">
        <v>4</v>
      </c>
    </row>
    <row r="1212" spans="1:2" x14ac:dyDescent="0.25">
      <c r="A1212" t="s">
        <v>25</v>
      </c>
      <c r="B1212">
        <v>2.8</v>
      </c>
    </row>
    <row r="1213" spans="1:2" x14ac:dyDescent="0.25">
      <c r="A1213" t="s">
        <v>25</v>
      </c>
      <c r="B1213">
        <v>2.9</v>
      </c>
    </row>
    <row r="1214" spans="1:2" x14ac:dyDescent="0.25">
      <c r="A1214" t="s">
        <v>25</v>
      </c>
      <c r="B1214">
        <v>4</v>
      </c>
    </row>
    <row r="1215" spans="1:2" x14ac:dyDescent="0.25">
      <c r="A1215" t="s">
        <v>25</v>
      </c>
      <c r="B1215">
        <v>3.75</v>
      </c>
    </row>
    <row r="1216" spans="1:2" x14ac:dyDescent="0.25">
      <c r="A1216" t="s">
        <v>25</v>
      </c>
      <c r="B1216">
        <v>3.25</v>
      </c>
    </row>
    <row r="1217" spans="1:2" x14ac:dyDescent="0.25">
      <c r="A1217" t="s">
        <v>25</v>
      </c>
      <c r="B1217">
        <v>1.1000000000000001</v>
      </c>
    </row>
    <row r="1218" spans="1:2" x14ac:dyDescent="0.25">
      <c r="A1218" t="s">
        <v>25</v>
      </c>
      <c r="B1218">
        <v>3.25</v>
      </c>
    </row>
    <row r="1219" spans="1:2" x14ac:dyDescent="0.25">
      <c r="A1219" t="s">
        <v>25</v>
      </c>
      <c r="B1219">
        <v>1.8</v>
      </c>
    </row>
    <row r="1220" spans="1:2" x14ac:dyDescent="0.25">
      <c r="A1220" t="s">
        <v>25</v>
      </c>
      <c r="B1220">
        <v>3.75</v>
      </c>
    </row>
    <row r="1221" spans="1:2" x14ac:dyDescent="0.25">
      <c r="A1221" t="s">
        <v>25</v>
      </c>
      <c r="B1221">
        <v>4</v>
      </c>
    </row>
    <row r="1222" spans="1:2" x14ac:dyDescent="0.25">
      <c r="A1222" t="s">
        <v>25</v>
      </c>
      <c r="B1222">
        <v>3.5</v>
      </c>
    </row>
    <row r="1223" spans="1:2" x14ac:dyDescent="0.25">
      <c r="A1223" t="s">
        <v>25</v>
      </c>
      <c r="B1223">
        <v>4</v>
      </c>
    </row>
    <row r="1224" spans="1:2" x14ac:dyDescent="0.25">
      <c r="A1224" t="s">
        <v>25</v>
      </c>
      <c r="B1224">
        <v>3.5</v>
      </c>
    </row>
    <row r="1225" spans="1:2" x14ac:dyDescent="0.25">
      <c r="A1225" t="s">
        <v>25</v>
      </c>
      <c r="B1225">
        <v>3.5</v>
      </c>
    </row>
    <row r="1226" spans="1:2" x14ac:dyDescent="0.25">
      <c r="A1226" t="s">
        <v>25</v>
      </c>
      <c r="B1226">
        <v>2.5</v>
      </c>
    </row>
    <row r="1227" spans="1:2" x14ac:dyDescent="0.25">
      <c r="A1227" t="s">
        <v>25</v>
      </c>
      <c r="B1227">
        <v>3.5</v>
      </c>
    </row>
    <row r="1228" spans="1:2" x14ac:dyDescent="0.25">
      <c r="A1228" t="s">
        <v>25</v>
      </c>
      <c r="B1228">
        <v>2</v>
      </c>
    </row>
    <row r="1229" spans="1:2" x14ac:dyDescent="0.25">
      <c r="A1229" t="s">
        <v>25</v>
      </c>
      <c r="B1229">
        <v>2</v>
      </c>
    </row>
    <row r="1230" spans="1:2" x14ac:dyDescent="0.25">
      <c r="A1230" t="s">
        <v>35</v>
      </c>
      <c r="B1230">
        <v>5</v>
      </c>
    </row>
    <row r="1231" spans="1:2" x14ac:dyDescent="0.25">
      <c r="A1231" t="s">
        <v>35</v>
      </c>
      <c r="B1231">
        <v>5</v>
      </c>
    </row>
    <row r="1232" spans="1:2" x14ac:dyDescent="0.25">
      <c r="A1232" t="s">
        <v>35</v>
      </c>
      <c r="B1232">
        <v>5</v>
      </c>
    </row>
    <row r="1233" spans="1:2" x14ac:dyDescent="0.25">
      <c r="A1233" t="s">
        <v>35</v>
      </c>
      <c r="B1233">
        <v>5</v>
      </c>
    </row>
    <row r="1234" spans="1:2" x14ac:dyDescent="0.25">
      <c r="A1234" t="s">
        <v>35</v>
      </c>
      <c r="B1234">
        <v>5</v>
      </c>
    </row>
    <row r="1235" spans="1:2" x14ac:dyDescent="0.25">
      <c r="A1235" t="s">
        <v>35</v>
      </c>
      <c r="B1235">
        <v>5</v>
      </c>
    </row>
    <row r="1236" spans="1:2" x14ac:dyDescent="0.25">
      <c r="A1236" t="s">
        <v>35</v>
      </c>
      <c r="B1236">
        <v>5</v>
      </c>
    </row>
    <row r="1237" spans="1:2" x14ac:dyDescent="0.25">
      <c r="A1237" t="s">
        <v>35</v>
      </c>
      <c r="B1237">
        <v>2.5</v>
      </c>
    </row>
    <row r="1238" spans="1:2" x14ac:dyDescent="0.25">
      <c r="A1238" t="s">
        <v>35</v>
      </c>
      <c r="B1238">
        <v>3.5</v>
      </c>
    </row>
    <row r="1239" spans="1:2" x14ac:dyDescent="0.25">
      <c r="A1239" t="s">
        <v>35</v>
      </c>
      <c r="B1239">
        <v>5</v>
      </c>
    </row>
    <row r="1240" spans="1:2" x14ac:dyDescent="0.25">
      <c r="A1240" t="s">
        <v>35</v>
      </c>
      <c r="B1240">
        <v>4</v>
      </c>
    </row>
    <row r="1241" spans="1:2" x14ac:dyDescent="0.25">
      <c r="A1241" t="s">
        <v>35</v>
      </c>
      <c r="B1241">
        <v>5</v>
      </c>
    </row>
    <row r="1242" spans="1:2" x14ac:dyDescent="0.25">
      <c r="A1242" t="s">
        <v>35</v>
      </c>
      <c r="B1242">
        <v>5</v>
      </c>
    </row>
    <row r="1243" spans="1:2" x14ac:dyDescent="0.25">
      <c r="A1243" t="s">
        <v>35</v>
      </c>
      <c r="B1243">
        <v>5</v>
      </c>
    </row>
    <row r="1244" spans="1:2" x14ac:dyDescent="0.25">
      <c r="A1244" t="s">
        <v>35</v>
      </c>
      <c r="B1244">
        <v>5</v>
      </c>
    </row>
    <row r="1245" spans="1:2" x14ac:dyDescent="0.25">
      <c r="A1245" t="s">
        <v>35</v>
      </c>
      <c r="B1245">
        <v>5</v>
      </c>
    </row>
    <row r="1246" spans="1:2" x14ac:dyDescent="0.25">
      <c r="A1246" t="s">
        <v>35</v>
      </c>
      <c r="B1246">
        <v>4.5</v>
      </c>
    </row>
    <row r="1247" spans="1:2" x14ac:dyDescent="0.25">
      <c r="A1247" t="s">
        <v>35</v>
      </c>
      <c r="B1247">
        <v>5</v>
      </c>
    </row>
    <row r="1248" spans="1:2" x14ac:dyDescent="0.25">
      <c r="A1248" t="s">
        <v>35</v>
      </c>
      <c r="B1248">
        <v>3.75</v>
      </c>
    </row>
    <row r="1249" spans="1:2" x14ac:dyDescent="0.25">
      <c r="A1249" t="s">
        <v>35</v>
      </c>
      <c r="B1249">
        <v>5</v>
      </c>
    </row>
    <row r="1250" spans="1:2" x14ac:dyDescent="0.25">
      <c r="A1250" t="s">
        <v>35</v>
      </c>
      <c r="B1250">
        <v>3.5</v>
      </c>
    </row>
    <row r="1251" spans="1:2" x14ac:dyDescent="0.25">
      <c r="A1251" t="s">
        <v>35</v>
      </c>
      <c r="B1251">
        <v>3.5</v>
      </c>
    </row>
    <row r="1252" spans="1:2" x14ac:dyDescent="0.25">
      <c r="A1252" t="s">
        <v>35</v>
      </c>
      <c r="B1252">
        <v>4.25</v>
      </c>
    </row>
    <row r="1253" spans="1:2" x14ac:dyDescent="0.25">
      <c r="A1253" t="s">
        <v>35</v>
      </c>
      <c r="B1253">
        <v>5</v>
      </c>
    </row>
    <row r="1254" spans="1:2" x14ac:dyDescent="0.25">
      <c r="A1254" t="s">
        <v>35</v>
      </c>
      <c r="B1254">
        <v>3.25</v>
      </c>
    </row>
    <row r="1255" spans="1:2" x14ac:dyDescent="0.25">
      <c r="A1255" t="s">
        <v>35</v>
      </c>
      <c r="B1255">
        <v>4.5</v>
      </c>
    </row>
    <row r="1256" spans="1:2" x14ac:dyDescent="0.25">
      <c r="A1256" t="s">
        <v>35</v>
      </c>
      <c r="B1256">
        <v>5</v>
      </c>
    </row>
    <row r="1257" spans="1:2" x14ac:dyDescent="0.25">
      <c r="A1257" t="s">
        <v>35</v>
      </c>
      <c r="B1257">
        <v>5</v>
      </c>
    </row>
    <row r="1258" spans="1:2" x14ac:dyDescent="0.25">
      <c r="A1258" t="s">
        <v>35</v>
      </c>
      <c r="B1258">
        <v>4</v>
      </c>
    </row>
    <row r="1259" spans="1:2" x14ac:dyDescent="0.25">
      <c r="A1259" t="s">
        <v>35</v>
      </c>
      <c r="B1259">
        <v>5</v>
      </c>
    </row>
    <row r="1260" spans="1:2" x14ac:dyDescent="0.25">
      <c r="A1260" t="s">
        <v>35</v>
      </c>
      <c r="B1260">
        <v>3.5</v>
      </c>
    </row>
    <row r="1261" spans="1:2" x14ac:dyDescent="0.25">
      <c r="A1261" t="s">
        <v>35</v>
      </c>
      <c r="B1261">
        <v>3</v>
      </c>
    </row>
    <row r="1262" spans="1:2" x14ac:dyDescent="0.25">
      <c r="A1262" t="s">
        <v>35</v>
      </c>
      <c r="B1262">
        <v>5</v>
      </c>
    </row>
    <row r="1263" spans="1:2" x14ac:dyDescent="0.25">
      <c r="A1263" t="s">
        <v>35</v>
      </c>
      <c r="B1263">
        <v>4.25</v>
      </c>
    </row>
    <row r="1264" spans="1:2" x14ac:dyDescent="0.25">
      <c r="A1264" t="s">
        <v>35</v>
      </c>
      <c r="B1264">
        <v>5</v>
      </c>
    </row>
    <row r="1265" spans="1:2" x14ac:dyDescent="0.25">
      <c r="A1265" t="s">
        <v>35</v>
      </c>
      <c r="B1265">
        <v>3.75</v>
      </c>
    </row>
    <row r="1266" spans="1:2" x14ac:dyDescent="0.25">
      <c r="A1266" t="s">
        <v>35</v>
      </c>
      <c r="B1266">
        <v>5</v>
      </c>
    </row>
    <row r="1267" spans="1:2" x14ac:dyDescent="0.25">
      <c r="A1267" t="s">
        <v>35</v>
      </c>
      <c r="B1267">
        <v>5</v>
      </c>
    </row>
    <row r="1268" spans="1:2" x14ac:dyDescent="0.25">
      <c r="A1268" t="s">
        <v>35</v>
      </c>
      <c r="B1268">
        <v>4</v>
      </c>
    </row>
    <row r="1269" spans="1:2" x14ac:dyDescent="0.25">
      <c r="A1269" t="s">
        <v>35</v>
      </c>
      <c r="B1269">
        <v>5</v>
      </c>
    </row>
    <row r="1270" spans="1:2" x14ac:dyDescent="0.25">
      <c r="A1270" t="s">
        <v>35</v>
      </c>
      <c r="B1270">
        <v>4</v>
      </c>
    </row>
    <row r="1271" spans="1:2" x14ac:dyDescent="0.25">
      <c r="A1271" t="s">
        <v>35</v>
      </c>
      <c r="B1271">
        <v>4</v>
      </c>
    </row>
    <row r="1272" spans="1:2" x14ac:dyDescent="0.25">
      <c r="A1272" t="s">
        <v>35</v>
      </c>
      <c r="B1272">
        <v>4</v>
      </c>
    </row>
    <row r="1273" spans="1:2" x14ac:dyDescent="0.25">
      <c r="A1273" t="s">
        <v>35</v>
      </c>
      <c r="B1273">
        <v>4</v>
      </c>
    </row>
    <row r="1274" spans="1:2" x14ac:dyDescent="0.25">
      <c r="A1274" t="s">
        <v>35</v>
      </c>
      <c r="B1274">
        <v>5</v>
      </c>
    </row>
    <row r="1275" spans="1:2" x14ac:dyDescent="0.25">
      <c r="A1275" t="s">
        <v>35</v>
      </c>
      <c r="B1275">
        <v>5</v>
      </c>
    </row>
    <row r="1276" spans="1:2" x14ac:dyDescent="0.25">
      <c r="A1276" t="s">
        <v>35</v>
      </c>
      <c r="B1276">
        <v>5</v>
      </c>
    </row>
    <row r="1277" spans="1:2" x14ac:dyDescent="0.25">
      <c r="A1277" t="s">
        <v>35</v>
      </c>
      <c r="B1277">
        <v>5</v>
      </c>
    </row>
    <row r="1278" spans="1:2" x14ac:dyDescent="0.25">
      <c r="A1278" t="s">
        <v>35</v>
      </c>
      <c r="B1278">
        <v>5</v>
      </c>
    </row>
    <row r="1279" spans="1:2" x14ac:dyDescent="0.25">
      <c r="A1279" t="s">
        <v>35</v>
      </c>
      <c r="B1279">
        <v>3.5</v>
      </c>
    </row>
    <row r="1280" spans="1:2" x14ac:dyDescent="0.25">
      <c r="A1280" t="s">
        <v>35</v>
      </c>
      <c r="B1280">
        <v>4.25</v>
      </c>
    </row>
    <row r="1281" spans="1:2" x14ac:dyDescent="0.25">
      <c r="A1281" t="s">
        <v>35</v>
      </c>
      <c r="B1281">
        <v>3.75</v>
      </c>
    </row>
    <row r="1282" spans="1:2" x14ac:dyDescent="0.25">
      <c r="A1282" t="s">
        <v>35</v>
      </c>
      <c r="B1282">
        <v>3</v>
      </c>
    </row>
    <row r="1283" spans="1:2" x14ac:dyDescent="0.25">
      <c r="A1283" t="s">
        <v>35</v>
      </c>
      <c r="B1283">
        <v>4.5</v>
      </c>
    </row>
    <row r="1284" spans="1:2" x14ac:dyDescent="0.25">
      <c r="A1284" t="s">
        <v>35</v>
      </c>
      <c r="B1284">
        <v>4</v>
      </c>
    </row>
    <row r="1285" spans="1:2" x14ac:dyDescent="0.25">
      <c r="A1285" t="s">
        <v>35</v>
      </c>
      <c r="B1285">
        <v>4.75</v>
      </c>
    </row>
    <row r="1286" spans="1:2" x14ac:dyDescent="0.25">
      <c r="A1286" t="s">
        <v>35</v>
      </c>
      <c r="B1286">
        <v>3.5</v>
      </c>
    </row>
    <row r="1287" spans="1:2" x14ac:dyDescent="0.25">
      <c r="A1287" t="s">
        <v>35</v>
      </c>
      <c r="B1287">
        <v>3.75</v>
      </c>
    </row>
    <row r="1288" spans="1:2" x14ac:dyDescent="0.25">
      <c r="A1288" t="s">
        <v>35</v>
      </c>
      <c r="B1288">
        <v>3.5</v>
      </c>
    </row>
    <row r="1289" spans="1:2" x14ac:dyDescent="0.25">
      <c r="A1289" t="s">
        <v>35</v>
      </c>
      <c r="B1289">
        <v>5</v>
      </c>
    </row>
    <row r="1290" spans="1:2" x14ac:dyDescent="0.25">
      <c r="A1290" t="s">
        <v>35</v>
      </c>
      <c r="B1290">
        <v>4.5</v>
      </c>
    </row>
    <row r="1291" spans="1:2" x14ac:dyDescent="0.25">
      <c r="A1291" t="s">
        <v>35</v>
      </c>
      <c r="B1291">
        <v>3.75</v>
      </c>
    </row>
    <row r="1292" spans="1:2" x14ac:dyDescent="0.25">
      <c r="A1292" t="s">
        <v>35</v>
      </c>
      <c r="B1292">
        <v>4.25</v>
      </c>
    </row>
    <row r="1293" spans="1:2" x14ac:dyDescent="0.25">
      <c r="A1293" t="s">
        <v>35</v>
      </c>
      <c r="B1293">
        <v>3.75</v>
      </c>
    </row>
    <row r="1294" spans="1:2" x14ac:dyDescent="0.25">
      <c r="A1294" t="s">
        <v>35</v>
      </c>
      <c r="B1294">
        <v>2.75</v>
      </c>
    </row>
    <row r="1295" spans="1:2" x14ac:dyDescent="0.25">
      <c r="A1295" t="s">
        <v>35</v>
      </c>
      <c r="B1295">
        <v>2.5</v>
      </c>
    </row>
    <row r="1296" spans="1:2" x14ac:dyDescent="0.25">
      <c r="A1296" t="s">
        <v>35</v>
      </c>
      <c r="B1296">
        <v>3.5</v>
      </c>
    </row>
    <row r="1297" spans="1:2" x14ac:dyDescent="0.25">
      <c r="A1297" t="s">
        <v>35</v>
      </c>
      <c r="B1297">
        <v>3.5</v>
      </c>
    </row>
    <row r="1298" spans="1:2" x14ac:dyDescent="0.25">
      <c r="A1298" t="s">
        <v>35</v>
      </c>
      <c r="B1298">
        <v>4</v>
      </c>
    </row>
    <row r="1299" spans="1:2" x14ac:dyDescent="0.25">
      <c r="A1299" t="s">
        <v>35</v>
      </c>
      <c r="B1299">
        <v>3.75</v>
      </c>
    </row>
    <row r="1300" spans="1:2" x14ac:dyDescent="0.25">
      <c r="A1300" t="s">
        <v>35</v>
      </c>
      <c r="B1300">
        <v>4</v>
      </c>
    </row>
    <row r="1301" spans="1:2" x14ac:dyDescent="0.25">
      <c r="A1301" t="s">
        <v>35</v>
      </c>
      <c r="B1301">
        <v>3.75</v>
      </c>
    </row>
    <row r="1302" spans="1:2" x14ac:dyDescent="0.25">
      <c r="A1302" t="s">
        <v>35</v>
      </c>
      <c r="B1302">
        <v>3.75</v>
      </c>
    </row>
    <row r="1303" spans="1:2" x14ac:dyDescent="0.25">
      <c r="A1303" t="s">
        <v>35</v>
      </c>
      <c r="B1303">
        <v>3.5</v>
      </c>
    </row>
    <row r="1304" spans="1:2" x14ac:dyDescent="0.25">
      <c r="A1304" t="s">
        <v>35</v>
      </c>
      <c r="B1304">
        <v>3.75</v>
      </c>
    </row>
    <row r="1305" spans="1:2" x14ac:dyDescent="0.25">
      <c r="A1305" t="s">
        <v>35</v>
      </c>
      <c r="B1305">
        <v>4</v>
      </c>
    </row>
    <row r="1306" spans="1:2" x14ac:dyDescent="0.25">
      <c r="A1306" t="s">
        <v>35</v>
      </c>
      <c r="B1306">
        <v>5</v>
      </c>
    </row>
    <row r="1307" spans="1:2" x14ac:dyDescent="0.25">
      <c r="A1307" t="s">
        <v>35</v>
      </c>
      <c r="B1307">
        <v>3.75</v>
      </c>
    </row>
    <row r="1308" spans="1:2" x14ac:dyDescent="0.25">
      <c r="A1308" t="s">
        <v>35</v>
      </c>
      <c r="B1308">
        <v>4</v>
      </c>
    </row>
    <row r="1309" spans="1:2" x14ac:dyDescent="0.25">
      <c r="A1309" t="s">
        <v>35</v>
      </c>
      <c r="B1309">
        <v>5</v>
      </c>
    </row>
    <row r="1310" spans="1:2" x14ac:dyDescent="0.25">
      <c r="A1310" t="s">
        <v>35</v>
      </c>
      <c r="B1310">
        <v>4</v>
      </c>
    </row>
    <row r="1311" spans="1:2" x14ac:dyDescent="0.25">
      <c r="A1311" t="s">
        <v>35</v>
      </c>
      <c r="B1311">
        <v>4.25</v>
      </c>
    </row>
    <row r="1312" spans="1:2" x14ac:dyDescent="0.25">
      <c r="A1312" t="s">
        <v>35</v>
      </c>
      <c r="B1312">
        <v>4</v>
      </c>
    </row>
    <row r="1313" spans="1:2" x14ac:dyDescent="0.25">
      <c r="A1313" t="s">
        <v>35</v>
      </c>
      <c r="B1313">
        <v>3.5</v>
      </c>
    </row>
    <row r="1314" spans="1:2" x14ac:dyDescent="0.25">
      <c r="A1314" t="s">
        <v>35</v>
      </c>
      <c r="B1314">
        <v>4</v>
      </c>
    </row>
    <row r="1315" spans="1:2" x14ac:dyDescent="0.25">
      <c r="A1315" t="s">
        <v>35</v>
      </c>
      <c r="B1315">
        <v>3.75</v>
      </c>
    </row>
    <row r="1316" spans="1:2" x14ac:dyDescent="0.25">
      <c r="A1316" t="s">
        <v>35</v>
      </c>
      <c r="B1316">
        <v>5</v>
      </c>
    </row>
    <row r="1317" spans="1:2" x14ac:dyDescent="0.25">
      <c r="A1317" t="s">
        <v>35</v>
      </c>
      <c r="B1317">
        <v>5</v>
      </c>
    </row>
    <row r="1318" spans="1:2" x14ac:dyDescent="0.25">
      <c r="A1318" t="s">
        <v>35</v>
      </c>
      <c r="B1318">
        <v>3</v>
      </c>
    </row>
    <row r="1319" spans="1:2" x14ac:dyDescent="0.25">
      <c r="A1319" t="s">
        <v>35</v>
      </c>
      <c r="B1319">
        <v>3.25</v>
      </c>
    </row>
    <row r="1320" spans="1:2" x14ac:dyDescent="0.25">
      <c r="A1320" t="s">
        <v>35</v>
      </c>
      <c r="B1320">
        <v>2.5</v>
      </c>
    </row>
    <row r="1321" spans="1:2" x14ac:dyDescent="0.25">
      <c r="A1321" t="s">
        <v>35</v>
      </c>
      <c r="B1321">
        <v>4.25</v>
      </c>
    </row>
    <row r="1322" spans="1:2" x14ac:dyDescent="0.25">
      <c r="A1322" t="s">
        <v>35</v>
      </c>
      <c r="B1322">
        <v>2.75</v>
      </c>
    </row>
    <row r="1323" spans="1:2" x14ac:dyDescent="0.25">
      <c r="A1323" t="s">
        <v>35</v>
      </c>
      <c r="B1323">
        <v>3.75</v>
      </c>
    </row>
    <row r="1324" spans="1:2" x14ac:dyDescent="0.25">
      <c r="A1324" t="s">
        <v>35</v>
      </c>
      <c r="B1324">
        <v>3.75</v>
      </c>
    </row>
    <row r="1325" spans="1:2" x14ac:dyDescent="0.25">
      <c r="A1325" t="s">
        <v>35</v>
      </c>
      <c r="B1325">
        <v>2.5</v>
      </c>
    </row>
    <row r="1326" spans="1:2" x14ac:dyDescent="0.25">
      <c r="A1326" t="s">
        <v>35</v>
      </c>
      <c r="B1326">
        <v>2</v>
      </c>
    </row>
    <row r="1327" spans="1:2" x14ac:dyDescent="0.25">
      <c r="A1327" t="s">
        <v>35</v>
      </c>
      <c r="B1327">
        <v>3.75</v>
      </c>
    </row>
    <row r="1328" spans="1:2" x14ac:dyDescent="0.25">
      <c r="A1328" t="s">
        <v>35</v>
      </c>
      <c r="B1328">
        <v>3.5</v>
      </c>
    </row>
    <row r="1329" spans="1:2" x14ac:dyDescent="0.25">
      <c r="A1329" t="s">
        <v>35</v>
      </c>
      <c r="B1329">
        <v>5</v>
      </c>
    </row>
    <row r="1330" spans="1:2" x14ac:dyDescent="0.25">
      <c r="A1330" t="s">
        <v>35</v>
      </c>
      <c r="B1330">
        <v>3.25</v>
      </c>
    </row>
    <row r="1331" spans="1:2" x14ac:dyDescent="0.25">
      <c r="A1331" t="s">
        <v>35</v>
      </c>
      <c r="B1331">
        <v>4.75</v>
      </c>
    </row>
    <row r="1332" spans="1:2" x14ac:dyDescent="0.25">
      <c r="A1332" t="s">
        <v>35</v>
      </c>
      <c r="B1332">
        <v>3</v>
      </c>
    </row>
    <row r="1333" spans="1:2" x14ac:dyDescent="0.25">
      <c r="A1333" t="s">
        <v>35</v>
      </c>
      <c r="B1333">
        <v>5</v>
      </c>
    </row>
    <row r="1334" spans="1:2" x14ac:dyDescent="0.25">
      <c r="A1334" t="s">
        <v>35</v>
      </c>
      <c r="B1334">
        <v>4.25</v>
      </c>
    </row>
    <row r="1335" spans="1:2" x14ac:dyDescent="0.25">
      <c r="A1335" t="s">
        <v>35</v>
      </c>
      <c r="B1335">
        <v>3.5</v>
      </c>
    </row>
    <row r="1336" spans="1:2" x14ac:dyDescent="0.25">
      <c r="A1336" t="s">
        <v>35</v>
      </c>
      <c r="B1336">
        <v>4.25</v>
      </c>
    </row>
    <row r="1337" spans="1:2" x14ac:dyDescent="0.25">
      <c r="A1337" t="s">
        <v>35</v>
      </c>
      <c r="B1337">
        <v>3.75</v>
      </c>
    </row>
    <row r="1338" spans="1:2" x14ac:dyDescent="0.25">
      <c r="A1338" t="s">
        <v>35</v>
      </c>
      <c r="B1338">
        <v>3.5</v>
      </c>
    </row>
    <row r="1339" spans="1:2" x14ac:dyDescent="0.25">
      <c r="A1339" t="s">
        <v>1068</v>
      </c>
      <c r="B1339">
        <v>4</v>
      </c>
    </row>
    <row r="1340" spans="1:2" x14ac:dyDescent="0.25">
      <c r="A1340" t="s">
        <v>1068</v>
      </c>
      <c r="B1340">
        <v>4</v>
      </c>
    </row>
    <row r="1341" spans="1:2" x14ac:dyDescent="0.25">
      <c r="A1341" t="s">
        <v>1068</v>
      </c>
      <c r="B1341">
        <v>5</v>
      </c>
    </row>
    <row r="1342" spans="1:2" x14ac:dyDescent="0.25">
      <c r="A1342" t="s">
        <v>1861</v>
      </c>
      <c r="B1342">
        <v>4</v>
      </c>
    </row>
    <row r="1343" spans="1:2" x14ac:dyDescent="0.25">
      <c r="A1343" t="s">
        <v>1861</v>
      </c>
      <c r="B1343">
        <v>3.25</v>
      </c>
    </row>
    <row r="1344" spans="1:2" x14ac:dyDescent="0.25">
      <c r="A1344" t="s">
        <v>1861</v>
      </c>
      <c r="B1344">
        <v>4</v>
      </c>
    </row>
    <row r="1345" spans="1:2" x14ac:dyDescent="0.25">
      <c r="A1345" t="s">
        <v>1861</v>
      </c>
      <c r="B1345">
        <v>3.25</v>
      </c>
    </row>
    <row r="1346" spans="1:2" x14ac:dyDescent="0.25">
      <c r="A1346" t="s">
        <v>1159</v>
      </c>
      <c r="B1346">
        <v>3.75</v>
      </c>
    </row>
    <row r="1347" spans="1:2" x14ac:dyDescent="0.25">
      <c r="A1347" t="s">
        <v>1159</v>
      </c>
      <c r="B1347">
        <v>4</v>
      </c>
    </row>
    <row r="1348" spans="1:2" x14ac:dyDescent="0.25">
      <c r="A1348" t="s">
        <v>1159</v>
      </c>
      <c r="B1348">
        <v>4.5</v>
      </c>
    </row>
    <row r="1349" spans="1:2" x14ac:dyDescent="0.25">
      <c r="A1349" t="s">
        <v>1159</v>
      </c>
      <c r="B1349">
        <v>3.75</v>
      </c>
    </row>
    <row r="1350" spans="1:2" x14ac:dyDescent="0.25">
      <c r="A1350" t="s">
        <v>1159</v>
      </c>
      <c r="B1350">
        <v>4</v>
      </c>
    </row>
    <row r="1351" spans="1:2" x14ac:dyDescent="0.25">
      <c r="A1351" t="s">
        <v>1159</v>
      </c>
      <c r="B1351">
        <v>4</v>
      </c>
    </row>
    <row r="1352" spans="1:2" x14ac:dyDescent="0.25">
      <c r="A1352" t="s">
        <v>1159</v>
      </c>
      <c r="B1352">
        <v>3.25</v>
      </c>
    </row>
    <row r="1353" spans="1:2" x14ac:dyDescent="0.25">
      <c r="A1353" t="s">
        <v>1159</v>
      </c>
      <c r="B1353">
        <v>4.5</v>
      </c>
    </row>
    <row r="1354" spans="1:2" x14ac:dyDescent="0.25">
      <c r="A1354" t="s">
        <v>1159</v>
      </c>
      <c r="B1354">
        <v>3.75</v>
      </c>
    </row>
    <row r="1355" spans="1:2" x14ac:dyDescent="0.25">
      <c r="A1355" t="s">
        <v>1159</v>
      </c>
      <c r="B1355">
        <v>3.5</v>
      </c>
    </row>
    <row r="1356" spans="1:2" x14ac:dyDescent="0.25">
      <c r="A1356" t="s">
        <v>1159</v>
      </c>
      <c r="B1356">
        <v>3.25</v>
      </c>
    </row>
    <row r="1357" spans="1:2" x14ac:dyDescent="0.25">
      <c r="A1357" t="s">
        <v>1159</v>
      </c>
      <c r="B1357">
        <v>3.25</v>
      </c>
    </row>
    <row r="1358" spans="1:2" x14ac:dyDescent="0.25">
      <c r="A1358" t="s">
        <v>1159</v>
      </c>
      <c r="B1358">
        <v>3.25</v>
      </c>
    </row>
    <row r="1359" spans="1:2" x14ac:dyDescent="0.25">
      <c r="A1359" t="s">
        <v>1159</v>
      </c>
      <c r="B1359">
        <v>3.75</v>
      </c>
    </row>
    <row r="1360" spans="1:2" x14ac:dyDescent="0.25">
      <c r="A1360" t="s">
        <v>1159</v>
      </c>
      <c r="B1360">
        <v>3.5</v>
      </c>
    </row>
    <row r="1361" spans="1:2" x14ac:dyDescent="0.25">
      <c r="A1361" t="s">
        <v>1159</v>
      </c>
      <c r="B1361">
        <v>4</v>
      </c>
    </row>
    <row r="1362" spans="1:2" x14ac:dyDescent="0.25">
      <c r="A1362" t="s">
        <v>1159</v>
      </c>
      <c r="B1362">
        <v>5</v>
      </c>
    </row>
    <row r="1363" spans="1:2" x14ac:dyDescent="0.25">
      <c r="A1363" t="s">
        <v>1159</v>
      </c>
      <c r="B1363">
        <v>0.5</v>
      </c>
    </row>
    <row r="1364" spans="1:2" x14ac:dyDescent="0.25">
      <c r="A1364" t="s">
        <v>1159</v>
      </c>
      <c r="B1364">
        <v>4</v>
      </c>
    </row>
    <row r="1365" spans="1:2" x14ac:dyDescent="0.25">
      <c r="A1365" t="s">
        <v>1159</v>
      </c>
      <c r="B1365">
        <v>3.25</v>
      </c>
    </row>
    <row r="1366" spans="1:2" x14ac:dyDescent="0.25">
      <c r="A1366" t="s">
        <v>1159</v>
      </c>
      <c r="B1366">
        <v>5</v>
      </c>
    </row>
    <row r="1367" spans="1:2" x14ac:dyDescent="0.25">
      <c r="A1367" t="s">
        <v>1159</v>
      </c>
      <c r="B1367">
        <v>3.75</v>
      </c>
    </row>
    <row r="1368" spans="1:2" x14ac:dyDescent="0.25">
      <c r="A1368" t="s">
        <v>1159</v>
      </c>
      <c r="B1368">
        <v>3.75</v>
      </c>
    </row>
    <row r="1369" spans="1:2" x14ac:dyDescent="0.25">
      <c r="A1369" t="s">
        <v>1159</v>
      </c>
      <c r="B1369">
        <v>4</v>
      </c>
    </row>
    <row r="1370" spans="1:2" x14ac:dyDescent="0.25">
      <c r="A1370" t="s">
        <v>1159</v>
      </c>
      <c r="B1370">
        <v>3</v>
      </c>
    </row>
    <row r="1371" spans="1:2" x14ac:dyDescent="0.25">
      <c r="A1371" t="s">
        <v>1159</v>
      </c>
      <c r="B1371">
        <v>2.75</v>
      </c>
    </row>
    <row r="1372" spans="1:2" x14ac:dyDescent="0.25">
      <c r="A1372" t="s">
        <v>1159</v>
      </c>
      <c r="B1372">
        <v>2.5</v>
      </c>
    </row>
    <row r="1373" spans="1:2" x14ac:dyDescent="0.25">
      <c r="A1373" t="s">
        <v>1159</v>
      </c>
      <c r="B1373">
        <v>2.75</v>
      </c>
    </row>
    <row r="1374" spans="1:2" x14ac:dyDescent="0.25">
      <c r="A1374" t="s">
        <v>1159</v>
      </c>
      <c r="B1374">
        <v>4</v>
      </c>
    </row>
    <row r="1375" spans="1:2" x14ac:dyDescent="0.25">
      <c r="A1375" t="s">
        <v>1159</v>
      </c>
      <c r="B1375">
        <v>4.5</v>
      </c>
    </row>
    <row r="1376" spans="1:2" x14ac:dyDescent="0.25">
      <c r="A1376" t="s">
        <v>1159</v>
      </c>
      <c r="B1376">
        <v>1.75</v>
      </c>
    </row>
    <row r="1377" spans="1:2" x14ac:dyDescent="0.25">
      <c r="A1377" t="s">
        <v>1159</v>
      </c>
      <c r="B1377">
        <v>2.5</v>
      </c>
    </row>
    <row r="1378" spans="1:2" x14ac:dyDescent="0.25">
      <c r="A1378" t="s">
        <v>1159</v>
      </c>
      <c r="B1378">
        <v>3.75</v>
      </c>
    </row>
    <row r="1379" spans="1:2" x14ac:dyDescent="0.25">
      <c r="A1379" t="s">
        <v>1159</v>
      </c>
      <c r="B1379">
        <v>3.75</v>
      </c>
    </row>
    <row r="1380" spans="1:2" x14ac:dyDescent="0.25">
      <c r="A1380" t="s">
        <v>1159</v>
      </c>
      <c r="B1380">
        <v>3.75</v>
      </c>
    </row>
    <row r="1381" spans="1:2" x14ac:dyDescent="0.25">
      <c r="A1381" t="s">
        <v>1159</v>
      </c>
      <c r="B1381">
        <v>1.75</v>
      </c>
    </row>
    <row r="1382" spans="1:2" x14ac:dyDescent="0.25">
      <c r="A1382" t="s">
        <v>1159</v>
      </c>
      <c r="B1382">
        <v>0.25</v>
      </c>
    </row>
    <row r="1383" spans="1:2" x14ac:dyDescent="0.25">
      <c r="A1383" t="s">
        <v>1159</v>
      </c>
      <c r="B1383">
        <v>2</v>
      </c>
    </row>
    <row r="1384" spans="1:2" x14ac:dyDescent="0.25">
      <c r="A1384" t="s">
        <v>1159</v>
      </c>
      <c r="B1384">
        <v>4.75</v>
      </c>
    </row>
    <row r="1385" spans="1:2" x14ac:dyDescent="0.25">
      <c r="A1385" t="s">
        <v>1159</v>
      </c>
      <c r="B1385">
        <v>1.5</v>
      </c>
    </row>
    <row r="1386" spans="1:2" x14ac:dyDescent="0.25">
      <c r="A1386" t="s">
        <v>1159</v>
      </c>
      <c r="B1386">
        <v>4.5</v>
      </c>
    </row>
    <row r="1387" spans="1:2" x14ac:dyDescent="0.25">
      <c r="A1387" t="s">
        <v>1159</v>
      </c>
      <c r="B1387">
        <v>3</v>
      </c>
    </row>
    <row r="1388" spans="1:2" x14ac:dyDescent="0.25">
      <c r="A1388" t="s">
        <v>1159</v>
      </c>
      <c r="B1388">
        <v>3</v>
      </c>
    </row>
    <row r="1389" spans="1:2" x14ac:dyDescent="0.25">
      <c r="A1389" t="s">
        <v>1159</v>
      </c>
      <c r="B1389">
        <v>3</v>
      </c>
    </row>
    <row r="1390" spans="1:2" x14ac:dyDescent="0.25">
      <c r="A1390" t="s">
        <v>1159</v>
      </c>
      <c r="B1390">
        <v>3</v>
      </c>
    </row>
    <row r="1391" spans="1:2" x14ac:dyDescent="0.25">
      <c r="A1391" t="s">
        <v>1159</v>
      </c>
      <c r="B1391">
        <v>3</v>
      </c>
    </row>
    <row r="1392" spans="1:2" x14ac:dyDescent="0.25">
      <c r="A1392" t="s">
        <v>1159</v>
      </c>
      <c r="B1392">
        <v>2.5</v>
      </c>
    </row>
    <row r="1393" spans="1:2" x14ac:dyDescent="0.25">
      <c r="A1393" t="s">
        <v>345</v>
      </c>
      <c r="B1393">
        <v>1</v>
      </c>
    </row>
    <row r="1394" spans="1:2" x14ac:dyDescent="0.25">
      <c r="A1394" t="s">
        <v>345</v>
      </c>
      <c r="B1394">
        <v>4</v>
      </c>
    </row>
    <row r="1395" spans="1:2" x14ac:dyDescent="0.25">
      <c r="A1395" t="s">
        <v>345</v>
      </c>
      <c r="B1395">
        <v>3</v>
      </c>
    </row>
    <row r="1396" spans="1:2" x14ac:dyDescent="0.25">
      <c r="A1396" t="s">
        <v>345</v>
      </c>
      <c r="B1396">
        <v>2.75</v>
      </c>
    </row>
    <row r="1397" spans="1:2" x14ac:dyDescent="0.25">
      <c r="A1397" t="s">
        <v>345</v>
      </c>
      <c r="B1397">
        <v>3.25</v>
      </c>
    </row>
    <row r="1398" spans="1:2" x14ac:dyDescent="0.25">
      <c r="A1398" t="s">
        <v>345</v>
      </c>
      <c r="B1398">
        <v>3.25</v>
      </c>
    </row>
    <row r="1399" spans="1:2" x14ac:dyDescent="0.25">
      <c r="A1399" t="s">
        <v>345</v>
      </c>
      <c r="B1399">
        <v>3.25</v>
      </c>
    </row>
    <row r="1400" spans="1:2" x14ac:dyDescent="0.25">
      <c r="A1400" t="s">
        <v>345</v>
      </c>
      <c r="B1400">
        <v>3.5</v>
      </c>
    </row>
    <row r="1401" spans="1:2" x14ac:dyDescent="0.25">
      <c r="A1401" t="s">
        <v>345</v>
      </c>
      <c r="B1401">
        <v>3</v>
      </c>
    </row>
    <row r="1402" spans="1:2" x14ac:dyDescent="0.25">
      <c r="A1402" t="s">
        <v>142</v>
      </c>
      <c r="B1402">
        <v>1.5</v>
      </c>
    </row>
    <row r="1403" spans="1:2" x14ac:dyDescent="0.25">
      <c r="A1403" t="s">
        <v>733</v>
      </c>
      <c r="B1403">
        <v>3</v>
      </c>
    </row>
    <row r="1404" spans="1:2" x14ac:dyDescent="0.25">
      <c r="A1404" t="s">
        <v>733</v>
      </c>
      <c r="B1404">
        <v>2</v>
      </c>
    </row>
    <row r="1405" spans="1:2" x14ac:dyDescent="0.25">
      <c r="A1405" t="s">
        <v>733</v>
      </c>
      <c r="B1405">
        <v>2.5</v>
      </c>
    </row>
    <row r="1406" spans="1:2" x14ac:dyDescent="0.25">
      <c r="A1406" t="s">
        <v>733</v>
      </c>
      <c r="B1406">
        <v>0.25</v>
      </c>
    </row>
    <row r="1407" spans="1:2" x14ac:dyDescent="0.25">
      <c r="A1407" t="s">
        <v>733</v>
      </c>
      <c r="B1407">
        <v>0.5</v>
      </c>
    </row>
    <row r="1408" spans="1:2" x14ac:dyDescent="0.25">
      <c r="A1408" t="s">
        <v>733</v>
      </c>
      <c r="B1408">
        <v>3.5</v>
      </c>
    </row>
    <row r="1409" spans="1:2" x14ac:dyDescent="0.25">
      <c r="A1409" t="s">
        <v>733</v>
      </c>
      <c r="B1409">
        <v>1.5</v>
      </c>
    </row>
    <row r="1410" spans="1:2" x14ac:dyDescent="0.25">
      <c r="A1410" t="s">
        <v>733</v>
      </c>
      <c r="B1410">
        <v>0.5</v>
      </c>
    </row>
    <row r="1411" spans="1:2" x14ac:dyDescent="0.25">
      <c r="A1411" t="s">
        <v>733</v>
      </c>
      <c r="B1411">
        <v>3</v>
      </c>
    </row>
    <row r="1412" spans="1:2" x14ac:dyDescent="0.25">
      <c r="A1412" t="s">
        <v>733</v>
      </c>
      <c r="B1412">
        <v>3</v>
      </c>
    </row>
    <row r="1413" spans="1:2" x14ac:dyDescent="0.25">
      <c r="A1413" t="s">
        <v>733</v>
      </c>
      <c r="B1413">
        <v>3.5</v>
      </c>
    </row>
    <row r="1414" spans="1:2" x14ac:dyDescent="0.25">
      <c r="A1414" t="s">
        <v>733</v>
      </c>
      <c r="B1414">
        <v>2.75</v>
      </c>
    </row>
    <row r="1415" spans="1:2" x14ac:dyDescent="0.25">
      <c r="A1415" t="s">
        <v>733</v>
      </c>
      <c r="B1415">
        <v>4.5</v>
      </c>
    </row>
    <row r="1416" spans="1:2" x14ac:dyDescent="0.25">
      <c r="A1416" t="s">
        <v>733</v>
      </c>
      <c r="B1416">
        <v>3.25</v>
      </c>
    </row>
    <row r="1417" spans="1:2" x14ac:dyDescent="0.25">
      <c r="A1417" t="s">
        <v>733</v>
      </c>
      <c r="B1417">
        <v>3.5</v>
      </c>
    </row>
    <row r="1418" spans="1:2" x14ac:dyDescent="0.25">
      <c r="A1418" t="s">
        <v>471</v>
      </c>
      <c r="B1418">
        <v>1</v>
      </c>
    </row>
    <row r="1419" spans="1:2" x14ac:dyDescent="0.25">
      <c r="A1419" t="s">
        <v>471</v>
      </c>
      <c r="B1419">
        <v>3.75</v>
      </c>
    </row>
    <row r="1420" spans="1:2" x14ac:dyDescent="0.25">
      <c r="A1420" t="s">
        <v>471</v>
      </c>
      <c r="B1420">
        <v>3.5</v>
      </c>
    </row>
    <row r="1421" spans="1:2" x14ac:dyDescent="0.25">
      <c r="A1421" t="s">
        <v>471</v>
      </c>
      <c r="B1421">
        <v>3.5</v>
      </c>
    </row>
    <row r="1422" spans="1:2" x14ac:dyDescent="0.25">
      <c r="A1422" t="s">
        <v>471</v>
      </c>
      <c r="B1422">
        <v>3.5</v>
      </c>
    </row>
    <row r="1423" spans="1:2" x14ac:dyDescent="0.25">
      <c r="A1423" t="s">
        <v>471</v>
      </c>
      <c r="B1423">
        <v>3.5</v>
      </c>
    </row>
    <row r="1424" spans="1:2" x14ac:dyDescent="0.25">
      <c r="A1424" t="s">
        <v>471</v>
      </c>
      <c r="B1424">
        <v>3.5</v>
      </c>
    </row>
    <row r="1425" spans="1:2" x14ac:dyDescent="0.25">
      <c r="A1425" t="s">
        <v>471</v>
      </c>
      <c r="B1425">
        <v>3.75</v>
      </c>
    </row>
    <row r="1426" spans="1:2" x14ac:dyDescent="0.25">
      <c r="A1426" t="s">
        <v>471</v>
      </c>
      <c r="B1426">
        <v>3.5</v>
      </c>
    </row>
    <row r="1427" spans="1:2" x14ac:dyDescent="0.25">
      <c r="A1427" t="s">
        <v>471</v>
      </c>
      <c r="B1427">
        <v>4.25</v>
      </c>
    </row>
    <row r="1428" spans="1:2" x14ac:dyDescent="0.25">
      <c r="A1428" t="s">
        <v>471</v>
      </c>
      <c r="B1428">
        <v>4</v>
      </c>
    </row>
    <row r="1429" spans="1:2" x14ac:dyDescent="0.25">
      <c r="A1429" t="s">
        <v>471</v>
      </c>
      <c r="B1429">
        <v>3.25</v>
      </c>
    </row>
    <row r="1430" spans="1:2" x14ac:dyDescent="0.25">
      <c r="A1430" t="s">
        <v>471</v>
      </c>
      <c r="B1430">
        <v>5</v>
      </c>
    </row>
    <row r="1431" spans="1:2" x14ac:dyDescent="0.25">
      <c r="A1431" t="s">
        <v>471</v>
      </c>
      <c r="B1431">
        <v>3.75</v>
      </c>
    </row>
    <row r="1432" spans="1:2" x14ac:dyDescent="0.25">
      <c r="A1432" t="s">
        <v>730</v>
      </c>
      <c r="B1432">
        <v>5</v>
      </c>
    </row>
    <row r="1433" spans="1:2" x14ac:dyDescent="0.25">
      <c r="A1433" t="s">
        <v>730</v>
      </c>
      <c r="B1433">
        <v>3.75</v>
      </c>
    </row>
    <row r="1434" spans="1:2" x14ac:dyDescent="0.25">
      <c r="A1434" t="s">
        <v>730</v>
      </c>
      <c r="B1434">
        <v>3.5</v>
      </c>
    </row>
    <row r="1435" spans="1:2" x14ac:dyDescent="0.25">
      <c r="A1435" t="s">
        <v>730</v>
      </c>
      <c r="B1435">
        <v>5</v>
      </c>
    </row>
    <row r="1436" spans="1:2" x14ac:dyDescent="0.25">
      <c r="A1436" t="s">
        <v>730</v>
      </c>
      <c r="B1436">
        <v>3.75</v>
      </c>
    </row>
    <row r="1437" spans="1:2" x14ac:dyDescent="0.25">
      <c r="A1437" t="s">
        <v>730</v>
      </c>
      <c r="B1437">
        <v>3.75</v>
      </c>
    </row>
    <row r="1438" spans="1:2" x14ac:dyDescent="0.25">
      <c r="A1438" t="s">
        <v>730</v>
      </c>
      <c r="B1438">
        <v>5</v>
      </c>
    </row>
    <row r="1439" spans="1:2" x14ac:dyDescent="0.25">
      <c r="A1439" t="s">
        <v>730</v>
      </c>
      <c r="B1439">
        <v>2.75</v>
      </c>
    </row>
    <row r="1440" spans="1:2" x14ac:dyDescent="0.25">
      <c r="A1440" t="s">
        <v>730</v>
      </c>
      <c r="B1440">
        <v>2.75</v>
      </c>
    </row>
    <row r="1441" spans="1:2" x14ac:dyDescent="0.25">
      <c r="A1441" t="s">
        <v>730</v>
      </c>
      <c r="B1441">
        <v>3.5</v>
      </c>
    </row>
    <row r="1442" spans="1:2" x14ac:dyDescent="0.25">
      <c r="A1442" t="s">
        <v>730</v>
      </c>
      <c r="B1442">
        <v>3.5</v>
      </c>
    </row>
    <row r="1443" spans="1:2" x14ac:dyDescent="0.25">
      <c r="A1443" t="s">
        <v>730</v>
      </c>
      <c r="B1443">
        <v>4.5</v>
      </c>
    </row>
    <row r="1444" spans="1:2" x14ac:dyDescent="0.25">
      <c r="A1444" t="s">
        <v>730</v>
      </c>
      <c r="B1444">
        <v>3.5</v>
      </c>
    </row>
    <row r="1445" spans="1:2" x14ac:dyDescent="0.25">
      <c r="A1445" t="s">
        <v>730</v>
      </c>
      <c r="B1445">
        <v>5</v>
      </c>
    </row>
    <row r="1446" spans="1:2" x14ac:dyDescent="0.25">
      <c r="A1446" t="s">
        <v>216</v>
      </c>
      <c r="B1446">
        <v>3.5</v>
      </c>
    </row>
    <row r="1447" spans="1:2" x14ac:dyDescent="0.25">
      <c r="A1447" t="s">
        <v>216</v>
      </c>
      <c r="B1447">
        <v>3.25</v>
      </c>
    </row>
    <row r="1448" spans="1:2" x14ac:dyDescent="0.25">
      <c r="A1448" t="s">
        <v>216</v>
      </c>
      <c r="B1448">
        <v>4</v>
      </c>
    </row>
    <row r="1449" spans="1:2" x14ac:dyDescent="0.25">
      <c r="A1449" t="s">
        <v>216</v>
      </c>
      <c r="B1449">
        <v>4</v>
      </c>
    </row>
    <row r="1450" spans="1:2" x14ac:dyDescent="0.25">
      <c r="A1450" t="s">
        <v>216</v>
      </c>
      <c r="B1450">
        <v>4</v>
      </c>
    </row>
    <row r="1451" spans="1:2" x14ac:dyDescent="0.25">
      <c r="A1451" t="s">
        <v>216</v>
      </c>
      <c r="B1451">
        <v>4</v>
      </c>
    </row>
    <row r="1452" spans="1:2" x14ac:dyDescent="0.25">
      <c r="A1452" t="s">
        <v>216</v>
      </c>
      <c r="B1452">
        <v>4</v>
      </c>
    </row>
    <row r="1453" spans="1:2" x14ac:dyDescent="0.25">
      <c r="A1453" t="s">
        <v>216</v>
      </c>
      <c r="B1453">
        <v>3</v>
      </c>
    </row>
    <row r="1454" spans="1:2" x14ac:dyDescent="0.25">
      <c r="A1454" t="s">
        <v>216</v>
      </c>
      <c r="B1454">
        <v>4</v>
      </c>
    </row>
    <row r="1455" spans="1:2" x14ac:dyDescent="0.25">
      <c r="A1455" t="s">
        <v>216</v>
      </c>
      <c r="B1455">
        <v>3</v>
      </c>
    </row>
    <row r="1456" spans="1:2" x14ac:dyDescent="0.25">
      <c r="A1456" t="s">
        <v>216</v>
      </c>
      <c r="B1456">
        <v>3</v>
      </c>
    </row>
    <row r="1457" spans="1:2" x14ac:dyDescent="0.25">
      <c r="A1457" t="s">
        <v>216</v>
      </c>
      <c r="B1457">
        <v>5</v>
      </c>
    </row>
    <row r="1458" spans="1:2" x14ac:dyDescent="0.25">
      <c r="A1458" t="s">
        <v>216</v>
      </c>
      <c r="B1458">
        <v>4</v>
      </c>
    </row>
    <row r="1459" spans="1:2" x14ac:dyDescent="0.25">
      <c r="A1459" t="s">
        <v>216</v>
      </c>
      <c r="B1459">
        <v>4</v>
      </c>
    </row>
    <row r="1460" spans="1:2" x14ac:dyDescent="0.25">
      <c r="A1460" t="s">
        <v>216</v>
      </c>
      <c r="B1460">
        <v>4</v>
      </c>
    </row>
    <row r="1461" spans="1:2" x14ac:dyDescent="0.25">
      <c r="A1461" t="s">
        <v>216</v>
      </c>
      <c r="B1461">
        <v>4</v>
      </c>
    </row>
    <row r="1462" spans="1:2" x14ac:dyDescent="0.25">
      <c r="A1462" t="s">
        <v>216</v>
      </c>
      <c r="B1462">
        <v>4</v>
      </c>
    </row>
    <row r="1463" spans="1:2" x14ac:dyDescent="0.25">
      <c r="A1463" t="s">
        <v>216</v>
      </c>
      <c r="B1463">
        <v>3</v>
      </c>
    </row>
    <row r="1464" spans="1:2" x14ac:dyDescent="0.25">
      <c r="A1464" t="s">
        <v>216</v>
      </c>
      <c r="B1464">
        <v>4</v>
      </c>
    </row>
    <row r="1465" spans="1:2" x14ac:dyDescent="0.25">
      <c r="A1465" t="s">
        <v>216</v>
      </c>
      <c r="B1465">
        <v>3</v>
      </c>
    </row>
    <row r="1466" spans="1:2" x14ac:dyDescent="0.25">
      <c r="A1466" t="s">
        <v>216</v>
      </c>
      <c r="B1466">
        <v>3.5</v>
      </c>
    </row>
    <row r="1467" spans="1:2" x14ac:dyDescent="0.25">
      <c r="A1467" t="s">
        <v>216</v>
      </c>
      <c r="B1467">
        <v>3.75</v>
      </c>
    </row>
    <row r="1468" spans="1:2" x14ac:dyDescent="0.25">
      <c r="A1468" t="s">
        <v>216</v>
      </c>
      <c r="B1468">
        <v>3.75</v>
      </c>
    </row>
    <row r="1469" spans="1:2" x14ac:dyDescent="0.25">
      <c r="A1469" t="s">
        <v>216</v>
      </c>
      <c r="B1469">
        <v>4</v>
      </c>
    </row>
    <row r="1470" spans="1:2" x14ac:dyDescent="0.25">
      <c r="A1470" t="s">
        <v>216</v>
      </c>
      <c r="B1470">
        <v>3.5</v>
      </c>
    </row>
    <row r="1471" spans="1:2" x14ac:dyDescent="0.25">
      <c r="A1471" t="s">
        <v>69</v>
      </c>
      <c r="B1471">
        <v>5</v>
      </c>
    </row>
    <row r="1472" spans="1:2" x14ac:dyDescent="0.25">
      <c r="A1472" t="s">
        <v>69</v>
      </c>
      <c r="B1472">
        <v>5</v>
      </c>
    </row>
    <row r="1473" spans="1:2" x14ac:dyDescent="0.25">
      <c r="A1473" t="s">
        <v>69</v>
      </c>
      <c r="B1473">
        <v>5</v>
      </c>
    </row>
    <row r="1474" spans="1:2" x14ac:dyDescent="0.25">
      <c r="A1474" t="s">
        <v>69</v>
      </c>
      <c r="B1474">
        <v>5</v>
      </c>
    </row>
    <row r="1475" spans="1:2" x14ac:dyDescent="0.25">
      <c r="A1475" t="s">
        <v>69</v>
      </c>
      <c r="B1475">
        <v>5</v>
      </c>
    </row>
    <row r="1476" spans="1:2" x14ac:dyDescent="0.25">
      <c r="A1476" t="s">
        <v>69</v>
      </c>
      <c r="B1476">
        <v>5</v>
      </c>
    </row>
    <row r="1477" spans="1:2" x14ac:dyDescent="0.25">
      <c r="A1477" t="s">
        <v>69</v>
      </c>
      <c r="B1477">
        <v>5</v>
      </c>
    </row>
    <row r="1478" spans="1:2" x14ac:dyDescent="0.25">
      <c r="A1478" t="s">
        <v>69</v>
      </c>
      <c r="B1478">
        <v>5</v>
      </c>
    </row>
    <row r="1479" spans="1:2" x14ac:dyDescent="0.25">
      <c r="A1479" t="s">
        <v>69</v>
      </c>
      <c r="B1479">
        <v>5</v>
      </c>
    </row>
    <row r="1480" spans="1:2" x14ac:dyDescent="0.25">
      <c r="A1480" t="s">
        <v>69</v>
      </c>
      <c r="B1480">
        <v>4</v>
      </c>
    </row>
    <row r="1481" spans="1:2" x14ac:dyDescent="0.25">
      <c r="A1481" t="s">
        <v>69</v>
      </c>
      <c r="B1481">
        <v>5</v>
      </c>
    </row>
    <row r="1482" spans="1:2" x14ac:dyDescent="0.25">
      <c r="A1482" t="s">
        <v>69</v>
      </c>
      <c r="B1482">
        <v>5</v>
      </c>
    </row>
    <row r="1483" spans="1:2" x14ac:dyDescent="0.25">
      <c r="A1483" t="s">
        <v>69</v>
      </c>
      <c r="B1483">
        <v>5</v>
      </c>
    </row>
    <row r="1484" spans="1:2" x14ac:dyDescent="0.25">
      <c r="A1484" t="s">
        <v>69</v>
      </c>
      <c r="B1484">
        <v>3</v>
      </c>
    </row>
    <row r="1485" spans="1:2" x14ac:dyDescent="0.25">
      <c r="A1485" t="s">
        <v>69</v>
      </c>
      <c r="B1485">
        <v>5</v>
      </c>
    </row>
    <row r="1486" spans="1:2" x14ac:dyDescent="0.25">
      <c r="A1486" t="s">
        <v>69</v>
      </c>
      <c r="B1486">
        <v>5</v>
      </c>
    </row>
    <row r="1487" spans="1:2" x14ac:dyDescent="0.25">
      <c r="A1487" t="s">
        <v>69</v>
      </c>
      <c r="B1487">
        <v>5</v>
      </c>
    </row>
    <row r="1488" spans="1:2" x14ac:dyDescent="0.25">
      <c r="A1488" t="s">
        <v>69</v>
      </c>
      <c r="B1488">
        <v>5</v>
      </c>
    </row>
    <row r="1489" spans="1:2" x14ac:dyDescent="0.25">
      <c r="A1489" t="s">
        <v>69</v>
      </c>
      <c r="B1489">
        <v>5</v>
      </c>
    </row>
    <row r="1490" spans="1:2" x14ac:dyDescent="0.25">
      <c r="A1490" t="s">
        <v>69</v>
      </c>
      <c r="B1490">
        <v>5</v>
      </c>
    </row>
    <row r="1491" spans="1:2" x14ac:dyDescent="0.25">
      <c r="A1491" t="s">
        <v>69</v>
      </c>
      <c r="B1491">
        <v>4</v>
      </c>
    </row>
    <row r="1492" spans="1:2" x14ac:dyDescent="0.25">
      <c r="A1492" t="s">
        <v>69</v>
      </c>
      <c r="B1492">
        <v>5</v>
      </c>
    </row>
    <row r="1493" spans="1:2" x14ac:dyDescent="0.25">
      <c r="A1493" t="s">
        <v>69</v>
      </c>
      <c r="B1493">
        <v>1.5</v>
      </c>
    </row>
    <row r="1494" spans="1:2" x14ac:dyDescent="0.25">
      <c r="A1494" t="s">
        <v>69</v>
      </c>
      <c r="B1494">
        <v>5</v>
      </c>
    </row>
    <row r="1495" spans="1:2" x14ac:dyDescent="0.25">
      <c r="A1495" t="s">
        <v>69</v>
      </c>
      <c r="B1495">
        <v>4.75</v>
      </c>
    </row>
    <row r="1496" spans="1:2" x14ac:dyDescent="0.25">
      <c r="A1496" t="s">
        <v>69</v>
      </c>
      <c r="B1496">
        <v>5</v>
      </c>
    </row>
    <row r="1497" spans="1:2" x14ac:dyDescent="0.25">
      <c r="A1497" t="s">
        <v>69</v>
      </c>
      <c r="B1497">
        <v>5</v>
      </c>
    </row>
    <row r="1498" spans="1:2" x14ac:dyDescent="0.25">
      <c r="A1498" t="s">
        <v>69</v>
      </c>
      <c r="B1498">
        <v>5</v>
      </c>
    </row>
    <row r="1499" spans="1:2" x14ac:dyDescent="0.25">
      <c r="A1499" t="s">
        <v>69</v>
      </c>
      <c r="B1499">
        <v>5</v>
      </c>
    </row>
    <row r="1500" spans="1:2" x14ac:dyDescent="0.25">
      <c r="A1500" t="s">
        <v>69</v>
      </c>
      <c r="B1500">
        <v>5</v>
      </c>
    </row>
    <row r="1501" spans="1:2" x14ac:dyDescent="0.25">
      <c r="A1501" t="s">
        <v>69</v>
      </c>
      <c r="B1501">
        <v>5</v>
      </c>
    </row>
    <row r="1502" spans="1:2" x14ac:dyDescent="0.25">
      <c r="A1502" t="s">
        <v>69</v>
      </c>
      <c r="B1502">
        <v>5</v>
      </c>
    </row>
    <row r="1503" spans="1:2" x14ac:dyDescent="0.25">
      <c r="A1503" t="s">
        <v>69</v>
      </c>
      <c r="B1503">
        <v>3.5</v>
      </c>
    </row>
    <row r="1504" spans="1:2" x14ac:dyDescent="0.25">
      <c r="A1504" t="s">
        <v>69</v>
      </c>
      <c r="B1504">
        <v>5</v>
      </c>
    </row>
    <row r="1505" spans="1:2" x14ac:dyDescent="0.25">
      <c r="A1505" t="s">
        <v>69</v>
      </c>
      <c r="B1505">
        <v>2.5</v>
      </c>
    </row>
    <row r="1506" spans="1:2" x14ac:dyDescent="0.25">
      <c r="A1506" t="s">
        <v>69</v>
      </c>
      <c r="B1506">
        <v>5</v>
      </c>
    </row>
    <row r="1507" spans="1:2" x14ac:dyDescent="0.25">
      <c r="A1507" t="s">
        <v>69</v>
      </c>
      <c r="B1507">
        <v>3.75</v>
      </c>
    </row>
    <row r="1508" spans="1:2" x14ac:dyDescent="0.25">
      <c r="A1508" t="s">
        <v>69</v>
      </c>
      <c r="B1508">
        <v>3.5</v>
      </c>
    </row>
    <row r="1509" spans="1:2" x14ac:dyDescent="0.25">
      <c r="A1509" t="s">
        <v>69</v>
      </c>
      <c r="B1509">
        <v>5</v>
      </c>
    </row>
    <row r="1510" spans="1:2" x14ac:dyDescent="0.25">
      <c r="A1510" t="s">
        <v>69</v>
      </c>
      <c r="B1510">
        <v>5</v>
      </c>
    </row>
    <row r="1511" spans="1:2" x14ac:dyDescent="0.25">
      <c r="A1511" t="s">
        <v>69</v>
      </c>
      <c r="B1511">
        <v>4.5</v>
      </c>
    </row>
    <row r="1512" spans="1:2" x14ac:dyDescent="0.25">
      <c r="A1512" t="s">
        <v>69</v>
      </c>
      <c r="B1512">
        <v>5</v>
      </c>
    </row>
    <row r="1513" spans="1:2" x14ac:dyDescent="0.25">
      <c r="A1513" t="s">
        <v>69</v>
      </c>
      <c r="B1513">
        <v>5</v>
      </c>
    </row>
    <row r="1514" spans="1:2" x14ac:dyDescent="0.25">
      <c r="A1514" t="s">
        <v>69</v>
      </c>
      <c r="B1514">
        <v>5</v>
      </c>
    </row>
    <row r="1515" spans="1:2" x14ac:dyDescent="0.25">
      <c r="A1515" t="s">
        <v>69</v>
      </c>
      <c r="B1515">
        <v>5</v>
      </c>
    </row>
    <row r="1516" spans="1:2" x14ac:dyDescent="0.25">
      <c r="A1516" t="s">
        <v>69</v>
      </c>
      <c r="B1516">
        <v>3.75</v>
      </c>
    </row>
    <row r="1517" spans="1:2" x14ac:dyDescent="0.25">
      <c r="A1517" t="s">
        <v>69</v>
      </c>
      <c r="B1517">
        <v>4</v>
      </c>
    </row>
    <row r="1518" spans="1:2" x14ac:dyDescent="0.25">
      <c r="A1518" t="s">
        <v>69</v>
      </c>
      <c r="B1518">
        <v>4</v>
      </c>
    </row>
    <row r="1519" spans="1:2" x14ac:dyDescent="0.25">
      <c r="A1519" t="s">
        <v>69</v>
      </c>
      <c r="B1519">
        <v>5</v>
      </c>
    </row>
    <row r="1520" spans="1:2" x14ac:dyDescent="0.25">
      <c r="A1520" t="s">
        <v>69</v>
      </c>
      <c r="B1520">
        <v>3.5</v>
      </c>
    </row>
    <row r="1521" spans="1:2" x14ac:dyDescent="0.25">
      <c r="A1521" t="s">
        <v>69</v>
      </c>
      <c r="B1521">
        <v>3</v>
      </c>
    </row>
    <row r="1522" spans="1:2" x14ac:dyDescent="0.25">
      <c r="A1522" t="s">
        <v>69</v>
      </c>
      <c r="B1522">
        <v>3.5</v>
      </c>
    </row>
    <row r="1523" spans="1:2" x14ac:dyDescent="0.25">
      <c r="A1523" t="s">
        <v>69</v>
      </c>
      <c r="B1523">
        <v>3.5</v>
      </c>
    </row>
    <row r="1524" spans="1:2" x14ac:dyDescent="0.25">
      <c r="A1524" t="s">
        <v>69</v>
      </c>
      <c r="B1524">
        <v>4.25</v>
      </c>
    </row>
    <row r="1525" spans="1:2" x14ac:dyDescent="0.25">
      <c r="A1525" t="s">
        <v>69</v>
      </c>
      <c r="B1525">
        <v>4.5</v>
      </c>
    </row>
    <row r="1526" spans="1:2" x14ac:dyDescent="0.25">
      <c r="A1526" t="s">
        <v>69</v>
      </c>
      <c r="B1526">
        <v>3.5</v>
      </c>
    </row>
    <row r="1527" spans="1:2" x14ac:dyDescent="0.25">
      <c r="A1527" t="s">
        <v>69</v>
      </c>
      <c r="B1527">
        <v>3</v>
      </c>
    </row>
    <row r="1528" spans="1:2" x14ac:dyDescent="0.25">
      <c r="A1528" t="s">
        <v>69</v>
      </c>
      <c r="B1528">
        <v>4</v>
      </c>
    </row>
    <row r="1529" spans="1:2" x14ac:dyDescent="0.25">
      <c r="A1529" t="s">
        <v>69</v>
      </c>
      <c r="B1529">
        <v>3.5</v>
      </c>
    </row>
    <row r="1530" spans="1:2" x14ac:dyDescent="0.25">
      <c r="A1530" t="s">
        <v>69</v>
      </c>
      <c r="B1530">
        <v>5</v>
      </c>
    </row>
    <row r="1531" spans="1:2" x14ac:dyDescent="0.25">
      <c r="A1531" t="s">
        <v>69</v>
      </c>
      <c r="B1531">
        <v>5</v>
      </c>
    </row>
    <row r="1532" spans="1:2" x14ac:dyDescent="0.25">
      <c r="A1532" t="s">
        <v>69</v>
      </c>
      <c r="B1532">
        <v>3.5</v>
      </c>
    </row>
    <row r="1533" spans="1:2" x14ac:dyDescent="0.25">
      <c r="A1533" t="s">
        <v>69</v>
      </c>
      <c r="B1533">
        <v>3.5</v>
      </c>
    </row>
    <row r="1534" spans="1:2" x14ac:dyDescent="0.25">
      <c r="A1534" t="s">
        <v>69</v>
      </c>
      <c r="B1534">
        <v>4.5</v>
      </c>
    </row>
    <row r="1535" spans="1:2" x14ac:dyDescent="0.25">
      <c r="A1535" t="s">
        <v>69</v>
      </c>
      <c r="B1535">
        <v>5</v>
      </c>
    </row>
    <row r="1536" spans="1:2" x14ac:dyDescent="0.25">
      <c r="A1536" t="s">
        <v>69</v>
      </c>
      <c r="B1536">
        <v>3.25</v>
      </c>
    </row>
    <row r="1537" spans="1:2" x14ac:dyDescent="0.25">
      <c r="A1537" t="s">
        <v>69</v>
      </c>
      <c r="B1537">
        <v>4.5</v>
      </c>
    </row>
    <row r="1538" spans="1:2" x14ac:dyDescent="0.25">
      <c r="A1538" t="s">
        <v>69</v>
      </c>
      <c r="B1538">
        <v>5</v>
      </c>
    </row>
    <row r="1539" spans="1:2" x14ac:dyDescent="0.25">
      <c r="A1539" t="s">
        <v>69</v>
      </c>
      <c r="B1539">
        <v>5</v>
      </c>
    </row>
    <row r="1540" spans="1:2" x14ac:dyDescent="0.25">
      <c r="A1540" t="s">
        <v>69</v>
      </c>
      <c r="B1540">
        <v>4</v>
      </c>
    </row>
    <row r="1541" spans="1:2" x14ac:dyDescent="0.25">
      <c r="A1541" t="s">
        <v>69</v>
      </c>
      <c r="B1541">
        <v>4.75</v>
      </c>
    </row>
    <row r="1542" spans="1:2" x14ac:dyDescent="0.25">
      <c r="A1542" t="s">
        <v>69</v>
      </c>
      <c r="B1542">
        <v>4.5</v>
      </c>
    </row>
    <row r="1543" spans="1:2" x14ac:dyDescent="0.25">
      <c r="A1543" t="s">
        <v>69</v>
      </c>
      <c r="B1543">
        <v>3.5</v>
      </c>
    </row>
    <row r="1544" spans="1:2" x14ac:dyDescent="0.25">
      <c r="A1544" t="s">
        <v>69</v>
      </c>
      <c r="B1544">
        <v>4.5</v>
      </c>
    </row>
    <row r="1545" spans="1:2" x14ac:dyDescent="0.25">
      <c r="A1545" t="s">
        <v>69</v>
      </c>
      <c r="B1545">
        <v>4.25</v>
      </c>
    </row>
    <row r="1546" spans="1:2" x14ac:dyDescent="0.25">
      <c r="A1546" t="s">
        <v>69</v>
      </c>
      <c r="B1546">
        <v>5</v>
      </c>
    </row>
    <row r="1547" spans="1:2" x14ac:dyDescent="0.25">
      <c r="A1547" t="s">
        <v>69</v>
      </c>
      <c r="B1547">
        <v>2</v>
      </c>
    </row>
    <row r="1548" spans="1:2" x14ac:dyDescent="0.25">
      <c r="A1548" t="s">
        <v>69</v>
      </c>
      <c r="B1548">
        <v>5</v>
      </c>
    </row>
    <row r="1549" spans="1:2" x14ac:dyDescent="0.25">
      <c r="A1549" t="s">
        <v>69</v>
      </c>
      <c r="B1549">
        <v>5</v>
      </c>
    </row>
    <row r="1550" spans="1:2" x14ac:dyDescent="0.25">
      <c r="A1550" t="s">
        <v>69</v>
      </c>
      <c r="B1550">
        <v>5</v>
      </c>
    </row>
    <row r="1551" spans="1:2" x14ac:dyDescent="0.25">
      <c r="A1551" t="s">
        <v>69</v>
      </c>
      <c r="B1551">
        <v>3.75</v>
      </c>
    </row>
    <row r="1552" spans="1:2" x14ac:dyDescent="0.25">
      <c r="A1552" t="s">
        <v>69</v>
      </c>
      <c r="B1552">
        <v>2</v>
      </c>
    </row>
    <row r="1553" spans="1:2" x14ac:dyDescent="0.25">
      <c r="A1553" t="s">
        <v>69</v>
      </c>
      <c r="B1553">
        <v>3.75</v>
      </c>
    </row>
    <row r="1554" spans="1:2" x14ac:dyDescent="0.25">
      <c r="A1554" t="s">
        <v>69</v>
      </c>
      <c r="B1554">
        <v>3</v>
      </c>
    </row>
    <row r="1555" spans="1:2" x14ac:dyDescent="0.25">
      <c r="A1555" t="s">
        <v>69</v>
      </c>
      <c r="B1555">
        <v>3.5</v>
      </c>
    </row>
    <row r="1556" spans="1:2" x14ac:dyDescent="0.25">
      <c r="A1556" t="s">
        <v>69</v>
      </c>
      <c r="B1556">
        <v>5</v>
      </c>
    </row>
    <row r="1557" spans="1:2" x14ac:dyDescent="0.25">
      <c r="A1557" t="s">
        <v>69</v>
      </c>
      <c r="B1557">
        <v>3.25</v>
      </c>
    </row>
    <row r="1558" spans="1:2" x14ac:dyDescent="0.25">
      <c r="A1558" t="s">
        <v>69</v>
      </c>
      <c r="B1558">
        <v>5</v>
      </c>
    </row>
    <row r="1559" spans="1:2" x14ac:dyDescent="0.25">
      <c r="A1559" t="s">
        <v>69</v>
      </c>
      <c r="B1559">
        <v>4.5</v>
      </c>
    </row>
    <row r="1560" spans="1:2" x14ac:dyDescent="0.25">
      <c r="A1560" t="s">
        <v>69</v>
      </c>
      <c r="B1560">
        <v>4</v>
      </c>
    </row>
    <row r="1561" spans="1:2" x14ac:dyDescent="0.25">
      <c r="A1561" t="s">
        <v>69</v>
      </c>
      <c r="B1561">
        <v>3</v>
      </c>
    </row>
    <row r="1562" spans="1:2" x14ac:dyDescent="0.25">
      <c r="A1562" t="s">
        <v>69</v>
      </c>
      <c r="B1562">
        <v>3.5</v>
      </c>
    </row>
    <row r="1563" spans="1:2" x14ac:dyDescent="0.25">
      <c r="A1563" t="s">
        <v>69</v>
      </c>
      <c r="B1563">
        <v>3.75</v>
      </c>
    </row>
    <row r="1564" spans="1:2" x14ac:dyDescent="0.25">
      <c r="A1564" t="s">
        <v>69</v>
      </c>
      <c r="B1564">
        <v>3.75</v>
      </c>
    </row>
    <row r="1565" spans="1:2" x14ac:dyDescent="0.25">
      <c r="A1565" t="s">
        <v>69</v>
      </c>
      <c r="B1565">
        <v>3.5</v>
      </c>
    </row>
    <row r="1566" spans="1:2" x14ac:dyDescent="0.25">
      <c r="A1566" t="s">
        <v>69</v>
      </c>
      <c r="B1566" t="s">
        <v>76</v>
      </c>
    </row>
    <row r="1567" spans="1:2" x14ac:dyDescent="0.25">
      <c r="A1567" t="s">
        <v>69</v>
      </c>
      <c r="B1567">
        <v>3.75</v>
      </c>
    </row>
    <row r="1568" spans="1:2" x14ac:dyDescent="0.25">
      <c r="A1568" t="s">
        <v>69</v>
      </c>
      <c r="B1568">
        <v>3.75</v>
      </c>
    </row>
    <row r="1569" spans="1:2" x14ac:dyDescent="0.25">
      <c r="A1569" t="s">
        <v>69</v>
      </c>
      <c r="B1569">
        <v>4</v>
      </c>
    </row>
    <row r="1570" spans="1:2" x14ac:dyDescent="0.25">
      <c r="A1570" t="s">
        <v>69</v>
      </c>
      <c r="B1570">
        <v>4</v>
      </c>
    </row>
    <row r="1571" spans="1:2" x14ac:dyDescent="0.25">
      <c r="A1571" t="s">
        <v>69</v>
      </c>
      <c r="B1571">
        <v>4</v>
      </c>
    </row>
    <row r="1572" spans="1:2" x14ac:dyDescent="0.25">
      <c r="A1572" t="s">
        <v>69</v>
      </c>
      <c r="B1572">
        <v>4.75</v>
      </c>
    </row>
    <row r="1573" spans="1:2" x14ac:dyDescent="0.25">
      <c r="A1573" t="s">
        <v>69</v>
      </c>
      <c r="B1573">
        <v>3.5</v>
      </c>
    </row>
    <row r="1574" spans="1:2" x14ac:dyDescent="0.25">
      <c r="A1574" t="s">
        <v>69</v>
      </c>
      <c r="B1574">
        <v>4</v>
      </c>
    </row>
    <row r="1575" spans="1:2" x14ac:dyDescent="0.25">
      <c r="A1575" t="s">
        <v>69</v>
      </c>
      <c r="B1575">
        <v>4.5</v>
      </c>
    </row>
    <row r="1576" spans="1:2" x14ac:dyDescent="0.25">
      <c r="A1576" t="s">
        <v>69</v>
      </c>
      <c r="B1576">
        <v>3.5</v>
      </c>
    </row>
    <row r="1577" spans="1:2" x14ac:dyDescent="0.25">
      <c r="A1577" t="s">
        <v>69</v>
      </c>
      <c r="B1577">
        <v>3.75</v>
      </c>
    </row>
    <row r="1578" spans="1:2" x14ac:dyDescent="0.25">
      <c r="A1578" t="s">
        <v>69</v>
      </c>
      <c r="B1578">
        <v>5</v>
      </c>
    </row>
    <row r="1579" spans="1:2" x14ac:dyDescent="0.25">
      <c r="A1579" t="s">
        <v>69</v>
      </c>
      <c r="B1579">
        <v>5</v>
      </c>
    </row>
    <row r="1580" spans="1:2" x14ac:dyDescent="0.25">
      <c r="A1580" t="s">
        <v>69</v>
      </c>
      <c r="B1580">
        <v>3.75</v>
      </c>
    </row>
    <row r="1581" spans="1:2" x14ac:dyDescent="0.25">
      <c r="A1581" t="s">
        <v>69</v>
      </c>
      <c r="B1581">
        <v>3.75</v>
      </c>
    </row>
    <row r="1582" spans="1:2" x14ac:dyDescent="0.25">
      <c r="A1582" t="s">
        <v>69</v>
      </c>
      <c r="B1582">
        <v>4.5</v>
      </c>
    </row>
    <row r="1583" spans="1:2" x14ac:dyDescent="0.25">
      <c r="A1583" t="s">
        <v>69</v>
      </c>
      <c r="B1583">
        <v>4.5</v>
      </c>
    </row>
    <row r="1584" spans="1:2" x14ac:dyDescent="0.25">
      <c r="A1584" t="s">
        <v>69</v>
      </c>
      <c r="B1584">
        <v>3.75</v>
      </c>
    </row>
    <row r="1585" spans="1:2" x14ac:dyDescent="0.25">
      <c r="A1585" t="s">
        <v>69</v>
      </c>
      <c r="B1585">
        <v>3.75</v>
      </c>
    </row>
    <row r="1586" spans="1:2" x14ac:dyDescent="0.25">
      <c r="A1586" t="s">
        <v>69</v>
      </c>
      <c r="B1586">
        <v>4.75</v>
      </c>
    </row>
    <row r="1587" spans="1:2" x14ac:dyDescent="0.25">
      <c r="A1587" t="s">
        <v>69</v>
      </c>
      <c r="B1587">
        <v>5</v>
      </c>
    </row>
    <row r="1588" spans="1:2" x14ac:dyDescent="0.25">
      <c r="A1588" t="s">
        <v>69</v>
      </c>
      <c r="B1588">
        <v>3.5</v>
      </c>
    </row>
    <row r="1589" spans="1:2" x14ac:dyDescent="0.25">
      <c r="A1589" t="s">
        <v>69</v>
      </c>
      <c r="B1589">
        <v>3.5</v>
      </c>
    </row>
    <row r="1590" spans="1:2" x14ac:dyDescent="0.25">
      <c r="A1590" t="s">
        <v>69</v>
      </c>
      <c r="B1590">
        <v>4.5</v>
      </c>
    </row>
    <row r="1591" spans="1:2" x14ac:dyDescent="0.25">
      <c r="A1591" t="s">
        <v>69</v>
      </c>
      <c r="B1591">
        <v>3.25</v>
      </c>
    </row>
    <row r="1592" spans="1:2" x14ac:dyDescent="0.25">
      <c r="A1592" t="s">
        <v>69</v>
      </c>
      <c r="B1592">
        <v>4.25</v>
      </c>
    </row>
    <row r="1593" spans="1:2" x14ac:dyDescent="0.25">
      <c r="A1593" t="s">
        <v>69</v>
      </c>
      <c r="B1593">
        <v>3.5</v>
      </c>
    </row>
    <row r="1594" spans="1:2" x14ac:dyDescent="0.25">
      <c r="A1594" t="s">
        <v>69</v>
      </c>
      <c r="B1594">
        <v>5</v>
      </c>
    </row>
    <row r="1595" spans="1:2" x14ac:dyDescent="0.25">
      <c r="A1595" t="s">
        <v>69</v>
      </c>
      <c r="B1595">
        <v>3.75</v>
      </c>
    </row>
    <row r="1596" spans="1:2" x14ac:dyDescent="0.25">
      <c r="A1596" t="s">
        <v>69</v>
      </c>
      <c r="B1596">
        <v>5</v>
      </c>
    </row>
    <row r="1597" spans="1:2" x14ac:dyDescent="0.25">
      <c r="A1597" t="s">
        <v>69</v>
      </c>
      <c r="B1597">
        <v>4</v>
      </c>
    </row>
    <row r="1598" spans="1:2" x14ac:dyDescent="0.25">
      <c r="A1598" t="s">
        <v>69</v>
      </c>
      <c r="B1598">
        <v>5</v>
      </c>
    </row>
    <row r="1599" spans="1:2" x14ac:dyDescent="0.25">
      <c r="A1599" t="s">
        <v>69</v>
      </c>
      <c r="B1599">
        <v>3.25</v>
      </c>
    </row>
    <row r="1600" spans="1:2" x14ac:dyDescent="0.25">
      <c r="A1600" t="s">
        <v>69</v>
      </c>
      <c r="B1600">
        <v>3.25</v>
      </c>
    </row>
    <row r="1601" spans="1:2" x14ac:dyDescent="0.25">
      <c r="A1601" t="s">
        <v>69</v>
      </c>
      <c r="B1601">
        <v>4.75</v>
      </c>
    </row>
    <row r="1602" spans="1:2" x14ac:dyDescent="0.25">
      <c r="A1602" t="s">
        <v>69</v>
      </c>
      <c r="B1602">
        <v>3.75</v>
      </c>
    </row>
    <row r="1603" spans="1:2" x14ac:dyDescent="0.25">
      <c r="A1603" t="s">
        <v>69</v>
      </c>
      <c r="B1603">
        <v>3.75</v>
      </c>
    </row>
    <row r="1604" spans="1:2" x14ac:dyDescent="0.25">
      <c r="A1604" t="s">
        <v>69</v>
      </c>
      <c r="B1604">
        <v>4</v>
      </c>
    </row>
    <row r="1605" spans="1:2" x14ac:dyDescent="0.25">
      <c r="A1605" t="s">
        <v>69</v>
      </c>
      <c r="B1605">
        <v>4.5</v>
      </c>
    </row>
    <row r="1606" spans="1:2" x14ac:dyDescent="0.25">
      <c r="A1606" t="s">
        <v>69</v>
      </c>
      <c r="B1606">
        <v>3.75</v>
      </c>
    </row>
    <row r="1607" spans="1:2" x14ac:dyDescent="0.25">
      <c r="A1607" t="s">
        <v>69</v>
      </c>
      <c r="B1607">
        <v>4.5</v>
      </c>
    </row>
    <row r="1608" spans="1:2" x14ac:dyDescent="0.25">
      <c r="A1608" t="s">
        <v>69</v>
      </c>
      <c r="B1608">
        <v>3.75</v>
      </c>
    </row>
    <row r="1609" spans="1:2" x14ac:dyDescent="0.25">
      <c r="A1609" t="s">
        <v>69</v>
      </c>
      <c r="B1609">
        <v>4.25</v>
      </c>
    </row>
    <row r="1610" spans="1:2" x14ac:dyDescent="0.25">
      <c r="A1610" t="s">
        <v>69</v>
      </c>
      <c r="B1610">
        <v>4.25</v>
      </c>
    </row>
    <row r="1611" spans="1:2" x14ac:dyDescent="0.25">
      <c r="A1611" t="s">
        <v>69</v>
      </c>
      <c r="B1611">
        <v>4</v>
      </c>
    </row>
    <row r="1612" spans="1:2" x14ac:dyDescent="0.25">
      <c r="A1612" t="s">
        <v>69</v>
      </c>
      <c r="B1612">
        <v>4</v>
      </c>
    </row>
    <row r="1613" spans="1:2" x14ac:dyDescent="0.25">
      <c r="A1613" t="s">
        <v>69</v>
      </c>
      <c r="B1613">
        <v>2.5</v>
      </c>
    </row>
    <row r="1614" spans="1:2" x14ac:dyDescent="0.25">
      <c r="A1614" t="s">
        <v>69</v>
      </c>
      <c r="B1614">
        <v>2.5</v>
      </c>
    </row>
    <row r="1615" spans="1:2" x14ac:dyDescent="0.25">
      <c r="A1615" t="s">
        <v>69</v>
      </c>
      <c r="B1615">
        <v>3.25</v>
      </c>
    </row>
    <row r="1616" spans="1:2" x14ac:dyDescent="0.25">
      <c r="A1616" t="s">
        <v>69</v>
      </c>
      <c r="B1616">
        <v>2.75</v>
      </c>
    </row>
    <row r="1617" spans="1:2" x14ac:dyDescent="0.25">
      <c r="A1617" t="s">
        <v>69</v>
      </c>
      <c r="B1617">
        <v>3.5</v>
      </c>
    </row>
    <row r="1618" spans="1:2" x14ac:dyDescent="0.25">
      <c r="A1618" t="s">
        <v>69</v>
      </c>
      <c r="B1618">
        <v>5</v>
      </c>
    </row>
    <row r="1619" spans="1:2" x14ac:dyDescent="0.25">
      <c r="A1619" t="s">
        <v>69</v>
      </c>
      <c r="B1619">
        <v>4</v>
      </c>
    </row>
    <row r="1620" spans="1:2" x14ac:dyDescent="0.25">
      <c r="A1620" t="s">
        <v>69</v>
      </c>
      <c r="B1620">
        <v>2.5</v>
      </c>
    </row>
    <row r="1621" spans="1:2" x14ac:dyDescent="0.25">
      <c r="A1621" t="s">
        <v>69</v>
      </c>
      <c r="B1621">
        <v>3.75</v>
      </c>
    </row>
    <row r="1622" spans="1:2" x14ac:dyDescent="0.25">
      <c r="A1622" t="s">
        <v>69</v>
      </c>
      <c r="B1622">
        <v>2</v>
      </c>
    </row>
    <row r="1623" spans="1:2" x14ac:dyDescent="0.25">
      <c r="A1623" t="s">
        <v>69</v>
      </c>
      <c r="B1623">
        <v>3.25</v>
      </c>
    </row>
    <row r="1624" spans="1:2" x14ac:dyDescent="0.25">
      <c r="A1624" t="s">
        <v>69</v>
      </c>
      <c r="B1624">
        <v>4.5</v>
      </c>
    </row>
    <row r="1625" spans="1:2" x14ac:dyDescent="0.25">
      <c r="A1625" t="s">
        <v>69</v>
      </c>
      <c r="B1625">
        <v>3.25</v>
      </c>
    </row>
    <row r="1626" spans="1:2" x14ac:dyDescent="0.25">
      <c r="A1626" t="s">
        <v>69</v>
      </c>
      <c r="B1626">
        <v>2.9</v>
      </c>
    </row>
    <row r="1627" spans="1:2" x14ac:dyDescent="0.25">
      <c r="A1627" t="s">
        <v>10</v>
      </c>
      <c r="B1627">
        <v>5</v>
      </c>
    </row>
    <row r="1628" spans="1:2" x14ac:dyDescent="0.25">
      <c r="A1628" t="s">
        <v>10</v>
      </c>
      <c r="B1628">
        <v>4.25</v>
      </c>
    </row>
    <row r="1629" spans="1:2" x14ac:dyDescent="0.25">
      <c r="A1629" t="s">
        <v>10</v>
      </c>
      <c r="B1629">
        <v>4</v>
      </c>
    </row>
    <row r="1630" spans="1:2" x14ac:dyDescent="0.25">
      <c r="A1630" t="s">
        <v>10</v>
      </c>
      <c r="B1630">
        <v>5</v>
      </c>
    </row>
    <row r="1631" spans="1:2" x14ac:dyDescent="0.25">
      <c r="A1631" t="s">
        <v>10</v>
      </c>
      <c r="B1631">
        <v>5</v>
      </c>
    </row>
    <row r="1632" spans="1:2" x14ac:dyDescent="0.25">
      <c r="A1632" t="s">
        <v>10</v>
      </c>
      <c r="B1632">
        <v>5</v>
      </c>
    </row>
    <row r="1633" spans="1:2" x14ac:dyDescent="0.25">
      <c r="A1633" t="s">
        <v>10</v>
      </c>
      <c r="B1633">
        <v>3.75</v>
      </c>
    </row>
    <row r="1634" spans="1:2" x14ac:dyDescent="0.25">
      <c r="A1634" t="s">
        <v>10</v>
      </c>
      <c r="B1634">
        <v>4</v>
      </c>
    </row>
    <row r="1635" spans="1:2" x14ac:dyDescent="0.25">
      <c r="A1635" t="s">
        <v>10</v>
      </c>
      <c r="B1635">
        <v>3.75</v>
      </c>
    </row>
    <row r="1636" spans="1:2" x14ac:dyDescent="0.25">
      <c r="A1636" t="s">
        <v>10</v>
      </c>
      <c r="B1636">
        <v>0.25</v>
      </c>
    </row>
    <row r="1637" spans="1:2" x14ac:dyDescent="0.25">
      <c r="A1637" t="s">
        <v>10</v>
      </c>
      <c r="B1637">
        <v>4.5</v>
      </c>
    </row>
    <row r="1638" spans="1:2" x14ac:dyDescent="0.25">
      <c r="A1638" t="s">
        <v>10</v>
      </c>
      <c r="B1638">
        <v>4.75</v>
      </c>
    </row>
    <row r="1639" spans="1:2" x14ac:dyDescent="0.25">
      <c r="A1639" t="s">
        <v>10</v>
      </c>
      <c r="B1639">
        <v>3.75</v>
      </c>
    </row>
    <row r="1640" spans="1:2" x14ac:dyDescent="0.25">
      <c r="A1640" t="s">
        <v>10</v>
      </c>
      <c r="B1640">
        <v>1.5</v>
      </c>
    </row>
    <row r="1641" spans="1:2" x14ac:dyDescent="0.25">
      <c r="A1641" t="s">
        <v>10</v>
      </c>
      <c r="B1641">
        <v>4</v>
      </c>
    </row>
    <row r="1642" spans="1:2" x14ac:dyDescent="0.25">
      <c r="A1642" t="s">
        <v>10</v>
      </c>
      <c r="B1642">
        <v>4.75</v>
      </c>
    </row>
    <row r="1643" spans="1:2" x14ac:dyDescent="0.25">
      <c r="A1643" t="s">
        <v>10</v>
      </c>
      <c r="B1643">
        <v>4.5</v>
      </c>
    </row>
    <row r="1644" spans="1:2" x14ac:dyDescent="0.25">
      <c r="A1644" t="s">
        <v>10</v>
      </c>
      <c r="B1644">
        <v>3.5</v>
      </c>
    </row>
    <row r="1645" spans="1:2" x14ac:dyDescent="0.25">
      <c r="A1645" t="s">
        <v>10</v>
      </c>
      <c r="B1645">
        <v>5</v>
      </c>
    </row>
    <row r="1646" spans="1:2" x14ac:dyDescent="0.25">
      <c r="A1646" t="s">
        <v>10</v>
      </c>
      <c r="B1646">
        <v>4</v>
      </c>
    </row>
    <row r="1647" spans="1:2" x14ac:dyDescent="0.25">
      <c r="A1647" t="s">
        <v>10</v>
      </c>
      <c r="B1647">
        <v>4.5</v>
      </c>
    </row>
    <row r="1648" spans="1:2" x14ac:dyDescent="0.25">
      <c r="A1648" t="s">
        <v>10</v>
      </c>
      <c r="B1648">
        <v>3.5</v>
      </c>
    </row>
    <row r="1649" spans="1:2" x14ac:dyDescent="0.25">
      <c r="A1649" t="s">
        <v>10</v>
      </c>
      <c r="B1649">
        <v>4.5</v>
      </c>
    </row>
    <row r="1650" spans="1:2" x14ac:dyDescent="0.25">
      <c r="A1650" t="s">
        <v>10</v>
      </c>
      <c r="B1650">
        <v>3.5</v>
      </c>
    </row>
    <row r="1651" spans="1:2" x14ac:dyDescent="0.25">
      <c r="A1651" t="s">
        <v>10</v>
      </c>
      <c r="B1651">
        <v>4.25</v>
      </c>
    </row>
    <row r="1652" spans="1:2" x14ac:dyDescent="0.25">
      <c r="A1652" t="s">
        <v>10</v>
      </c>
      <c r="B1652">
        <v>4.75</v>
      </c>
    </row>
    <row r="1653" spans="1:2" x14ac:dyDescent="0.25">
      <c r="A1653" t="s">
        <v>10</v>
      </c>
      <c r="B1653">
        <v>2</v>
      </c>
    </row>
    <row r="1654" spans="1:2" x14ac:dyDescent="0.25">
      <c r="A1654" t="s">
        <v>10</v>
      </c>
      <c r="B1654">
        <v>4.25</v>
      </c>
    </row>
    <row r="1655" spans="1:2" x14ac:dyDescent="0.25">
      <c r="A1655" t="s">
        <v>10</v>
      </c>
      <c r="B1655">
        <v>4.5</v>
      </c>
    </row>
    <row r="1656" spans="1:2" x14ac:dyDescent="0.25">
      <c r="A1656" t="s">
        <v>10</v>
      </c>
      <c r="B1656">
        <v>3.5</v>
      </c>
    </row>
    <row r="1657" spans="1:2" x14ac:dyDescent="0.25">
      <c r="A1657" t="s">
        <v>10</v>
      </c>
      <c r="B1657">
        <v>5</v>
      </c>
    </row>
    <row r="1658" spans="1:2" x14ac:dyDescent="0.25">
      <c r="A1658" t="s">
        <v>10</v>
      </c>
      <c r="B1658">
        <v>4.5</v>
      </c>
    </row>
    <row r="1659" spans="1:2" x14ac:dyDescent="0.25">
      <c r="A1659" t="s">
        <v>10</v>
      </c>
      <c r="B1659">
        <v>3.75</v>
      </c>
    </row>
    <row r="1660" spans="1:2" x14ac:dyDescent="0.25">
      <c r="A1660" t="s">
        <v>10</v>
      </c>
      <c r="B1660">
        <v>4</v>
      </c>
    </row>
    <row r="1661" spans="1:2" x14ac:dyDescent="0.25">
      <c r="A1661" t="s">
        <v>10</v>
      </c>
      <c r="B1661">
        <v>2.5</v>
      </c>
    </row>
    <row r="1662" spans="1:2" x14ac:dyDescent="0.25">
      <c r="A1662" t="s">
        <v>10</v>
      </c>
      <c r="B1662">
        <v>5</v>
      </c>
    </row>
    <row r="1663" spans="1:2" x14ac:dyDescent="0.25">
      <c r="A1663" t="s">
        <v>10</v>
      </c>
      <c r="B1663">
        <v>4.5</v>
      </c>
    </row>
    <row r="1664" spans="1:2" x14ac:dyDescent="0.25">
      <c r="A1664" t="s">
        <v>10</v>
      </c>
      <c r="B1664">
        <v>5</v>
      </c>
    </row>
    <row r="1665" spans="1:2" x14ac:dyDescent="0.25">
      <c r="A1665" t="s">
        <v>10</v>
      </c>
      <c r="B1665">
        <v>3</v>
      </c>
    </row>
    <row r="1666" spans="1:2" x14ac:dyDescent="0.25">
      <c r="A1666" t="s">
        <v>10</v>
      </c>
      <c r="B1666">
        <v>3.5</v>
      </c>
    </row>
    <row r="1667" spans="1:2" x14ac:dyDescent="0.25">
      <c r="A1667" t="s">
        <v>10</v>
      </c>
      <c r="B1667">
        <v>2</v>
      </c>
    </row>
    <row r="1668" spans="1:2" x14ac:dyDescent="0.25">
      <c r="A1668" t="s">
        <v>10</v>
      </c>
      <c r="B1668">
        <v>4</v>
      </c>
    </row>
    <row r="1669" spans="1:2" x14ac:dyDescent="0.25">
      <c r="A1669" t="s">
        <v>10</v>
      </c>
      <c r="B1669">
        <v>4</v>
      </c>
    </row>
    <row r="1670" spans="1:2" x14ac:dyDescent="0.25">
      <c r="A1670" t="s">
        <v>10</v>
      </c>
      <c r="B1670">
        <v>3</v>
      </c>
    </row>
    <row r="1671" spans="1:2" x14ac:dyDescent="0.25">
      <c r="A1671" t="s">
        <v>10</v>
      </c>
      <c r="B1671">
        <v>5</v>
      </c>
    </row>
    <row r="1672" spans="1:2" x14ac:dyDescent="0.25">
      <c r="A1672" t="s">
        <v>10</v>
      </c>
      <c r="B1672">
        <v>3</v>
      </c>
    </row>
    <row r="1673" spans="1:2" x14ac:dyDescent="0.25">
      <c r="A1673" t="s">
        <v>10</v>
      </c>
      <c r="B1673">
        <v>4</v>
      </c>
    </row>
    <row r="1674" spans="1:2" x14ac:dyDescent="0.25">
      <c r="A1674" t="s">
        <v>10</v>
      </c>
      <c r="B1674">
        <v>5</v>
      </c>
    </row>
    <row r="1675" spans="1:2" x14ac:dyDescent="0.25">
      <c r="A1675" t="s">
        <v>10</v>
      </c>
      <c r="B1675">
        <v>4</v>
      </c>
    </row>
    <row r="1676" spans="1:2" x14ac:dyDescent="0.25">
      <c r="A1676" t="s">
        <v>10</v>
      </c>
      <c r="B1676">
        <v>5</v>
      </c>
    </row>
    <row r="1677" spans="1:2" x14ac:dyDescent="0.25">
      <c r="A1677" t="s">
        <v>10</v>
      </c>
      <c r="B1677">
        <v>4</v>
      </c>
    </row>
    <row r="1678" spans="1:2" x14ac:dyDescent="0.25">
      <c r="A1678" t="s">
        <v>10</v>
      </c>
      <c r="B1678">
        <v>4</v>
      </c>
    </row>
    <row r="1679" spans="1:2" x14ac:dyDescent="0.25">
      <c r="A1679" t="s">
        <v>10</v>
      </c>
      <c r="B1679">
        <v>5</v>
      </c>
    </row>
    <row r="1680" spans="1:2" x14ac:dyDescent="0.25">
      <c r="A1680" t="s">
        <v>10</v>
      </c>
      <c r="B1680">
        <v>5</v>
      </c>
    </row>
    <row r="1681" spans="1:2" x14ac:dyDescent="0.25">
      <c r="A1681" t="s">
        <v>10</v>
      </c>
      <c r="B1681">
        <v>3</v>
      </c>
    </row>
    <row r="1682" spans="1:2" x14ac:dyDescent="0.25">
      <c r="A1682" t="s">
        <v>10</v>
      </c>
      <c r="B1682">
        <v>4</v>
      </c>
    </row>
    <row r="1683" spans="1:2" x14ac:dyDescent="0.25">
      <c r="A1683" t="s">
        <v>10</v>
      </c>
      <c r="B1683">
        <v>5</v>
      </c>
    </row>
    <row r="1684" spans="1:2" x14ac:dyDescent="0.25">
      <c r="A1684" t="s">
        <v>10</v>
      </c>
      <c r="B1684">
        <v>5</v>
      </c>
    </row>
    <row r="1685" spans="1:2" x14ac:dyDescent="0.25">
      <c r="A1685" t="s">
        <v>10</v>
      </c>
      <c r="B1685">
        <v>5</v>
      </c>
    </row>
    <row r="1686" spans="1:2" x14ac:dyDescent="0.25">
      <c r="A1686" t="s">
        <v>10</v>
      </c>
      <c r="B1686">
        <v>5</v>
      </c>
    </row>
    <row r="1687" spans="1:2" x14ac:dyDescent="0.25">
      <c r="A1687" t="s">
        <v>10</v>
      </c>
      <c r="B1687">
        <v>4</v>
      </c>
    </row>
    <row r="1688" spans="1:2" x14ac:dyDescent="0.25">
      <c r="A1688" t="s">
        <v>10</v>
      </c>
      <c r="B1688">
        <v>5</v>
      </c>
    </row>
    <row r="1689" spans="1:2" x14ac:dyDescent="0.25">
      <c r="A1689" t="s">
        <v>10</v>
      </c>
      <c r="B1689">
        <v>4</v>
      </c>
    </row>
    <row r="1690" spans="1:2" x14ac:dyDescent="0.25">
      <c r="A1690" t="s">
        <v>10</v>
      </c>
      <c r="B1690">
        <v>5</v>
      </c>
    </row>
    <row r="1691" spans="1:2" x14ac:dyDescent="0.25">
      <c r="A1691" t="s">
        <v>10</v>
      </c>
      <c r="B1691">
        <v>3</v>
      </c>
    </row>
    <row r="1692" spans="1:2" x14ac:dyDescent="0.25">
      <c r="A1692" t="s">
        <v>10</v>
      </c>
      <c r="B1692">
        <v>5</v>
      </c>
    </row>
    <row r="1693" spans="1:2" x14ac:dyDescent="0.25">
      <c r="A1693" t="s">
        <v>10</v>
      </c>
      <c r="B1693">
        <v>4</v>
      </c>
    </row>
    <row r="1694" spans="1:2" x14ac:dyDescent="0.25">
      <c r="A1694" t="s">
        <v>10</v>
      </c>
      <c r="B1694">
        <v>5</v>
      </c>
    </row>
    <row r="1695" spans="1:2" x14ac:dyDescent="0.25">
      <c r="A1695" t="s">
        <v>10</v>
      </c>
      <c r="B1695">
        <v>5</v>
      </c>
    </row>
    <row r="1696" spans="1:2" x14ac:dyDescent="0.25">
      <c r="A1696" t="s">
        <v>10</v>
      </c>
      <c r="B1696">
        <v>4.75</v>
      </c>
    </row>
    <row r="1697" spans="1:2" x14ac:dyDescent="0.25">
      <c r="A1697" t="s">
        <v>10</v>
      </c>
      <c r="B1697">
        <v>5</v>
      </c>
    </row>
    <row r="1698" spans="1:2" x14ac:dyDescent="0.25">
      <c r="A1698" t="s">
        <v>10</v>
      </c>
      <c r="B1698">
        <v>4</v>
      </c>
    </row>
    <row r="1699" spans="1:2" x14ac:dyDescent="0.25">
      <c r="A1699" t="s">
        <v>10</v>
      </c>
      <c r="B1699">
        <v>5</v>
      </c>
    </row>
    <row r="1700" spans="1:2" x14ac:dyDescent="0.25">
      <c r="A1700" t="s">
        <v>10</v>
      </c>
      <c r="B1700">
        <v>3</v>
      </c>
    </row>
    <row r="1701" spans="1:2" x14ac:dyDescent="0.25">
      <c r="A1701" t="s">
        <v>10</v>
      </c>
      <c r="B1701">
        <v>5</v>
      </c>
    </row>
    <row r="1702" spans="1:2" x14ac:dyDescent="0.25">
      <c r="A1702" t="s">
        <v>10</v>
      </c>
      <c r="B1702">
        <v>5</v>
      </c>
    </row>
    <row r="1703" spans="1:2" x14ac:dyDescent="0.25">
      <c r="A1703" t="s">
        <v>10</v>
      </c>
      <c r="B1703">
        <v>4</v>
      </c>
    </row>
    <row r="1704" spans="1:2" x14ac:dyDescent="0.25">
      <c r="A1704" t="s">
        <v>10</v>
      </c>
      <c r="B1704">
        <v>5</v>
      </c>
    </row>
    <row r="1705" spans="1:2" x14ac:dyDescent="0.25">
      <c r="A1705" t="s">
        <v>10</v>
      </c>
      <c r="B1705">
        <v>3.5</v>
      </c>
    </row>
    <row r="1706" spans="1:2" x14ac:dyDescent="0.25">
      <c r="A1706" t="s">
        <v>10</v>
      </c>
      <c r="B1706">
        <v>5</v>
      </c>
    </row>
    <row r="1707" spans="1:2" x14ac:dyDescent="0.25">
      <c r="A1707" t="s">
        <v>10</v>
      </c>
      <c r="B1707">
        <v>4</v>
      </c>
    </row>
    <row r="1708" spans="1:2" x14ac:dyDescent="0.25">
      <c r="A1708" t="s">
        <v>10</v>
      </c>
      <c r="B1708">
        <v>4</v>
      </c>
    </row>
    <row r="1709" spans="1:2" x14ac:dyDescent="0.25">
      <c r="A1709" t="s">
        <v>10</v>
      </c>
      <c r="B1709">
        <v>1.75</v>
      </c>
    </row>
    <row r="1710" spans="1:2" x14ac:dyDescent="0.25">
      <c r="A1710" t="s">
        <v>10</v>
      </c>
      <c r="B1710">
        <v>5</v>
      </c>
    </row>
    <row r="1711" spans="1:2" x14ac:dyDescent="0.25">
      <c r="A1711" t="s">
        <v>10</v>
      </c>
      <c r="B1711">
        <v>5</v>
      </c>
    </row>
    <row r="1712" spans="1:2" x14ac:dyDescent="0.25">
      <c r="A1712" t="s">
        <v>10</v>
      </c>
      <c r="B1712">
        <v>5</v>
      </c>
    </row>
    <row r="1713" spans="1:2" x14ac:dyDescent="0.25">
      <c r="A1713" t="s">
        <v>10</v>
      </c>
      <c r="B1713">
        <v>3.8</v>
      </c>
    </row>
    <row r="1714" spans="1:2" x14ac:dyDescent="0.25">
      <c r="A1714" t="s">
        <v>10</v>
      </c>
      <c r="B1714">
        <v>5</v>
      </c>
    </row>
    <row r="1715" spans="1:2" x14ac:dyDescent="0.25">
      <c r="A1715" t="s">
        <v>10</v>
      </c>
      <c r="B1715">
        <v>3.5</v>
      </c>
    </row>
    <row r="1716" spans="1:2" x14ac:dyDescent="0.25">
      <c r="A1716" t="s">
        <v>10</v>
      </c>
      <c r="B1716">
        <v>3.75</v>
      </c>
    </row>
    <row r="1717" spans="1:2" x14ac:dyDescent="0.25">
      <c r="A1717" t="s">
        <v>10</v>
      </c>
      <c r="B1717">
        <v>5</v>
      </c>
    </row>
    <row r="1718" spans="1:2" x14ac:dyDescent="0.25">
      <c r="A1718" t="s">
        <v>10</v>
      </c>
      <c r="B1718">
        <v>3.75</v>
      </c>
    </row>
    <row r="1719" spans="1:2" x14ac:dyDescent="0.25">
      <c r="A1719" t="s">
        <v>10</v>
      </c>
      <c r="B1719">
        <v>3.75</v>
      </c>
    </row>
    <row r="1720" spans="1:2" x14ac:dyDescent="0.25">
      <c r="A1720" t="s">
        <v>10</v>
      </c>
      <c r="B1720">
        <v>5</v>
      </c>
    </row>
    <row r="1721" spans="1:2" x14ac:dyDescent="0.25">
      <c r="A1721" t="s">
        <v>10</v>
      </c>
      <c r="B1721">
        <v>3.8</v>
      </c>
    </row>
    <row r="1722" spans="1:2" x14ac:dyDescent="0.25">
      <c r="A1722" t="s">
        <v>10</v>
      </c>
      <c r="B1722">
        <v>4</v>
      </c>
    </row>
    <row r="1723" spans="1:2" x14ac:dyDescent="0.25">
      <c r="A1723" t="s">
        <v>10</v>
      </c>
      <c r="B1723">
        <v>5</v>
      </c>
    </row>
    <row r="1724" spans="1:2" x14ac:dyDescent="0.25">
      <c r="A1724" t="s">
        <v>10</v>
      </c>
      <c r="B1724">
        <v>5</v>
      </c>
    </row>
    <row r="1725" spans="1:2" x14ac:dyDescent="0.25">
      <c r="A1725" t="s">
        <v>10</v>
      </c>
      <c r="B1725">
        <v>5</v>
      </c>
    </row>
    <row r="1726" spans="1:2" x14ac:dyDescent="0.25">
      <c r="A1726" t="s">
        <v>10</v>
      </c>
      <c r="B1726">
        <v>4.3</v>
      </c>
    </row>
    <row r="1727" spans="1:2" x14ac:dyDescent="0.25">
      <c r="A1727" t="s">
        <v>10</v>
      </c>
      <c r="B1727">
        <v>4</v>
      </c>
    </row>
    <row r="1728" spans="1:2" x14ac:dyDescent="0.25">
      <c r="A1728" t="s">
        <v>10</v>
      </c>
      <c r="B1728">
        <v>5</v>
      </c>
    </row>
    <row r="1729" spans="1:2" x14ac:dyDescent="0.25">
      <c r="A1729" t="s">
        <v>10</v>
      </c>
      <c r="B1729">
        <v>5</v>
      </c>
    </row>
    <row r="1730" spans="1:2" x14ac:dyDescent="0.25">
      <c r="A1730" t="s">
        <v>10</v>
      </c>
      <c r="B1730">
        <v>5</v>
      </c>
    </row>
    <row r="1731" spans="1:2" x14ac:dyDescent="0.25">
      <c r="A1731" t="s">
        <v>10</v>
      </c>
      <c r="B1731">
        <v>4.5</v>
      </c>
    </row>
    <row r="1732" spans="1:2" x14ac:dyDescent="0.25">
      <c r="A1732" t="s">
        <v>10</v>
      </c>
      <c r="B1732">
        <v>5</v>
      </c>
    </row>
    <row r="1733" spans="1:2" x14ac:dyDescent="0.25">
      <c r="A1733" t="s">
        <v>10</v>
      </c>
      <c r="B1733">
        <v>5</v>
      </c>
    </row>
    <row r="1734" spans="1:2" x14ac:dyDescent="0.25">
      <c r="A1734" t="s">
        <v>10</v>
      </c>
      <c r="B1734">
        <v>4.5</v>
      </c>
    </row>
    <row r="1735" spans="1:2" x14ac:dyDescent="0.25">
      <c r="A1735" t="s">
        <v>10</v>
      </c>
      <c r="B1735">
        <v>4</v>
      </c>
    </row>
    <row r="1736" spans="1:2" x14ac:dyDescent="0.25">
      <c r="A1736" t="s">
        <v>10</v>
      </c>
      <c r="B1736">
        <v>3</v>
      </c>
    </row>
    <row r="1737" spans="1:2" x14ac:dyDescent="0.25">
      <c r="A1737" t="s">
        <v>10</v>
      </c>
      <c r="B1737">
        <v>4.25</v>
      </c>
    </row>
    <row r="1738" spans="1:2" x14ac:dyDescent="0.25">
      <c r="A1738" t="s">
        <v>10</v>
      </c>
      <c r="B1738">
        <v>3.5</v>
      </c>
    </row>
    <row r="1739" spans="1:2" x14ac:dyDescent="0.25">
      <c r="A1739" t="s">
        <v>10</v>
      </c>
      <c r="B1739">
        <v>4.5</v>
      </c>
    </row>
    <row r="1740" spans="1:2" x14ac:dyDescent="0.25">
      <c r="A1740" t="s">
        <v>10</v>
      </c>
      <c r="B1740">
        <v>4</v>
      </c>
    </row>
    <row r="1741" spans="1:2" x14ac:dyDescent="0.25">
      <c r="A1741" t="s">
        <v>10</v>
      </c>
      <c r="B1741">
        <v>0</v>
      </c>
    </row>
    <row r="1742" spans="1:2" x14ac:dyDescent="0.25">
      <c r="A1742" t="s">
        <v>10</v>
      </c>
      <c r="B1742">
        <v>4</v>
      </c>
    </row>
    <row r="1743" spans="1:2" x14ac:dyDescent="0.25">
      <c r="A1743" t="s">
        <v>10</v>
      </c>
      <c r="B1743">
        <v>4.75</v>
      </c>
    </row>
    <row r="1744" spans="1:2" x14ac:dyDescent="0.25">
      <c r="A1744" t="s">
        <v>10</v>
      </c>
      <c r="B1744">
        <v>5</v>
      </c>
    </row>
    <row r="1745" spans="1:2" x14ac:dyDescent="0.25">
      <c r="A1745" t="s">
        <v>10</v>
      </c>
      <c r="B1745">
        <v>5</v>
      </c>
    </row>
    <row r="1746" spans="1:2" x14ac:dyDescent="0.25">
      <c r="A1746" t="s">
        <v>10</v>
      </c>
      <c r="B1746">
        <v>5</v>
      </c>
    </row>
    <row r="1747" spans="1:2" x14ac:dyDescent="0.25">
      <c r="A1747" t="s">
        <v>10</v>
      </c>
      <c r="B1747">
        <v>3.5</v>
      </c>
    </row>
    <row r="1748" spans="1:2" x14ac:dyDescent="0.25">
      <c r="A1748" t="s">
        <v>10</v>
      </c>
      <c r="B1748">
        <v>0.75</v>
      </c>
    </row>
    <row r="1749" spans="1:2" x14ac:dyDescent="0.25">
      <c r="A1749" t="s">
        <v>10</v>
      </c>
      <c r="B1749">
        <v>4.5</v>
      </c>
    </row>
    <row r="1750" spans="1:2" x14ac:dyDescent="0.25">
      <c r="A1750" t="s">
        <v>10</v>
      </c>
      <c r="B1750">
        <v>4.5</v>
      </c>
    </row>
    <row r="1751" spans="1:2" x14ac:dyDescent="0.25">
      <c r="A1751" t="s">
        <v>10</v>
      </c>
      <c r="B1751">
        <v>5</v>
      </c>
    </row>
    <row r="1752" spans="1:2" x14ac:dyDescent="0.25">
      <c r="A1752" t="s">
        <v>10</v>
      </c>
      <c r="B1752">
        <v>4.75</v>
      </c>
    </row>
    <row r="1753" spans="1:2" x14ac:dyDescent="0.25">
      <c r="A1753" t="s">
        <v>10</v>
      </c>
      <c r="B1753">
        <v>4.5</v>
      </c>
    </row>
    <row r="1754" spans="1:2" x14ac:dyDescent="0.25">
      <c r="A1754" t="s">
        <v>10</v>
      </c>
      <c r="B1754">
        <v>3.5</v>
      </c>
    </row>
    <row r="1755" spans="1:2" x14ac:dyDescent="0.25">
      <c r="A1755" t="s">
        <v>10</v>
      </c>
      <c r="B1755">
        <v>5</v>
      </c>
    </row>
    <row r="1756" spans="1:2" x14ac:dyDescent="0.25">
      <c r="A1756" t="s">
        <v>10</v>
      </c>
      <c r="B1756">
        <v>5</v>
      </c>
    </row>
    <row r="1757" spans="1:2" x14ac:dyDescent="0.25">
      <c r="A1757" t="s">
        <v>10</v>
      </c>
      <c r="B1757">
        <v>4.5</v>
      </c>
    </row>
    <row r="1758" spans="1:2" x14ac:dyDescent="0.25">
      <c r="A1758" t="s">
        <v>10</v>
      </c>
      <c r="B1758">
        <v>5</v>
      </c>
    </row>
    <row r="1759" spans="1:2" x14ac:dyDescent="0.25">
      <c r="A1759" t="s">
        <v>10</v>
      </c>
      <c r="B1759">
        <v>4</v>
      </c>
    </row>
    <row r="1760" spans="1:2" x14ac:dyDescent="0.25">
      <c r="A1760" t="s">
        <v>10</v>
      </c>
      <c r="B1760">
        <v>2.75</v>
      </c>
    </row>
    <row r="1761" spans="1:2" x14ac:dyDescent="0.25">
      <c r="A1761" t="s">
        <v>10</v>
      </c>
      <c r="B1761">
        <v>5</v>
      </c>
    </row>
    <row r="1762" spans="1:2" x14ac:dyDescent="0.25">
      <c r="A1762" t="s">
        <v>10</v>
      </c>
      <c r="B1762">
        <v>3</v>
      </c>
    </row>
    <row r="1763" spans="1:2" x14ac:dyDescent="0.25">
      <c r="A1763" t="s">
        <v>10</v>
      </c>
      <c r="B1763">
        <v>3.5</v>
      </c>
    </row>
    <row r="1764" spans="1:2" x14ac:dyDescent="0.25">
      <c r="A1764" t="s">
        <v>10</v>
      </c>
      <c r="B1764">
        <v>5</v>
      </c>
    </row>
    <row r="1765" spans="1:2" x14ac:dyDescent="0.25">
      <c r="A1765" t="s">
        <v>10</v>
      </c>
      <c r="B1765">
        <v>4</v>
      </c>
    </row>
    <row r="1766" spans="1:2" x14ac:dyDescent="0.25">
      <c r="A1766" t="s">
        <v>10</v>
      </c>
      <c r="B1766">
        <v>4.5</v>
      </c>
    </row>
    <row r="1767" spans="1:2" x14ac:dyDescent="0.25">
      <c r="A1767" t="s">
        <v>10</v>
      </c>
      <c r="B1767">
        <v>4</v>
      </c>
    </row>
    <row r="1768" spans="1:2" x14ac:dyDescent="0.25">
      <c r="A1768" t="s">
        <v>10</v>
      </c>
      <c r="B1768">
        <v>4.75</v>
      </c>
    </row>
    <row r="1769" spans="1:2" x14ac:dyDescent="0.25">
      <c r="A1769" t="s">
        <v>10</v>
      </c>
      <c r="B1769">
        <v>4.75</v>
      </c>
    </row>
    <row r="1770" spans="1:2" x14ac:dyDescent="0.25">
      <c r="A1770" t="s">
        <v>10</v>
      </c>
      <c r="B1770">
        <v>5</v>
      </c>
    </row>
    <row r="1771" spans="1:2" x14ac:dyDescent="0.25">
      <c r="A1771" t="s">
        <v>10</v>
      </c>
      <c r="B1771">
        <v>5</v>
      </c>
    </row>
    <row r="1772" spans="1:2" x14ac:dyDescent="0.25">
      <c r="A1772" t="s">
        <v>10</v>
      </c>
      <c r="B1772">
        <v>4.5</v>
      </c>
    </row>
    <row r="1773" spans="1:2" x14ac:dyDescent="0.25">
      <c r="A1773" t="s">
        <v>10</v>
      </c>
      <c r="B1773">
        <v>4.5</v>
      </c>
    </row>
    <row r="1774" spans="1:2" x14ac:dyDescent="0.25">
      <c r="A1774" t="s">
        <v>10</v>
      </c>
      <c r="B1774">
        <v>4.75</v>
      </c>
    </row>
    <row r="1775" spans="1:2" x14ac:dyDescent="0.25">
      <c r="A1775" t="s">
        <v>10</v>
      </c>
      <c r="B1775">
        <v>4.25</v>
      </c>
    </row>
    <row r="1776" spans="1:2" x14ac:dyDescent="0.25">
      <c r="A1776" t="s">
        <v>10</v>
      </c>
      <c r="B1776">
        <v>4.5</v>
      </c>
    </row>
    <row r="1777" spans="1:2" x14ac:dyDescent="0.25">
      <c r="A1777" t="s">
        <v>10</v>
      </c>
      <c r="B1777">
        <v>3.25</v>
      </c>
    </row>
    <row r="1778" spans="1:2" x14ac:dyDescent="0.25">
      <c r="A1778" t="s">
        <v>10</v>
      </c>
      <c r="B1778">
        <v>4.5</v>
      </c>
    </row>
    <row r="1779" spans="1:2" x14ac:dyDescent="0.25">
      <c r="A1779" t="s">
        <v>10</v>
      </c>
      <c r="B1779">
        <v>2.75</v>
      </c>
    </row>
    <row r="1780" spans="1:2" x14ac:dyDescent="0.25">
      <c r="A1780" t="s">
        <v>10</v>
      </c>
      <c r="B1780">
        <v>4.25</v>
      </c>
    </row>
    <row r="1781" spans="1:2" x14ac:dyDescent="0.25">
      <c r="A1781" t="s">
        <v>10</v>
      </c>
      <c r="B1781">
        <v>4</v>
      </c>
    </row>
    <row r="1782" spans="1:2" x14ac:dyDescent="0.25">
      <c r="A1782" t="s">
        <v>10</v>
      </c>
      <c r="B1782">
        <v>2.75</v>
      </c>
    </row>
    <row r="1783" spans="1:2" x14ac:dyDescent="0.25">
      <c r="A1783" t="s">
        <v>10</v>
      </c>
      <c r="B1783">
        <v>3</v>
      </c>
    </row>
    <row r="1784" spans="1:2" x14ac:dyDescent="0.25">
      <c r="A1784" t="s">
        <v>10</v>
      </c>
      <c r="B1784">
        <v>3.25</v>
      </c>
    </row>
    <row r="1785" spans="1:2" x14ac:dyDescent="0.25">
      <c r="A1785" t="s">
        <v>10</v>
      </c>
      <c r="B1785">
        <v>0.25</v>
      </c>
    </row>
    <row r="1786" spans="1:2" x14ac:dyDescent="0.25">
      <c r="A1786" t="s">
        <v>10</v>
      </c>
      <c r="B1786">
        <v>2.75</v>
      </c>
    </row>
    <row r="1787" spans="1:2" x14ac:dyDescent="0.25">
      <c r="A1787" t="s">
        <v>10</v>
      </c>
      <c r="B1787">
        <v>1</v>
      </c>
    </row>
    <row r="1788" spans="1:2" x14ac:dyDescent="0.25">
      <c r="A1788" t="s">
        <v>10</v>
      </c>
      <c r="B1788">
        <v>2.25</v>
      </c>
    </row>
    <row r="1789" spans="1:2" x14ac:dyDescent="0.25">
      <c r="A1789" t="s">
        <v>10</v>
      </c>
      <c r="B1789">
        <v>4</v>
      </c>
    </row>
    <row r="1790" spans="1:2" x14ac:dyDescent="0.25">
      <c r="A1790" t="s">
        <v>10</v>
      </c>
      <c r="B1790">
        <v>5</v>
      </c>
    </row>
    <row r="1791" spans="1:2" x14ac:dyDescent="0.25">
      <c r="A1791" t="s">
        <v>10</v>
      </c>
      <c r="B1791">
        <v>4.25</v>
      </c>
    </row>
    <row r="1792" spans="1:2" x14ac:dyDescent="0.25">
      <c r="A1792" t="s">
        <v>10</v>
      </c>
      <c r="B1792">
        <v>2.5</v>
      </c>
    </row>
    <row r="1793" spans="1:2" x14ac:dyDescent="0.25">
      <c r="A1793" t="s">
        <v>10</v>
      </c>
      <c r="B1793">
        <v>3.5</v>
      </c>
    </row>
    <row r="1794" spans="1:2" x14ac:dyDescent="0.25">
      <c r="A1794" t="s">
        <v>10</v>
      </c>
      <c r="B1794">
        <v>3.75</v>
      </c>
    </row>
    <row r="1795" spans="1:2" x14ac:dyDescent="0.25">
      <c r="A1795" t="s">
        <v>10</v>
      </c>
      <c r="B1795">
        <v>3.5</v>
      </c>
    </row>
    <row r="1796" spans="1:2" x14ac:dyDescent="0.25">
      <c r="A1796" t="s">
        <v>10</v>
      </c>
      <c r="B1796">
        <v>3.75</v>
      </c>
    </row>
    <row r="1797" spans="1:2" x14ac:dyDescent="0.25">
      <c r="A1797" t="s">
        <v>10</v>
      </c>
      <c r="B1797">
        <v>3.5</v>
      </c>
    </row>
    <row r="1798" spans="1:2" x14ac:dyDescent="0.25">
      <c r="A1798" t="s">
        <v>10</v>
      </c>
      <c r="B1798">
        <v>3.25</v>
      </c>
    </row>
    <row r="1799" spans="1:2" x14ac:dyDescent="0.25">
      <c r="A1799" t="s">
        <v>10</v>
      </c>
      <c r="B1799">
        <v>4.25</v>
      </c>
    </row>
    <row r="1800" spans="1:2" x14ac:dyDescent="0.25">
      <c r="A1800" t="s">
        <v>10</v>
      </c>
      <c r="B1800">
        <v>4</v>
      </c>
    </row>
    <row r="1801" spans="1:2" x14ac:dyDescent="0.25">
      <c r="A1801" t="s">
        <v>10</v>
      </c>
      <c r="B1801">
        <v>4.5</v>
      </c>
    </row>
    <row r="1802" spans="1:2" x14ac:dyDescent="0.25">
      <c r="A1802" t="s">
        <v>10</v>
      </c>
      <c r="B1802">
        <v>3.5</v>
      </c>
    </row>
    <row r="1803" spans="1:2" x14ac:dyDescent="0.25">
      <c r="A1803" t="s">
        <v>10</v>
      </c>
      <c r="B1803">
        <v>3</v>
      </c>
    </row>
    <row r="1804" spans="1:2" x14ac:dyDescent="0.25">
      <c r="A1804" t="s">
        <v>10</v>
      </c>
      <c r="B1804">
        <v>3.75</v>
      </c>
    </row>
    <row r="1805" spans="1:2" x14ac:dyDescent="0.25">
      <c r="A1805" t="s">
        <v>10</v>
      </c>
      <c r="B1805">
        <v>2</v>
      </c>
    </row>
    <row r="1806" spans="1:2" x14ac:dyDescent="0.25">
      <c r="A1806" t="s">
        <v>10</v>
      </c>
      <c r="B1806">
        <v>3.75</v>
      </c>
    </row>
    <row r="1807" spans="1:2" x14ac:dyDescent="0.25">
      <c r="A1807" t="s">
        <v>10</v>
      </c>
      <c r="B1807">
        <v>4.75</v>
      </c>
    </row>
    <row r="1808" spans="1:2" x14ac:dyDescent="0.25">
      <c r="A1808" t="s">
        <v>10</v>
      </c>
      <c r="B1808">
        <v>4</v>
      </c>
    </row>
    <row r="1809" spans="1:2" x14ac:dyDescent="0.25">
      <c r="A1809" t="s">
        <v>10</v>
      </c>
      <c r="B1809">
        <v>4.5</v>
      </c>
    </row>
    <row r="1810" spans="1:2" x14ac:dyDescent="0.25">
      <c r="A1810" t="s">
        <v>10</v>
      </c>
      <c r="B1810">
        <v>3.75</v>
      </c>
    </row>
    <row r="1811" spans="1:2" x14ac:dyDescent="0.25">
      <c r="A1811" t="s">
        <v>10</v>
      </c>
      <c r="B1811">
        <v>3</v>
      </c>
    </row>
    <row r="1812" spans="1:2" x14ac:dyDescent="0.25">
      <c r="A1812" t="s">
        <v>10</v>
      </c>
      <c r="B1812">
        <v>4.75</v>
      </c>
    </row>
    <row r="1813" spans="1:2" x14ac:dyDescent="0.25">
      <c r="A1813" t="s">
        <v>10</v>
      </c>
      <c r="B1813">
        <v>4.75</v>
      </c>
    </row>
    <row r="1814" spans="1:2" x14ac:dyDescent="0.25">
      <c r="A1814" t="s">
        <v>10</v>
      </c>
      <c r="B1814">
        <v>5</v>
      </c>
    </row>
    <row r="1815" spans="1:2" x14ac:dyDescent="0.25">
      <c r="A1815" t="s">
        <v>10</v>
      </c>
      <c r="B1815">
        <v>3.75</v>
      </c>
    </row>
    <row r="1816" spans="1:2" x14ac:dyDescent="0.25">
      <c r="A1816" t="s">
        <v>10</v>
      </c>
      <c r="B1816">
        <v>4</v>
      </c>
    </row>
    <row r="1817" spans="1:2" x14ac:dyDescent="0.25">
      <c r="A1817" t="s">
        <v>10</v>
      </c>
      <c r="B1817">
        <v>5</v>
      </c>
    </row>
    <row r="1818" spans="1:2" x14ac:dyDescent="0.25">
      <c r="A1818" t="s">
        <v>10</v>
      </c>
      <c r="B1818">
        <v>4.25</v>
      </c>
    </row>
    <row r="1819" spans="1:2" x14ac:dyDescent="0.25">
      <c r="A1819" t="s">
        <v>10</v>
      </c>
      <c r="B1819">
        <v>3.75</v>
      </c>
    </row>
    <row r="1820" spans="1:2" x14ac:dyDescent="0.25">
      <c r="A1820" t="s">
        <v>10</v>
      </c>
      <c r="B1820">
        <v>4</v>
      </c>
    </row>
    <row r="1821" spans="1:2" x14ac:dyDescent="0.25">
      <c r="A1821" t="s">
        <v>10</v>
      </c>
      <c r="B1821">
        <v>3.25</v>
      </c>
    </row>
    <row r="1822" spans="1:2" x14ac:dyDescent="0.25">
      <c r="A1822" t="s">
        <v>10</v>
      </c>
      <c r="B1822">
        <v>3.75</v>
      </c>
    </row>
    <row r="1823" spans="1:2" x14ac:dyDescent="0.25">
      <c r="A1823" t="s">
        <v>10</v>
      </c>
      <c r="B1823">
        <v>3.75</v>
      </c>
    </row>
    <row r="1824" spans="1:2" x14ac:dyDescent="0.25">
      <c r="A1824" t="s">
        <v>10</v>
      </c>
      <c r="B1824">
        <v>4</v>
      </c>
    </row>
    <row r="1825" spans="1:2" x14ac:dyDescent="0.25">
      <c r="A1825" t="s">
        <v>10</v>
      </c>
      <c r="B1825">
        <v>3.75</v>
      </c>
    </row>
    <row r="1826" spans="1:2" x14ac:dyDescent="0.25">
      <c r="A1826" t="s">
        <v>10</v>
      </c>
      <c r="B1826">
        <v>3.75</v>
      </c>
    </row>
    <row r="1827" spans="1:2" x14ac:dyDescent="0.25">
      <c r="A1827" t="s">
        <v>10</v>
      </c>
      <c r="B1827">
        <v>5</v>
      </c>
    </row>
    <row r="1828" spans="1:2" x14ac:dyDescent="0.25">
      <c r="A1828" t="s">
        <v>10</v>
      </c>
      <c r="B1828">
        <v>2.25</v>
      </c>
    </row>
    <row r="1829" spans="1:2" x14ac:dyDescent="0.25">
      <c r="A1829" t="s">
        <v>10</v>
      </c>
      <c r="B1829">
        <v>4.25</v>
      </c>
    </row>
    <row r="1830" spans="1:2" x14ac:dyDescent="0.25">
      <c r="A1830" t="s">
        <v>10</v>
      </c>
      <c r="B1830">
        <v>4</v>
      </c>
    </row>
    <row r="1831" spans="1:2" x14ac:dyDescent="0.25">
      <c r="A1831" t="s">
        <v>10</v>
      </c>
      <c r="B1831">
        <v>3.75</v>
      </c>
    </row>
    <row r="1832" spans="1:2" x14ac:dyDescent="0.25">
      <c r="A1832" t="s">
        <v>10</v>
      </c>
      <c r="B1832">
        <v>5</v>
      </c>
    </row>
    <row r="1833" spans="1:2" x14ac:dyDescent="0.25">
      <c r="A1833" t="s">
        <v>10</v>
      </c>
      <c r="B1833">
        <v>2.5</v>
      </c>
    </row>
    <row r="1834" spans="1:2" x14ac:dyDescent="0.25">
      <c r="A1834" t="s">
        <v>10</v>
      </c>
      <c r="B1834">
        <v>3.75</v>
      </c>
    </row>
    <row r="1835" spans="1:2" x14ac:dyDescent="0.25">
      <c r="A1835" t="s">
        <v>10</v>
      </c>
      <c r="B1835">
        <v>3</v>
      </c>
    </row>
    <row r="1836" spans="1:2" x14ac:dyDescent="0.25">
      <c r="A1836" t="s">
        <v>10</v>
      </c>
      <c r="B1836">
        <v>3.5</v>
      </c>
    </row>
    <row r="1837" spans="1:2" x14ac:dyDescent="0.25">
      <c r="A1837" t="s">
        <v>10</v>
      </c>
      <c r="B1837">
        <v>5</v>
      </c>
    </row>
    <row r="1838" spans="1:2" x14ac:dyDescent="0.25">
      <c r="A1838" t="s">
        <v>10</v>
      </c>
      <c r="B1838">
        <v>3.25</v>
      </c>
    </row>
    <row r="1839" spans="1:2" x14ac:dyDescent="0.25">
      <c r="A1839" t="s">
        <v>10</v>
      </c>
      <c r="B1839">
        <v>3.75</v>
      </c>
    </row>
    <row r="1840" spans="1:2" x14ac:dyDescent="0.25">
      <c r="A1840" t="s">
        <v>10</v>
      </c>
      <c r="B1840">
        <v>4.5</v>
      </c>
    </row>
    <row r="1841" spans="1:2" x14ac:dyDescent="0.25">
      <c r="A1841" t="s">
        <v>10</v>
      </c>
      <c r="B1841">
        <v>3.75</v>
      </c>
    </row>
    <row r="1842" spans="1:2" x14ac:dyDescent="0.25">
      <c r="A1842" t="s">
        <v>10</v>
      </c>
      <c r="B1842">
        <v>5</v>
      </c>
    </row>
    <row r="1843" spans="1:2" x14ac:dyDescent="0.25">
      <c r="A1843" t="s">
        <v>10</v>
      </c>
      <c r="B1843">
        <v>3.5</v>
      </c>
    </row>
    <row r="1844" spans="1:2" x14ac:dyDescent="0.25">
      <c r="A1844" t="s">
        <v>10</v>
      </c>
      <c r="B1844">
        <v>4.25</v>
      </c>
    </row>
    <row r="1845" spans="1:2" x14ac:dyDescent="0.25">
      <c r="A1845" t="s">
        <v>10</v>
      </c>
      <c r="B1845">
        <v>3.5</v>
      </c>
    </row>
    <row r="1846" spans="1:2" x14ac:dyDescent="0.25">
      <c r="A1846" t="s">
        <v>10</v>
      </c>
      <c r="B1846">
        <v>4</v>
      </c>
    </row>
    <row r="1847" spans="1:2" x14ac:dyDescent="0.25">
      <c r="A1847" t="s">
        <v>10</v>
      </c>
      <c r="B1847">
        <v>3.75</v>
      </c>
    </row>
    <row r="1848" spans="1:2" x14ac:dyDescent="0.25">
      <c r="A1848" t="s">
        <v>10</v>
      </c>
      <c r="B1848">
        <v>3.25</v>
      </c>
    </row>
    <row r="1849" spans="1:2" x14ac:dyDescent="0.25">
      <c r="A1849" t="s">
        <v>10</v>
      </c>
      <c r="B1849">
        <v>4.75</v>
      </c>
    </row>
    <row r="1850" spans="1:2" x14ac:dyDescent="0.25">
      <c r="A1850" t="s">
        <v>10</v>
      </c>
      <c r="B1850">
        <v>5</v>
      </c>
    </row>
    <row r="1851" spans="1:2" x14ac:dyDescent="0.25">
      <c r="A1851" t="s">
        <v>10</v>
      </c>
      <c r="B1851">
        <v>4</v>
      </c>
    </row>
    <row r="1852" spans="1:2" x14ac:dyDescent="0.25">
      <c r="A1852" t="s">
        <v>10</v>
      </c>
      <c r="B1852">
        <v>4.75</v>
      </c>
    </row>
    <row r="1853" spans="1:2" x14ac:dyDescent="0.25">
      <c r="A1853" t="s">
        <v>10</v>
      </c>
      <c r="B1853">
        <v>5</v>
      </c>
    </row>
    <row r="1854" spans="1:2" x14ac:dyDescent="0.25">
      <c r="A1854" t="s">
        <v>10</v>
      </c>
      <c r="B1854">
        <v>3.5</v>
      </c>
    </row>
    <row r="1855" spans="1:2" x14ac:dyDescent="0.25">
      <c r="A1855" t="s">
        <v>10</v>
      </c>
      <c r="B1855">
        <v>4.25</v>
      </c>
    </row>
    <row r="1856" spans="1:2" x14ac:dyDescent="0.25">
      <c r="A1856" t="s">
        <v>10</v>
      </c>
      <c r="B1856">
        <v>4.25</v>
      </c>
    </row>
    <row r="1857" spans="1:2" x14ac:dyDescent="0.25">
      <c r="A1857" t="s">
        <v>10</v>
      </c>
      <c r="B1857">
        <v>5</v>
      </c>
    </row>
    <row r="1858" spans="1:2" x14ac:dyDescent="0.25">
      <c r="A1858" t="s">
        <v>10</v>
      </c>
      <c r="B1858">
        <v>4.5</v>
      </c>
    </row>
    <row r="1859" spans="1:2" x14ac:dyDescent="0.25">
      <c r="A1859" t="s">
        <v>10</v>
      </c>
      <c r="B1859">
        <v>5</v>
      </c>
    </row>
    <row r="1860" spans="1:2" x14ac:dyDescent="0.25">
      <c r="A1860" t="s">
        <v>10</v>
      </c>
      <c r="B1860">
        <v>4.75</v>
      </c>
    </row>
    <row r="1861" spans="1:2" x14ac:dyDescent="0.25">
      <c r="A1861" t="s">
        <v>10</v>
      </c>
      <c r="B1861">
        <v>4</v>
      </c>
    </row>
    <row r="1862" spans="1:2" x14ac:dyDescent="0.25">
      <c r="A1862" t="s">
        <v>10</v>
      </c>
      <c r="B1862">
        <v>5</v>
      </c>
    </row>
    <row r="1863" spans="1:2" x14ac:dyDescent="0.25">
      <c r="A1863" t="s">
        <v>10</v>
      </c>
      <c r="B1863">
        <v>3.75</v>
      </c>
    </row>
    <row r="1864" spans="1:2" x14ac:dyDescent="0.25">
      <c r="A1864" t="s">
        <v>10</v>
      </c>
      <c r="B1864">
        <v>3.75</v>
      </c>
    </row>
    <row r="1865" spans="1:2" x14ac:dyDescent="0.25">
      <c r="A1865" t="s">
        <v>10</v>
      </c>
      <c r="B1865">
        <v>4</v>
      </c>
    </row>
    <row r="1866" spans="1:2" x14ac:dyDescent="0.25">
      <c r="A1866" t="s">
        <v>10</v>
      </c>
      <c r="B1866">
        <v>4.25</v>
      </c>
    </row>
    <row r="1867" spans="1:2" x14ac:dyDescent="0.25">
      <c r="A1867" t="s">
        <v>10</v>
      </c>
      <c r="B1867">
        <v>3.75</v>
      </c>
    </row>
    <row r="1868" spans="1:2" x14ac:dyDescent="0.25">
      <c r="A1868" t="s">
        <v>10</v>
      </c>
      <c r="B1868">
        <v>4.25</v>
      </c>
    </row>
    <row r="1869" spans="1:2" x14ac:dyDescent="0.25">
      <c r="A1869" t="s">
        <v>10</v>
      </c>
      <c r="B1869">
        <v>4.25</v>
      </c>
    </row>
    <row r="1870" spans="1:2" x14ac:dyDescent="0.25">
      <c r="A1870" t="s">
        <v>10</v>
      </c>
      <c r="B1870">
        <v>4</v>
      </c>
    </row>
    <row r="1871" spans="1:2" x14ac:dyDescent="0.25">
      <c r="A1871" t="s">
        <v>10</v>
      </c>
      <c r="B1871">
        <v>5</v>
      </c>
    </row>
    <row r="1872" spans="1:2" x14ac:dyDescent="0.25">
      <c r="A1872" t="s">
        <v>10</v>
      </c>
      <c r="B1872">
        <v>3.25</v>
      </c>
    </row>
    <row r="1873" spans="1:2" x14ac:dyDescent="0.25">
      <c r="A1873" t="s">
        <v>10</v>
      </c>
      <c r="B1873">
        <v>4.25</v>
      </c>
    </row>
    <row r="1874" spans="1:2" x14ac:dyDescent="0.25">
      <c r="A1874" t="s">
        <v>10</v>
      </c>
      <c r="B1874">
        <v>4.25</v>
      </c>
    </row>
    <row r="1875" spans="1:2" x14ac:dyDescent="0.25">
      <c r="A1875" t="s">
        <v>10</v>
      </c>
      <c r="B1875">
        <v>5</v>
      </c>
    </row>
    <row r="1876" spans="1:2" x14ac:dyDescent="0.25">
      <c r="A1876" t="s">
        <v>10</v>
      </c>
      <c r="B1876">
        <v>4</v>
      </c>
    </row>
    <row r="1877" spans="1:2" x14ac:dyDescent="0.25">
      <c r="A1877" t="s">
        <v>10</v>
      </c>
      <c r="B1877">
        <v>3.25</v>
      </c>
    </row>
    <row r="1878" spans="1:2" x14ac:dyDescent="0.25">
      <c r="A1878" t="s">
        <v>10</v>
      </c>
      <c r="B1878">
        <v>4.75</v>
      </c>
    </row>
    <row r="1879" spans="1:2" x14ac:dyDescent="0.25">
      <c r="A1879" t="s">
        <v>10</v>
      </c>
      <c r="B1879">
        <v>4.25</v>
      </c>
    </row>
    <row r="1880" spans="1:2" x14ac:dyDescent="0.25">
      <c r="A1880" t="s">
        <v>10</v>
      </c>
      <c r="B1880">
        <v>4</v>
      </c>
    </row>
    <row r="1881" spans="1:2" x14ac:dyDescent="0.25">
      <c r="A1881" t="s">
        <v>10</v>
      </c>
      <c r="B1881">
        <v>4.75</v>
      </c>
    </row>
    <row r="1882" spans="1:2" x14ac:dyDescent="0.25">
      <c r="A1882" t="s">
        <v>10</v>
      </c>
      <c r="B1882">
        <v>3.5</v>
      </c>
    </row>
    <row r="1883" spans="1:2" x14ac:dyDescent="0.25">
      <c r="A1883" t="s">
        <v>10</v>
      </c>
      <c r="B1883">
        <v>3.25</v>
      </c>
    </row>
    <row r="1884" spans="1:2" x14ac:dyDescent="0.25">
      <c r="A1884" t="s">
        <v>10</v>
      </c>
      <c r="B1884">
        <v>4.5</v>
      </c>
    </row>
    <row r="1885" spans="1:2" x14ac:dyDescent="0.25">
      <c r="A1885" t="s">
        <v>10</v>
      </c>
      <c r="B1885">
        <v>3.25</v>
      </c>
    </row>
    <row r="1886" spans="1:2" x14ac:dyDescent="0.25">
      <c r="A1886" t="s">
        <v>10</v>
      </c>
      <c r="B1886">
        <v>4</v>
      </c>
    </row>
    <row r="1887" spans="1:2" x14ac:dyDescent="0.25">
      <c r="A1887" t="s">
        <v>10</v>
      </c>
      <c r="B1887">
        <v>1.25</v>
      </c>
    </row>
    <row r="1888" spans="1:2" x14ac:dyDescent="0.25">
      <c r="A1888" t="s">
        <v>10</v>
      </c>
      <c r="B1888">
        <v>1</v>
      </c>
    </row>
    <row r="1889" spans="1:2" x14ac:dyDescent="0.25">
      <c r="A1889" t="s">
        <v>10</v>
      </c>
      <c r="B1889">
        <v>3.75</v>
      </c>
    </row>
    <row r="1890" spans="1:2" x14ac:dyDescent="0.25">
      <c r="A1890" t="s">
        <v>10</v>
      </c>
      <c r="B1890">
        <v>3.75</v>
      </c>
    </row>
    <row r="1891" spans="1:2" x14ac:dyDescent="0.25">
      <c r="A1891" t="s">
        <v>10</v>
      </c>
      <c r="B1891">
        <v>3.5</v>
      </c>
    </row>
    <row r="1892" spans="1:2" x14ac:dyDescent="0.25">
      <c r="A1892" t="s">
        <v>10</v>
      </c>
      <c r="B1892">
        <v>4.5</v>
      </c>
    </row>
    <row r="1893" spans="1:2" x14ac:dyDescent="0.25">
      <c r="A1893" t="s">
        <v>10</v>
      </c>
      <c r="B1893">
        <v>5</v>
      </c>
    </row>
    <row r="1894" spans="1:2" x14ac:dyDescent="0.25">
      <c r="A1894" t="s">
        <v>10</v>
      </c>
      <c r="B1894">
        <v>4.5</v>
      </c>
    </row>
    <row r="1895" spans="1:2" x14ac:dyDescent="0.25">
      <c r="A1895" t="s">
        <v>10</v>
      </c>
      <c r="B1895">
        <v>4</v>
      </c>
    </row>
    <row r="1896" spans="1:2" x14ac:dyDescent="0.25">
      <c r="A1896" t="s">
        <v>10</v>
      </c>
      <c r="B1896">
        <v>4.25</v>
      </c>
    </row>
    <row r="1897" spans="1:2" x14ac:dyDescent="0.25">
      <c r="A1897" t="s">
        <v>10</v>
      </c>
      <c r="B1897">
        <v>4.25</v>
      </c>
    </row>
    <row r="1898" spans="1:2" x14ac:dyDescent="0.25">
      <c r="A1898" t="s">
        <v>10</v>
      </c>
      <c r="B1898">
        <v>5</v>
      </c>
    </row>
    <row r="1899" spans="1:2" x14ac:dyDescent="0.25">
      <c r="A1899" t="s">
        <v>10</v>
      </c>
      <c r="B1899">
        <v>4.25</v>
      </c>
    </row>
    <row r="1900" spans="1:2" x14ac:dyDescent="0.25">
      <c r="A1900" t="s">
        <v>10</v>
      </c>
      <c r="B1900">
        <v>5</v>
      </c>
    </row>
    <row r="1901" spans="1:2" x14ac:dyDescent="0.25">
      <c r="A1901" t="s">
        <v>10</v>
      </c>
      <c r="B1901">
        <v>4.75</v>
      </c>
    </row>
    <row r="1902" spans="1:2" x14ac:dyDescent="0.25">
      <c r="A1902" t="s">
        <v>10</v>
      </c>
      <c r="B1902">
        <v>4.75</v>
      </c>
    </row>
    <row r="1903" spans="1:2" x14ac:dyDescent="0.25">
      <c r="A1903" t="s">
        <v>10</v>
      </c>
      <c r="B1903">
        <v>4.75</v>
      </c>
    </row>
    <row r="1904" spans="1:2" x14ac:dyDescent="0.25">
      <c r="A1904" t="s">
        <v>10</v>
      </c>
      <c r="B1904">
        <v>3.75</v>
      </c>
    </row>
    <row r="1905" spans="1:2" x14ac:dyDescent="0.25">
      <c r="A1905" t="s">
        <v>10</v>
      </c>
      <c r="B1905">
        <v>4.5</v>
      </c>
    </row>
    <row r="1906" spans="1:2" x14ac:dyDescent="0.25">
      <c r="A1906" t="s">
        <v>10</v>
      </c>
      <c r="B1906">
        <v>3.75</v>
      </c>
    </row>
    <row r="1907" spans="1:2" x14ac:dyDescent="0.25">
      <c r="A1907" t="s">
        <v>10</v>
      </c>
      <c r="B1907">
        <v>3.25</v>
      </c>
    </row>
    <row r="1908" spans="1:2" x14ac:dyDescent="0.25">
      <c r="A1908" t="s">
        <v>10</v>
      </c>
      <c r="B1908">
        <v>3.5</v>
      </c>
    </row>
    <row r="1909" spans="1:2" x14ac:dyDescent="0.25">
      <c r="A1909" t="s">
        <v>10</v>
      </c>
      <c r="B1909">
        <v>4</v>
      </c>
    </row>
    <row r="1910" spans="1:2" x14ac:dyDescent="0.25">
      <c r="A1910" t="s">
        <v>10</v>
      </c>
      <c r="B1910">
        <v>4.25</v>
      </c>
    </row>
    <row r="1911" spans="1:2" x14ac:dyDescent="0.25">
      <c r="A1911" t="s">
        <v>10</v>
      </c>
      <c r="B1911">
        <v>4.75</v>
      </c>
    </row>
    <row r="1912" spans="1:2" x14ac:dyDescent="0.25">
      <c r="A1912" t="s">
        <v>10</v>
      </c>
      <c r="B1912">
        <v>3</v>
      </c>
    </row>
    <row r="1913" spans="1:2" x14ac:dyDescent="0.25">
      <c r="A1913" t="s">
        <v>10</v>
      </c>
      <c r="B1913">
        <v>4.25</v>
      </c>
    </row>
    <row r="1914" spans="1:2" x14ac:dyDescent="0.25">
      <c r="A1914" t="s">
        <v>10</v>
      </c>
      <c r="B1914">
        <v>3</v>
      </c>
    </row>
    <row r="1915" spans="1:2" x14ac:dyDescent="0.25">
      <c r="A1915" t="s">
        <v>10</v>
      </c>
      <c r="B1915">
        <v>2.75</v>
      </c>
    </row>
    <row r="1916" spans="1:2" x14ac:dyDescent="0.25">
      <c r="A1916" t="s">
        <v>10</v>
      </c>
      <c r="B1916">
        <v>4</v>
      </c>
    </row>
    <row r="1917" spans="1:2" x14ac:dyDescent="0.25">
      <c r="A1917" t="s">
        <v>10</v>
      </c>
      <c r="B1917">
        <v>4.5</v>
      </c>
    </row>
    <row r="1918" spans="1:2" x14ac:dyDescent="0.25">
      <c r="A1918" t="s">
        <v>10</v>
      </c>
      <c r="B1918">
        <v>4.5</v>
      </c>
    </row>
    <row r="1919" spans="1:2" x14ac:dyDescent="0.25">
      <c r="A1919" t="s">
        <v>10</v>
      </c>
      <c r="B1919">
        <v>4.5</v>
      </c>
    </row>
    <row r="1920" spans="1:2" x14ac:dyDescent="0.25">
      <c r="A1920" t="s">
        <v>10</v>
      </c>
      <c r="B1920">
        <v>5</v>
      </c>
    </row>
    <row r="1921" spans="1:2" x14ac:dyDescent="0.25">
      <c r="A1921" t="s">
        <v>10</v>
      </c>
      <c r="B1921">
        <v>4</v>
      </c>
    </row>
    <row r="1922" spans="1:2" x14ac:dyDescent="0.25">
      <c r="A1922" t="s">
        <v>10</v>
      </c>
      <c r="B1922">
        <v>4</v>
      </c>
    </row>
    <row r="1923" spans="1:2" x14ac:dyDescent="0.25">
      <c r="A1923" t="s">
        <v>10</v>
      </c>
      <c r="B1923">
        <v>2.75</v>
      </c>
    </row>
    <row r="1924" spans="1:2" x14ac:dyDescent="0.25">
      <c r="A1924" t="s">
        <v>10</v>
      </c>
      <c r="B1924">
        <v>4.25</v>
      </c>
    </row>
    <row r="1925" spans="1:2" x14ac:dyDescent="0.25">
      <c r="A1925" t="s">
        <v>10</v>
      </c>
      <c r="B1925">
        <v>4.125</v>
      </c>
    </row>
    <row r="1926" spans="1:2" x14ac:dyDescent="0.25">
      <c r="A1926" t="s">
        <v>10</v>
      </c>
      <c r="B1926">
        <v>4.25</v>
      </c>
    </row>
    <row r="1927" spans="1:2" x14ac:dyDescent="0.25">
      <c r="A1927" t="s">
        <v>10</v>
      </c>
      <c r="B1927">
        <v>4</v>
      </c>
    </row>
    <row r="1928" spans="1:2" x14ac:dyDescent="0.25">
      <c r="A1928" t="s">
        <v>10</v>
      </c>
      <c r="B1928">
        <v>4</v>
      </c>
    </row>
    <row r="1929" spans="1:2" x14ac:dyDescent="0.25">
      <c r="A1929" t="s">
        <v>10</v>
      </c>
      <c r="B1929">
        <v>3.5</v>
      </c>
    </row>
    <row r="1930" spans="1:2" x14ac:dyDescent="0.25">
      <c r="A1930" t="s">
        <v>10</v>
      </c>
      <c r="B1930">
        <v>3.5</v>
      </c>
    </row>
    <row r="1931" spans="1:2" x14ac:dyDescent="0.25">
      <c r="A1931" t="s">
        <v>10</v>
      </c>
      <c r="B1931">
        <v>4</v>
      </c>
    </row>
    <row r="1932" spans="1:2" x14ac:dyDescent="0.25">
      <c r="A1932" t="s">
        <v>10</v>
      </c>
      <c r="B1932">
        <v>3.5</v>
      </c>
    </row>
    <row r="1933" spans="1:2" x14ac:dyDescent="0.25">
      <c r="A1933" t="s">
        <v>10</v>
      </c>
      <c r="B1933">
        <v>4.5</v>
      </c>
    </row>
    <row r="1934" spans="1:2" x14ac:dyDescent="0.25">
      <c r="A1934" t="s">
        <v>10</v>
      </c>
      <c r="B1934">
        <v>4</v>
      </c>
    </row>
    <row r="1935" spans="1:2" x14ac:dyDescent="0.25">
      <c r="A1935" t="s">
        <v>10</v>
      </c>
      <c r="B1935">
        <v>3</v>
      </c>
    </row>
    <row r="1936" spans="1:2" x14ac:dyDescent="0.25">
      <c r="A1936" t="s">
        <v>10</v>
      </c>
      <c r="B1936">
        <v>4.75</v>
      </c>
    </row>
    <row r="1937" spans="1:2" x14ac:dyDescent="0.25">
      <c r="A1937" t="s">
        <v>10</v>
      </c>
      <c r="B1937">
        <v>4.5</v>
      </c>
    </row>
    <row r="1938" spans="1:2" x14ac:dyDescent="0.25">
      <c r="A1938" t="s">
        <v>10</v>
      </c>
      <c r="B1938">
        <v>4.5</v>
      </c>
    </row>
    <row r="1939" spans="1:2" x14ac:dyDescent="0.25">
      <c r="A1939" t="s">
        <v>10</v>
      </c>
      <c r="B1939">
        <v>3.75</v>
      </c>
    </row>
    <row r="1940" spans="1:2" x14ac:dyDescent="0.25">
      <c r="A1940" t="s">
        <v>10</v>
      </c>
      <c r="B1940">
        <v>3.75</v>
      </c>
    </row>
    <row r="1941" spans="1:2" x14ac:dyDescent="0.25">
      <c r="A1941" t="s">
        <v>10</v>
      </c>
      <c r="B1941">
        <v>3</v>
      </c>
    </row>
    <row r="1942" spans="1:2" x14ac:dyDescent="0.25">
      <c r="A1942" t="s">
        <v>10</v>
      </c>
      <c r="B1942">
        <v>4.25</v>
      </c>
    </row>
    <row r="1943" spans="1:2" x14ac:dyDescent="0.25">
      <c r="A1943" t="s">
        <v>10</v>
      </c>
      <c r="B1943">
        <v>3</v>
      </c>
    </row>
    <row r="1944" spans="1:2" x14ac:dyDescent="0.25">
      <c r="A1944" t="s">
        <v>10</v>
      </c>
      <c r="B1944">
        <v>3.75</v>
      </c>
    </row>
    <row r="1945" spans="1:2" x14ac:dyDescent="0.25">
      <c r="A1945" t="s">
        <v>10</v>
      </c>
      <c r="B1945">
        <v>3.75</v>
      </c>
    </row>
    <row r="1946" spans="1:2" x14ac:dyDescent="0.25">
      <c r="A1946" t="s">
        <v>10</v>
      </c>
      <c r="B1946">
        <v>3.25</v>
      </c>
    </row>
    <row r="1947" spans="1:2" x14ac:dyDescent="0.25">
      <c r="A1947" t="s">
        <v>10</v>
      </c>
      <c r="B1947">
        <v>4.75</v>
      </c>
    </row>
    <row r="1948" spans="1:2" x14ac:dyDescent="0.25">
      <c r="A1948" t="s">
        <v>10</v>
      </c>
      <c r="B1948">
        <v>3.5</v>
      </c>
    </row>
    <row r="1949" spans="1:2" x14ac:dyDescent="0.25">
      <c r="A1949" t="s">
        <v>10</v>
      </c>
      <c r="B1949">
        <v>3.75</v>
      </c>
    </row>
    <row r="1950" spans="1:2" x14ac:dyDescent="0.25">
      <c r="A1950" t="s">
        <v>10</v>
      </c>
      <c r="B1950">
        <v>3.75</v>
      </c>
    </row>
    <row r="1951" spans="1:2" x14ac:dyDescent="0.25">
      <c r="A1951" t="s">
        <v>10</v>
      </c>
      <c r="B1951">
        <v>1.5</v>
      </c>
    </row>
    <row r="1952" spans="1:2" x14ac:dyDescent="0.25">
      <c r="A1952" t="s">
        <v>10</v>
      </c>
      <c r="B1952">
        <v>3</v>
      </c>
    </row>
    <row r="1953" spans="1:2" x14ac:dyDescent="0.25">
      <c r="A1953" t="s">
        <v>10</v>
      </c>
      <c r="B1953">
        <v>4</v>
      </c>
    </row>
    <row r="1954" spans="1:2" x14ac:dyDescent="0.25">
      <c r="A1954" t="s">
        <v>10</v>
      </c>
      <c r="B1954">
        <v>3.75</v>
      </c>
    </row>
    <row r="1955" spans="1:2" x14ac:dyDescent="0.25">
      <c r="A1955" t="s">
        <v>10</v>
      </c>
      <c r="B1955">
        <v>5</v>
      </c>
    </row>
    <row r="1956" spans="1:2" x14ac:dyDescent="0.25">
      <c r="A1956" t="s">
        <v>10</v>
      </c>
      <c r="B1956">
        <v>3.5</v>
      </c>
    </row>
    <row r="1957" spans="1:2" x14ac:dyDescent="0.25">
      <c r="A1957" t="s">
        <v>10</v>
      </c>
      <c r="B1957">
        <v>3.5</v>
      </c>
    </row>
    <row r="1958" spans="1:2" x14ac:dyDescent="0.25">
      <c r="A1958" t="s">
        <v>10</v>
      </c>
      <c r="B1958">
        <v>3</v>
      </c>
    </row>
    <row r="1959" spans="1:2" x14ac:dyDescent="0.25">
      <c r="A1959" t="s">
        <v>10</v>
      </c>
      <c r="B1959">
        <v>5</v>
      </c>
    </row>
    <row r="1960" spans="1:2" x14ac:dyDescent="0.25">
      <c r="A1960" t="s">
        <v>10</v>
      </c>
      <c r="B1960">
        <v>3.75</v>
      </c>
    </row>
    <row r="1961" spans="1:2" x14ac:dyDescent="0.25">
      <c r="A1961" t="s">
        <v>10</v>
      </c>
      <c r="B1961">
        <v>2</v>
      </c>
    </row>
    <row r="1962" spans="1:2" x14ac:dyDescent="0.25">
      <c r="A1962" t="s">
        <v>10</v>
      </c>
      <c r="B1962">
        <v>2.75</v>
      </c>
    </row>
    <row r="1963" spans="1:2" x14ac:dyDescent="0.25">
      <c r="A1963" t="s">
        <v>10</v>
      </c>
      <c r="B1963">
        <v>3.25</v>
      </c>
    </row>
    <row r="1964" spans="1:2" x14ac:dyDescent="0.25">
      <c r="A1964" t="s">
        <v>10</v>
      </c>
      <c r="B1964">
        <v>2.5</v>
      </c>
    </row>
    <row r="1965" spans="1:2" x14ac:dyDescent="0.25">
      <c r="A1965" t="s">
        <v>10</v>
      </c>
      <c r="B1965">
        <v>3.25</v>
      </c>
    </row>
    <row r="1966" spans="1:2" x14ac:dyDescent="0.25">
      <c r="A1966" t="s">
        <v>10</v>
      </c>
      <c r="B1966">
        <v>4</v>
      </c>
    </row>
    <row r="1967" spans="1:2" x14ac:dyDescent="0.25">
      <c r="A1967" t="s">
        <v>10</v>
      </c>
      <c r="B1967">
        <v>3.5</v>
      </c>
    </row>
    <row r="1968" spans="1:2" x14ac:dyDescent="0.25">
      <c r="A1968" t="s">
        <v>10</v>
      </c>
      <c r="B1968">
        <v>3.5</v>
      </c>
    </row>
    <row r="1969" spans="1:2" x14ac:dyDescent="0.25">
      <c r="A1969" t="s">
        <v>10</v>
      </c>
      <c r="B1969">
        <v>2.5</v>
      </c>
    </row>
    <row r="1970" spans="1:2" x14ac:dyDescent="0.25">
      <c r="A1970" t="s">
        <v>10</v>
      </c>
      <c r="B1970">
        <v>4</v>
      </c>
    </row>
    <row r="1971" spans="1:2" x14ac:dyDescent="0.25">
      <c r="A1971" t="s">
        <v>10</v>
      </c>
      <c r="B1971">
        <v>3</v>
      </c>
    </row>
    <row r="1972" spans="1:2" x14ac:dyDescent="0.25">
      <c r="A1972" t="s">
        <v>10</v>
      </c>
      <c r="B1972">
        <v>1</v>
      </c>
    </row>
    <row r="1973" spans="1:2" x14ac:dyDescent="0.25">
      <c r="A1973" t="s">
        <v>10</v>
      </c>
      <c r="B1973">
        <v>5</v>
      </c>
    </row>
    <row r="1974" spans="1:2" x14ac:dyDescent="0.25">
      <c r="A1974" t="s">
        <v>10</v>
      </c>
      <c r="B1974">
        <v>4</v>
      </c>
    </row>
    <row r="1975" spans="1:2" x14ac:dyDescent="0.25">
      <c r="A1975" t="s">
        <v>10</v>
      </c>
      <c r="B1975">
        <v>4</v>
      </c>
    </row>
    <row r="1976" spans="1:2" x14ac:dyDescent="0.25">
      <c r="A1976" t="s">
        <v>10</v>
      </c>
      <c r="B1976">
        <v>3</v>
      </c>
    </row>
    <row r="1977" spans="1:2" x14ac:dyDescent="0.25">
      <c r="A1977" t="s">
        <v>10</v>
      </c>
      <c r="B1977">
        <v>2</v>
      </c>
    </row>
    <row r="1978" spans="1:2" x14ac:dyDescent="0.25">
      <c r="A1978" t="s">
        <v>10</v>
      </c>
      <c r="B1978">
        <v>2.5</v>
      </c>
    </row>
    <row r="1979" spans="1:2" x14ac:dyDescent="0.25">
      <c r="A1979" t="s">
        <v>73</v>
      </c>
      <c r="B1979">
        <v>4.5</v>
      </c>
    </row>
    <row r="1980" spans="1:2" x14ac:dyDescent="0.25">
      <c r="A1980" t="s">
        <v>73</v>
      </c>
      <c r="B1980">
        <v>5</v>
      </c>
    </row>
    <row r="1981" spans="1:2" x14ac:dyDescent="0.25">
      <c r="A1981" t="s">
        <v>73</v>
      </c>
      <c r="B1981">
        <v>5</v>
      </c>
    </row>
    <row r="1982" spans="1:2" x14ac:dyDescent="0.25">
      <c r="A1982" t="s">
        <v>73</v>
      </c>
      <c r="B1982">
        <v>5</v>
      </c>
    </row>
    <row r="1983" spans="1:2" x14ac:dyDescent="0.25">
      <c r="A1983" t="s">
        <v>73</v>
      </c>
      <c r="B1983">
        <v>5</v>
      </c>
    </row>
    <row r="1984" spans="1:2" x14ac:dyDescent="0.25">
      <c r="A1984" t="s">
        <v>73</v>
      </c>
      <c r="B1984">
        <v>5</v>
      </c>
    </row>
    <row r="1985" spans="1:2" x14ac:dyDescent="0.25">
      <c r="A1985" t="s">
        <v>73</v>
      </c>
      <c r="B1985">
        <v>4.5</v>
      </c>
    </row>
    <row r="1986" spans="1:2" x14ac:dyDescent="0.25">
      <c r="A1986" t="s">
        <v>73</v>
      </c>
      <c r="B1986">
        <v>4</v>
      </c>
    </row>
    <row r="1987" spans="1:2" x14ac:dyDescent="0.25">
      <c r="A1987" t="s">
        <v>73</v>
      </c>
      <c r="B1987">
        <v>3.25</v>
      </c>
    </row>
    <row r="1988" spans="1:2" x14ac:dyDescent="0.25">
      <c r="A1988" t="s">
        <v>73</v>
      </c>
      <c r="B1988">
        <v>5</v>
      </c>
    </row>
    <row r="1989" spans="1:2" x14ac:dyDescent="0.25">
      <c r="A1989" t="s">
        <v>73</v>
      </c>
      <c r="B1989">
        <v>3.75</v>
      </c>
    </row>
    <row r="1990" spans="1:2" x14ac:dyDescent="0.25">
      <c r="A1990" t="s">
        <v>73</v>
      </c>
      <c r="B1990">
        <v>4</v>
      </c>
    </row>
    <row r="1991" spans="1:2" x14ac:dyDescent="0.25">
      <c r="A1991" t="s">
        <v>73</v>
      </c>
      <c r="B1991">
        <v>4.5</v>
      </c>
    </row>
    <row r="1992" spans="1:2" x14ac:dyDescent="0.25">
      <c r="A1992" t="s">
        <v>73</v>
      </c>
      <c r="B1992">
        <v>4.5</v>
      </c>
    </row>
    <row r="1993" spans="1:2" x14ac:dyDescent="0.25">
      <c r="A1993" t="s">
        <v>73</v>
      </c>
      <c r="B1993">
        <v>3.5</v>
      </c>
    </row>
    <row r="1994" spans="1:2" x14ac:dyDescent="0.25">
      <c r="A1994" t="s">
        <v>73</v>
      </c>
      <c r="B1994">
        <v>1.5</v>
      </c>
    </row>
    <row r="1995" spans="1:2" x14ac:dyDescent="0.25">
      <c r="A1995" t="s">
        <v>73</v>
      </c>
      <c r="B1995">
        <v>5</v>
      </c>
    </row>
    <row r="1996" spans="1:2" x14ac:dyDescent="0.25">
      <c r="A1996" t="s">
        <v>73</v>
      </c>
      <c r="B1996">
        <v>3.5</v>
      </c>
    </row>
    <row r="1997" spans="1:2" x14ac:dyDescent="0.25">
      <c r="A1997" t="s">
        <v>73</v>
      </c>
      <c r="B1997">
        <v>5</v>
      </c>
    </row>
    <row r="1998" spans="1:2" x14ac:dyDescent="0.25">
      <c r="A1998" t="s">
        <v>73</v>
      </c>
      <c r="B1998">
        <v>3.75</v>
      </c>
    </row>
    <row r="1999" spans="1:2" x14ac:dyDescent="0.25">
      <c r="A1999" t="s">
        <v>73</v>
      </c>
      <c r="B1999">
        <v>4.25</v>
      </c>
    </row>
    <row r="2000" spans="1:2" x14ac:dyDescent="0.25">
      <c r="A2000" t="s">
        <v>73</v>
      </c>
      <c r="B2000">
        <v>3.75</v>
      </c>
    </row>
    <row r="2001" spans="1:2" x14ac:dyDescent="0.25">
      <c r="A2001" t="s">
        <v>73</v>
      </c>
      <c r="B2001">
        <v>5</v>
      </c>
    </row>
    <row r="2002" spans="1:2" x14ac:dyDescent="0.25">
      <c r="A2002" t="s">
        <v>73</v>
      </c>
      <c r="B2002">
        <v>3.5</v>
      </c>
    </row>
    <row r="2003" spans="1:2" x14ac:dyDescent="0.25">
      <c r="A2003" t="s">
        <v>73</v>
      </c>
      <c r="B2003">
        <v>3.75</v>
      </c>
    </row>
    <row r="2004" spans="1:2" x14ac:dyDescent="0.25">
      <c r="A2004" t="s">
        <v>73</v>
      </c>
      <c r="B2004">
        <v>3.75</v>
      </c>
    </row>
    <row r="2005" spans="1:2" x14ac:dyDescent="0.25">
      <c r="A2005" t="s">
        <v>73</v>
      </c>
      <c r="B2005">
        <v>4.75</v>
      </c>
    </row>
    <row r="2006" spans="1:2" x14ac:dyDescent="0.25">
      <c r="A2006" t="s">
        <v>73</v>
      </c>
      <c r="B2006">
        <v>2.75</v>
      </c>
    </row>
    <row r="2007" spans="1:2" x14ac:dyDescent="0.25">
      <c r="A2007" t="s">
        <v>73</v>
      </c>
      <c r="B2007">
        <v>3.75</v>
      </c>
    </row>
    <row r="2008" spans="1:2" x14ac:dyDescent="0.25">
      <c r="A2008" t="s">
        <v>73</v>
      </c>
      <c r="B2008">
        <v>3.25</v>
      </c>
    </row>
    <row r="2009" spans="1:2" x14ac:dyDescent="0.25">
      <c r="A2009" t="s">
        <v>73</v>
      </c>
      <c r="B2009">
        <v>4</v>
      </c>
    </row>
    <row r="2010" spans="1:2" x14ac:dyDescent="0.25">
      <c r="A2010" t="s">
        <v>73</v>
      </c>
      <c r="B2010">
        <v>3.25</v>
      </c>
    </row>
    <row r="2011" spans="1:2" x14ac:dyDescent="0.25">
      <c r="A2011" t="s">
        <v>73</v>
      </c>
      <c r="B2011">
        <v>3.75</v>
      </c>
    </row>
    <row r="2012" spans="1:2" x14ac:dyDescent="0.25">
      <c r="A2012" t="s">
        <v>73</v>
      </c>
      <c r="B2012">
        <v>4</v>
      </c>
    </row>
    <row r="2013" spans="1:2" x14ac:dyDescent="0.25">
      <c r="A2013" t="s">
        <v>73</v>
      </c>
      <c r="B2013">
        <v>3.75</v>
      </c>
    </row>
    <row r="2014" spans="1:2" x14ac:dyDescent="0.25">
      <c r="A2014" t="s">
        <v>73</v>
      </c>
      <c r="B2014">
        <v>4.25</v>
      </c>
    </row>
    <row r="2015" spans="1:2" x14ac:dyDescent="0.25">
      <c r="A2015" t="s">
        <v>73</v>
      </c>
      <c r="B2015">
        <v>3.75</v>
      </c>
    </row>
    <row r="2016" spans="1:2" x14ac:dyDescent="0.25">
      <c r="A2016" t="s">
        <v>73</v>
      </c>
      <c r="B2016">
        <v>3.75</v>
      </c>
    </row>
    <row r="2017" spans="1:2" x14ac:dyDescent="0.25">
      <c r="A2017" t="s">
        <v>73</v>
      </c>
      <c r="B2017">
        <v>5</v>
      </c>
    </row>
    <row r="2018" spans="1:2" x14ac:dyDescent="0.25">
      <c r="A2018" t="s">
        <v>73</v>
      </c>
      <c r="B2018">
        <v>3.75</v>
      </c>
    </row>
    <row r="2019" spans="1:2" x14ac:dyDescent="0.25">
      <c r="A2019" t="s">
        <v>73</v>
      </c>
      <c r="B2019">
        <v>4.5</v>
      </c>
    </row>
    <row r="2020" spans="1:2" x14ac:dyDescent="0.25">
      <c r="A2020" t="s">
        <v>73</v>
      </c>
      <c r="B2020">
        <v>4</v>
      </c>
    </row>
    <row r="2021" spans="1:2" x14ac:dyDescent="0.25">
      <c r="A2021" t="s">
        <v>73</v>
      </c>
      <c r="B2021">
        <v>4.25</v>
      </c>
    </row>
    <row r="2022" spans="1:2" x14ac:dyDescent="0.25">
      <c r="A2022" t="s">
        <v>73</v>
      </c>
      <c r="B2022">
        <v>4</v>
      </c>
    </row>
    <row r="2023" spans="1:2" x14ac:dyDescent="0.25">
      <c r="A2023" t="s">
        <v>73</v>
      </c>
      <c r="B2023">
        <v>3.25</v>
      </c>
    </row>
    <row r="2024" spans="1:2" x14ac:dyDescent="0.25">
      <c r="A2024" t="s">
        <v>73</v>
      </c>
      <c r="B2024">
        <v>4.5</v>
      </c>
    </row>
    <row r="2025" spans="1:2" x14ac:dyDescent="0.25">
      <c r="A2025" t="s">
        <v>73</v>
      </c>
      <c r="B2025">
        <v>4.75</v>
      </c>
    </row>
    <row r="2026" spans="1:2" x14ac:dyDescent="0.25">
      <c r="A2026" t="s">
        <v>73</v>
      </c>
      <c r="B2026">
        <v>5</v>
      </c>
    </row>
    <row r="2027" spans="1:2" x14ac:dyDescent="0.25">
      <c r="A2027" t="s">
        <v>73</v>
      </c>
      <c r="B2027">
        <v>3.5</v>
      </c>
    </row>
    <row r="2028" spans="1:2" x14ac:dyDescent="0.25">
      <c r="A2028" t="s">
        <v>73</v>
      </c>
      <c r="B2028">
        <v>4</v>
      </c>
    </row>
    <row r="2029" spans="1:2" x14ac:dyDescent="0.25">
      <c r="A2029" t="s">
        <v>73</v>
      </c>
      <c r="B2029">
        <v>4</v>
      </c>
    </row>
    <row r="2030" spans="1:2" x14ac:dyDescent="0.25">
      <c r="A2030" t="s">
        <v>73</v>
      </c>
      <c r="B2030">
        <v>4.25</v>
      </c>
    </row>
    <row r="2031" spans="1:2" x14ac:dyDescent="0.25">
      <c r="A2031" t="s">
        <v>73</v>
      </c>
      <c r="B2031">
        <v>3.5</v>
      </c>
    </row>
    <row r="2032" spans="1:2" x14ac:dyDescent="0.25">
      <c r="A2032" t="s">
        <v>73</v>
      </c>
      <c r="B2032">
        <v>3.75</v>
      </c>
    </row>
    <row r="2033" spans="1:2" x14ac:dyDescent="0.25">
      <c r="A2033" t="s">
        <v>73</v>
      </c>
      <c r="B2033">
        <v>4.25</v>
      </c>
    </row>
    <row r="2034" spans="1:2" x14ac:dyDescent="0.25">
      <c r="A2034" t="s">
        <v>73</v>
      </c>
      <c r="B2034">
        <v>4</v>
      </c>
    </row>
    <row r="2035" spans="1:2" x14ac:dyDescent="0.25">
      <c r="A2035" t="s">
        <v>73</v>
      </c>
      <c r="B2035">
        <v>4.75</v>
      </c>
    </row>
    <row r="2036" spans="1:2" x14ac:dyDescent="0.25">
      <c r="A2036" t="s">
        <v>73</v>
      </c>
      <c r="B2036">
        <v>4</v>
      </c>
    </row>
    <row r="2037" spans="1:2" x14ac:dyDescent="0.25">
      <c r="A2037" t="s">
        <v>73</v>
      </c>
      <c r="B2037">
        <v>4.25</v>
      </c>
    </row>
    <row r="2038" spans="1:2" x14ac:dyDescent="0.25">
      <c r="A2038" t="s">
        <v>73</v>
      </c>
      <c r="B2038">
        <v>4.25</v>
      </c>
    </row>
    <row r="2039" spans="1:2" x14ac:dyDescent="0.25">
      <c r="A2039" t="s">
        <v>73</v>
      </c>
      <c r="B2039">
        <v>3.75</v>
      </c>
    </row>
    <row r="2040" spans="1:2" x14ac:dyDescent="0.25">
      <c r="A2040" t="s">
        <v>73</v>
      </c>
      <c r="B2040">
        <v>4.5</v>
      </c>
    </row>
    <row r="2041" spans="1:2" x14ac:dyDescent="0.25">
      <c r="A2041" t="s">
        <v>73</v>
      </c>
      <c r="B2041">
        <v>4.25</v>
      </c>
    </row>
    <row r="2042" spans="1:2" x14ac:dyDescent="0.25">
      <c r="A2042" t="s">
        <v>73</v>
      </c>
      <c r="B2042">
        <v>3.5</v>
      </c>
    </row>
    <row r="2043" spans="1:2" x14ac:dyDescent="0.25">
      <c r="A2043" t="s">
        <v>73</v>
      </c>
      <c r="B2043">
        <v>5</v>
      </c>
    </row>
    <row r="2044" spans="1:2" x14ac:dyDescent="0.25">
      <c r="A2044" t="s">
        <v>73</v>
      </c>
      <c r="B2044">
        <v>4.5</v>
      </c>
    </row>
    <row r="2045" spans="1:2" x14ac:dyDescent="0.25">
      <c r="A2045" t="s">
        <v>73</v>
      </c>
      <c r="B2045">
        <v>5</v>
      </c>
    </row>
    <row r="2046" spans="1:2" x14ac:dyDescent="0.25">
      <c r="A2046" t="s">
        <v>73</v>
      </c>
      <c r="B2046">
        <v>3.25</v>
      </c>
    </row>
    <row r="2047" spans="1:2" x14ac:dyDescent="0.25">
      <c r="A2047" t="s">
        <v>73</v>
      </c>
      <c r="B2047">
        <v>3.75</v>
      </c>
    </row>
    <row r="2048" spans="1:2" x14ac:dyDescent="0.25">
      <c r="A2048" t="s">
        <v>73</v>
      </c>
      <c r="B2048">
        <v>4</v>
      </c>
    </row>
    <row r="2049" spans="1:2" x14ac:dyDescent="0.25">
      <c r="A2049" t="s">
        <v>73</v>
      </c>
      <c r="B2049">
        <v>5</v>
      </c>
    </row>
    <row r="2050" spans="1:2" x14ac:dyDescent="0.25">
      <c r="A2050" t="s">
        <v>73</v>
      </c>
      <c r="B2050">
        <v>4.5</v>
      </c>
    </row>
    <row r="2051" spans="1:2" x14ac:dyDescent="0.25">
      <c r="A2051" t="s">
        <v>73</v>
      </c>
      <c r="B2051">
        <v>4</v>
      </c>
    </row>
    <row r="2052" spans="1:2" x14ac:dyDescent="0.25">
      <c r="A2052" t="s">
        <v>73</v>
      </c>
      <c r="B2052">
        <v>4</v>
      </c>
    </row>
    <row r="2053" spans="1:2" x14ac:dyDescent="0.25">
      <c r="A2053" t="s">
        <v>73</v>
      </c>
      <c r="B2053">
        <v>3.75</v>
      </c>
    </row>
    <row r="2054" spans="1:2" x14ac:dyDescent="0.25">
      <c r="A2054" t="s">
        <v>73</v>
      </c>
      <c r="B2054">
        <v>4</v>
      </c>
    </row>
    <row r="2055" spans="1:2" x14ac:dyDescent="0.25">
      <c r="A2055" t="s">
        <v>73</v>
      </c>
      <c r="B2055">
        <v>3.5</v>
      </c>
    </row>
    <row r="2056" spans="1:2" x14ac:dyDescent="0.25">
      <c r="A2056" t="s">
        <v>73</v>
      </c>
      <c r="B2056">
        <v>4.25</v>
      </c>
    </row>
    <row r="2057" spans="1:2" x14ac:dyDescent="0.25">
      <c r="A2057" t="s">
        <v>73</v>
      </c>
      <c r="B2057">
        <v>4</v>
      </c>
    </row>
    <row r="2058" spans="1:2" x14ac:dyDescent="0.25">
      <c r="A2058" t="s">
        <v>73</v>
      </c>
      <c r="B2058">
        <v>4.5</v>
      </c>
    </row>
    <row r="2059" spans="1:2" x14ac:dyDescent="0.25">
      <c r="A2059" t="s">
        <v>73</v>
      </c>
      <c r="B2059">
        <v>4.75</v>
      </c>
    </row>
    <row r="2060" spans="1:2" x14ac:dyDescent="0.25">
      <c r="A2060" t="s">
        <v>73</v>
      </c>
      <c r="B2060">
        <v>4</v>
      </c>
    </row>
    <row r="2061" spans="1:2" x14ac:dyDescent="0.25">
      <c r="A2061" t="s">
        <v>73</v>
      </c>
      <c r="B2061">
        <v>3.5</v>
      </c>
    </row>
    <row r="2062" spans="1:2" x14ac:dyDescent="0.25">
      <c r="A2062" t="s">
        <v>73</v>
      </c>
      <c r="B2062">
        <v>3.75</v>
      </c>
    </row>
    <row r="2063" spans="1:2" x14ac:dyDescent="0.25">
      <c r="A2063" t="s">
        <v>73</v>
      </c>
      <c r="B2063">
        <v>3.75</v>
      </c>
    </row>
    <row r="2064" spans="1:2" x14ac:dyDescent="0.25">
      <c r="A2064" t="s">
        <v>73</v>
      </c>
      <c r="B2064">
        <v>2.25</v>
      </c>
    </row>
    <row r="2065" spans="1:2" x14ac:dyDescent="0.25">
      <c r="A2065" t="s">
        <v>73</v>
      </c>
      <c r="B2065">
        <v>4</v>
      </c>
    </row>
    <row r="2066" spans="1:2" x14ac:dyDescent="0.25">
      <c r="A2066" t="s">
        <v>73</v>
      </c>
      <c r="B2066">
        <v>4.5</v>
      </c>
    </row>
    <row r="2067" spans="1:2" x14ac:dyDescent="0.25">
      <c r="A2067" t="s">
        <v>73</v>
      </c>
      <c r="B2067">
        <v>4.25</v>
      </c>
    </row>
    <row r="2068" spans="1:2" x14ac:dyDescent="0.25">
      <c r="A2068" t="s">
        <v>73</v>
      </c>
      <c r="B2068">
        <v>5</v>
      </c>
    </row>
    <row r="2069" spans="1:2" x14ac:dyDescent="0.25">
      <c r="A2069" t="s">
        <v>73</v>
      </c>
      <c r="B2069">
        <v>4.5</v>
      </c>
    </row>
    <row r="2070" spans="1:2" x14ac:dyDescent="0.25">
      <c r="A2070" t="s">
        <v>73</v>
      </c>
      <c r="B2070">
        <v>4.25</v>
      </c>
    </row>
    <row r="2071" spans="1:2" x14ac:dyDescent="0.25">
      <c r="A2071" t="s">
        <v>73</v>
      </c>
      <c r="B2071">
        <v>3.25</v>
      </c>
    </row>
    <row r="2072" spans="1:2" x14ac:dyDescent="0.25">
      <c r="A2072" t="s">
        <v>73</v>
      </c>
      <c r="B2072">
        <v>5</v>
      </c>
    </row>
    <row r="2073" spans="1:2" x14ac:dyDescent="0.25">
      <c r="A2073" t="s">
        <v>73</v>
      </c>
      <c r="B2073">
        <v>5</v>
      </c>
    </row>
    <row r="2074" spans="1:2" x14ac:dyDescent="0.25">
      <c r="A2074" t="s">
        <v>73</v>
      </c>
      <c r="B2074">
        <v>5</v>
      </c>
    </row>
    <row r="2075" spans="1:2" x14ac:dyDescent="0.25">
      <c r="A2075" t="s">
        <v>73</v>
      </c>
      <c r="B2075">
        <v>4</v>
      </c>
    </row>
    <row r="2076" spans="1:2" x14ac:dyDescent="0.25">
      <c r="A2076" t="s">
        <v>73</v>
      </c>
      <c r="B2076">
        <v>4</v>
      </c>
    </row>
    <row r="2077" spans="1:2" x14ac:dyDescent="0.25">
      <c r="A2077" t="s">
        <v>73</v>
      </c>
      <c r="B2077">
        <v>5</v>
      </c>
    </row>
    <row r="2078" spans="1:2" x14ac:dyDescent="0.25">
      <c r="A2078" t="s">
        <v>73</v>
      </c>
      <c r="B2078">
        <v>3.5</v>
      </c>
    </row>
    <row r="2079" spans="1:2" x14ac:dyDescent="0.25">
      <c r="A2079" t="s">
        <v>73</v>
      </c>
      <c r="B2079">
        <v>5</v>
      </c>
    </row>
    <row r="2080" spans="1:2" x14ac:dyDescent="0.25">
      <c r="A2080" t="s">
        <v>73</v>
      </c>
      <c r="B2080">
        <v>4.5</v>
      </c>
    </row>
    <row r="2081" spans="1:2" x14ac:dyDescent="0.25">
      <c r="A2081" t="s">
        <v>73</v>
      </c>
      <c r="B2081">
        <v>2.75</v>
      </c>
    </row>
    <row r="2082" spans="1:2" x14ac:dyDescent="0.25">
      <c r="A2082" t="s">
        <v>73</v>
      </c>
      <c r="B2082">
        <v>4.25</v>
      </c>
    </row>
    <row r="2083" spans="1:2" x14ac:dyDescent="0.25">
      <c r="A2083" t="s">
        <v>73</v>
      </c>
      <c r="B2083">
        <v>4.75</v>
      </c>
    </row>
    <row r="2084" spans="1:2" x14ac:dyDescent="0.25">
      <c r="A2084" t="s">
        <v>73</v>
      </c>
      <c r="B2084">
        <v>3</v>
      </c>
    </row>
    <row r="2085" spans="1:2" x14ac:dyDescent="0.25">
      <c r="A2085" t="s">
        <v>73</v>
      </c>
      <c r="B2085">
        <v>4</v>
      </c>
    </row>
    <row r="2086" spans="1:2" x14ac:dyDescent="0.25">
      <c r="A2086" t="s">
        <v>73</v>
      </c>
      <c r="B2086">
        <v>4.75</v>
      </c>
    </row>
    <row r="2087" spans="1:2" x14ac:dyDescent="0.25">
      <c r="A2087" t="s">
        <v>73</v>
      </c>
      <c r="B2087">
        <v>3</v>
      </c>
    </row>
    <row r="2088" spans="1:2" x14ac:dyDescent="0.25">
      <c r="A2088" t="s">
        <v>73</v>
      </c>
      <c r="B2088">
        <v>4</v>
      </c>
    </row>
    <row r="2089" spans="1:2" x14ac:dyDescent="0.25">
      <c r="A2089" t="s">
        <v>73</v>
      </c>
      <c r="B2089">
        <v>3</v>
      </c>
    </row>
    <row r="2090" spans="1:2" x14ac:dyDescent="0.25">
      <c r="A2090" t="s">
        <v>73</v>
      </c>
      <c r="B2090">
        <v>4.25</v>
      </c>
    </row>
    <row r="2091" spans="1:2" x14ac:dyDescent="0.25">
      <c r="A2091" t="s">
        <v>73</v>
      </c>
      <c r="B2091">
        <v>4.5</v>
      </c>
    </row>
    <row r="2092" spans="1:2" x14ac:dyDescent="0.25">
      <c r="A2092" t="s">
        <v>73</v>
      </c>
      <c r="B2092">
        <v>5</v>
      </c>
    </row>
    <row r="2093" spans="1:2" x14ac:dyDescent="0.25">
      <c r="A2093" t="s">
        <v>73</v>
      </c>
      <c r="B2093">
        <v>4.5</v>
      </c>
    </row>
    <row r="2094" spans="1:2" x14ac:dyDescent="0.25">
      <c r="A2094" t="s">
        <v>73</v>
      </c>
      <c r="B2094">
        <v>1.5</v>
      </c>
    </row>
    <row r="2095" spans="1:2" x14ac:dyDescent="0.25">
      <c r="A2095" t="s">
        <v>73</v>
      </c>
      <c r="B2095">
        <v>2.5</v>
      </c>
    </row>
    <row r="2096" spans="1:2" x14ac:dyDescent="0.25">
      <c r="A2096" t="s">
        <v>73</v>
      </c>
      <c r="B2096">
        <v>4.5</v>
      </c>
    </row>
    <row r="2097" spans="1:2" x14ac:dyDescent="0.25">
      <c r="A2097" t="s">
        <v>73</v>
      </c>
      <c r="B2097">
        <v>2</v>
      </c>
    </row>
    <row r="2098" spans="1:2" x14ac:dyDescent="0.25">
      <c r="A2098" t="s">
        <v>73</v>
      </c>
      <c r="B2098">
        <v>4</v>
      </c>
    </row>
    <row r="2099" spans="1:2" x14ac:dyDescent="0.25">
      <c r="A2099" t="s">
        <v>73</v>
      </c>
      <c r="B2099">
        <v>5</v>
      </c>
    </row>
    <row r="2100" spans="1:2" x14ac:dyDescent="0.25">
      <c r="A2100" t="s">
        <v>73</v>
      </c>
      <c r="B2100">
        <v>5</v>
      </c>
    </row>
    <row r="2101" spans="1:2" x14ac:dyDescent="0.25">
      <c r="A2101" t="s">
        <v>73</v>
      </c>
      <c r="B2101">
        <v>4.5</v>
      </c>
    </row>
    <row r="2102" spans="1:2" x14ac:dyDescent="0.25">
      <c r="A2102" t="s">
        <v>73</v>
      </c>
      <c r="B2102">
        <v>3</v>
      </c>
    </row>
    <row r="2103" spans="1:2" x14ac:dyDescent="0.25">
      <c r="A2103" t="s">
        <v>73</v>
      </c>
      <c r="B2103">
        <v>3</v>
      </c>
    </row>
    <row r="2104" spans="1:2" x14ac:dyDescent="0.25">
      <c r="A2104" t="s">
        <v>73</v>
      </c>
      <c r="B2104">
        <v>4.25</v>
      </c>
    </row>
    <row r="2105" spans="1:2" x14ac:dyDescent="0.25">
      <c r="A2105" t="s">
        <v>22</v>
      </c>
      <c r="B2105">
        <v>3.75</v>
      </c>
    </row>
    <row r="2106" spans="1:2" x14ac:dyDescent="0.25">
      <c r="A2106" t="s">
        <v>22</v>
      </c>
      <c r="B2106">
        <v>3.75</v>
      </c>
    </row>
    <row r="2107" spans="1:2" x14ac:dyDescent="0.25">
      <c r="A2107" t="s">
        <v>22</v>
      </c>
      <c r="B2107">
        <v>4.25</v>
      </c>
    </row>
    <row r="2108" spans="1:2" x14ac:dyDescent="0.25">
      <c r="A2108" t="s">
        <v>22</v>
      </c>
      <c r="B2108">
        <v>3.5</v>
      </c>
    </row>
    <row r="2109" spans="1:2" x14ac:dyDescent="0.25">
      <c r="A2109" t="s">
        <v>22</v>
      </c>
      <c r="B2109">
        <v>3.75</v>
      </c>
    </row>
    <row r="2110" spans="1:2" x14ac:dyDescent="0.25">
      <c r="A2110" t="s">
        <v>22</v>
      </c>
      <c r="B2110">
        <v>4.5</v>
      </c>
    </row>
    <row r="2111" spans="1:2" x14ac:dyDescent="0.25">
      <c r="A2111" t="s">
        <v>22</v>
      </c>
      <c r="B2111">
        <v>2</v>
      </c>
    </row>
    <row r="2112" spans="1:2" x14ac:dyDescent="0.25">
      <c r="A2112" t="s">
        <v>22</v>
      </c>
      <c r="B2112">
        <v>4</v>
      </c>
    </row>
    <row r="2113" spans="1:2" x14ac:dyDescent="0.25">
      <c r="A2113" t="s">
        <v>22</v>
      </c>
      <c r="B2113">
        <v>5</v>
      </c>
    </row>
    <row r="2114" spans="1:2" x14ac:dyDescent="0.25">
      <c r="A2114" t="s">
        <v>22</v>
      </c>
      <c r="B2114">
        <v>5</v>
      </c>
    </row>
    <row r="2115" spans="1:2" x14ac:dyDescent="0.25">
      <c r="A2115" t="s">
        <v>22</v>
      </c>
      <c r="B2115">
        <v>4</v>
      </c>
    </row>
    <row r="2116" spans="1:2" x14ac:dyDescent="0.25">
      <c r="A2116" t="s">
        <v>22</v>
      </c>
      <c r="B2116">
        <v>4</v>
      </c>
    </row>
    <row r="2117" spans="1:2" x14ac:dyDescent="0.25">
      <c r="A2117" t="s">
        <v>22</v>
      </c>
      <c r="B2117">
        <v>2.5</v>
      </c>
    </row>
    <row r="2118" spans="1:2" x14ac:dyDescent="0.25">
      <c r="A2118" t="s">
        <v>22</v>
      </c>
      <c r="B2118">
        <v>3.5</v>
      </c>
    </row>
    <row r="2119" spans="1:2" x14ac:dyDescent="0.25">
      <c r="A2119" t="s">
        <v>22</v>
      </c>
      <c r="B2119">
        <v>3.75</v>
      </c>
    </row>
    <row r="2120" spans="1:2" x14ac:dyDescent="0.25">
      <c r="A2120" t="s">
        <v>22</v>
      </c>
      <c r="B2120">
        <v>3.25</v>
      </c>
    </row>
    <row r="2121" spans="1:2" x14ac:dyDescent="0.25">
      <c r="A2121" t="s">
        <v>22</v>
      </c>
      <c r="B2121">
        <v>3.75</v>
      </c>
    </row>
    <row r="2122" spans="1:2" x14ac:dyDescent="0.25">
      <c r="A2122" t="s">
        <v>22</v>
      </c>
      <c r="B2122">
        <v>3.75</v>
      </c>
    </row>
    <row r="2123" spans="1:2" x14ac:dyDescent="0.25">
      <c r="A2123" t="s">
        <v>22</v>
      </c>
      <c r="B2123">
        <v>3.5</v>
      </c>
    </row>
    <row r="2124" spans="1:2" x14ac:dyDescent="0.25">
      <c r="A2124" t="s">
        <v>22</v>
      </c>
      <c r="B2124">
        <v>3.75</v>
      </c>
    </row>
    <row r="2125" spans="1:2" x14ac:dyDescent="0.25">
      <c r="A2125" t="s">
        <v>22</v>
      </c>
      <c r="B2125">
        <v>3.25</v>
      </c>
    </row>
    <row r="2126" spans="1:2" x14ac:dyDescent="0.25">
      <c r="A2126" t="s">
        <v>22</v>
      </c>
      <c r="B2126">
        <v>3.75</v>
      </c>
    </row>
    <row r="2127" spans="1:2" x14ac:dyDescent="0.25">
      <c r="A2127" t="s">
        <v>22</v>
      </c>
      <c r="B2127">
        <v>3.25</v>
      </c>
    </row>
    <row r="2128" spans="1:2" x14ac:dyDescent="0.25">
      <c r="A2128" t="s">
        <v>22</v>
      </c>
      <c r="B2128">
        <v>2</v>
      </c>
    </row>
    <row r="2129" spans="1:2" x14ac:dyDescent="0.25">
      <c r="A2129" t="s">
        <v>22</v>
      </c>
      <c r="B2129">
        <v>3.75</v>
      </c>
    </row>
    <row r="2130" spans="1:2" x14ac:dyDescent="0.25">
      <c r="A2130" t="s">
        <v>22</v>
      </c>
      <c r="B2130">
        <v>1.5</v>
      </c>
    </row>
    <row r="2131" spans="1:2" x14ac:dyDescent="0.25">
      <c r="A2131" t="s">
        <v>22</v>
      </c>
      <c r="B2131">
        <v>3</v>
      </c>
    </row>
    <row r="2132" spans="1:2" x14ac:dyDescent="0.25">
      <c r="A2132" t="s">
        <v>22</v>
      </c>
      <c r="B2132">
        <v>1.5</v>
      </c>
    </row>
    <row r="2133" spans="1:2" x14ac:dyDescent="0.25">
      <c r="A2133" t="s">
        <v>22</v>
      </c>
      <c r="B2133">
        <v>2.5</v>
      </c>
    </row>
    <row r="2134" spans="1:2" x14ac:dyDescent="0.25">
      <c r="A2134" t="s">
        <v>22</v>
      </c>
      <c r="B2134">
        <v>2</v>
      </c>
    </row>
    <row r="2135" spans="1:2" x14ac:dyDescent="0.25">
      <c r="A2135" t="s">
        <v>22</v>
      </c>
      <c r="B2135">
        <v>3.5</v>
      </c>
    </row>
    <row r="2136" spans="1:2" x14ac:dyDescent="0.25">
      <c r="A2136" t="s">
        <v>156</v>
      </c>
      <c r="B2136">
        <v>3.75</v>
      </c>
    </row>
    <row r="2137" spans="1:2" x14ac:dyDescent="0.25">
      <c r="A2137" t="s">
        <v>156</v>
      </c>
      <c r="B2137">
        <v>3.75</v>
      </c>
    </row>
    <row r="2138" spans="1:2" x14ac:dyDescent="0.25">
      <c r="A2138" t="s">
        <v>156</v>
      </c>
      <c r="B2138">
        <v>3.5</v>
      </c>
    </row>
    <row r="2139" spans="1:2" x14ac:dyDescent="0.25">
      <c r="A2139" t="s">
        <v>156</v>
      </c>
      <c r="B2139">
        <v>3</v>
      </c>
    </row>
    <row r="2140" spans="1:2" x14ac:dyDescent="0.25">
      <c r="A2140" t="s">
        <v>156</v>
      </c>
      <c r="B2140">
        <v>3.5</v>
      </c>
    </row>
    <row r="2141" spans="1:2" x14ac:dyDescent="0.25">
      <c r="A2141" t="s">
        <v>156</v>
      </c>
      <c r="B2141">
        <v>2.75</v>
      </c>
    </row>
    <row r="2142" spans="1:2" x14ac:dyDescent="0.25">
      <c r="A2142" t="s">
        <v>156</v>
      </c>
      <c r="B2142">
        <v>3.5</v>
      </c>
    </row>
    <row r="2143" spans="1:2" x14ac:dyDescent="0.25">
      <c r="A2143" t="s">
        <v>156</v>
      </c>
      <c r="B2143">
        <v>4.75</v>
      </c>
    </row>
    <row r="2144" spans="1:2" x14ac:dyDescent="0.25">
      <c r="A2144" t="s">
        <v>156</v>
      </c>
      <c r="B2144">
        <v>4</v>
      </c>
    </row>
    <row r="2145" spans="1:2" x14ac:dyDescent="0.25">
      <c r="A2145" t="s">
        <v>46</v>
      </c>
      <c r="B2145">
        <v>4.5</v>
      </c>
    </row>
    <row r="2146" spans="1:2" x14ac:dyDescent="0.25">
      <c r="A2146" t="s">
        <v>46</v>
      </c>
      <c r="B2146">
        <v>5</v>
      </c>
    </row>
    <row r="2147" spans="1:2" x14ac:dyDescent="0.25">
      <c r="A2147" t="s">
        <v>46</v>
      </c>
      <c r="B2147">
        <v>4.25</v>
      </c>
    </row>
    <row r="2148" spans="1:2" x14ac:dyDescent="0.25">
      <c r="A2148" t="s">
        <v>46</v>
      </c>
      <c r="B2148">
        <v>3.75</v>
      </c>
    </row>
    <row r="2149" spans="1:2" x14ac:dyDescent="0.25">
      <c r="A2149" t="s">
        <v>46</v>
      </c>
      <c r="B2149">
        <v>5</v>
      </c>
    </row>
    <row r="2150" spans="1:2" x14ac:dyDescent="0.25">
      <c r="A2150" t="s">
        <v>46</v>
      </c>
      <c r="B2150">
        <v>4</v>
      </c>
    </row>
    <row r="2151" spans="1:2" x14ac:dyDescent="0.25">
      <c r="A2151" t="s">
        <v>46</v>
      </c>
      <c r="B2151">
        <v>4.75</v>
      </c>
    </row>
    <row r="2152" spans="1:2" x14ac:dyDescent="0.25">
      <c r="A2152" t="s">
        <v>46</v>
      </c>
      <c r="B2152">
        <v>5</v>
      </c>
    </row>
    <row r="2153" spans="1:2" x14ac:dyDescent="0.25">
      <c r="A2153" t="s">
        <v>46</v>
      </c>
      <c r="B2153">
        <v>2.5</v>
      </c>
    </row>
    <row r="2154" spans="1:2" x14ac:dyDescent="0.25">
      <c r="A2154" t="s">
        <v>46</v>
      </c>
      <c r="B2154">
        <v>4</v>
      </c>
    </row>
    <row r="2155" spans="1:2" x14ac:dyDescent="0.25">
      <c r="A2155" t="s">
        <v>46</v>
      </c>
      <c r="B2155">
        <v>3.75</v>
      </c>
    </row>
    <row r="2156" spans="1:2" x14ac:dyDescent="0.25">
      <c r="A2156" t="s">
        <v>46</v>
      </c>
      <c r="B2156">
        <v>3.75</v>
      </c>
    </row>
    <row r="2157" spans="1:2" x14ac:dyDescent="0.25">
      <c r="A2157" t="s">
        <v>46</v>
      </c>
      <c r="B2157">
        <v>3.5</v>
      </c>
    </row>
    <row r="2158" spans="1:2" x14ac:dyDescent="0.25">
      <c r="A2158" t="s">
        <v>46</v>
      </c>
      <c r="B2158">
        <v>4.75</v>
      </c>
    </row>
    <row r="2159" spans="1:2" x14ac:dyDescent="0.25">
      <c r="A2159" t="s">
        <v>46</v>
      </c>
      <c r="B2159">
        <v>4.5</v>
      </c>
    </row>
    <row r="2160" spans="1:2" x14ac:dyDescent="0.25">
      <c r="A2160" t="s">
        <v>46</v>
      </c>
      <c r="B2160">
        <v>5</v>
      </c>
    </row>
    <row r="2161" spans="1:2" x14ac:dyDescent="0.25">
      <c r="A2161" t="s">
        <v>46</v>
      </c>
      <c r="B2161">
        <v>5</v>
      </c>
    </row>
    <row r="2162" spans="1:2" x14ac:dyDescent="0.25">
      <c r="A2162" t="s">
        <v>46</v>
      </c>
      <c r="B2162">
        <v>4</v>
      </c>
    </row>
    <row r="2163" spans="1:2" x14ac:dyDescent="0.25">
      <c r="A2163" t="s">
        <v>46</v>
      </c>
      <c r="B2163">
        <v>3</v>
      </c>
    </row>
    <row r="2164" spans="1:2" x14ac:dyDescent="0.25">
      <c r="A2164" t="s">
        <v>46</v>
      </c>
      <c r="B2164">
        <v>4</v>
      </c>
    </row>
    <row r="2165" spans="1:2" x14ac:dyDescent="0.25">
      <c r="A2165" t="s">
        <v>46</v>
      </c>
      <c r="B2165">
        <v>5</v>
      </c>
    </row>
    <row r="2166" spans="1:2" x14ac:dyDescent="0.25">
      <c r="A2166" t="s">
        <v>46</v>
      </c>
      <c r="B2166">
        <v>4</v>
      </c>
    </row>
    <row r="2167" spans="1:2" x14ac:dyDescent="0.25">
      <c r="A2167" t="s">
        <v>46</v>
      </c>
      <c r="B2167">
        <v>4</v>
      </c>
    </row>
    <row r="2168" spans="1:2" x14ac:dyDescent="0.25">
      <c r="A2168" t="s">
        <v>46</v>
      </c>
      <c r="B2168">
        <v>4</v>
      </c>
    </row>
    <row r="2169" spans="1:2" x14ac:dyDescent="0.25">
      <c r="A2169" t="s">
        <v>46</v>
      </c>
      <c r="B2169">
        <v>4</v>
      </c>
    </row>
    <row r="2170" spans="1:2" x14ac:dyDescent="0.25">
      <c r="A2170" t="s">
        <v>46</v>
      </c>
      <c r="B2170">
        <v>5</v>
      </c>
    </row>
    <row r="2171" spans="1:2" x14ac:dyDescent="0.25">
      <c r="A2171" t="s">
        <v>46</v>
      </c>
      <c r="B2171">
        <v>5</v>
      </c>
    </row>
    <row r="2172" spans="1:2" x14ac:dyDescent="0.25">
      <c r="A2172" t="s">
        <v>46</v>
      </c>
      <c r="B2172">
        <v>4</v>
      </c>
    </row>
    <row r="2173" spans="1:2" x14ac:dyDescent="0.25">
      <c r="A2173" t="s">
        <v>46</v>
      </c>
      <c r="B2173">
        <v>4</v>
      </c>
    </row>
    <row r="2174" spans="1:2" x14ac:dyDescent="0.25">
      <c r="A2174" t="s">
        <v>46</v>
      </c>
      <c r="B2174">
        <v>4</v>
      </c>
    </row>
    <row r="2175" spans="1:2" x14ac:dyDescent="0.25">
      <c r="A2175" t="s">
        <v>46</v>
      </c>
      <c r="B2175">
        <v>4</v>
      </c>
    </row>
    <row r="2176" spans="1:2" x14ac:dyDescent="0.25">
      <c r="A2176" t="s">
        <v>46</v>
      </c>
      <c r="B2176">
        <v>5</v>
      </c>
    </row>
    <row r="2177" spans="1:2" x14ac:dyDescent="0.25">
      <c r="A2177" t="s">
        <v>46</v>
      </c>
      <c r="B2177">
        <v>4</v>
      </c>
    </row>
    <row r="2178" spans="1:2" x14ac:dyDescent="0.25">
      <c r="A2178" t="s">
        <v>46</v>
      </c>
      <c r="B2178">
        <v>5</v>
      </c>
    </row>
    <row r="2179" spans="1:2" x14ac:dyDescent="0.25">
      <c r="A2179" t="s">
        <v>46</v>
      </c>
      <c r="B2179">
        <v>4.3</v>
      </c>
    </row>
    <row r="2180" spans="1:2" x14ac:dyDescent="0.25">
      <c r="A2180" t="s">
        <v>46</v>
      </c>
      <c r="B2180">
        <v>2.2999999999999998</v>
      </c>
    </row>
    <row r="2181" spans="1:2" x14ac:dyDescent="0.25">
      <c r="A2181" t="s">
        <v>46</v>
      </c>
      <c r="B2181">
        <v>4</v>
      </c>
    </row>
    <row r="2182" spans="1:2" x14ac:dyDescent="0.25">
      <c r="A2182" t="s">
        <v>46</v>
      </c>
      <c r="B2182">
        <v>4</v>
      </c>
    </row>
    <row r="2183" spans="1:2" x14ac:dyDescent="0.25">
      <c r="A2183" t="s">
        <v>46</v>
      </c>
      <c r="B2183">
        <v>4</v>
      </c>
    </row>
    <row r="2184" spans="1:2" x14ac:dyDescent="0.25">
      <c r="A2184" t="s">
        <v>46</v>
      </c>
      <c r="B2184">
        <v>4</v>
      </c>
    </row>
    <row r="2185" spans="1:2" x14ac:dyDescent="0.25">
      <c r="A2185" t="s">
        <v>46</v>
      </c>
      <c r="B2185">
        <v>4</v>
      </c>
    </row>
    <row r="2186" spans="1:2" x14ac:dyDescent="0.25">
      <c r="A2186" t="s">
        <v>46</v>
      </c>
      <c r="B2186">
        <v>4</v>
      </c>
    </row>
    <row r="2187" spans="1:2" x14ac:dyDescent="0.25">
      <c r="A2187" t="s">
        <v>46</v>
      </c>
      <c r="B2187">
        <v>4</v>
      </c>
    </row>
    <row r="2188" spans="1:2" x14ac:dyDescent="0.25">
      <c r="A2188" t="s">
        <v>46</v>
      </c>
      <c r="B2188">
        <v>4</v>
      </c>
    </row>
    <row r="2189" spans="1:2" x14ac:dyDescent="0.25">
      <c r="A2189" t="s">
        <v>46</v>
      </c>
      <c r="B2189">
        <v>5</v>
      </c>
    </row>
    <row r="2190" spans="1:2" x14ac:dyDescent="0.25">
      <c r="A2190" t="s">
        <v>46</v>
      </c>
      <c r="B2190">
        <v>5</v>
      </c>
    </row>
    <row r="2191" spans="1:2" x14ac:dyDescent="0.25">
      <c r="A2191" t="s">
        <v>46</v>
      </c>
      <c r="B2191">
        <v>3</v>
      </c>
    </row>
    <row r="2192" spans="1:2" x14ac:dyDescent="0.25">
      <c r="A2192" t="s">
        <v>46</v>
      </c>
      <c r="B2192">
        <v>4</v>
      </c>
    </row>
    <row r="2193" spans="1:2" x14ac:dyDescent="0.25">
      <c r="A2193" t="s">
        <v>46</v>
      </c>
      <c r="B2193">
        <v>4</v>
      </c>
    </row>
    <row r="2194" spans="1:2" x14ac:dyDescent="0.25">
      <c r="A2194" t="s">
        <v>46</v>
      </c>
      <c r="B2194">
        <v>4</v>
      </c>
    </row>
    <row r="2195" spans="1:2" x14ac:dyDescent="0.25">
      <c r="A2195" t="s">
        <v>46</v>
      </c>
      <c r="B2195">
        <v>4</v>
      </c>
    </row>
    <row r="2196" spans="1:2" x14ac:dyDescent="0.25">
      <c r="A2196" t="s">
        <v>46</v>
      </c>
      <c r="B2196">
        <v>4</v>
      </c>
    </row>
    <row r="2197" spans="1:2" x14ac:dyDescent="0.25">
      <c r="A2197" t="s">
        <v>46</v>
      </c>
      <c r="B2197">
        <v>4</v>
      </c>
    </row>
    <row r="2198" spans="1:2" x14ac:dyDescent="0.25">
      <c r="A2198" t="s">
        <v>46</v>
      </c>
      <c r="B2198">
        <v>4</v>
      </c>
    </row>
    <row r="2199" spans="1:2" x14ac:dyDescent="0.25">
      <c r="A2199" t="s">
        <v>46</v>
      </c>
      <c r="B2199">
        <v>2</v>
      </c>
    </row>
    <row r="2200" spans="1:2" x14ac:dyDescent="0.25">
      <c r="A2200" t="s">
        <v>46</v>
      </c>
      <c r="B2200">
        <v>4</v>
      </c>
    </row>
    <row r="2201" spans="1:2" x14ac:dyDescent="0.25">
      <c r="A2201" t="s">
        <v>46</v>
      </c>
      <c r="B2201">
        <v>4</v>
      </c>
    </row>
    <row r="2202" spans="1:2" x14ac:dyDescent="0.25">
      <c r="A2202" t="s">
        <v>46</v>
      </c>
      <c r="B2202">
        <v>3.75</v>
      </c>
    </row>
    <row r="2203" spans="1:2" x14ac:dyDescent="0.25">
      <c r="A2203" t="s">
        <v>46</v>
      </c>
      <c r="B2203">
        <v>4</v>
      </c>
    </row>
    <row r="2204" spans="1:2" x14ac:dyDescent="0.25">
      <c r="A2204" t="s">
        <v>46</v>
      </c>
      <c r="B2204">
        <v>5</v>
      </c>
    </row>
    <row r="2205" spans="1:2" x14ac:dyDescent="0.25">
      <c r="A2205" t="s">
        <v>46</v>
      </c>
      <c r="B2205">
        <v>5</v>
      </c>
    </row>
    <row r="2206" spans="1:2" x14ac:dyDescent="0.25">
      <c r="A2206" t="s">
        <v>46</v>
      </c>
      <c r="B2206">
        <v>4</v>
      </c>
    </row>
    <row r="2207" spans="1:2" x14ac:dyDescent="0.25">
      <c r="A2207" t="s">
        <v>46</v>
      </c>
      <c r="B2207">
        <v>4</v>
      </c>
    </row>
    <row r="2208" spans="1:2" x14ac:dyDescent="0.25">
      <c r="A2208" t="s">
        <v>46</v>
      </c>
      <c r="B2208">
        <v>5</v>
      </c>
    </row>
    <row r="2209" spans="1:2" x14ac:dyDescent="0.25">
      <c r="A2209" t="s">
        <v>46</v>
      </c>
      <c r="B2209">
        <v>5</v>
      </c>
    </row>
    <row r="2210" spans="1:2" x14ac:dyDescent="0.25">
      <c r="A2210" t="s">
        <v>46</v>
      </c>
      <c r="B2210">
        <v>5</v>
      </c>
    </row>
    <row r="2211" spans="1:2" x14ac:dyDescent="0.25">
      <c r="A2211" t="s">
        <v>46</v>
      </c>
      <c r="B2211">
        <v>5</v>
      </c>
    </row>
    <row r="2212" spans="1:2" x14ac:dyDescent="0.25">
      <c r="A2212" t="s">
        <v>46</v>
      </c>
      <c r="B2212">
        <v>4</v>
      </c>
    </row>
    <row r="2213" spans="1:2" x14ac:dyDescent="0.25">
      <c r="A2213" t="s">
        <v>46</v>
      </c>
      <c r="B2213">
        <v>4</v>
      </c>
    </row>
    <row r="2214" spans="1:2" x14ac:dyDescent="0.25">
      <c r="A2214" t="s">
        <v>46</v>
      </c>
      <c r="B2214">
        <v>4</v>
      </c>
    </row>
    <row r="2215" spans="1:2" x14ac:dyDescent="0.25">
      <c r="A2215" t="s">
        <v>46</v>
      </c>
      <c r="B2215">
        <v>5</v>
      </c>
    </row>
    <row r="2216" spans="1:2" x14ac:dyDescent="0.25">
      <c r="A2216" t="s">
        <v>46</v>
      </c>
      <c r="B2216">
        <v>4</v>
      </c>
    </row>
    <row r="2217" spans="1:2" x14ac:dyDescent="0.25">
      <c r="A2217" t="s">
        <v>46</v>
      </c>
      <c r="B2217">
        <v>5</v>
      </c>
    </row>
    <row r="2218" spans="1:2" x14ac:dyDescent="0.25">
      <c r="A2218" t="s">
        <v>46</v>
      </c>
      <c r="B2218">
        <v>3.75</v>
      </c>
    </row>
    <row r="2219" spans="1:2" x14ac:dyDescent="0.25">
      <c r="A2219" t="s">
        <v>46</v>
      </c>
      <c r="B2219">
        <v>3.75</v>
      </c>
    </row>
    <row r="2220" spans="1:2" x14ac:dyDescent="0.25">
      <c r="A2220" t="s">
        <v>46</v>
      </c>
      <c r="B2220">
        <v>3</v>
      </c>
    </row>
    <row r="2221" spans="1:2" x14ac:dyDescent="0.25">
      <c r="A2221" t="s">
        <v>46</v>
      </c>
      <c r="B2221">
        <v>3.25</v>
      </c>
    </row>
    <row r="2222" spans="1:2" x14ac:dyDescent="0.25">
      <c r="A2222" t="s">
        <v>46</v>
      </c>
      <c r="B2222">
        <v>4.25</v>
      </c>
    </row>
    <row r="2223" spans="1:2" x14ac:dyDescent="0.25">
      <c r="A2223" t="s">
        <v>46</v>
      </c>
      <c r="B2223">
        <v>2.5</v>
      </c>
    </row>
    <row r="2224" spans="1:2" x14ac:dyDescent="0.25">
      <c r="A2224" t="s">
        <v>46</v>
      </c>
      <c r="B2224">
        <v>3</v>
      </c>
    </row>
    <row r="2225" spans="1:2" x14ac:dyDescent="0.25">
      <c r="A2225" t="s">
        <v>46</v>
      </c>
      <c r="B2225">
        <v>3.75</v>
      </c>
    </row>
    <row r="2226" spans="1:2" x14ac:dyDescent="0.25">
      <c r="A2226" t="s">
        <v>46</v>
      </c>
      <c r="B2226">
        <v>3.75</v>
      </c>
    </row>
    <row r="2227" spans="1:2" x14ac:dyDescent="0.25">
      <c r="A2227" t="s">
        <v>46</v>
      </c>
      <c r="B2227">
        <v>5</v>
      </c>
    </row>
    <row r="2228" spans="1:2" x14ac:dyDescent="0.25">
      <c r="A2228" t="s">
        <v>46</v>
      </c>
      <c r="B2228">
        <v>2.75</v>
      </c>
    </row>
    <row r="2229" spans="1:2" x14ac:dyDescent="0.25">
      <c r="A2229" t="s">
        <v>46</v>
      </c>
      <c r="B2229">
        <v>3</v>
      </c>
    </row>
    <row r="2230" spans="1:2" x14ac:dyDescent="0.25">
      <c r="A2230" t="s">
        <v>46</v>
      </c>
      <c r="B2230">
        <v>3.5</v>
      </c>
    </row>
    <row r="2231" spans="1:2" x14ac:dyDescent="0.25">
      <c r="A2231" t="s">
        <v>46</v>
      </c>
      <c r="B2231">
        <v>3.5</v>
      </c>
    </row>
    <row r="2232" spans="1:2" x14ac:dyDescent="0.25">
      <c r="A2232" t="s">
        <v>46</v>
      </c>
      <c r="B2232">
        <v>4.5</v>
      </c>
    </row>
    <row r="2233" spans="1:2" x14ac:dyDescent="0.25">
      <c r="A2233" t="s">
        <v>46</v>
      </c>
      <c r="B2233">
        <v>3.5</v>
      </c>
    </row>
    <row r="2234" spans="1:2" x14ac:dyDescent="0.25">
      <c r="A2234" t="s">
        <v>46</v>
      </c>
      <c r="B2234">
        <v>1.75</v>
      </c>
    </row>
    <row r="2235" spans="1:2" x14ac:dyDescent="0.25">
      <c r="A2235" t="s">
        <v>46</v>
      </c>
      <c r="B2235">
        <v>3.25</v>
      </c>
    </row>
    <row r="2236" spans="1:2" x14ac:dyDescent="0.25">
      <c r="A2236" t="s">
        <v>46</v>
      </c>
      <c r="B2236">
        <v>4</v>
      </c>
    </row>
    <row r="2237" spans="1:2" x14ac:dyDescent="0.25">
      <c r="A2237" t="s">
        <v>46</v>
      </c>
      <c r="B2237">
        <v>3</v>
      </c>
    </row>
    <row r="2238" spans="1:2" x14ac:dyDescent="0.25">
      <c r="A2238" t="s">
        <v>46</v>
      </c>
      <c r="B2238">
        <v>0.5</v>
      </c>
    </row>
    <row r="2239" spans="1:2" x14ac:dyDescent="0.25">
      <c r="A2239" t="s">
        <v>46</v>
      </c>
      <c r="B2239">
        <v>4</v>
      </c>
    </row>
    <row r="2240" spans="1:2" x14ac:dyDescent="0.25">
      <c r="A2240" t="s">
        <v>46</v>
      </c>
      <c r="B2240">
        <v>3.5</v>
      </c>
    </row>
    <row r="2241" spans="1:2" x14ac:dyDescent="0.25">
      <c r="A2241" t="s">
        <v>46</v>
      </c>
      <c r="B2241">
        <v>2.75</v>
      </c>
    </row>
    <row r="2242" spans="1:2" x14ac:dyDescent="0.25">
      <c r="A2242" t="s">
        <v>46</v>
      </c>
      <c r="B2242">
        <v>4.75</v>
      </c>
    </row>
    <row r="2243" spans="1:2" x14ac:dyDescent="0.25">
      <c r="A2243" t="s">
        <v>46</v>
      </c>
      <c r="B2243">
        <v>3.25</v>
      </c>
    </row>
    <row r="2244" spans="1:2" x14ac:dyDescent="0.25">
      <c r="A2244" t="s">
        <v>46</v>
      </c>
      <c r="B2244">
        <v>3.75</v>
      </c>
    </row>
    <row r="2245" spans="1:2" x14ac:dyDescent="0.25">
      <c r="A2245" t="s">
        <v>46</v>
      </c>
      <c r="B2245">
        <v>2.5</v>
      </c>
    </row>
    <row r="2246" spans="1:2" x14ac:dyDescent="0.25">
      <c r="A2246" t="s">
        <v>46</v>
      </c>
      <c r="B2246">
        <v>2.75</v>
      </c>
    </row>
    <row r="2247" spans="1:2" x14ac:dyDescent="0.25">
      <c r="A2247" t="s">
        <v>46</v>
      </c>
      <c r="B2247">
        <v>3.5</v>
      </c>
    </row>
    <row r="2248" spans="1:2" x14ac:dyDescent="0.25">
      <c r="A2248" t="s">
        <v>46</v>
      </c>
      <c r="B2248">
        <v>1.75</v>
      </c>
    </row>
    <row r="2249" spans="1:2" x14ac:dyDescent="0.25">
      <c r="A2249" t="s">
        <v>46</v>
      </c>
      <c r="B2249">
        <v>3.75</v>
      </c>
    </row>
    <row r="2250" spans="1:2" x14ac:dyDescent="0.25">
      <c r="A2250" t="s">
        <v>46</v>
      </c>
      <c r="B2250">
        <v>3.5</v>
      </c>
    </row>
    <row r="2251" spans="1:2" x14ac:dyDescent="0.25">
      <c r="A2251" t="s">
        <v>46</v>
      </c>
      <c r="B2251">
        <v>3</v>
      </c>
    </row>
    <row r="2252" spans="1:2" x14ac:dyDescent="0.25">
      <c r="A2252" t="s">
        <v>46</v>
      </c>
      <c r="B2252">
        <v>4</v>
      </c>
    </row>
    <row r="2253" spans="1:2" x14ac:dyDescent="0.25">
      <c r="A2253" t="s">
        <v>46</v>
      </c>
      <c r="B2253">
        <v>3.75</v>
      </c>
    </row>
    <row r="2254" spans="1:2" x14ac:dyDescent="0.25">
      <c r="A2254" t="s">
        <v>46</v>
      </c>
      <c r="B2254">
        <v>3.5</v>
      </c>
    </row>
    <row r="2255" spans="1:2" x14ac:dyDescent="0.25">
      <c r="A2255" t="s">
        <v>46</v>
      </c>
      <c r="B2255">
        <v>3</v>
      </c>
    </row>
    <row r="2256" spans="1:2" x14ac:dyDescent="0.25">
      <c r="A2256" t="s">
        <v>46</v>
      </c>
      <c r="B2256">
        <v>4.5</v>
      </c>
    </row>
    <row r="2257" spans="1:2" x14ac:dyDescent="0.25">
      <c r="A2257" t="s">
        <v>46</v>
      </c>
      <c r="B2257">
        <v>3.5</v>
      </c>
    </row>
    <row r="2258" spans="1:2" x14ac:dyDescent="0.25">
      <c r="A2258" t="s">
        <v>46</v>
      </c>
      <c r="B2258">
        <v>3.25</v>
      </c>
    </row>
    <row r="2259" spans="1:2" x14ac:dyDescent="0.25">
      <c r="A2259" t="s">
        <v>46</v>
      </c>
      <c r="B2259">
        <v>3.75</v>
      </c>
    </row>
    <row r="2260" spans="1:2" x14ac:dyDescent="0.25">
      <c r="A2260" t="s">
        <v>46</v>
      </c>
      <c r="B2260">
        <v>2.5</v>
      </c>
    </row>
    <row r="2261" spans="1:2" x14ac:dyDescent="0.25">
      <c r="A2261" t="s">
        <v>46</v>
      </c>
      <c r="B2261">
        <v>4.25</v>
      </c>
    </row>
    <row r="2262" spans="1:2" x14ac:dyDescent="0.25">
      <c r="A2262" t="s">
        <v>46</v>
      </c>
      <c r="B2262">
        <v>3.75</v>
      </c>
    </row>
    <row r="2263" spans="1:2" x14ac:dyDescent="0.25">
      <c r="A2263" t="s">
        <v>46</v>
      </c>
      <c r="B2263">
        <v>3.5</v>
      </c>
    </row>
    <row r="2264" spans="1:2" x14ac:dyDescent="0.25">
      <c r="A2264" t="s">
        <v>46</v>
      </c>
      <c r="B2264">
        <v>2.75</v>
      </c>
    </row>
    <row r="2265" spans="1:2" x14ac:dyDescent="0.25">
      <c r="A2265" t="s">
        <v>46</v>
      </c>
      <c r="B2265">
        <v>2.25</v>
      </c>
    </row>
    <row r="2266" spans="1:2" x14ac:dyDescent="0.25">
      <c r="A2266" t="s">
        <v>46</v>
      </c>
      <c r="B2266">
        <v>2.5</v>
      </c>
    </row>
    <row r="2267" spans="1:2" x14ac:dyDescent="0.25">
      <c r="A2267" t="s">
        <v>46</v>
      </c>
      <c r="B2267">
        <v>3</v>
      </c>
    </row>
    <row r="2268" spans="1:2" x14ac:dyDescent="0.25">
      <c r="A2268" t="s">
        <v>46</v>
      </c>
      <c r="B2268">
        <v>4.25</v>
      </c>
    </row>
    <row r="2269" spans="1:2" x14ac:dyDescent="0.25">
      <c r="A2269" t="s">
        <v>46</v>
      </c>
      <c r="B2269">
        <v>4</v>
      </c>
    </row>
    <row r="2270" spans="1:2" x14ac:dyDescent="0.25">
      <c r="A2270" t="s">
        <v>46</v>
      </c>
      <c r="B2270">
        <v>2.75</v>
      </c>
    </row>
    <row r="2271" spans="1:2" x14ac:dyDescent="0.25">
      <c r="A2271" t="s">
        <v>46</v>
      </c>
      <c r="B2271">
        <v>5</v>
      </c>
    </row>
    <row r="2272" spans="1:2" x14ac:dyDescent="0.25">
      <c r="A2272" t="s">
        <v>46</v>
      </c>
      <c r="B2272">
        <v>2.5</v>
      </c>
    </row>
    <row r="2273" spans="1:2" x14ac:dyDescent="0.25">
      <c r="A2273" t="s">
        <v>46</v>
      </c>
      <c r="B2273">
        <v>3.75</v>
      </c>
    </row>
    <row r="2274" spans="1:2" x14ac:dyDescent="0.25">
      <c r="A2274" t="s">
        <v>46</v>
      </c>
      <c r="B2274">
        <v>3.25</v>
      </c>
    </row>
    <row r="2275" spans="1:2" x14ac:dyDescent="0.25">
      <c r="A2275" t="s">
        <v>46</v>
      </c>
      <c r="B2275">
        <v>3</v>
      </c>
    </row>
    <row r="2276" spans="1:2" x14ac:dyDescent="0.25">
      <c r="A2276" t="s">
        <v>46</v>
      </c>
      <c r="B2276">
        <v>4.5</v>
      </c>
    </row>
    <row r="2277" spans="1:2" x14ac:dyDescent="0.25">
      <c r="A2277" t="s">
        <v>46</v>
      </c>
      <c r="B2277">
        <v>4.25</v>
      </c>
    </row>
    <row r="2278" spans="1:2" x14ac:dyDescent="0.25">
      <c r="A2278" t="s">
        <v>46</v>
      </c>
      <c r="B2278">
        <v>3.5</v>
      </c>
    </row>
    <row r="2279" spans="1:2" x14ac:dyDescent="0.25">
      <c r="A2279" t="s">
        <v>46</v>
      </c>
      <c r="B2279">
        <v>4</v>
      </c>
    </row>
    <row r="2280" spans="1:2" x14ac:dyDescent="0.25">
      <c r="A2280" t="s">
        <v>46</v>
      </c>
      <c r="B2280">
        <v>3</v>
      </c>
    </row>
    <row r="2281" spans="1:2" x14ac:dyDescent="0.25">
      <c r="A2281" t="s">
        <v>46</v>
      </c>
      <c r="B2281">
        <v>1</v>
      </c>
    </row>
    <row r="2282" spans="1:2" x14ac:dyDescent="0.25">
      <c r="A2282" t="s">
        <v>1853</v>
      </c>
      <c r="B2282">
        <v>3.5</v>
      </c>
    </row>
    <row r="2283" spans="1:2" x14ac:dyDescent="0.25">
      <c r="A2283" t="s">
        <v>1853</v>
      </c>
      <c r="B2283">
        <v>3.5</v>
      </c>
    </row>
    <row r="2284" spans="1:2" x14ac:dyDescent="0.25">
      <c r="A2284" t="s">
        <v>1853</v>
      </c>
      <c r="B2284">
        <v>3.5</v>
      </c>
    </row>
    <row r="2285" spans="1:2" x14ac:dyDescent="0.25">
      <c r="A2285" t="s">
        <v>1853</v>
      </c>
      <c r="B2285">
        <v>3.75</v>
      </c>
    </row>
    <row r="2286" spans="1:2" x14ac:dyDescent="0.25">
      <c r="A2286" t="s">
        <v>65</v>
      </c>
      <c r="B2286">
        <v>3.5</v>
      </c>
    </row>
    <row r="2287" spans="1:2" x14ac:dyDescent="0.25">
      <c r="A2287" t="s">
        <v>65</v>
      </c>
      <c r="B2287">
        <v>3.5</v>
      </c>
    </row>
    <row r="2288" spans="1:2" x14ac:dyDescent="0.25">
      <c r="A2288" t="s">
        <v>149</v>
      </c>
      <c r="B2288">
        <v>3.75</v>
      </c>
    </row>
    <row r="2289" spans="1:2" x14ac:dyDescent="0.25">
      <c r="A2289" t="s">
        <v>149</v>
      </c>
      <c r="B2289">
        <v>3.75</v>
      </c>
    </row>
    <row r="2290" spans="1:2" x14ac:dyDescent="0.25">
      <c r="A2290" t="s">
        <v>149</v>
      </c>
      <c r="B2290">
        <v>4.5</v>
      </c>
    </row>
    <row r="2291" spans="1:2" x14ac:dyDescent="0.25">
      <c r="A2291" t="s">
        <v>149</v>
      </c>
      <c r="B2291">
        <v>3.75</v>
      </c>
    </row>
    <row r="2292" spans="1:2" x14ac:dyDescent="0.25">
      <c r="A2292" t="s">
        <v>149</v>
      </c>
      <c r="B2292">
        <v>3.5</v>
      </c>
    </row>
    <row r="2293" spans="1:2" x14ac:dyDescent="0.25">
      <c r="A2293" t="s">
        <v>149</v>
      </c>
      <c r="B2293">
        <v>3.75</v>
      </c>
    </row>
    <row r="2294" spans="1:2" x14ac:dyDescent="0.25">
      <c r="A2294" t="s">
        <v>149</v>
      </c>
      <c r="B2294">
        <v>5</v>
      </c>
    </row>
    <row r="2295" spans="1:2" x14ac:dyDescent="0.25">
      <c r="A2295" t="s">
        <v>149</v>
      </c>
      <c r="B2295">
        <v>3.5</v>
      </c>
    </row>
    <row r="2296" spans="1:2" x14ac:dyDescent="0.25">
      <c r="A2296" t="s">
        <v>149</v>
      </c>
      <c r="B2296">
        <v>3</v>
      </c>
    </row>
    <row r="2297" spans="1:2" x14ac:dyDescent="0.25">
      <c r="A2297" t="s">
        <v>149</v>
      </c>
      <c r="B2297">
        <v>3.75</v>
      </c>
    </row>
    <row r="2298" spans="1:2" x14ac:dyDescent="0.25">
      <c r="A2298" t="s">
        <v>149</v>
      </c>
      <c r="B2298">
        <v>4.5</v>
      </c>
    </row>
    <row r="2299" spans="1:2" x14ac:dyDescent="0.25">
      <c r="A2299" t="s">
        <v>149</v>
      </c>
      <c r="B2299">
        <v>3.5</v>
      </c>
    </row>
    <row r="2300" spans="1:2" x14ac:dyDescent="0.25">
      <c r="A2300" t="s">
        <v>149</v>
      </c>
      <c r="B2300">
        <v>3</v>
      </c>
    </row>
    <row r="2301" spans="1:2" x14ac:dyDescent="0.25">
      <c r="A2301" t="s">
        <v>149</v>
      </c>
      <c r="B2301">
        <v>4</v>
      </c>
    </row>
    <row r="2302" spans="1:2" x14ac:dyDescent="0.25">
      <c r="A2302" t="s">
        <v>149</v>
      </c>
      <c r="B2302">
        <v>3.25</v>
      </c>
    </row>
    <row r="2303" spans="1:2" x14ac:dyDescent="0.25">
      <c r="A2303" t="s">
        <v>149</v>
      </c>
      <c r="B2303">
        <v>3</v>
      </c>
    </row>
    <row r="2304" spans="1:2" x14ac:dyDescent="0.25">
      <c r="A2304" t="s">
        <v>149</v>
      </c>
      <c r="B2304">
        <v>3.5</v>
      </c>
    </row>
    <row r="2305" spans="1:2" x14ac:dyDescent="0.25">
      <c r="A2305" t="s">
        <v>149</v>
      </c>
      <c r="B2305">
        <v>4.25</v>
      </c>
    </row>
    <row r="2306" spans="1:2" x14ac:dyDescent="0.25">
      <c r="A2306" t="s">
        <v>149</v>
      </c>
      <c r="B2306">
        <v>3.75</v>
      </c>
    </row>
    <row r="2307" spans="1:2" x14ac:dyDescent="0.25">
      <c r="A2307" t="s">
        <v>149</v>
      </c>
      <c r="B2307">
        <v>3</v>
      </c>
    </row>
    <row r="2308" spans="1:2" x14ac:dyDescent="0.25">
      <c r="A2308" t="s">
        <v>149</v>
      </c>
      <c r="B2308">
        <v>3.5</v>
      </c>
    </row>
    <row r="2309" spans="1:2" x14ac:dyDescent="0.25">
      <c r="A2309" t="s">
        <v>149</v>
      </c>
      <c r="B2309">
        <v>3.5</v>
      </c>
    </row>
    <row r="2310" spans="1:2" x14ac:dyDescent="0.25">
      <c r="A2310" t="s">
        <v>149</v>
      </c>
      <c r="B2310">
        <v>3.25</v>
      </c>
    </row>
    <row r="2311" spans="1:2" x14ac:dyDescent="0.25">
      <c r="A2311" t="s">
        <v>149</v>
      </c>
      <c r="B2311">
        <v>3.5</v>
      </c>
    </row>
    <row r="2312" spans="1:2" x14ac:dyDescent="0.25">
      <c r="A2312" t="s">
        <v>149</v>
      </c>
      <c r="B2312">
        <v>3</v>
      </c>
    </row>
    <row r="2313" spans="1:2" x14ac:dyDescent="0.25">
      <c r="A2313" t="s">
        <v>149</v>
      </c>
      <c r="B2313">
        <v>3.75</v>
      </c>
    </row>
    <row r="2314" spans="1:2" x14ac:dyDescent="0.25">
      <c r="A2314" t="s">
        <v>149</v>
      </c>
      <c r="B2314">
        <v>3.75</v>
      </c>
    </row>
    <row r="2315" spans="1:2" x14ac:dyDescent="0.25">
      <c r="A2315" t="s">
        <v>857</v>
      </c>
      <c r="B2315">
        <v>3.5</v>
      </c>
    </row>
    <row r="2316" spans="1:2" x14ac:dyDescent="0.25">
      <c r="A2316" t="s">
        <v>857</v>
      </c>
      <c r="B2316">
        <v>3.75</v>
      </c>
    </row>
    <row r="2317" spans="1:2" x14ac:dyDescent="0.25">
      <c r="A2317" t="s">
        <v>857</v>
      </c>
      <c r="B2317">
        <v>3.5</v>
      </c>
    </row>
    <row r="2318" spans="1:2" x14ac:dyDescent="0.25">
      <c r="A2318" t="s">
        <v>280</v>
      </c>
      <c r="B2318">
        <v>3.25</v>
      </c>
    </row>
    <row r="2319" spans="1:2" x14ac:dyDescent="0.25">
      <c r="A2319" t="s">
        <v>280</v>
      </c>
      <c r="B2319">
        <v>4</v>
      </c>
    </row>
    <row r="2320" spans="1:2" x14ac:dyDescent="0.25">
      <c r="A2320" t="s">
        <v>280</v>
      </c>
      <c r="B2320">
        <v>4.25</v>
      </c>
    </row>
    <row r="2321" spans="1:2" x14ac:dyDescent="0.25">
      <c r="A2321" t="s">
        <v>280</v>
      </c>
      <c r="B2321">
        <v>4</v>
      </c>
    </row>
    <row r="2322" spans="1:2" x14ac:dyDescent="0.25">
      <c r="A2322" t="s">
        <v>1764</v>
      </c>
      <c r="B2322">
        <v>3.75</v>
      </c>
    </row>
    <row r="2323" spans="1:2" x14ac:dyDescent="0.25">
      <c r="A2323" t="s">
        <v>1764</v>
      </c>
      <c r="B2323">
        <v>3.25</v>
      </c>
    </row>
    <row r="2324" spans="1:2" x14ac:dyDescent="0.25">
      <c r="A2324" t="s">
        <v>2088</v>
      </c>
      <c r="B2324">
        <v>3.75</v>
      </c>
    </row>
    <row r="2325" spans="1:2" x14ac:dyDescent="0.25">
      <c r="A2325" t="s">
        <v>2088</v>
      </c>
      <c r="B2325">
        <v>3.25</v>
      </c>
    </row>
    <row r="2326" spans="1:2" x14ac:dyDescent="0.25">
      <c r="A2326" t="s">
        <v>2088</v>
      </c>
      <c r="B2326">
        <v>3.75</v>
      </c>
    </row>
    <row r="2327" spans="1:2" x14ac:dyDescent="0.25">
      <c r="A2327" t="s">
        <v>1399</v>
      </c>
      <c r="B2327">
        <v>3.5</v>
      </c>
    </row>
    <row r="2328" spans="1:2" x14ac:dyDescent="0.25">
      <c r="A2328" t="s">
        <v>1399</v>
      </c>
      <c r="B2328">
        <v>3</v>
      </c>
    </row>
    <row r="2329" spans="1:2" x14ac:dyDescent="0.25">
      <c r="A2329" t="s">
        <v>1399</v>
      </c>
      <c r="B2329">
        <v>2.75</v>
      </c>
    </row>
    <row r="2330" spans="1:2" x14ac:dyDescent="0.25">
      <c r="A2330" t="s">
        <v>1399</v>
      </c>
      <c r="B2330">
        <v>3.25</v>
      </c>
    </row>
    <row r="2331" spans="1:2" x14ac:dyDescent="0.25">
      <c r="A2331" t="s">
        <v>1399</v>
      </c>
      <c r="B2331">
        <v>3.5</v>
      </c>
    </row>
    <row r="2332" spans="1:2" x14ac:dyDescent="0.25">
      <c r="A2332" t="s">
        <v>1399</v>
      </c>
      <c r="B2332">
        <v>3.75</v>
      </c>
    </row>
    <row r="2333" spans="1:2" x14ac:dyDescent="0.25">
      <c r="A2333" t="s">
        <v>79</v>
      </c>
      <c r="B2333">
        <v>5</v>
      </c>
    </row>
    <row r="2334" spans="1:2" x14ac:dyDescent="0.25">
      <c r="A2334" t="s">
        <v>79</v>
      </c>
      <c r="B2334">
        <v>4</v>
      </c>
    </row>
    <row r="2335" spans="1:2" x14ac:dyDescent="0.25">
      <c r="A2335" t="s">
        <v>79</v>
      </c>
      <c r="B2335">
        <v>4.25</v>
      </c>
    </row>
    <row r="2336" spans="1:2" x14ac:dyDescent="0.25">
      <c r="A2336" t="s">
        <v>79</v>
      </c>
      <c r="B2336">
        <v>0</v>
      </c>
    </row>
    <row r="2337" spans="1:2" x14ac:dyDescent="0.25">
      <c r="A2337" t="s">
        <v>79</v>
      </c>
      <c r="B2337">
        <v>3.75</v>
      </c>
    </row>
    <row r="2338" spans="1:2" x14ac:dyDescent="0.25">
      <c r="A2338" t="s">
        <v>79</v>
      </c>
      <c r="B2338">
        <v>4.5</v>
      </c>
    </row>
    <row r="2339" spans="1:2" x14ac:dyDescent="0.25">
      <c r="A2339" t="s">
        <v>79</v>
      </c>
      <c r="B2339">
        <v>3.75</v>
      </c>
    </row>
    <row r="2340" spans="1:2" x14ac:dyDescent="0.25">
      <c r="A2340" t="s">
        <v>79</v>
      </c>
      <c r="B2340">
        <v>4.25</v>
      </c>
    </row>
    <row r="2341" spans="1:2" x14ac:dyDescent="0.25">
      <c r="A2341" t="s">
        <v>79</v>
      </c>
      <c r="B2341">
        <v>0.25</v>
      </c>
    </row>
    <row r="2342" spans="1:2" x14ac:dyDescent="0.25">
      <c r="A2342" t="s">
        <v>79</v>
      </c>
      <c r="B2342">
        <v>5</v>
      </c>
    </row>
    <row r="2343" spans="1:2" x14ac:dyDescent="0.25">
      <c r="A2343" t="s">
        <v>79</v>
      </c>
      <c r="B2343">
        <v>1</v>
      </c>
    </row>
    <row r="2344" spans="1:2" x14ac:dyDescent="0.25">
      <c r="A2344" t="s">
        <v>79</v>
      </c>
      <c r="B2344">
        <v>4.25</v>
      </c>
    </row>
    <row r="2345" spans="1:2" x14ac:dyDescent="0.25">
      <c r="A2345" t="s">
        <v>79</v>
      </c>
      <c r="B2345">
        <v>4.25</v>
      </c>
    </row>
    <row r="2346" spans="1:2" x14ac:dyDescent="0.25">
      <c r="A2346" t="s">
        <v>79</v>
      </c>
      <c r="B2346">
        <v>4.25</v>
      </c>
    </row>
    <row r="2347" spans="1:2" x14ac:dyDescent="0.25">
      <c r="A2347" t="s">
        <v>79</v>
      </c>
      <c r="B2347">
        <v>4</v>
      </c>
    </row>
    <row r="2348" spans="1:2" x14ac:dyDescent="0.25">
      <c r="A2348" t="s">
        <v>79</v>
      </c>
      <c r="B2348">
        <v>4</v>
      </c>
    </row>
    <row r="2349" spans="1:2" x14ac:dyDescent="0.25">
      <c r="A2349" t="s">
        <v>79</v>
      </c>
      <c r="B2349">
        <v>4</v>
      </c>
    </row>
    <row r="2350" spans="1:2" x14ac:dyDescent="0.25">
      <c r="A2350" t="s">
        <v>79</v>
      </c>
      <c r="B2350">
        <v>3</v>
      </c>
    </row>
    <row r="2351" spans="1:2" x14ac:dyDescent="0.25">
      <c r="A2351" t="s">
        <v>79</v>
      </c>
      <c r="B2351">
        <v>3</v>
      </c>
    </row>
    <row r="2352" spans="1:2" x14ac:dyDescent="0.25">
      <c r="A2352" t="s">
        <v>79</v>
      </c>
      <c r="B2352">
        <v>4</v>
      </c>
    </row>
    <row r="2353" spans="1:2" x14ac:dyDescent="0.25">
      <c r="A2353" t="s">
        <v>79</v>
      </c>
      <c r="B2353">
        <v>5</v>
      </c>
    </row>
    <row r="2354" spans="1:2" x14ac:dyDescent="0.25">
      <c r="A2354" t="s">
        <v>79</v>
      </c>
      <c r="B2354">
        <v>0</v>
      </c>
    </row>
    <row r="2355" spans="1:2" x14ac:dyDescent="0.25">
      <c r="A2355" t="s">
        <v>79</v>
      </c>
      <c r="B2355">
        <v>4</v>
      </c>
    </row>
    <row r="2356" spans="1:2" x14ac:dyDescent="0.25">
      <c r="A2356" t="s">
        <v>79</v>
      </c>
      <c r="B2356">
        <v>4</v>
      </c>
    </row>
    <row r="2357" spans="1:2" x14ac:dyDescent="0.25">
      <c r="A2357" t="s">
        <v>79</v>
      </c>
      <c r="B2357">
        <v>5</v>
      </c>
    </row>
    <row r="2358" spans="1:2" x14ac:dyDescent="0.25">
      <c r="A2358" t="s">
        <v>79</v>
      </c>
      <c r="B2358">
        <v>4</v>
      </c>
    </row>
    <row r="2359" spans="1:2" x14ac:dyDescent="0.25">
      <c r="A2359" t="s">
        <v>79</v>
      </c>
      <c r="B2359">
        <v>4</v>
      </c>
    </row>
    <row r="2360" spans="1:2" x14ac:dyDescent="0.25">
      <c r="A2360" t="s">
        <v>79</v>
      </c>
      <c r="B2360">
        <v>4</v>
      </c>
    </row>
    <row r="2361" spans="1:2" x14ac:dyDescent="0.25">
      <c r="A2361" t="s">
        <v>79</v>
      </c>
      <c r="B2361">
        <v>4</v>
      </c>
    </row>
    <row r="2362" spans="1:2" x14ac:dyDescent="0.25">
      <c r="A2362" t="s">
        <v>79</v>
      </c>
      <c r="B2362">
        <v>3.5</v>
      </c>
    </row>
    <row r="2363" spans="1:2" x14ac:dyDescent="0.25">
      <c r="A2363" t="s">
        <v>79</v>
      </c>
      <c r="B2363">
        <v>4.5</v>
      </c>
    </row>
    <row r="2364" spans="1:2" x14ac:dyDescent="0.25">
      <c r="A2364" t="s">
        <v>79</v>
      </c>
      <c r="B2364">
        <v>3.5</v>
      </c>
    </row>
    <row r="2365" spans="1:2" x14ac:dyDescent="0.25">
      <c r="A2365" t="s">
        <v>79</v>
      </c>
      <c r="B2365">
        <v>3.5</v>
      </c>
    </row>
    <row r="2366" spans="1:2" x14ac:dyDescent="0.25">
      <c r="A2366" t="s">
        <v>79</v>
      </c>
      <c r="B2366">
        <v>4</v>
      </c>
    </row>
    <row r="2367" spans="1:2" x14ac:dyDescent="0.25">
      <c r="A2367" t="s">
        <v>79</v>
      </c>
      <c r="B2367">
        <v>1.5</v>
      </c>
    </row>
    <row r="2368" spans="1:2" x14ac:dyDescent="0.25">
      <c r="A2368" t="s">
        <v>79</v>
      </c>
      <c r="B2368">
        <v>3.5</v>
      </c>
    </row>
    <row r="2369" spans="1:2" x14ac:dyDescent="0.25">
      <c r="A2369" t="s">
        <v>79</v>
      </c>
      <c r="B2369">
        <v>3</v>
      </c>
    </row>
    <row r="2370" spans="1:2" x14ac:dyDescent="0.25">
      <c r="A2370" t="s">
        <v>79</v>
      </c>
      <c r="B2370">
        <v>0</v>
      </c>
    </row>
    <row r="2371" spans="1:2" x14ac:dyDescent="0.25">
      <c r="A2371" t="s">
        <v>79</v>
      </c>
      <c r="B2371">
        <v>4.5</v>
      </c>
    </row>
    <row r="2372" spans="1:2" x14ac:dyDescent="0.25">
      <c r="A2372" t="s">
        <v>79</v>
      </c>
      <c r="B2372">
        <v>4.25</v>
      </c>
    </row>
    <row r="2373" spans="1:2" x14ac:dyDescent="0.25">
      <c r="A2373" t="s">
        <v>79</v>
      </c>
      <c r="B2373">
        <v>3.75</v>
      </c>
    </row>
    <row r="2374" spans="1:2" x14ac:dyDescent="0.25">
      <c r="A2374" t="s">
        <v>79</v>
      </c>
      <c r="B2374">
        <v>5</v>
      </c>
    </row>
    <row r="2375" spans="1:2" x14ac:dyDescent="0.25">
      <c r="A2375" t="s">
        <v>79</v>
      </c>
      <c r="B2375">
        <v>3.5</v>
      </c>
    </row>
    <row r="2376" spans="1:2" x14ac:dyDescent="0.25">
      <c r="A2376" t="s">
        <v>79</v>
      </c>
      <c r="B2376">
        <v>5</v>
      </c>
    </row>
    <row r="2377" spans="1:2" x14ac:dyDescent="0.25">
      <c r="A2377" t="s">
        <v>79</v>
      </c>
      <c r="B2377">
        <v>4.25</v>
      </c>
    </row>
    <row r="2378" spans="1:2" x14ac:dyDescent="0.25">
      <c r="A2378" t="s">
        <v>79</v>
      </c>
      <c r="B2378">
        <v>5</v>
      </c>
    </row>
    <row r="2379" spans="1:2" x14ac:dyDescent="0.25">
      <c r="A2379" t="s">
        <v>79</v>
      </c>
      <c r="B2379">
        <v>4</v>
      </c>
    </row>
    <row r="2380" spans="1:2" x14ac:dyDescent="0.25">
      <c r="A2380" t="s">
        <v>79</v>
      </c>
      <c r="B2380">
        <v>5</v>
      </c>
    </row>
    <row r="2381" spans="1:2" x14ac:dyDescent="0.25">
      <c r="A2381" t="s">
        <v>79</v>
      </c>
      <c r="B2381">
        <v>3.5</v>
      </c>
    </row>
    <row r="2382" spans="1:2" x14ac:dyDescent="0.25">
      <c r="A2382" t="s">
        <v>79</v>
      </c>
      <c r="B2382">
        <v>4.5</v>
      </c>
    </row>
    <row r="2383" spans="1:2" x14ac:dyDescent="0.25">
      <c r="A2383" t="s">
        <v>79</v>
      </c>
      <c r="B2383">
        <v>4.25</v>
      </c>
    </row>
    <row r="2384" spans="1:2" x14ac:dyDescent="0.25">
      <c r="A2384" t="s">
        <v>79</v>
      </c>
      <c r="B2384">
        <v>4</v>
      </c>
    </row>
    <row r="2385" spans="1:2" x14ac:dyDescent="0.25">
      <c r="A2385" t="s">
        <v>79</v>
      </c>
      <c r="B2385">
        <v>3.75</v>
      </c>
    </row>
    <row r="2386" spans="1:2" x14ac:dyDescent="0.25">
      <c r="A2386" t="s">
        <v>79</v>
      </c>
      <c r="B2386">
        <v>3.75</v>
      </c>
    </row>
    <row r="2387" spans="1:2" x14ac:dyDescent="0.25">
      <c r="A2387" t="s">
        <v>79</v>
      </c>
      <c r="B2387">
        <v>3.75</v>
      </c>
    </row>
    <row r="2388" spans="1:2" x14ac:dyDescent="0.25">
      <c r="A2388" t="s">
        <v>79</v>
      </c>
      <c r="B2388">
        <v>4</v>
      </c>
    </row>
    <row r="2389" spans="1:2" x14ac:dyDescent="0.25">
      <c r="A2389" t="s">
        <v>79</v>
      </c>
      <c r="B2389">
        <v>3.75</v>
      </c>
    </row>
    <row r="2390" spans="1:2" x14ac:dyDescent="0.25">
      <c r="A2390" t="s">
        <v>79</v>
      </c>
      <c r="B2390">
        <v>3.75</v>
      </c>
    </row>
    <row r="2391" spans="1:2" x14ac:dyDescent="0.25">
      <c r="A2391" t="s">
        <v>79</v>
      </c>
      <c r="B2391">
        <v>3.5</v>
      </c>
    </row>
    <row r="2392" spans="1:2" x14ac:dyDescent="0.25">
      <c r="A2392" t="s">
        <v>79</v>
      </c>
      <c r="B2392">
        <v>4</v>
      </c>
    </row>
    <row r="2393" spans="1:2" x14ac:dyDescent="0.25">
      <c r="A2393" t="s">
        <v>79</v>
      </c>
      <c r="B2393">
        <v>4.5</v>
      </c>
    </row>
    <row r="2394" spans="1:2" x14ac:dyDescent="0.25">
      <c r="A2394" t="s">
        <v>79</v>
      </c>
      <c r="B2394">
        <v>5</v>
      </c>
    </row>
    <row r="2395" spans="1:2" x14ac:dyDescent="0.25">
      <c r="A2395" t="s">
        <v>79</v>
      </c>
      <c r="B2395">
        <v>4</v>
      </c>
    </row>
    <row r="2396" spans="1:2" x14ac:dyDescent="0.25">
      <c r="A2396" t="s">
        <v>79</v>
      </c>
      <c r="B2396">
        <v>3.75</v>
      </c>
    </row>
    <row r="2397" spans="1:2" x14ac:dyDescent="0.25">
      <c r="A2397" t="s">
        <v>79</v>
      </c>
      <c r="B2397">
        <v>4.5</v>
      </c>
    </row>
    <row r="2398" spans="1:2" x14ac:dyDescent="0.25">
      <c r="A2398" t="s">
        <v>79</v>
      </c>
      <c r="B2398">
        <v>3.75</v>
      </c>
    </row>
    <row r="2399" spans="1:2" x14ac:dyDescent="0.25">
      <c r="A2399" t="s">
        <v>79</v>
      </c>
      <c r="B2399">
        <v>3</v>
      </c>
    </row>
    <row r="2400" spans="1:2" x14ac:dyDescent="0.25">
      <c r="A2400" t="s">
        <v>79</v>
      </c>
      <c r="B2400">
        <v>4.25</v>
      </c>
    </row>
    <row r="2401" spans="1:2" x14ac:dyDescent="0.25">
      <c r="A2401" t="s">
        <v>79</v>
      </c>
      <c r="B2401">
        <v>2.5</v>
      </c>
    </row>
    <row r="2402" spans="1:2" x14ac:dyDescent="0.25">
      <c r="A2402" t="s">
        <v>79</v>
      </c>
      <c r="B2402">
        <v>3</v>
      </c>
    </row>
    <row r="2403" spans="1:2" x14ac:dyDescent="0.25">
      <c r="A2403" t="s">
        <v>79</v>
      </c>
      <c r="B2403">
        <v>3.5</v>
      </c>
    </row>
    <row r="2404" spans="1:2" x14ac:dyDescent="0.25">
      <c r="A2404" t="s">
        <v>79</v>
      </c>
      <c r="B2404">
        <v>4</v>
      </c>
    </row>
    <row r="2405" spans="1:2" x14ac:dyDescent="0.25">
      <c r="A2405" t="s">
        <v>79</v>
      </c>
      <c r="B2405">
        <v>5</v>
      </c>
    </row>
    <row r="2406" spans="1:2" x14ac:dyDescent="0.25">
      <c r="A2406" t="s">
        <v>79</v>
      </c>
      <c r="B2406">
        <v>3.75</v>
      </c>
    </row>
    <row r="2407" spans="1:2" x14ac:dyDescent="0.25">
      <c r="A2407" t="s">
        <v>79</v>
      </c>
      <c r="B2407">
        <v>4</v>
      </c>
    </row>
    <row r="2408" spans="1:2" x14ac:dyDescent="0.25">
      <c r="A2408" t="s">
        <v>79</v>
      </c>
      <c r="B2408">
        <v>4.25</v>
      </c>
    </row>
    <row r="2409" spans="1:2" x14ac:dyDescent="0.25">
      <c r="A2409" t="s">
        <v>79</v>
      </c>
      <c r="B2409">
        <v>4.25</v>
      </c>
    </row>
    <row r="2410" spans="1:2" x14ac:dyDescent="0.25">
      <c r="A2410" t="s">
        <v>79</v>
      </c>
      <c r="B2410">
        <v>4</v>
      </c>
    </row>
    <row r="2411" spans="1:2" x14ac:dyDescent="0.25">
      <c r="A2411" t="s">
        <v>79</v>
      </c>
      <c r="B2411">
        <v>4.5</v>
      </c>
    </row>
    <row r="2412" spans="1:2" x14ac:dyDescent="0.25">
      <c r="A2412" t="s">
        <v>79</v>
      </c>
      <c r="B2412">
        <v>3.5</v>
      </c>
    </row>
    <row r="2413" spans="1:2" x14ac:dyDescent="0.25">
      <c r="A2413" t="s">
        <v>79</v>
      </c>
      <c r="B2413">
        <v>3.5</v>
      </c>
    </row>
    <row r="2414" spans="1:2" x14ac:dyDescent="0.25">
      <c r="A2414" t="s">
        <v>79</v>
      </c>
      <c r="B2414">
        <v>2.75</v>
      </c>
    </row>
    <row r="2415" spans="1:2" x14ac:dyDescent="0.25">
      <c r="A2415" t="s">
        <v>79</v>
      </c>
      <c r="B2415">
        <v>3.5</v>
      </c>
    </row>
    <row r="2416" spans="1:2" x14ac:dyDescent="0.25">
      <c r="A2416" t="s">
        <v>79</v>
      </c>
      <c r="B2416">
        <v>1.75</v>
      </c>
    </row>
    <row r="2417" spans="1:2" x14ac:dyDescent="0.25">
      <c r="A2417" t="s">
        <v>79</v>
      </c>
      <c r="B2417">
        <v>3</v>
      </c>
    </row>
    <row r="2418" spans="1:2" x14ac:dyDescent="0.25">
      <c r="A2418" t="s">
        <v>79</v>
      </c>
      <c r="B2418">
        <v>2</v>
      </c>
    </row>
    <row r="2419" spans="1:2" x14ac:dyDescent="0.25">
      <c r="A2419" t="s">
        <v>79</v>
      </c>
      <c r="B2419">
        <v>4</v>
      </c>
    </row>
    <row r="2420" spans="1:2" x14ac:dyDescent="0.25">
      <c r="A2420" t="s">
        <v>79</v>
      </c>
      <c r="B2420">
        <v>3.75</v>
      </c>
    </row>
    <row r="2421" spans="1:2" x14ac:dyDescent="0.25">
      <c r="A2421" t="s">
        <v>79</v>
      </c>
      <c r="B2421">
        <v>3.75</v>
      </c>
    </row>
    <row r="2422" spans="1:2" x14ac:dyDescent="0.25">
      <c r="A2422" t="s">
        <v>79</v>
      </c>
      <c r="B2422">
        <v>3.75</v>
      </c>
    </row>
    <row r="2423" spans="1:2" x14ac:dyDescent="0.25">
      <c r="A2423" t="s">
        <v>79</v>
      </c>
      <c r="B2423">
        <v>0.5</v>
      </c>
    </row>
    <row r="2424" spans="1:2" x14ac:dyDescent="0.25">
      <c r="A2424" t="s">
        <v>79</v>
      </c>
      <c r="B2424">
        <v>3.5</v>
      </c>
    </row>
    <row r="2425" spans="1:2" x14ac:dyDescent="0.25">
      <c r="A2425" t="s">
        <v>79</v>
      </c>
      <c r="B2425">
        <v>3</v>
      </c>
    </row>
    <row r="2426" spans="1:2" x14ac:dyDescent="0.25">
      <c r="A2426" t="s">
        <v>79</v>
      </c>
      <c r="B2426">
        <v>3.25</v>
      </c>
    </row>
    <row r="2427" spans="1:2" x14ac:dyDescent="0.25">
      <c r="A2427" t="s">
        <v>79</v>
      </c>
      <c r="B2427">
        <v>3.5</v>
      </c>
    </row>
    <row r="2428" spans="1:2" x14ac:dyDescent="0.25">
      <c r="A2428" t="s">
        <v>79</v>
      </c>
      <c r="B2428">
        <v>3.75</v>
      </c>
    </row>
    <row r="2429" spans="1:2" x14ac:dyDescent="0.25">
      <c r="A2429" t="s">
        <v>79</v>
      </c>
      <c r="B2429">
        <v>3.25</v>
      </c>
    </row>
    <row r="2430" spans="1:2" x14ac:dyDescent="0.25">
      <c r="A2430" t="s">
        <v>79</v>
      </c>
      <c r="B2430">
        <v>3.5</v>
      </c>
    </row>
    <row r="2431" spans="1:2" x14ac:dyDescent="0.25">
      <c r="A2431" t="s">
        <v>79</v>
      </c>
      <c r="B2431">
        <v>3.25</v>
      </c>
    </row>
    <row r="2432" spans="1:2" x14ac:dyDescent="0.25">
      <c r="A2432" t="s">
        <v>79</v>
      </c>
      <c r="B2432">
        <v>3</v>
      </c>
    </row>
    <row r="2433" spans="1:2" x14ac:dyDescent="0.25">
      <c r="A2433" t="s">
        <v>79</v>
      </c>
      <c r="B2433">
        <v>5</v>
      </c>
    </row>
    <row r="2434" spans="1:2" x14ac:dyDescent="0.25">
      <c r="A2434" t="s">
        <v>79</v>
      </c>
      <c r="B2434">
        <v>3.5</v>
      </c>
    </row>
    <row r="2435" spans="1:2" x14ac:dyDescent="0.25">
      <c r="A2435" t="s">
        <v>79</v>
      </c>
      <c r="B2435">
        <v>3.75</v>
      </c>
    </row>
    <row r="2436" spans="1:2" x14ac:dyDescent="0.25">
      <c r="A2436" t="s">
        <v>79</v>
      </c>
      <c r="B2436">
        <v>2.75</v>
      </c>
    </row>
    <row r="2437" spans="1:2" x14ac:dyDescent="0.25">
      <c r="A2437" t="s">
        <v>79</v>
      </c>
      <c r="B2437">
        <v>3</v>
      </c>
    </row>
    <row r="2438" spans="1:2" x14ac:dyDescent="0.25">
      <c r="A2438" t="s">
        <v>79</v>
      </c>
      <c r="B2438">
        <v>3.25</v>
      </c>
    </row>
    <row r="2439" spans="1:2" x14ac:dyDescent="0.25">
      <c r="A2439" t="s">
        <v>79</v>
      </c>
      <c r="B2439">
        <v>3.75</v>
      </c>
    </row>
    <row r="2440" spans="1:2" x14ac:dyDescent="0.25">
      <c r="A2440" t="s">
        <v>79</v>
      </c>
      <c r="B2440">
        <v>4</v>
      </c>
    </row>
    <row r="2441" spans="1:2" x14ac:dyDescent="0.25">
      <c r="A2441" t="s">
        <v>79</v>
      </c>
      <c r="B2441">
        <v>1.5</v>
      </c>
    </row>
    <row r="2442" spans="1:2" x14ac:dyDescent="0.25">
      <c r="A2442" t="s">
        <v>79</v>
      </c>
      <c r="B2442">
        <v>2.75</v>
      </c>
    </row>
    <row r="2443" spans="1:2" x14ac:dyDescent="0.25">
      <c r="A2443" t="s">
        <v>79</v>
      </c>
      <c r="B2443">
        <v>4</v>
      </c>
    </row>
    <row r="2444" spans="1:2" x14ac:dyDescent="0.25">
      <c r="A2444" t="s">
        <v>79</v>
      </c>
      <c r="B2444">
        <v>4</v>
      </c>
    </row>
    <row r="2445" spans="1:2" x14ac:dyDescent="0.25">
      <c r="A2445" t="s">
        <v>79</v>
      </c>
      <c r="B2445">
        <v>2.75</v>
      </c>
    </row>
    <row r="2446" spans="1:2" x14ac:dyDescent="0.25">
      <c r="A2446" t="s">
        <v>79</v>
      </c>
      <c r="B2446">
        <v>3.5</v>
      </c>
    </row>
    <row r="2447" spans="1:2" x14ac:dyDescent="0.25">
      <c r="A2447" t="s">
        <v>79</v>
      </c>
      <c r="B2447">
        <v>3.5</v>
      </c>
    </row>
    <row r="2448" spans="1:2" x14ac:dyDescent="0.25">
      <c r="A2448" t="s">
        <v>79</v>
      </c>
      <c r="B2448">
        <v>3.5</v>
      </c>
    </row>
    <row r="2449" spans="1:2" x14ac:dyDescent="0.25">
      <c r="A2449" t="s">
        <v>79</v>
      </c>
      <c r="B2449">
        <v>3.75</v>
      </c>
    </row>
    <row r="2450" spans="1:2" x14ac:dyDescent="0.25">
      <c r="A2450" t="s">
        <v>79</v>
      </c>
      <c r="B2450">
        <v>3.75</v>
      </c>
    </row>
    <row r="2451" spans="1:2" x14ac:dyDescent="0.25">
      <c r="A2451" t="s">
        <v>79</v>
      </c>
      <c r="B2451">
        <v>3.75</v>
      </c>
    </row>
    <row r="2452" spans="1:2" x14ac:dyDescent="0.25">
      <c r="A2452" t="s">
        <v>79</v>
      </c>
      <c r="B2452">
        <v>5</v>
      </c>
    </row>
    <row r="2453" spans="1:2" x14ac:dyDescent="0.25">
      <c r="A2453" t="s">
        <v>79</v>
      </c>
      <c r="B2453">
        <v>3.25</v>
      </c>
    </row>
    <row r="2454" spans="1:2" x14ac:dyDescent="0.25">
      <c r="A2454" t="s">
        <v>79</v>
      </c>
      <c r="B2454">
        <v>3.75</v>
      </c>
    </row>
    <row r="2455" spans="1:2" x14ac:dyDescent="0.25">
      <c r="A2455" t="s">
        <v>79</v>
      </c>
      <c r="B2455">
        <v>4</v>
      </c>
    </row>
    <row r="2456" spans="1:2" x14ac:dyDescent="0.25">
      <c r="A2456" t="s">
        <v>79</v>
      </c>
      <c r="B2456">
        <v>3</v>
      </c>
    </row>
    <row r="2457" spans="1:2" x14ac:dyDescent="0.25">
      <c r="A2457" t="s">
        <v>79</v>
      </c>
      <c r="B2457">
        <v>2.75</v>
      </c>
    </row>
    <row r="2458" spans="1:2" x14ac:dyDescent="0.25">
      <c r="A2458" t="s">
        <v>79</v>
      </c>
      <c r="B2458">
        <v>3.25</v>
      </c>
    </row>
    <row r="2459" spans="1:2" x14ac:dyDescent="0.25">
      <c r="A2459" t="s">
        <v>79</v>
      </c>
      <c r="B2459">
        <v>3</v>
      </c>
    </row>
    <row r="2460" spans="1:2" x14ac:dyDescent="0.25">
      <c r="A2460" t="s">
        <v>79</v>
      </c>
      <c r="B2460">
        <v>3.25</v>
      </c>
    </row>
    <row r="2461" spans="1:2" x14ac:dyDescent="0.25">
      <c r="A2461" t="s">
        <v>79</v>
      </c>
      <c r="B2461">
        <v>1.25</v>
      </c>
    </row>
    <row r="2462" spans="1:2" x14ac:dyDescent="0.25">
      <c r="A2462" t="s">
        <v>79</v>
      </c>
      <c r="B2462">
        <v>3.5</v>
      </c>
    </row>
    <row r="2463" spans="1:2" x14ac:dyDescent="0.25">
      <c r="A2463" t="s">
        <v>79</v>
      </c>
      <c r="B2463">
        <v>3.5</v>
      </c>
    </row>
    <row r="2464" spans="1:2" x14ac:dyDescent="0.25">
      <c r="A2464" t="s">
        <v>79</v>
      </c>
      <c r="B2464">
        <v>2.25</v>
      </c>
    </row>
    <row r="2465" spans="1:2" x14ac:dyDescent="0.25">
      <c r="A2465" t="s">
        <v>79</v>
      </c>
      <c r="B2465">
        <v>3.75</v>
      </c>
    </row>
    <row r="2466" spans="1:2" x14ac:dyDescent="0.25">
      <c r="A2466" t="s">
        <v>79</v>
      </c>
      <c r="B2466">
        <v>4.5</v>
      </c>
    </row>
    <row r="2467" spans="1:2" x14ac:dyDescent="0.25">
      <c r="A2467" t="s">
        <v>79</v>
      </c>
      <c r="B2467">
        <v>3.75</v>
      </c>
    </row>
    <row r="2468" spans="1:2" x14ac:dyDescent="0.25">
      <c r="A2468" t="s">
        <v>79</v>
      </c>
      <c r="B2468">
        <v>4</v>
      </c>
    </row>
    <row r="2469" spans="1:2" x14ac:dyDescent="0.25">
      <c r="A2469" t="s">
        <v>79</v>
      </c>
      <c r="B2469">
        <v>4</v>
      </c>
    </row>
    <row r="2470" spans="1:2" x14ac:dyDescent="0.25">
      <c r="A2470" t="s">
        <v>79</v>
      </c>
      <c r="B2470">
        <v>4.25</v>
      </c>
    </row>
    <row r="2471" spans="1:2" x14ac:dyDescent="0.25">
      <c r="A2471" t="s">
        <v>79</v>
      </c>
      <c r="B2471">
        <v>0.5</v>
      </c>
    </row>
    <row r="2472" spans="1:2" x14ac:dyDescent="0.25">
      <c r="A2472" t="s">
        <v>79</v>
      </c>
      <c r="B2472">
        <v>4.25</v>
      </c>
    </row>
    <row r="2473" spans="1:2" x14ac:dyDescent="0.25">
      <c r="A2473" t="s">
        <v>79</v>
      </c>
      <c r="B2473">
        <v>3.75</v>
      </c>
    </row>
    <row r="2474" spans="1:2" x14ac:dyDescent="0.25">
      <c r="A2474" t="s">
        <v>79</v>
      </c>
      <c r="B2474">
        <v>0</v>
      </c>
    </row>
    <row r="2475" spans="1:2" x14ac:dyDescent="0.25">
      <c r="A2475" t="s">
        <v>79</v>
      </c>
      <c r="B2475">
        <v>0</v>
      </c>
    </row>
    <row r="2476" spans="1:2" x14ac:dyDescent="0.25">
      <c r="A2476" t="s">
        <v>79</v>
      </c>
      <c r="B2476">
        <v>1.75</v>
      </c>
    </row>
    <row r="2477" spans="1:2" x14ac:dyDescent="0.25">
      <c r="A2477" t="s">
        <v>79</v>
      </c>
      <c r="B2477">
        <v>1.5</v>
      </c>
    </row>
    <row r="2478" spans="1:2" x14ac:dyDescent="0.25">
      <c r="A2478" t="s">
        <v>79</v>
      </c>
      <c r="B2478">
        <v>3.5</v>
      </c>
    </row>
    <row r="2479" spans="1:2" x14ac:dyDescent="0.25">
      <c r="A2479" t="s">
        <v>79</v>
      </c>
      <c r="B2479">
        <v>3.75</v>
      </c>
    </row>
    <row r="2480" spans="1:2" x14ac:dyDescent="0.25">
      <c r="A2480" t="s">
        <v>79</v>
      </c>
      <c r="B2480">
        <v>4.5</v>
      </c>
    </row>
    <row r="2481" spans="1:2" x14ac:dyDescent="0.25">
      <c r="A2481" t="s">
        <v>79</v>
      </c>
      <c r="B2481">
        <v>4.5</v>
      </c>
    </row>
    <row r="2482" spans="1:2" x14ac:dyDescent="0.25">
      <c r="A2482" t="s">
        <v>79</v>
      </c>
      <c r="B2482">
        <v>4</v>
      </c>
    </row>
    <row r="2483" spans="1:2" x14ac:dyDescent="0.25">
      <c r="A2483" t="s">
        <v>79</v>
      </c>
      <c r="B2483">
        <v>3.75</v>
      </c>
    </row>
    <row r="2484" spans="1:2" x14ac:dyDescent="0.25">
      <c r="A2484" t="s">
        <v>79</v>
      </c>
      <c r="B2484">
        <v>3.5</v>
      </c>
    </row>
    <row r="2485" spans="1:2" x14ac:dyDescent="0.25">
      <c r="A2485" t="s">
        <v>79</v>
      </c>
      <c r="B2485">
        <v>4.75</v>
      </c>
    </row>
    <row r="2486" spans="1:2" x14ac:dyDescent="0.25">
      <c r="A2486" t="s">
        <v>79</v>
      </c>
      <c r="B2486">
        <v>3.75</v>
      </c>
    </row>
    <row r="2487" spans="1:2" x14ac:dyDescent="0.25">
      <c r="A2487" t="s">
        <v>79</v>
      </c>
      <c r="B2487">
        <v>3.25</v>
      </c>
    </row>
    <row r="2488" spans="1:2" x14ac:dyDescent="0.25">
      <c r="A2488" t="s">
        <v>79</v>
      </c>
      <c r="B2488">
        <v>3</v>
      </c>
    </row>
    <row r="2489" spans="1:2" x14ac:dyDescent="0.25">
      <c r="A2489" t="s">
        <v>79</v>
      </c>
      <c r="B2489">
        <v>0.25</v>
      </c>
    </row>
    <row r="2490" spans="1:2" x14ac:dyDescent="0.25">
      <c r="A2490" t="s">
        <v>79</v>
      </c>
      <c r="B2490">
        <v>3.75</v>
      </c>
    </row>
    <row r="2491" spans="1:2" x14ac:dyDescent="0.25">
      <c r="A2491" t="s">
        <v>79</v>
      </c>
      <c r="B2491">
        <v>2</v>
      </c>
    </row>
    <row r="2492" spans="1:2" x14ac:dyDescent="0.25">
      <c r="A2492" t="s">
        <v>79</v>
      </c>
      <c r="B2492">
        <v>4.5</v>
      </c>
    </row>
    <row r="2493" spans="1:2" x14ac:dyDescent="0.25">
      <c r="A2493" t="s">
        <v>79</v>
      </c>
      <c r="B2493">
        <v>2.5</v>
      </c>
    </row>
    <row r="2494" spans="1:2" x14ac:dyDescent="0.25">
      <c r="A2494" t="s">
        <v>79</v>
      </c>
      <c r="B2494">
        <v>4.25</v>
      </c>
    </row>
    <row r="2495" spans="1:2" x14ac:dyDescent="0.25">
      <c r="A2495" t="s">
        <v>79</v>
      </c>
      <c r="B2495">
        <v>2</v>
      </c>
    </row>
    <row r="2496" spans="1:2" x14ac:dyDescent="0.25">
      <c r="A2496" t="s">
        <v>79</v>
      </c>
      <c r="B2496">
        <v>1.75</v>
      </c>
    </row>
    <row r="2497" spans="1:2" x14ac:dyDescent="0.25">
      <c r="A2497" t="s">
        <v>79</v>
      </c>
      <c r="B2497">
        <v>0</v>
      </c>
    </row>
    <row r="2498" spans="1:2" x14ac:dyDescent="0.25">
      <c r="A2498" t="s">
        <v>79</v>
      </c>
      <c r="B2498">
        <v>2.2999999999999998</v>
      </c>
    </row>
    <row r="2499" spans="1:2" x14ac:dyDescent="0.25">
      <c r="A2499" t="s">
        <v>79</v>
      </c>
      <c r="B2499">
        <v>1.75</v>
      </c>
    </row>
    <row r="2500" spans="1:2" x14ac:dyDescent="0.25">
      <c r="A2500" t="s">
        <v>79</v>
      </c>
      <c r="B2500">
        <v>1</v>
      </c>
    </row>
    <row r="2501" spans="1:2" x14ac:dyDescent="0.25">
      <c r="A2501" t="s">
        <v>79</v>
      </c>
      <c r="B2501">
        <v>3</v>
      </c>
    </row>
    <row r="2502" spans="1:2" x14ac:dyDescent="0.25">
      <c r="A2502" t="s">
        <v>465</v>
      </c>
      <c r="B2502">
        <v>3</v>
      </c>
    </row>
    <row r="2503" spans="1:2" x14ac:dyDescent="0.25">
      <c r="A2503" t="s">
        <v>465</v>
      </c>
      <c r="B2503">
        <v>3</v>
      </c>
    </row>
    <row r="2504" spans="1:2" x14ac:dyDescent="0.25">
      <c r="A2504" t="s">
        <v>465</v>
      </c>
      <c r="B2504">
        <v>3</v>
      </c>
    </row>
    <row r="2505" spans="1:2" x14ac:dyDescent="0.25">
      <c r="A2505" t="s">
        <v>465</v>
      </c>
      <c r="B2505">
        <v>4</v>
      </c>
    </row>
    <row r="2506" spans="1:2" x14ac:dyDescent="0.25">
      <c r="A2506" t="s">
        <v>465</v>
      </c>
      <c r="B2506">
        <v>3.5</v>
      </c>
    </row>
    <row r="2507" spans="1:2" x14ac:dyDescent="0.25">
      <c r="A2507" t="s">
        <v>465</v>
      </c>
      <c r="B2507">
        <v>3.5</v>
      </c>
    </row>
    <row r="2508" spans="1:2" x14ac:dyDescent="0.25">
      <c r="A2508" t="s">
        <v>465</v>
      </c>
      <c r="B2508">
        <v>3.5</v>
      </c>
    </row>
    <row r="2509" spans="1:2" x14ac:dyDescent="0.25">
      <c r="A2509" t="s">
        <v>465</v>
      </c>
      <c r="B2509">
        <v>0</v>
      </c>
    </row>
    <row r="2510" spans="1:2" x14ac:dyDescent="0.25">
      <c r="A2510" t="s">
        <v>465</v>
      </c>
      <c r="B2510">
        <v>0</v>
      </c>
    </row>
    <row r="2511" spans="1:2" x14ac:dyDescent="0.25">
      <c r="A2511" t="s">
        <v>465</v>
      </c>
      <c r="B2511">
        <v>3</v>
      </c>
    </row>
    <row r="2512" spans="1:2" x14ac:dyDescent="0.25">
      <c r="A2512" t="s">
        <v>465</v>
      </c>
      <c r="B2512">
        <v>3.5</v>
      </c>
    </row>
    <row r="2513" spans="1:2" x14ac:dyDescent="0.25">
      <c r="A2513" t="s">
        <v>465</v>
      </c>
      <c r="B2513">
        <v>3.25</v>
      </c>
    </row>
    <row r="2514" spans="1:2" x14ac:dyDescent="0.25">
      <c r="A2514" t="s">
        <v>465</v>
      </c>
      <c r="B2514">
        <v>2.75</v>
      </c>
    </row>
    <row r="2515" spans="1:2" x14ac:dyDescent="0.25">
      <c r="A2515" t="s">
        <v>465</v>
      </c>
      <c r="B2515">
        <v>0.25</v>
      </c>
    </row>
    <row r="2516" spans="1:2" x14ac:dyDescent="0.25">
      <c r="A2516" t="s">
        <v>465</v>
      </c>
      <c r="B2516">
        <v>0</v>
      </c>
    </row>
    <row r="2517" spans="1:2" x14ac:dyDescent="0.25">
      <c r="A2517" t="s">
        <v>465</v>
      </c>
      <c r="B2517">
        <v>2</v>
      </c>
    </row>
    <row r="2518" spans="1:2" x14ac:dyDescent="0.25">
      <c r="A2518" t="s">
        <v>465</v>
      </c>
      <c r="B2518">
        <v>5</v>
      </c>
    </row>
    <row r="2519" spans="1:2" x14ac:dyDescent="0.25">
      <c r="A2519" t="s">
        <v>465</v>
      </c>
      <c r="B2519">
        <v>0</v>
      </c>
    </row>
    <row r="2520" spans="1:2" x14ac:dyDescent="0.25">
      <c r="A2520" t="s">
        <v>465</v>
      </c>
      <c r="B2520">
        <v>5</v>
      </c>
    </row>
    <row r="2521" spans="1:2" x14ac:dyDescent="0.25">
      <c r="A2521" t="s">
        <v>465</v>
      </c>
      <c r="B2521">
        <v>1.5</v>
      </c>
    </row>
    <row r="2522" spans="1:2" x14ac:dyDescent="0.25">
      <c r="A2522" t="s">
        <v>465</v>
      </c>
      <c r="B2522">
        <v>1</v>
      </c>
    </row>
    <row r="2523" spans="1:2" x14ac:dyDescent="0.25">
      <c r="A2523" t="s">
        <v>465</v>
      </c>
      <c r="B2523">
        <v>0.5</v>
      </c>
    </row>
    <row r="2524" spans="1:2" x14ac:dyDescent="0.25">
      <c r="A2524" t="s">
        <v>465</v>
      </c>
      <c r="B2524">
        <v>1.75</v>
      </c>
    </row>
    <row r="2525" spans="1:2" x14ac:dyDescent="0.25">
      <c r="A2525" t="s">
        <v>465</v>
      </c>
      <c r="B2525">
        <v>2</v>
      </c>
    </row>
    <row r="2526" spans="1:2" x14ac:dyDescent="0.25">
      <c r="A2526" t="s">
        <v>465</v>
      </c>
      <c r="B2526">
        <v>2.75</v>
      </c>
    </row>
    <row r="2527" spans="1:2" x14ac:dyDescent="0.25">
      <c r="A2527" t="s">
        <v>465</v>
      </c>
      <c r="B2527">
        <v>2.75</v>
      </c>
    </row>
    <row r="2528" spans="1:2" x14ac:dyDescent="0.25">
      <c r="A2528" t="s">
        <v>465</v>
      </c>
      <c r="B2528">
        <v>3.5</v>
      </c>
    </row>
    <row r="2529" spans="1:2" x14ac:dyDescent="0.25">
      <c r="A2529" t="s">
        <v>465</v>
      </c>
      <c r="B2529">
        <v>1.5</v>
      </c>
    </row>
    <row r="2530" spans="1:2" x14ac:dyDescent="0.25">
      <c r="A2530" t="s">
        <v>465</v>
      </c>
      <c r="B2530">
        <v>2</v>
      </c>
    </row>
    <row r="2531" spans="1:2" x14ac:dyDescent="0.25">
      <c r="A2531" t="s">
        <v>465</v>
      </c>
      <c r="B2531">
        <v>1</v>
      </c>
    </row>
    <row r="2532" spans="1:2" x14ac:dyDescent="0.25">
      <c r="A2532" t="s">
        <v>465</v>
      </c>
      <c r="B2532">
        <v>2.25</v>
      </c>
    </row>
    <row r="2533" spans="1:2" x14ac:dyDescent="0.25">
      <c r="A2533" t="s">
        <v>465</v>
      </c>
      <c r="B2533">
        <v>2</v>
      </c>
    </row>
    <row r="2534" spans="1:2" x14ac:dyDescent="0.25">
      <c r="A2534" t="s">
        <v>465</v>
      </c>
      <c r="B2534">
        <v>2</v>
      </c>
    </row>
    <row r="2535" spans="1:2" x14ac:dyDescent="0.25">
      <c r="A2535" t="s">
        <v>465</v>
      </c>
      <c r="B2535">
        <v>2.5</v>
      </c>
    </row>
    <row r="2536" spans="1:2" x14ac:dyDescent="0.25">
      <c r="A2536" t="s">
        <v>465</v>
      </c>
      <c r="B2536">
        <v>2</v>
      </c>
    </row>
    <row r="2537" spans="1:2" x14ac:dyDescent="0.25">
      <c r="A2537" t="s">
        <v>465</v>
      </c>
      <c r="B2537">
        <v>1.75</v>
      </c>
    </row>
    <row r="2538" spans="1:2" x14ac:dyDescent="0.25">
      <c r="A2538" t="s">
        <v>465</v>
      </c>
      <c r="B2538">
        <v>3</v>
      </c>
    </row>
    <row r="2539" spans="1:2" x14ac:dyDescent="0.25">
      <c r="A2539" t="s">
        <v>465</v>
      </c>
      <c r="B2539">
        <v>1.75</v>
      </c>
    </row>
    <row r="2540" spans="1:2" x14ac:dyDescent="0.25">
      <c r="A2540" t="s">
        <v>465</v>
      </c>
      <c r="B2540">
        <v>3</v>
      </c>
    </row>
    <row r="2541" spans="1:2" x14ac:dyDescent="0.25">
      <c r="A2541" t="s">
        <v>465</v>
      </c>
      <c r="B2541">
        <v>2.75</v>
      </c>
    </row>
    <row r="2542" spans="1:2" x14ac:dyDescent="0.25">
      <c r="A2542" t="s">
        <v>465</v>
      </c>
      <c r="B2542">
        <v>0.5</v>
      </c>
    </row>
    <row r="2543" spans="1:2" x14ac:dyDescent="0.25">
      <c r="A2543" t="s">
        <v>826</v>
      </c>
      <c r="B2543">
        <v>3.5</v>
      </c>
    </row>
    <row r="2544" spans="1:2" x14ac:dyDescent="0.25">
      <c r="A2544" t="s">
        <v>826</v>
      </c>
      <c r="B2544">
        <v>5</v>
      </c>
    </row>
    <row r="2545" spans="1:2" x14ac:dyDescent="0.25">
      <c r="A2545" t="s">
        <v>826</v>
      </c>
      <c r="B2545">
        <v>3.5</v>
      </c>
    </row>
    <row r="2546" spans="1:2" x14ac:dyDescent="0.25">
      <c r="A2546" t="s">
        <v>826</v>
      </c>
      <c r="B2546">
        <v>4</v>
      </c>
    </row>
    <row r="2547" spans="1:2" x14ac:dyDescent="0.25">
      <c r="A2547" t="s">
        <v>826</v>
      </c>
      <c r="B2547">
        <v>5</v>
      </c>
    </row>
    <row r="2548" spans="1:2" x14ac:dyDescent="0.25">
      <c r="A2548" t="s">
        <v>511</v>
      </c>
      <c r="B2548">
        <v>4</v>
      </c>
    </row>
    <row r="2549" spans="1:2" x14ac:dyDescent="0.25">
      <c r="A2549" t="s">
        <v>511</v>
      </c>
      <c r="B2549">
        <v>4</v>
      </c>
    </row>
    <row r="2550" spans="1:2" x14ac:dyDescent="0.25">
      <c r="A2550" t="s">
        <v>511</v>
      </c>
      <c r="B2550">
        <v>4.5</v>
      </c>
    </row>
    <row r="2551" spans="1:2" x14ac:dyDescent="0.25">
      <c r="A2551" t="s">
        <v>511</v>
      </c>
      <c r="B2551">
        <v>5</v>
      </c>
    </row>
    <row r="2552" spans="1:2" x14ac:dyDescent="0.25">
      <c r="A2552" t="s">
        <v>511</v>
      </c>
      <c r="B2552">
        <v>4.25</v>
      </c>
    </row>
    <row r="2553" spans="1:2" x14ac:dyDescent="0.25">
      <c r="A2553" t="s">
        <v>371</v>
      </c>
      <c r="B2553">
        <v>4</v>
      </c>
    </row>
    <row r="2554" spans="1:2" x14ac:dyDescent="0.25">
      <c r="A2554" t="s">
        <v>371</v>
      </c>
      <c r="B2554">
        <v>4</v>
      </c>
    </row>
    <row r="2555" spans="1:2" x14ac:dyDescent="0.25">
      <c r="A2555" t="s">
        <v>371</v>
      </c>
      <c r="B2555">
        <v>3.5</v>
      </c>
    </row>
    <row r="2556" spans="1:2" x14ac:dyDescent="0.25">
      <c r="A2556" t="s">
        <v>371</v>
      </c>
      <c r="B2556">
        <v>3.25</v>
      </c>
    </row>
    <row r="2557" spans="1:2" x14ac:dyDescent="0.25">
      <c r="A2557" t="s">
        <v>371</v>
      </c>
      <c r="B2557">
        <v>4</v>
      </c>
    </row>
    <row r="2558" spans="1:2" x14ac:dyDescent="0.25">
      <c r="A2558" t="s">
        <v>371</v>
      </c>
      <c r="B2558">
        <v>4</v>
      </c>
    </row>
    <row r="2559" spans="1:2" x14ac:dyDescent="0.25">
      <c r="A2559" t="s">
        <v>371</v>
      </c>
      <c r="B2559">
        <v>3.25</v>
      </c>
    </row>
    <row r="2560" spans="1:2" x14ac:dyDescent="0.25">
      <c r="A2560" t="s">
        <v>340</v>
      </c>
      <c r="B2560">
        <v>3</v>
      </c>
    </row>
    <row r="2561" spans="1:2" x14ac:dyDescent="0.25">
      <c r="A2561" t="s">
        <v>340</v>
      </c>
      <c r="B2561">
        <v>4</v>
      </c>
    </row>
    <row r="2562" spans="1:2" x14ac:dyDescent="0.25">
      <c r="A2562" t="s">
        <v>340</v>
      </c>
      <c r="B2562">
        <v>3</v>
      </c>
    </row>
    <row r="2563" spans="1:2" x14ac:dyDescent="0.25">
      <c r="A2563" t="s">
        <v>340</v>
      </c>
      <c r="B2563">
        <v>3</v>
      </c>
    </row>
    <row r="2564" spans="1:2" x14ac:dyDescent="0.25">
      <c r="A2564" t="s">
        <v>340</v>
      </c>
      <c r="B2564">
        <v>3</v>
      </c>
    </row>
    <row r="2565" spans="1:2" x14ac:dyDescent="0.25">
      <c r="A2565" t="s">
        <v>340</v>
      </c>
      <c r="B2565">
        <v>4</v>
      </c>
    </row>
    <row r="2566" spans="1:2" x14ac:dyDescent="0.25">
      <c r="A2566" t="s">
        <v>340</v>
      </c>
      <c r="B2566">
        <v>4</v>
      </c>
    </row>
    <row r="2567" spans="1:2" x14ac:dyDescent="0.25">
      <c r="A2567" t="s">
        <v>340</v>
      </c>
      <c r="B2567">
        <v>4</v>
      </c>
    </row>
    <row r="2568" spans="1:2" x14ac:dyDescent="0.25">
      <c r="A2568" t="s">
        <v>340</v>
      </c>
      <c r="B2568">
        <v>1</v>
      </c>
    </row>
    <row r="2569" spans="1:2" x14ac:dyDescent="0.25">
      <c r="A2569" t="s">
        <v>340</v>
      </c>
      <c r="B2569">
        <v>2.5</v>
      </c>
    </row>
    <row r="2570" spans="1:2" x14ac:dyDescent="0.25">
      <c r="A2570" t="s">
        <v>340</v>
      </c>
      <c r="B2570">
        <v>3</v>
      </c>
    </row>
    <row r="2571" spans="1:2" x14ac:dyDescent="0.25">
      <c r="A2571" t="s">
        <v>340</v>
      </c>
      <c r="B2571">
        <v>2.25</v>
      </c>
    </row>
    <row r="2572" spans="1:2" x14ac:dyDescent="0.25">
      <c r="A2572" t="s">
        <v>340</v>
      </c>
      <c r="B2572">
        <v>5</v>
      </c>
    </row>
    <row r="2573" spans="1:2" x14ac:dyDescent="0.25">
      <c r="A2573" t="s">
        <v>340</v>
      </c>
      <c r="B2573">
        <v>3.25</v>
      </c>
    </row>
    <row r="2574" spans="1:2" x14ac:dyDescent="0.25">
      <c r="A2574" t="s">
        <v>340</v>
      </c>
      <c r="B2574">
        <v>4.3</v>
      </c>
    </row>
    <row r="2575" spans="1:2" x14ac:dyDescent="0.25">
      <c r="A2575" t="s">
        <v>340</v>
      </c>
      <c r="B2575">
        <v>3.25</v>
      </c>
    </row>
    <row r="2576" spans="1:2" x14ac:dyDescent="0.25">
      <c r="A2576" t="s">
        <v>340</v>
      </c>
      <c r="B2576">
        <v>2</v>
      </c>
    </row>
    <row r="2577" spans="1:2" x14ac:dyDescent="0.25">
      <c r="A2577" t="s">
        <v>340</v>
      </c>
      <c r="B2577">
        <v>2</v>
      </c>
    </row>
    <row r="2578" spans="1:2" x14ac:dyDescent="0.25">
      <c r="A2578" t="s">
        <v>340</v>
      </c>
      <c r="B2578">
        <v>3.5</v>
      </c>
    </row>
    <row r="2579" spans="1:2" x14ac:dyDescent="0.25">
      <c r="A2579" t="s">
        <v>340</v>
      </c>
      <c r="B2579">
        <v>2.75</v>
      </c>
    </row>
    <row r="2580" spans="1:2" x14ac:dyDescent="0.25">
      <c r="A2580" t="s">
        <v>340</v>
      </c>
      <c r="B2580">
        <v>2.75</v>
      </c>
    </row>
    <row r="2581" spans="1:2" x14ac:dyDescent="0.25">
      <c r="A2581" t="s">
        <v>340</v>
      </c>
      <c r="B2581">
        <v>3.5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5BBB87-71E4-4A10-8B74-C9DFCF8C71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ramen-ratings raw</vt:lpstr>
      <vt:lpstr>ramen-ratings</vt:lpstr>
      <vt:lpstr>CountryRegion</vt:lpstr>
      <vt:lpstr>Explor_Analysis</vt:lpstr>
      <vt:lpstr>CountryAvgRating</vt:lpstr>
      <vt:lpstr>QualityStyle</vt:lpstr>
      <vt:lpstr>CountryRatingsWide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Maxwell Griffith</dc:creator>
  <cp:lastModifiedBy>maxwellgriffith</cp:lastModifiedBy>
  <dcterms:created xsi:type="dcterms:W3CDTF">2021-07-06T02:15:06Z</dcterms:created>
  <dcterms:modified xsi:type="dcterms:W3CDTF">2021-07-16T02:18:37Z</dcterms:modified>
</cp:coreProperties>
</file>